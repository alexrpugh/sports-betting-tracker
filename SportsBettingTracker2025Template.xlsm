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Ex1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Ex2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harts/chartEx3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Ex4.xml" ContentType="application/vnd.ms-office.chartex+xml"/>
  <Override PartName="/xl/charts/style7.xml" ContentType="application/vnd.ms-office.chartstyle+xml"/>
  <Override PartName="/xl/charts/colors7.xml" ContentType="application/vnd.ms-office.chartcolorstyle+xml"/>
  <Override PartName="/xl/charts/chartEx5.xml" ContentType="application/vnd.ms-office.chartex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Ex6.xml" ContentType="application/vnd.ms-office.chartex+xml"/>
  <Override PartName="/xl/charts/style9.xml" ContentType="application/vnd.ms-office.chartstyle+xml"/>
  <Override PartName="/xl/charts/colors9.xml" ContentType="application/vnd.ms-office.chartcolorstyle+xml"/>
  <Override PartName="/xl/charts/chartEx7.xml" ContentType="application/vnd.ms-office.chartex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+xml"/>
  <Override PartName="/xl/charts/chartEx8.xml" ContentType="application/vnd.ms-office.chartex+xml"/>
  <Override PartName="/xl/charts/style11.xml" ContentType="application/vnd.ms-office.chartstyle+xml"/>
  <Override PartName="/xl/charts/colors11.xml" ContentType="application/vnd.ms-office.chartcolorstyle+xml"/>
  <Override PartName="/xl/charts/chartEx9.xml" ContentType="application/vnd.ms-office.chartex+xml"/>
  <Override PartName="/xl/charts/style12.xml" ContentType="application/vnd.ms-office.chartstyle+xml"/>
  <Override PartName="/xl/charts/colors12.xml" ContentType="application/vnd.ms-office.chartcolorstyle+xml"/>
  <Override PartName="/xl/drawings/drawing7.xml" ContentType="application/vnd.openxmlformats-officedocument.drawing+xml"/>
  <Override PartName="/xl/charts/chartEx10.xml" ContentType="application/vnd.ms-office.chartex+xml"/>
  <Override PartName="/xl/charts/style13.xml" ContentType="application/vnd.ms-office.chartstyle+xml"/>
  <Override PartName="/xl/charts/colors13.xml" ContentType="application/vnd.ms-office.chartcolorstyle+xml"/>
  <Override PartName="/xl/charts/chartEx11.xml" ContentType="application/vnd.ms-office.chartex+xml"/>
  <Override PartName="/xl/charts/style14.xml" ContentType="application/vnd.ms-office.chartstyle+xml"/>
  <Override PartName="/xl/charts/colors14.xml" ContentType="application/vnd.ms-office.chartcolorstyle+xml"/>
  <Override PartName="/xl/drawings/drawing8.xml" ContentType="application/vnd.openxmlformats-officedocument.drawing+xml"/>
  <Override PartName="/xl/charts/chartEx12.xml" ContentType="application/vnd.ms-office.chartex+xml"/>
  <Override PartName="/xl/charts/style15.xml" ContentType="application/vnd.ms-office.chartstyle+xml"/>
  <Override PartName="/xl/charts/colors15.xml" ContentType="application/vnd.ms-office.chartcolorstyle+xml"/>
  <Override PartName="/xl/charts/chartEx13.xml" ContentType="application/vnd.ms-office.chartex+xml"/>
  <Override PartName="/xl/charts/style16.xml" ContentType="application/vnd.ms-office.chartstyle+xml"/>
  <Override PartName="/xl/charts/colors16.xml" ContentType="application/vnd.ms-office.chartcolorstyle+xml"/>
  <Override PartName="/xl/drawings/drawing9.xml" ContentType="application/vnd.openxmlformats-officedocument.drawing+xml"/>
  <Override PartName="/xl/charts/chartEx14.xml" ContentType="application/vnd.ms-office.chartex+xml"/>
  <Override PartName="/xl/charts/style17.xml" ContentType="application/vnd.ms-office.chartstyle+xml"/>
  <Override PartName="/xl/charts/colors17.xml" ContentType="application/vnd.ms-office.chartcolorstyle+xml"/>
  <Override PartName="/xl/charts/chartEx15.xml" ContentType="application/vnd.ms-office.chartex+xml"/>
  <Override PartName="/xl/charts/style18.xml" ContentType="application/vnd.ms-office.chartstyle+xml"/>
  <Override PartName="/xl/charts/colors18.xml" ContentType="application/vnd.ms-office.chartcolorstyle+xml"/>
  <Override PartName="/xl/drawings/drawing10.xml" ContentType="application/vnd.openxmlformats-officedocument.drawing+xml"/>
  <Override PartName="/xl/charts/chartEx16.xml" ContentType="application/vnd.ms-office.chartex+xml"/>
  <Override PartName="/xl/charts/style19.xml" ContentType="application/vnd.ms-office.chartstyle+xml"/>
  <Override PartName="/xl/charts/colors19.xml" ContentType="application/vnd.ms-office.chartcolorstyle+xml"/>
  <Override PartName="/xl/charts/chartEx17.xml" ContentType="application/vnd.ms-office.chartex+xml"/>
  <Override PartName="/xl/charts/style20.xml" ContentType="application/vnd.ms-office.chartstyle+xml"/>
  <Override PartName="/xl/charts/colors20.xml" ContentType="application/vnd.ms-office.chartcolorstyle+xml"/>
  <Override PartName="/xl/drawings/drawing11.xml" ContentType="application/vnd.openxmlformats-officedocument.drawing+xml"/>
  <Override PartName="/xl/charts/chartEx18.xml" ContentType="application/vnd.ms-office.chartex+xml"/>
  <Override PartName="/xl/charts/style21.xml" ContentType="application/vnd.ms-office.chartstyle+xml"/>
  <Override PartName="/xl/charts/colors21.xml" ContentType="application/vnd.ms-office.chartcolorstyle+xml"/>
  <Override PartName="/xl/charts/chartEx19.xml" ContentType="application/vnd.ms-office.chartex+xml"/>
  <Override PartName="/xl/charts/style22.xml" ContentType="application/vnd.ms-office.chartstyle+xml"/>
  <Override PartName="/xl/charts/colors22.xml" ContentType="application/vnd.ms-office.chartcolorstyle+xml"/>
  <Override PartName="/xl/drawings/drawing12.xml" ContentType="application/vnd.openxmlformats-officedocument.drawing+xml"/>
  <Override PartName="/xl/charts/chartEx20.xml" ContentType="application/vnd.ms-office.chartex+xml"/>
  <Override PartName="/xl/charts/style23.xml" ContentType="application/vnd.ms-office.chartstyle+xml"/>
  <Override PartName="/xl/charts/colors23.xml" ContentType="application/vnd.ms-office.chartcolorstyle+xml"/>
  <Override PartName="/xl/charts/chartEx21.xml" ContentType="application/vnd.ms-office.chartex+xml"/>
  <Override PartName="/xl/charts/style24.xml" ContentType="application/vnd.ms-office.chartstyle+xml"/>
  <Override PartName="/xl/charts/colors24.xml" ContentType="application/vnd.ms-office.chartcolorstyle+xml"/>
  <Override PartName="/xl/drawings/drawing13.xml" ContentType="application/vnd.openxmlformats-officedocument.drawing+xml"/>
  <Override PartName="/xl/charts/chartEx22.xml" ContentType="application/vnd.ms-office.chartex+xml"/>
  <Override PartName="/xl/charts/style25.xml" ContentType="application/vnd.ms-office.chartstyle+xml"/>
  <Override PartName="/xl/charts/colors2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alexpugh/Random/"/>
    </mc:Choice>
  </mc:AlternateContent>
  <xr:revisionPtr revIDLastSave="0" documentId="13_ncr:1_{FDEA321A-24E3-C649-AF1F-FAF82AE41B35}" xr6:coauthVersionLast="47" xr6:coauthVersionMax="47" xr10:uidLastSave="{00000000-0000-0000-0000-000000000000}"/>
  <bookViews>
    <workbookView xWindow="0" yWindow="760" windowWidth="30240" windowHeight="17400" xr2:uid="{BE7B500A-3A22-7A45-9FEB-8949761BBF4C}"/>
  </bookViews>
  <sheets>
    <sheet name="Master" sheetId="78" r:id="rId1"/>
    <sheet name="Jan 2025" sheetId="5" r:id="rId2"/>
    <sheet name="Feb 2025" sheetId="80" r:id="rId3"/>
    <sheet name="Mar 2025" sheetId="81" r:id="rId4"/>
    <sheet name="Apr 2025" sheetId="82" r:id="rId5"/>
    <sheet name="May 2025" sheetId="83" r:id="rId6"/>
    <sheet name="June 2025" sheetId="84" r:id="rId7"/>
    <sheet name="July 2025" sheetId="85" r:id="rId8"/>
    <sheet name="Aug 2025" sheetId="86" r:id="rId9"/>
    <sheet name="Sept 2025" sheetId="87" r:id="rId10"/>
    <sheet name="Oct 2025" sheetId="88" r:id="rId11"/>
    <sheet name="Nov 2025" sheetId="89" r:id="rId12"/>
    <sheet name="Dec 2025" sheetId="90" r:id="rId13"/>
    <sheet name="Futures" sheetId="77" r:id="rId14"/>
  </sheets>
  <definedNames>
    <definedName name="_xlnm._FilterDatabase" localSheetId="12" hidden="1">'Dec 2025'!$A$1:$A$144</definedName>
    <definedName name="_xlchart.v5.0" hidden="1">'Jan 2025'!$AC$3:$AC$25</definedName>
    <definedName name="_xlchart.v5.1" hidden="1">'Jan 2025'!$AD$2</definedName>
    <definedName name="_xlchart.v5.10" hidden="1">'Mar 2025'!$AD$2:$AD$24</definedName>
    <definedName name="_xlchart.v5.11" hidden="1">'Mar 2025'!$AC$3:$AC$25</definedName>
    <definedName name="_xlchart.v5.12" hidden="1">'Mar 2025'!$AD$3:$AD$25</definedName>
    <definedName name="_xlchart.v5.13" hidden="1">'Apr 2025'!$AC$3:$AC$25</definedName>
    <definedName name="_xlchart.v5.14" hidden="1">'Apr 2025'!$AD$3:$AD$25</definedName>
    <definedName name="_xlchart.v5.15" hidden="1">'Apr 2025'!$AC$25</definedName>
    <definedName name="_xlchart.v5.16" hidden="1">'Apr 2025'!$AD$25</definedName>
    <definedName name="_xlchart.v5.17" hidden="1">'Apr 2025'!$AD$2:$AD$24</definedName>
    <definedName name="_xlchart.v5.18" hidden="1">'May 2025'!$AC$25</definedName>
    <definedName name="_xlchart.v5.19" hidden="1">'May 2025'!$AD$25</definedName>
    <definedName name="_xlchart.v5.2" hidden="1">'Jan 2025'!$AD$3:$AD$25</definedName>
    <definedName name="_xlchart.v5.20" hidden="1">'May 2025'!$AD$2:$AD$24</definedName>
    <definedName name="_xlchart.v5.21" hidden="1">'May 2025'!$AC$3:$AC$25</definedName>
    <definedName name="_xlchart.v5.22" hidden="1">'May 2025'!$AD$3:$AD$25</definedName>
    <definedName name="_xlchart.v5.23" hidden="1">'June 2025'!$AC$3:$AC$25</definedName>
    <definedName name="_xlchart.v5.24" hidden="1">'June 2025'!$AD$3:$AD$25</definedName>
    <definedName name="_xlchart.v5.25" hidden="1">'June 2025'!$AC$25</definedName>
    <definedName name="_xlchart.v5.26" hidden="1">'June 2025'!$AD$25</definedName>
    <definedName name="_xlchart.v5.27" hidden="1">'June 2025'!$AD$2:$AD$24</definedName>
    <definedName name="_xlchart.v5.28" hidden="1">'July 2025'!$AC$3:$AC$25</definedName>
    <definedName name="_xlchart.v5.29" hidden="1">'July 2025'!$AD$3:$AD$25</definedName>
    <definedName name="_xlchart.v5.3" hidden="1">'Feb 2025'!$AC$25</definedName>
    <definedName name="_xlchart.v5.30" hidden="1">'July 2025'!$AC$25</definedName>
    <definedName name="_xlchart.v5.31" hidden="1">'July 2025'!$AD$25</definedName>
    <definedName name="_xlchart.v5.32" hidden="1">'July 2025'!$AD$2:$AD$24</definedName>
    <definedName name="_xlchart.v5.33" hidden="1">'Aug 2025'!$AC$3:$AC$25</definedName>
    <definedName name="_xlchart.v5.34" hidden="1">'Aug 2025'!$AD$3:$AD$25</definedName>
    <definedName name="_xlchart.v5.35" hidden="1">'Aug 2025'!$AC$25</definedName>
    <definedName name="_xlchart.v5.36" hidden="1">'Aug 2025'!$AD$25</definedName>
    <definedName name="_xlchart.v5.37" hidden="1">'Aug 2025'!$AD$2:$AD$24</definedName>
    <definedName name="_xlchart.v5.38" hidden="1">'Sept 2025'!$AC$3:$AC$25</definedName>
    <definedName name="_xlchart.v5.39" hidden="1">'Sept 2025'!$AD$3:$AD$25</definedName>
    <definedName name="_xlchart.v5.4" hidden="1">'Feb 2025'!$AD$25</definedName>
    <definedName name="_xlchart.v5.40" hidden="1">'Sept 2025'!$AC$25</definedName>
    <definedName name="_xlchart.v5.41" hidden="1">'Sept 2025'!$AD$25</definedName>
    <definedName name="_xlchart.v5.42" hidden="1">'Sept 2025'!$AD$2:$AD$24</definedName>
    <definedName name="_xlchart.v5.43" hidden="1">'Oct 2025'!$AC$3:$AC$25</definedName>
    <definedName name="_xlchart.v5.44" hidden="1">'Oct 2025'!$AD$3:$AD$25</definedName>
    <definedName name="_xlchart.v5.45" hidden="1">'Oct 2025'!$AC$25</definedName>
    <definedName name="_xlchart.v5.46" hidden="1">'Oct 2025'!$AD$25</definedName>
    <definedName name="_xlchart.v5.47" hidden="1">'Oct 2025'!$AD$2:$AD$24</definedName>
    <definedName name="_xlchart.v5.48" hidden="1">'Nov 2025'!$AC$25</definedName>
    <definedName name="_xlchart.v5.49" hidden="1">'Nov 2025'!$AD$25</definedName>
    <definedName name="_xlchart.v5.5" hidden="1">'Feb 2025'!$AD$2:$AD$24</definedName>
    <definedName name="_xlchart.v5.50" hidden="1">'Nov 2025'!$AD$2:$AD$24</definedName>
    <definedName name="_xlchart.v5.51" hidden="1">'Nov 2025'!$AC$3:$AC$25</definedName>
    <definedName name="_xlchart.v5.52" hidden="1">'Nov 2025'!$AD$3:$AD$25</definedName>
    <definedName name="_xlchart.v5.53" hidden="1">'Dec 2025'!$AC$3:$AC$25</definedName>
    <definedName name="_xlchart.v5.54" hidden="1">'Dec 2025'!$AD$3:$AD$25</definedName>
    <definedName name="_xlchart.v5.6" hidden="1">'Feb 2025'!$AC$3:$AC$25</definedName>
    <definedName name="_xlchart.v5.7" hidden="1">'Feb 2025'!$AD$3:$AD$25</definedName>
    <definedName name="_xlchart.v5.8" hidden="1">'Mar 2025'!$AC$25</definedName>
    <definedName name="_xlchart.v5.9" hidden="1">'Mar 2025'!$AD$25</definedName>
    <definedName name="_xleta.COUNTIFS" hidden="1" xlm="1">#NAME?</definedName>
    <definedName name="_xleta.N" hidden="1" xlm="1">#NAME?</definedName>
    <definedName name="_xleta.SUM" hidden="1" xlm="1">#NAME?</definedName>
    <definedName name="_xleta.SUMIFS" hidden="1" xlm="1">#NAME?</definedName>
    <definedName name="_xlnm.Criteria" localSheetId="12">'Dec 2025'!$A:$A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57" i="90" l="1"/>
  <c r="X56" i="90"/>
  <c r="X55" i="90"/>
  <c r="X54" i="90"/>
  <c r="X53" i="90"/>
  <c r="X52" i="90"/>
  <c r="X51" i="90"/>
  <c r="X50" i="90"/>
  <c r="X57" i="89"/>
  <c r="X56" i="89"/>
  <c r="X55" i="89"/>
  <c r="X54" i="89"/>
  <c r="X53" i="89"/>
  <c r="X52" i="89"/>
  <c r="X51" i="89"/>
  <c r="X50" i="89"/>
  <c r="X57" i="88"/>
  <c r="X56" i="88"/>
  <c r="X55" i="88"/>
  <c r="X54" i="88"/>
  <c r="X53" i="88"/>
  <c r="X52" i="88"/>
  <c r="X51" i="88"/>
  <c r="X50" i="88"/>
  <c r="X57" i="87"/>
  <c r="X56" i="87"/>
  <c r="X55" i="87"/>
  <c r="X54" i="87"/>
  <c r="X53" i="87"/>
  <c r="X52" i="87"/>
  <c r="X51" i="87"/>
  <c r="X50" i="87"/>
  <c r="X57" i="86"/>
  <c r="X56" i="86"/>
  <c r="X55" i="86"/>
  <c r="X54" i="86"/>
  <c r="X53" i="86"/>
  <c r="X52" i="86"/>
  <c r="X51" i="86"/>
  <c r="X50" i="86"/>
  <c r="X57" i="85"/>
  <c r="X56" i="85"/>
  <c r="X55" i="85"/>
  <c r="X54" i="85"/>
  <c r="X53" i="85"/>
  <c r="X52" i="85"/>
  <c r="X51" i="85"/>
  <c r="X50" i="85"/>
  <c r="X57" i="84"/>
  <c r="X56" i="84"/>
  <c r="X55" i="84"/>
  <c r="X54" i="84"/>
  <c r="X53" i="84"/>
  <c r="X52" i="84"/>
  <c r="X51" i="84"/>
  <c r="X50" i="84"/>
  <c r="X57" i="83"/>
  <c r="X56" i="83"/>
  <c r="X55" i="83"/>
  <c r="X54" i="83"/>
  <c r="X53" i="83"/>
  <c r="X52" i="83"/>
  <c r="X51" i="83"/>
  <c r="X50" i="83"/>
  <c r="X57" i="82"/>
  <c r="X56" i="82"/>
  <c r="X55" i="82"/>
  <c r="X54" i="82"/>
  <c r="X53" i="82"/>
  <c r="X52" i="82"/>
  <c r="X51" i="82"/>
  <c r="X50" i="82"/>
  <c r="X57" i="81"/>
  <c r="X56" i="81"/>
  <c r="X55" i="81"/>
  <c r="X54" i="81"/>
  <c r="X53" i="81"/>
  <c r="X52" i="81"/>
  <c r="X51" i="81"/>
  <c r="X50" i="81"/>
  <c r="X57" i="80"/>
  <c r="X56" i="80"/>
  <c r="X55" i="80"/>
  <c r="X54" i="80"/>
  <c r="X53" i="80"/>
  <c r="X52" i="80"/>
  <c r="X51" i="80"/>
  <c r="X50" i="80"/>
  <c r="X52" i="5"/>
  <c r="X53" i="5"/>
  <c r="X54" i="5"/>
  <c r="X55" i="5"/>
  <c r="X56" i="5"/>
  <c r="X57" i="5"/>
  <c r="X51" i="5"/>
  <c r="X50" i="5"/>
  <c r="S73" i="78"/>
  <c r="Q73" i="78"/>
  <c r="P73" i="78"/>
  <c r="O73" i="78"/>
  <c r="N73" i="78"/>
  <c r="L73" i="78"/>
  <c r="F73" i="78"/>
  <c r="S72" i="78"/>
  <c r="Q72" i="78"/>
  <c r="P72" i="78"/>
  <c r="O72" i="78"/>
  <c r="N72" i="78"/>
  <c r="L72" i="78"/>
  <c r="F72" i="78"/>
  <c r="S71" i="78"/>
  <c r="Q71" i="78"/>
  <c r="P71" i="78"/>
  <c r="O71" i="78"/>
  <c r="N71" i="78"/>
  <c r="L71" i="78"/>
  <c r="F71" i="78"/>
  <c r="S70" i="78"/>
  <c r="Q70" i="78"/>
  <c r="P70" i="78"/>
  <c r="O70" i="78"/>
  <c r="N70" i="78"/>
  <c r="L70" i="78"/>
  <c r="F70" i="78"/>
  <c r="S69" i="78"/>
  <c r="Q69" i="78"/>
  <c r="P69" i="78"/>
  <c r="O69" i="78"/>
  <c r="N69" i="78"/>
  <c r="L69" i="78"/>
  <c r="F69" i="78"/>
  <c r="S68" i="78"/>
  <c r="Q68" i="78"/>
  <c r="P68" i="78"/>
  <c r="O68" i="78"/>
  <c r="N68" i="78"/>
  <c r="L68" i="78"/>
  <c r="F68" i="78"/>
  <c r="S67" i="78"/>
  <c r="Q67" i="78"/>
  <c r="P67" i="78"/>
  <c r="O67" i="78"/>
  <c r="N67" i="78"/>
  <c r="L67" i="78"/>
  <c r="F67" i="78"/>
  <c r="S66" i="78"/>
  <c r="Q66" i="78"/>
  <c r="P66" i="78"/>
  <c r="O66" i="78"/>
  <c r="N66" i="78"/>
  <c r="L66" i="78"/>
  <c r="F66" i="78"/>
  <c r="S65" i="78"/>
  <c r="Q65" i="78"/>
  <c r="P65" i="78"/>
  <c r="O65" i="78"/>
  <c r="N65" i="78"/>
  <c r="L65" i="78"/>
  <c r="F65" i="78"/>
  <c r="S64" i="78"/>
  <c r="Q64" i="78"/>
  <c r="P64" i="78"/>
  <c r="O64" i="78"/>
  <c r="N64" i="78"/>
  <c r="L64" i="78"/>
  <c r="F64" i="78"/>
  <c r="S63" i="78"/>
  <c r="Q63" i="78"/>
  <c r="P63" i="78"/>
  <c r="O63" i="78"/>
  <c r="N63" i="78"/>
  <c r="L63" i="78"/>
  <c r="F63" i="78"/>
  <c r="S62" i="78"/>
  <c r="Q62" i="78"/>
  <c r="P62" i="78"/>
  <c r="O62" i="78"/>
  <c r="N62" i="78"/>
  <c r="L62" i="78"/>
  <c r="F62" i="78"/>
  <c r="S3" i="5"/>
  <c r="S4" i="5"/>
  <c r="S5" i="5"/>
  <c r="S6" i="5"/>
  <c r="S7" i="5"/>
  <c r="S8" i="5"/>
  <c r="S9" i="5"/>
  <c r="S10" i="5"/>
  <c r="S11" i="5"/>
  <c r="S12" i="5"/>
  <c r="S13" i="5"/>
  <c r="S14" i="5"/>
  <c r="S15" i="5"/>
  <c r="S16" i="5"/>
  <c r="S17" i="5"/>
  <c r="S18" i="5"/>
  <c r="S19" i="5"/>
  <c r="S20" i="5"/>
  <c r="S21" i="5"/>
  <c r="S22" i="5"/>
  <c r="S23" i="5"/>
  <c r="S24" i="5"/>
  <c r="S25" i="5"/>
  <c r="S26" i="5"/>
  <c r="S27" i="5"/>
  <c r="S28" i="5"/>
  <c r="S29" i="5"/>
  <c r="S30" i="5"/>
  <c r="S31" i="5"/>
  <c r="S32" i="5"/>
  <c r="S33" i="5"/>
  <c r="S34" i="5"/>
  <c r="S35" i="5"/>
  <c r="S36" i="5"/>
  <c r="S37" i="5"/>
  <c r="S38" i="5"/>
  <c r="S39" i="5"/>
  <c r="S40" i="5"/>
  <c r="S41" i="5"/>
  <c r="S42" i="5"/>
  <c r="S43" i="5"/>
  <c r="S44" i="5"/>
  <c r="S45" i="5"/>
  <c r="S46" i="5"/>
  <c r="S47" i="5"/>
  <c r="S48" i="5"/>
  <c r="S49" i="5"/>
  <c r="S50" i="5"/>
  <c r="S51" i="5"/>
  <c r="S52" i="5"/>
  <c r="S53" i="5"/>
  <c r="S54" i="5"/>
  <c r="S55" i="5"/>
  <c r="S56" i="5"/>
  <c r="S57" i="5"/>
  <c r="S58" i="5"/>
  <c r="S59" i="5"/>
  <c r="S60" i="5"/>
  <c r="S61" i="5"/>
  <c r="S62" i="5"/>
  <c r="S63" i="5"/>
  <c r="S64" i="5"/>
  <c r="S65" i="5"/>
  <c r="S66" i="5"/>
  <c r="S67" i="5"/>
  <c r="S68" i="5"/>
  <c r="S69" i="5"/>
  <c r="S70" i="5"/>
  <c r="S71" i="5"/>
  <c r="S72" i="5"/>
  <c r="S73" i="5"/>
  <c r="S74" i="5"/>
  <c r="S75" i="5"/>
  <c r="S76" i="5"/>
  <c r="S77" i="5"/>
  <c r="S78" i="5"/>
  <c r="S79" i="5"/>
  <c r="S80" i="5"/>
  <c r="S81" i="5"/>
  <c r="S82" i="5"/>
  <c r="S83" i="5"/>
  <c r="S84" i="5"/>
  <c r="S85" i="5"/>
  <c r="S86" i="5"/>
  <c r="S87" i="5"/>
  <c r="S88" i="5"/>
  <c r="S89" i="5"/>
  <c r="S90" i="5"/>
  <c r="S91" i="5"/>
  <c r="S92" i="5"/>
  <c r="S93" i="5"/>
  <c r="S94" i="5"/>
  <c r="S95" i="5"/>
  <c r="S96" i="5"/>
  <c r="S97" i="5"/>
  <c r="S98" i="5"/>
  <c r="S99" i="5"/>
  <c r="S100" i="5"/>
  <c r="S101" i="5"/>
  <c r="S102" i="5"/>
  <c r="S103" i="5"/>
  <c r="S104" i="5"/>
  <c r="S105" i="5"/>
  <c r="S106" i="5"/>
  <c r="S107" i="5"/>
  <c r="S108" i="5"/>
  <c r="S109" i="5"/>
  <c r="S110" i="5"/>
  <c r="S111" i="5"/>
  <c r="S112" i="5"/>
  <c r="S113" i="5"/>
  <c r="S114" i="5"/>
  <c r="S115" i="5"/>
  <c r="S116" i="5"/>
  <c r="S117" i="5"/>
  <c r="S118" i="5"/>
  <c r="S119" i="5"/>
  <c r="S120" i="5"/>
  <c r="S121" i="5"/>
  <c r="S122" i="5"/>
  <c r="S123" i="5"/>
  <c r="S124" i="5"/>
  <c r="S125" i="5"/>
  <c r="S126" i="5"/>
  <c r="S127" i="5"/>
  <c r="S128" i="5"/>
  <c r="S129" i="5"/>
  <c r="S130" i="5"/>
  <c r="S131" i="5"/>
  <c r="S132" i="5"/>
  <c r="S133" i="5"/>
  <c r="S134" i="5"/>
  <c r="S135" i="5"/>
  <c r="S136" i="5"/>
  <c r="S137" i="5"/>
  <c r="S138" i="5"/>
  <c r="S139" i="5"/>
  <c r="S140" i="5"/>
  <c r="S141" i="5"/>
  <c r="S142" i="5"/>
  <c r="S143" i="5"/>
  <c r="S144" i="5"/>
  <c r="S145" i="5"/>
  <c r="S146" i="5"/>
  <c r="S147" i="5"/>
  <c r="S148" i="5"/>
  <c r="S149" i="5"/>
  <c r="S150" i="5"/>
  <c r="S151" i="5"/>
  <c r="S152" i="5"/>
  <c r="S153" i="5"/>
  <c r="S154" i="5"/>
  <c r="S155" i="5"/>
  <c r="S156" i="5"/>
  <c r="S157" i="5"/>
  <c r="S158" i="5"/>
  <c r="S159" i="5"/>
  <c r="S160" i="5"/>
  <c r="S161" i="5"/>
  <c r="S162" i="5"/>
  <c r="S163" i="5"/>
  <c r="S164" i="5"/>
  <c r="S165" i="5"/>
  <c r="S166" i="5"/>
  <c r="S167" i="5"/>
  <c r="S168" i="5"/>
  <c r="S169" i="5"/>
  <c r="S170" i="5"/>
  <c r="S171" i="5"/>
  <c r="S172" i="5"/>
  <c r="S173" i="5"/>
  <c r="S174" i="5"/>
  <c r="S175" i="5"/>
  <c r="S176" i="5"/>
  <c r="S177" i="5"/>
  <c r="S178" i="5"/>
  <c r="S179" i="5"/>
  <c r="S180" i="5"/>
  <c r="S181" i="5"/>
  <c r="S182" i="5"/>
  <c r="S183" i="5"/>
  <c r="S184" i="5"/>
  <c r="S185" i="5"/>
  <c r="S186" i="5"/>
  <c r="S187" i="5"/>
  <c r="S188" i="5"/>
  <c r="S189" i="5"/>
  <c r="S190" i="5"/>
  <c r="S191" i="5"/>
  <c r="S192" i="5"/>
  <c r="S193" i="5"/>
  <c r="S194" i="5"/>
  <c r="S195" i="5"/>
  <c r="S196" i="5"/>
  <c r="S197" i="5"/>
  <c r="S198" i="5"/>
  <c r="S199" i="5"/>
  <c r="S200" i="5"/>
  <c r="S201" i="5"/>
  <c r="S202" i="5"/>
  <c r="S203" i="5"/>
  <c r="S204" i="5"/>
  <c r="S205" i="5"/>
  <c r="S206" i="5"/>
  <c r="S207" i="5"/>
  <c r="S208" i="5"/>
  <c r="S209" i="5"/>
  <c r="S210" i="5"/>
  <c r="S211" i="5"/>
  <c r="S212" i="5"/>
  <c r="S213" i="5"/>
  <c r="S214" i="5"/>
  <c r="S215" i="5"/>
  <c r="S216" i="5"/>
  <c r="S217" i="5"/>
  <c r="S218" i="5"/>
  <c r="S219" i="5"/>
  <c r="S220" i="5"/>
  <c r="S221" i="5"/>
  <c r="S222" i="5"/>
  <c r="S223" i="5"/>
  <c r="S224" i="5"/>
  <c r="S225" i="5"/>
  <c r="S226" i="5"/>
  <c r="S227" i="5"/>
  <c r="S228" i="5"/>
  <c r="S229" i="5"/>
  <c r="S230" i="5"/>
  <c r="S231" i="5"/>
  <c r="S232" i="5"/>
  <c r="S233" i="5"/>
  <c r="S234" i="5"/>
  <c r="S235" i="5"/>
  <c r="S236" i="5"/>
  <c r="S237" i="5"/>
  <c r="S238" i="5"/>
  <c r="S239" i="5"/>
  <c r="S240" i="5"/>
  <c r="S241" i="5"/>
  <c r="S242" i="5"/>
  <c r="S243" i="5"/>
  <c r="S244" i="5"/>
  <c r="S245" i="5"/>
  <c r="S246" i="5"/>
  <c r="S247" i="5"/>
  <c r="S248" i="5"/>
  <c r="S249" i="5"/>
  <c r="S250" i="5"/>
  <c r="S251" i="5"/>
  <c r="S252" i="5"/>
  <c r="S253" i="5"/>
  <c r="S254" i="5"/>
  <c r="S255" i="5"/>
  <c r="S256" i="5"/>
  <c r="S257" i="5"/>
  <c r="S258" i="5"/>
  <c r="S259" i="5"/>
  <c r="S260" i="5"/>
  <c r="S261" i="5"/>
  <c r="S262" i="5"/>
  <c r="S263" i="5"/>
  <c r="S264" i="5"/>
  <c r="S265" i="5"/>
  <c r="S266" i="5"/>
  <c r="S267" i="5"/>
  <c r="S268" i="5"/>
  <c r="S269" i="5"/>
  <c r="S270" i="5"/>
  <c r="S271" i="5"/>
  <c r="S272" i="5"/>
  <c r="S273" i="5"/>
  <c r="S274" i="5"/>
  <c r="S275" i="5"/>
  <c r="S276" i="5"/>
  <c r="S277" i="5"/>
  <c r="S278" i="5"/>
  <c r="S279" i="5"/>
  <c r="S280" i="5"/>
  <c r="S281" i="5"/>
  <c r="S282" i="5"/>
  <c r="S283" i="5"/>
  <c r="S284" i="5"/>
  <c r="S285" i="5"/>
  <c r="S286" i="5"/>
  <c r="S287" i="5"/>
  <c r="S288" i="5"/>
  <c r="S289" i="5"/>
  <c r="S290" i="5"/>
  <c r="S291" i="5"/>
  <c r="S292" i="5"/>
  <c r="S293" i="5"/>
  <c r="S294" i="5"/>
  <c r="S295" i="5"/>
  <c r="S296" i="5"/>
  <c r="S297" i="5"/>
  <c r="S298" i="5"/>
  <c r="S299" i="5"/>
  <c r="S300" i="5"/>
  <c r="S301" i="5"/>
  <c r="S302" i="5"/>
  <c r="S303" i="5"/>
  <c r="S304" i="5"/>
  <c r="S305" i="5"/>
  <c r="S306" i="5"/>
  <c r="S307" i="5"/>
  <c r="S308" i="5"/>
  <c r="S309" i="5"/>
  <c r="S310" i="5"/>
  <c r="S311" i="5"/>
  <c r="S312" i="5"/>
  <c r="S313" i="5"/>
  <c r="S314" i="5"/>
  <c r="S315" i="5"/>
  <c r="S316" i="5"/>
  <c r="S317" i="5"/>
  <c r="S318" i="5"/>
  <c r="S319" i="5"/>
  <c r="S320" i="5"/>
  <c r="S321" i="5"/>
  <c r="S322" i="5"/>
  <c r="S323" i="5"/>
  <c r="S324" i="5"/>
  <c r="S325" i="5"/>
  <c r="S326" i="5"/>
  <c r="S327" i="5"/>
  <c r="S328" i="5"/>
  <c r="S329" i="5"/>
  <c r="S330" i="5"/>
  <c r="S331" i="5"/>
  <c r="S332" i="5"/>
  <c r="S333" i="5"/>
  <c r="S334" i="5"/>
  <c r="S335" i="5"/>
  <c r="S336" i="5"/>
  <c r="S337" i="5"/>
  <c r="S338" i="5"/>
  <c r="S339" i="5"/>
  <c r="V21" i="90" l="1"/>
  <c r="V20" i="90"/>
  <c r="V19" i="90"/>
  <c r="V22" i="90" s="1"/>
  <c r="L144" i="90"/>
  <c r="N144" i="90"/>
  <c r="O144" i="90"/>
  <c r="P144" i="90"/>
  <c r="Q144" i="90"/>
  <c r="S144" i="90"/>
  <c r="L145" i="90"/>
  <c r="N145" i="90"/>
  <c r="O145" i="90"/>
  <c r="F145" i="90" s="1"/>
  <c r="P145" i="90"/>
  <c r="Q145" i="90"/>
  <c r="S145" i="90"/>
  <c r="L146" i="90"/>
  <c r="N146" i="90"/>
  <c r="O146" i="90"/>
  <c r="F146" i="90" s="1"/>
  <c r="P146" i="90"/>
  <c r="Q146" i="90"/>
  <c r="S146" i="90"/>
  <c r="L147" i="90"/>
  <c r="N147" i="90"/>
  <c r="O147" i="90"/>
  <c r="F147" i="90" s="1"/>
  <c r="P147" i="90"/>
  <c r="Q147" i="90"/>
  <c r="S147" i="90"/>
  <c r="L148" i="90"/>
  <c r="N148" i="90"/>
  <c r="O148" i="90"/>
  <c r="F148" i="90" s="1"/>
  <c r="P148" i="90"/>
  <c r="Q148" i="90"/>
  <c r="S148" i="90"/>
  <c r="L149" i="90"/>
  <c r="N149" i="90"/>
  <c r="O149" i="90"/>
  <c r="P149" i="90"/>
  <c r="Q149" i="90"/>
  <c r="S149" i="90"/>
  <c r="L150" i="90"/>
  <c r="N150" i="90"/>
  <c r="O150" i="90"/>
  <c r="P150" i="90"/>
  <c r="Q150" i="90"/>
  <c r="S150" i="90"/>
  <c r="L151" i="90"/>
  <c r="N151" i="90"/>
  <c r="O151" i="90"/>
  <c r="F151" i="90" s="1"/>
  <c r="P151" i="90"/>
  <c r="Q151" i="90"/>
  <c r="S151" i="90"/>
  <c r="L152" i="90"/>
  <c r="N152" i="90"/>
  <c r="O152" i="90"/>
  <c r="F152" i="90" s="1"/>
  <c r="P152" i="90"/>
  <c r="Q152" i="90"/>
  <c r="S152" i="90"/>
  <c r="L153" i="90"/>
  <c r="N153" i="90"/>
  <c r="O153" i="90"/>
  <c r="P153" i="90"/>
  <c r="F153" i="90" s="1"/>
  <c r="Q153" i="90"/>
  <c r="S153" i="90"/>
  <c r="F154" i="90"/>
  <c r="L154" i="90"/>
  <c r="N154" i="90"/>
  <c r="O154" i="90"/>
  <c r="P154" i="90"/>
  <c r="Q154" i="90"/>
  <c r="S154" i="90"/>
  <c r="F155" i="90"/>
  <c r="L155" i="90"/>
  <c r="N155" i="90"/>
  <c r="O155" i="90"/>
  <c r="P155" i="90"/>
  <c r="Q155" i="90"/>
  <c r="S155" i="90"/>
  <c r="F156" i="90"/>
  <c r="L156" i="90"/>
  <c r="N156" i="90"/>
  <c r="O156" i="90"/>
  <c r="P156" i="90"/>
  <c r="Q156" i="90"/>
  <c r="S156" i="90"/>
  <c r="L157" i="90"/>
  <c r="N157" i="90"/>
  <c r="O157" i="90"/>
  <c r="P157" i="90"/>
  <c r="Q157" i="90"/>
  <c r="S157" i="90"/>
  <c r="L158" i="90"/>
  <c r="N158" i="90"/>
  <c r="O158" i="90"/>
  <c r="P158" i="90"/>
  <c r="Q158" i="90"/>
  <c r="S158" i="90"/>
  <c r="L159" i="90"/>
  <c r="N159" i="90"/>
  <c r="O159" i="90"/>
  <c r="P159" i="90"/>
  <c r="Q159" i="90"/>
  <c r="S159" i="90"/>
  <c r="L160" i="90"/>
  <c r="N160" i="90"/>
  <c r="O160" i="90"/>
  <c r="F160" i="90" s="1"/>
  <c r="P160" i="90"/>
  <c r="Q160" i="90"/>
  <c r="S160" i="90"/>
  <c r="L161" i="90"/>
  <c r="N161" i="90"/>
  <c r="O161" i="90"/>
  <c r="P161" i="90"/>
  <c r="F161" i="90" s="1"/>
  <c r="Q161" i="90"/>
  <c r="S161" i="90"/>
  <c r="L162" i="90"/>
  <c r="N162" i="90"/>
  <c r="O162" i="90"/>
  <c r="F162" i="90" s="1"/>
  <c r="P162" i="90"/>
  <c r="Q162" i="90"/>
  <c r="S162" i="90"/>
  <c r="L163" i="90"/>
  <c r="N163" i="90"/>
  <c r="O163" i="90"/>
  <c r="F163" i="90" s="1"/>
  <c r="P163" i="90"/>
  <c r="Q163" i="90"/>
  <c r="S163" i="90"/>
  <c r="L164" i="90"/>
  <c r="N164" i="90"/>
  <c r="O164" i="90"/>
  <c r="F164" i="90" s="1"/>
  <c r="P164" i="90"/>
  <c r="Q164" i="90"/>
  <c r="S164" i="90"/>
  <c r="L165" i="90"/>
  <c r="N165" i="90"/>
  <c r="O165" i="90"/>
  <c r="P165" i="90"/>
  <c r="Q165" i="90"/>
  <c r="S165" i="90"/>
  <c r="L166" i="90"/>
  <c r="N166" i="90"/>
  <c r="O166" i="90"/>
  <c r="F166" i="90" s="1"/>
  <c r="P166" i="90"/>
  <c r="Q166" i="90"/>
  <c r="S166" i="90"/>
  <c r="L167" i="90"/>
  <c r="N167" i="90"/>
  <c r="O167" i="90"/>
  <c r="F167" i="90" s="1"/>
  <c r="P167" i="90"/>
  <c r="Q167" i="90"/>
  <c r="S167" i="90"/>
  <c r="L168" i="90"/>
  <c r="N168" i="90"/>
  <c r="O168" i="90"/>
  <c r="P168" i="90"/>
  <c r="Q168" i="90"/>
  <c r="S168" i="90"/>
  <c r="L169" i="90"/>
  <c r="N169" i="90"/>
  <c r="O169" i="90"/>
  <c r="P169" i="90"/>
  <c r="Q169" i="90"/>
  <c r="S169" i="90"/>
  <c r="F170" i="90"/>
  <c r="L170" i="90"/>
  <c r="N170" i="90"/>
  <c r="O170" i="90"/>
  <c r="P170" i="90"/>
  <c r="Q170" i="90"/>
  <c r="S170" i="90"/>
  <c r="L171" i="90"/>
  <c r="N171" i="90"/>
  <c r="O171" i="90"/>
  <c r="F171" i="90" s="1"/>
  <c r="P171" i="90"/>
  <c r="Q171" i="90"/>
  <c r="S171" i="90"/>
  <c r="L172" i="90"/>
  <c r="N172" i="90"/>
  <c r="O172" i="90"/>
  <c r="P172" i="90"/>
  <c r="Q172" i="90"/>
  <c r="S172" i="90"/>
  <c r="L173" i="90"/>
  <c r="N173" i="90"/>
  <c r="O173" i="90"/>
  <c r="P173" i="90"/>
  <c r="Q173" i="90"/>
  <c r="S173" i="90"/>
  <c r="L174" i="90"/>
  <c r="N174" i="90"/>
  <c r="O174" i="90"/>
  <c r="P174" i="90"/>
  <c r="Q174" i="90"/>
  <c r="S174" i="90"/>
  <c r="L175" i="90"/>
  <c r="N175" i="90"/>
  <c r="O175" i="90"/>
  <c r="F175" i="90" s="1"/>
  <c r="P175" i="90"/>
  <c r="Q175" i="90"/>
  <c r="S175" i="90"/>
  <c r="L176" i="90"/>
  <c r="N176" i="90"/>
  <c r="O176" i="90"/>
  <c r="P176" i="90"/>
  <c r="Q176" i="90"/>
  <c r="S176" i="90"/>
  <c r="L177" i="90"/>
  <c r="N177" i="90"/>
  <c r="O177" i="90"/>
  <c r="P177" i="90"/>
  <c r="Q177" i="90"/>
  <c r="S177" i="90"/>
  <c r="L178" i="90"/>
  <c r="N178" i="90"/>
  <c r="O178" i="90"/>
  <c r="F178" i="90" s="1"/>
  <c r="P178" i="90"/>
  <c r="Q178" i="90"/>
  <c r="S178" i="90"/>
  <c r="F179" i="90"/>
  <c r="L179" i="90"/>
  <c r="N179" i="90"/>
  <c r="O179" i="90"/>
  <c r="P179" i="90"/>
  <c r="Q179" i="90"/>
  <c r="S179" i="90"/>
  <c r="F180" i="90"/>
  <c r="L180" i="90"/>
  <c r="N180" i="90"/>
  <c r="O180" i="90"/>
  <c r="P180" i="90"/>
  <c r="Q180" i="90"/>
  <c r="S180" i="90"/>
  <c r="L181" i="90"/>
  <c r="N181" i="90"/>
  <c r="O181" i="90"/>
  <c r="F181" i="90" s="1"/>
  <c r="P181" i="90"/>
  <c r="Q181" i="90"/>
  <c r="S181" i="90"/>
  <c r="L182" i="90"/>
  <c r="N182" i="90"/>
  <c r="O182" i="90"/>
  <c r="F182" i="90" s="1"/>
  <c r="P182" i="90"/>
  <c r="Q182" i="90"/>
  <c r="S182" i="90"/>
  <c r="L183" i="90"/>
  <c r="N183" i="90"/>
  <c r="O183" i="90"/>
  <c r="P183" i="90"/>
  <c r="Q183" i="90"/>
  <c r="S183" i="90"/>
  <c r="L184" i="90"/>
  <c r="N184" i="90"/>
  <c r="O184" i="90"/>
  <c r="P184" i="90"/>
  <c r="Q184" i="90"/>
  <c r="S184" i="90"/>
  <c r="L185" i="90"/>
  <c r="N185" i="90"/>
  <c r="O185" i="90"/>
  <c r="F185" i="90" s="1"/>
  <c r="P185" i="90"/>
  <c r="Q185" i="90"/>
  <c r="S185" i="90"/>
  <c r="L186" i="90"/>
  <c r="N186" i="90"/>
  <c r="O186" i="90"/>
  <c r="F186" i="90" s="1"/>
  <c r="P186" i="90"/>
  <c r="Q186" i="90"/>
  <c r="S186" i="90"/>
  <c r="L187" i="90"/>
  <c r="N187" i="90"/>
  <c r="O187" i="90"/>
  <c r="F187" i="90" s="1"/>
  <c r="P187" i="90"/>
  <c r="Q187" i="90"/>
  <c r="S187" i="90"/>
  <c r="L188" i="90"/>
  <c r="N188" i="90"/>
  <c r="O188" i="90"/>
  <c r="F188" i="90" s="1"/>
  <c r="P188" i="90"/>
  <c r="Q188" i="90"/>
  <c r="S188" i="90"/>
  <c r="L189" i="90"/>
  <c r="N189" i="90"/>
  <c r="O189" i="90"/>
  <c r="P189" i="90"/>
  <c r="Q189" i="90"/>
  <c r="S189" i="90"/>
  <c r="L190" i="90"/>
  <c r="N190" i="90"/>
  <c r="O190" i="90"/>
  <c r="F190" i="90" s="1"/>
  <c r="P190" i="90"/>
  <c r="Q190" i="90"/>
  <c r="S190" i="90"/>
  <c r="L191" i="90"/>
  <c r="N191" i="90"/>
  <c r="O191" i="90"/>
  <c r="P191" i="90"/>
  <c r="Q191" i="90"/>
  <c r="S191" i="90"/>
  <c r="L192" i="90"/>
  <c r="N192" i="90"/>
  <c r="O192" i="90"/>
  <c r="P192" i="90"/>
  <c r="Q192" i="90"/>
  <c r="S192" i="90"/>
  <c r="L193" i="90"/>
  <c r="N193" i="90"/>
  <c r="O193" i="90"/>
  <c r="P193" i="90"/>
  <c r="Q193" i="90"/>
  <c r="S193" i="90"/>
  <c r="F194" i="90"/>
  <c r="L194" i="90"/>
  <c r="N194" i="90"/>
  <c r="O194" i="90"/>
  <c r="P194" i="90"/>
  <c r="Q194" i="90"/>
  <c r="S194" i="90"/>
  <c r="F195" i="90"/>
  <c r="L195" i="90"/>
  <c r="N195" i="90"/>
  <c r="O195" i="90"/>
  <c r="P195" i="90"/>
  <c r="Q195" i="90"/>
  <c r="S195" i="90"/>
  <c r="L196" i="90"/>
  <c r="N196" i="90"/>
  <c r="O196" i="90"/>
  <c r="F196" i="90" s="1"/>
  <c r="P196" i="90"/>
  <c r="Q196" i="90"/>
  <c r="S196" i="90"/>
  <c r="L197" i="90"/>
  <c r="N197" i="90"/>
  <c r="O197" i="90"/>
  <c r="F197" i="90" s="1"/>
  <c r="P197" i="90"/>
  <c r="Q197" i="90"/>
  <c r="S197" i="90"/>
  <c r="L198" i="90"/>
  <c r="N198" i="90"/>
  <c r="O198" i="90"/>
  <c r="P198" i="90"/>
  <c r="Q198" i="90"/>
  <c r="S198" i="90"/>
  <c r="L199" i="90"/>
  <c r="N199" i="90"/>
  <c r="O199" i="90"/>
  <c r="P199" i="90"/>
  <c r="Q199" i="90"/>
  <c r="S199" i="90"/>
  <c r="L200" i="90"/>
  <c r="N200" i="90"/>
  <c r="O200" i="90"/>
  <c r="F200" i="90" s="1"/>
  <c r="P200" i="90"/>
  <c r="Q200" i="90"/>
  <c r="S200" i="90"/>
  <c r="L201" i="90"/>
  <c r="N201" i="90"/>
  <c r="O201" i="90"/>
  <c r="F201" i="90" s="1"/>
  <c r="P201" i="90"/>
  <c r="Q201" i="90"/>
  <c r="S201" i="90"/>
  <c r="L202" i="90"/>
  <c r="N202" i="90"/>
  <c r="O202" i="90"/>
  <c r="F202" i="90" s="1"/>
  <c r="P202" i="90"/>
  <c r="Q202" i="90"/>
  <c r="S202" i="90"/>
  <c r="L203" i="90"/>
  <c r="N203" i="90"/>
  <c r="O203" i="90"/>
  <c r="F203" i="90" s="1"/>
  <c r="P203" i="90"/>
  <c r="Q203" i="90"/>
  <c r="S203" i="90"/>
  <c r="F204" i="90"/>
  <c r="L204" i="90"/>
  <c r="N204" i="90"/>
  <c r="O204" i="90"/>
  <c r="P204" i="90"/>
  <c r="Q204" i="90"/>
  <c r="S204" i="90"/>
  <c r="L205" i="90"/>
  <c r="N205" i="90"/>
  <c r="O205" i="90"/>
  <c r="F205" i="90" s="1"/>
  <c r="P205" i="90"/>
  <c r="Q205" i="90"/>
  <c r="S205" i="90"/>
  <c r="L206" i="90"/>
  <c r="N206" i="90"/>
  <c r="O206" i="90"/>
  <c r="P206" i="90"/>
  <c r="Q206" i="90"/>
  <c r="S206" i="90"/>
  <c r="L207" i="90"/>
  <c r="N207" i="90"/>
  <c r="O207" i="90"/>
  <c r="P207" i="90"/>
  <c r="Q207" i="90"/>
  <c r="S207" i="90"/>
  <c r="L208" i="90"/>
  <c r="N208" i="90"/>
  <c r="O208" i="90"/>
  <c r="P208" i="90"/>
  <c r="Q208" i="90"/>
  <c r="S208" i="90"/>
  <c r="L209" i="90"/>
  <c r="N209" i="90"/>
  <c r="O209" i="90"/>
  <c r="F209" i="90" s="1"/>
  <c r="P209" i="90"/>
  <c r="Q209" i="90"/>
  <c r="S209" i="90"/>
  <c r="L210" i="90"/>
  <c r="N210" i="90"/>
  <c r="O210" i="90"/>
  <c r="F210" i="90" s="1"/>
  <c r="P210" i="90"/>
  <c r="Q210" i="90"/>
  <c r="S210" i="90"/>
  <c r="L211" i="90"/>
  <c r="N211" i="90"/>
  <c r="O211" i="90"/>
  <c r="F211" i="90" s="1"/>
  <c r="P211" i="90"/>
  <c r="Q211" i="90"/>
  <c r="S211" i="90"/>
  <c r="L212" i="90"/>
  <c r="N212" i="90"/>
  <c r="O212" i="90"/>
  <c r="F212" i="90" s="1"/>
  <c r="P212" i="90"/>
  <c r="Q212" i="90"/>
  <c r="S212" i="90"/>
  <c r="L213" i="90"/>
  <c r="N213" i="90"/>
  <c r="O213" i="90"/>
  <c r="P213" i="90"/>
  <c r="Q213" i="90"/>
  <c r="S213" i="90"/>
  <c r="L214" i="90"/>
  <c r="N214" i="90"/>
  <c r="O214" i="90"/>
  <c r="P214" i="90"/>
  <c r="Q214" i="90"/>
  <c r="S214" i="90"/>
  <c r="L215" i="90"/>
  <c r="N215" i="90"/>
  <c r="O215" i="90"/>
  <c r="F215" i="90" s="1"/>
  <c r="P215" i="90"/>
  <c r="Q215" i="90"/>
  <c r="S215" i="90"/>
  <c r="L216" i="90"/>
  <c r="N216" i="90"/>
  <c r="O216" i="90"/>
  <c r="F216" i="90" s="1"/>
  <c r="P216" i="90"/>
  <c r="Q216" i="90"/>
  <c r="S216" i="90"/>
  <c r="L217" i="90"/>
  <c r="N217" i="90"/>
  <c r="O217" i="90"/>
  <c r="P217" i="90"/>
  <c r="Q217" i="90"/>
  <c r="S217" i="90"/>
  <c r="F218" i="90"/>
  <c r="L218" i="90"/>
  <c r="N218" i="90"/>
  <c r="O218" i="90"/>
  <c r="P218" i="90"/>
  <c r="Q218" i="90"/>
  <c r="S218" i="90"/>
  <c r="F219" i="90"/>
  <c r="L219" i="90"/>
  <c r="N219" i="90"/>
  <c r="O219" i="90"/>
  <c r="P219" i="90"/>
  <c r="Q219" i="90"/>
  <c r="S219" i="90"/>
  <c r="F220" i="90"/>
  <c r="L220" i="90"/>
  <c r="N220" i="90"/>
  <c r="O220" i="90"/>
  <c r="P220" i="90"/>
  <c r="Q220" i="90"/>
  <c r="S220" i="90"/>
  <c r="L221" i="90"/>
  <c r="N221" i="90"/>
  <c r="O221" i="90"/>
  <c r="P221" i="90"/>
  <c r="Q221" i="90"/>
  <c r="S221" i="90"/>
  <c r="L222" i="90"/>
  <c r="N222" i="90"/>
  <c r="O222" i="90"/>
  <c r="P222" i="90"/>
  <c r="Q222" i="90"/>
  <c r="S222" i="90"/>
  <c r="L223" i="90"/>
  <c r="N223" i="90"/>
  <c r="O223" i="90"/>
  <c r="P223" i="90"/>
  <c r="Q223" i="90"/>
  <c r="S223" i="90"/>
  <c r="L224" i="90"/>
  <c r="N224" i="90"/>
  <c r="O224" i="90"/>
  <c r="F224" i="90" s="1"/>
  <c r="P224" i="90"/>
  <c r="Q224" i="90"/>
  <c r="S224" i="90"/>
  <c r="L225" i="90"/>
  <c r="N225" i="90"/>
  <c r="O225" i="90"/>
  <c r="P225" i="90"/>
  <c r="Q225" i="90"/>
  <c r="S225" i="90"/>
  <c r="L226" i="90"/>
  <c r="N226" i="90"/>
  <c r="O226" i="90"/>
  <c r="F226" i="90" s="1"/>
  <c r="P226" i="90"/>
  <c r="Q226" i="90"/>
  <c r="S226" i="90"/>
  <c r="L227" i="90"/>
  <c r="N227" i="90"/>
  <c r="O227" i="90"/>
  <c r="F227" i="90" s="1"/>
  <c r="P227" i="90"/>
  <c r="Q227" i="90"/>
  <c r="S227" i="90"/>
  <c r="L228" i="90"/>
  <c r="N228" i="90"/>
  <c r="O228" i="90"/>
  <c r="F228" i="90" s="1"/>
  <c r="P228" i="90"/>
  <c r="Q228" i="90"/>
  <c r="S228" i="90"/>
  <c r="L229" i="90"/>
  <c r="N229" i="90"/>
  <c r="O229" i="90"/>
  <c r="P229" i="90"/>
  <c r="Q229" i="90"/>
  <c r="S229" i="90"/>
  <c r="L230" i="90"/>
  <c r="N230" i="90"/>
  <c r="O230" i="90"/>
  <c r="F230" i="90" s="1"/>
  <c r="P230" i="90"/>
  <c r="Q230" i="90"/>
  <c r="S230" i="90"/>
  <c r="L231" i="90"/>
  <c r="N231" i="90"/>
  <c r="O231" i="90"/>
  <c r="F231" i="90" s="1"/>
  <c r="P231" i="90"/>
  <c r="Q231" i="90"/>
  <c r="S231" i="90"/>
  <c r="L232" i="90"/>
  <c r="N232" i="90"/>
  <c r="O232" i="90"/>
  <c r="P232" i="90"/>
  <c r="Q232" i="90"/>
  <c r="S232" i="90"/>
  <c r="L233" i="90"/>
  <c r="N233" i="90"/>
  <c r="O233" i="90"/>
  <c r="P233" i="90"/>
  <c r="Q233" i="90"/>
  <c r="S233" i="90"/>
  <c r="F234" i="90"/>
  <c r="L234" i="90"/>
  <c r="N234" i="90"/>
  <c r="O234" i="90"/>
  <c r="P234" i="90"/>
  <c r="Q234" i="90"/>
  <c r="S234" i="90"/>
  <c r="L235" i="90"/>
  <c r="N235" i="90"/>
  <c r="O235" i="90"/>
  <c r="F235" i="90" s="1"/>
  <c r="P235" i="90"/>
  <c r="Q235" i="90"/>
  <c r="S235" i="90"/>
  <c r="L236" i="90"/>
  <c r="N236" i="90"/>
  <c r="O236" i="90"/>
  <c r="P236" i="90"/>
  <c r="Q236" i="90"/>
  <c r="S236" i="90"/>
  <c r="L237" i="90"/>
  <c r="N237" i="90"/>
  <c r="O237" i="90"/>
  <c r="P237" i="90"/>
  <c r="Q237" i="90"/>
  <c r="S237" i="90"/>
  <c r="L238" i="90"/>
  <c r="N238" i="90"/>
  <c r="O238" i="90"/>
  <c r="P238" i="90"/>
  <c r="Q238" i="90"/>
  <c r="S238" i="90"/>
  <c r="L239" i="90"/>
  <c r="N239" i="90"/>
  <c r="O239" i="90"/>
  <c r="F239" i="90" s="1"/>
  <c r="P239" i="90"/>
  <c r="Q239" i="90"/>
  <c r="S239" i="90"/>
  <c r="L240" i="90"/>
  <c r="N240" i="90"/>
  <c r="O240" i="90"/>
  <c r="P240" i="90"/>
  <c r="Q240" i="90"/>
  <c r="S240" i="90"/>
  <c r="L241" i="90"/>
  <c r="N241" i="90"/>
  <c r="O241" i="90"/>
  <c r="P241" i="90"/>
  <c r="Q241" i="90"/>
  <c r="S241" i="90"/>
  <c r="L242" i="90"/>
  <c r="N242" i="90"/>
  <c r="O242" i="90"/>
  <c r="F242" i="90" s="1"/>
  <c r="P242" i="90"/>
  <c r="Q242" i="90"/>
  <c r="S242" i="90"/>
  <c r="F243" i="90"/>
  <c r="L243" i="90"/>
  <c r="N243" i="90"/>
  <c r="O243" i="90"/>
  <c r="P243" i="90"/>
  <c r="Q243" i="90"/>
  <c r="S243" i="90"/>
  <c r="F244" i="90"/>
  <c r="L244" i="90"/>
  <c r="N244" i="90"/>
  <c r="O244" i="90"/>
  <c r="P244" i="90"/>
  <c r="Q244" i="90"/>
  <c r="S244" i="90"/>
  <c r="L245" i="90"/>
  <c r="N245" i="90"/>
  <c r="O245" i="90"/>
  <c r="F245" i="90" s="1"/>
  <c r="P245" i="90"/>
  <c r="Q245" i="90"/>
  <c r="S245" i="90"/>
  <c r="L246" i="90"/>
  <c r="N246" i="90"/>
  <c r="O246" i="90"/>
  <c r="F246" i="90" s="1"/>
  <c r="P246" i="90"/>
  <c r="Q246" i="90"/>
  <c r="S246" i="90"/>
  <c r="L247" i="90"/>
  <c r="N247" i="90"/>
  <c r="O247" i="90"/>
  <c r="P247" i="90"/>
  <c r="Q247" i="90"/>
  <c r="S247" i="90"/>
  <c r="L248" i="90"/>
  <c r="N248" i="90"/>
  <c r="O248" i="90"/>
  <c r="P248" i="90"/>
  <c r="Q248" i="90"/>
  <c r="S248" i="90"/>
  <c r="L249" i="90"/>
  <c r="N249" i="90"/>
  <c r="O249" i="90"/>
  <c r="F249" i="90" s="1"/>
  <c r="P249" i="90"/>
  <c r="Q249" i="90"/>
  <c r="S249" i="90"/>
  <c r="L250" i="90"/>
  <c r="N250" i="90"/>
  <c r="O250" i="90"/>
  <c r="F250" i="90" s="1"/>
  <c r="P250" i="90"/>
  <c r="Q250" i="90"/>
  <c r="S250" i="90"/>
  <c r="L251" i="90"/>
  <c r="N251" i="90"/>
  <c r="O251" i="90"/>
  <c r="F251" i="90" s="1"/>
  <c r="P251" i="90"/>
  <c r="Q251" i="90"/>
  <c r="S251" i="90"/>
  <c r="L252" i="90"/>
  <c r="N252" i="90"/>
  <c r="O252" i="90"/>
  <c r="F252" i="90" s="1"/>
  <c r="P252" i="90"/>
  <c r="Q252" i="90"/>
  <c r="S252" i="90"/>
  <c r="L253" i="90"/>
  <c r="N253" i="90"/>
  <c r="O253" i="90"/>
  <c r="P253" i="90"/>
  <c r="Q253" i="90"/>
  <c r="S253" i="90"/>
  <c r="L254" i="90"/>
  <c r="N254" i="90"/>
  <c r="O254" i="90"/>
  <c r="F254" i="90" s="1"/>
  <c r="P254" i="90"/>
  <c r="Q254" i="90"/>
  <c r="S254" i="90"/>
  <c r="L255" i="90"/>
  <c r="N255" i="90"/>
  <c r="O255" i="90"/>
  <c r="P255" i="90"/>
  <c r="Q255" i="90"/>
  <c r="S255" i="90"/>
  <c r="L256" i="90"/>
  <c r="N256" i="90"/>
  <c r="O256" i="90"/>
  <c r="P256" i="90"/>
  <c r="Q256" i="90"/>
  <c r="S256" i="90"/>
  <c r="L257" i="90"/>
  <c r="N257" i="90"/>
  <c r="O257" i="90"/>
  <c r="P257" i="90"/>
  <c r="Q257" i="90"/>
  <c r="S257" i="90"/>
  <c r="F258" i="90"/>
  <c r="L258" i="90"/>
  <c r="N258" i="90"/>
  <c r="O258" i="90"/>
  <c r="P258" i="90"/>
  <c r="Q258" i="90"/>
  <c r="S258" i="90"/>
  <c r="F259" i="90"/>
  <c r="L259" i="90"/>
  <c r="N259" i="90"/>
  <c r="O259" i="90"/>
  <c r="P259" i="90"/>
  <c r="Q259" i="90"/>
  <c r="S259" i="90"/>
  <c r="L260" i="90"/>
  <c r="N260" i="90"/>
  <c r="O260" i="90"/>
  <c r="F260" i="90" s="1"/>
  <c r="P260" i="90"/>
  <c r="Q260" i="90"/>
  <c r="S260" i="90"/>
  <c r="L261" i="90"/>
  <c r="N261" i="90"/>
  <c r="O261" i="90"/>
  <c r="F261" i="90" s="1"/>
  <c r="P261" i="90"/>
  <c r="Q261" i="90"/>
  <c r="S261" i="90"/>
  <c r="L262" i="90"/>
  <c r="N262" i="90"/>
  <c r="O262" i="90"/>
  <c r="P262" i="90"/>
  <c r="Q262" i="90"/>
  <c r="S262" i="90"/>
  <c r="L263" i="90"/>
  <c r="N263" i="90"/>
  <c r="O263" i="90"/>
  <c r="P263" i="90"/>
  <c r="Q263" i="90"/>
  <c r="S263" i="90"/>
  <c r="L264" i="90"/>
  <c r="N264" i="90"/>
  <c r="O264" i="90"/>
  <c r="F264" i="90" s="1"/>
  <c r="P264" i="90"/>
  <c r="Q264" i="90"/>
  <c r="S264" i="90"/>
  <c r="L265" i="90"/>
  <c r="N265" i="90"/>
  <c r="O265" i="90"/>
  <c r="F265" i="90" s="1"/>
  <c r="P265" i="90"/>
  <c r="Q265" i="90"/>
  <c r="S265" i="90"/>
  <c r="L266" i="90"/>
  <c r="N266" i="90"/>
  <c r="O266" i="90"/>
  <c r="F266" i="90" s="1"/>
  <c r="P266" i="90"/>
  <c r="Q266" i="90"/>
  <c r="S266" i="90"/>
  <c r="L267" i="90"/>
  <c r="N267" i="90"/>
  <c r="O267" i="90"/>
  <c r="F267" i="90" s="1"/>
  <c r="P267" i="90"/>
  <c r="Q267" i="90"/>
  <c r="S267" i="90"/>
  <c r="F268" i="90"/>
  <c r="L268" i="90"/>
  <c r="N268" i="90"/>
  <c r="O268" i="90"/>
  <c r="P268" i="90"/>
  <c r="Q268" i="90"/>
  <c r="S268" i="90"/>
  <c r="L269" i="90"/>
  <c r="N269" i="90"/>
  <c r="O269" i="90"/>
  <c r="F269" i="90" s="1"/>
  <c r="P269" i="90"/>
  <c r="Q269" i="90"/>
  <c r="S269" i="90"/>
  <c r="L270" i="90"/>
  <c r="N270" i="90"/>
  <c r="O270" i="90"/>
  <c r="P270" i="90"/>
  <c r="Q270" i="90"/>
  <c r="S270" i="90"/>
  <c r="L271" i="90"/>
  <c r="N271" i="90"/>
  <c r="O271" i="90"/>
  <c r="P271" i="90"/>
  <c r="Q271" i="90"/>
  <c r="S271" i="90"/>
  <c r="L272" i="90"/>
  <c r="N272" i="90"/>
  <c r="O272" i="90"/>
  <c r="P272" i="90"/>
  <c r="Q272" i="90"/>
  <c r="S272" i="90"/>
  <c r="L273" i="90"/>
  <c r="N273" i="90"/>
  <c r="O273" i="90"/>
  <c r="F273" i="90" s="1"/>
  <c r="P273" i="90"/>
  <c r="Q273" i="90"/>
  <c r="S273" i="90"/>
  <c r="L274" i="90"/>
  <c r="N274" i="90"/>
  <c r="O274" i="90"/>
  <c r="F274" i="90" s="1"/>
  <c r="P274" i="90"/>
  <c r="Q274" i="90"/>
  <c r="S274" i="90"/>
  <c r="L275" i="90"/>
  <c r="N275" i="90"/>
  <c r="O275" i="90"/>
  <c r="P275" i="90"/>
  <c r="Q275" i="90"/>
  <c r="S275" i="90"/>
  <c r="L276" i="90"/>
  <c r="N276" i="90"/>
  <c r="O276" i="90"/>
  <c r="F276" i="90" s="1"/>
  <c r="P276" i="90"/>
  <c r="Q276" i="90"/>
  <c r="S276" i="90"/>
  <c r="L277" i="90"/>
  <c r="N277" i="90"/>
  <c r="O277" i="90"/>
  <c r="P277" i="90"/>
  <c r="Q277" i="90"/>
  <c r="S277" i="90"/>
  <c r="L278" i="90"/>
  <c r="N278" i="90"/>
  <c r="O278" i="90"/>
  <c r="P278" i="90"/>
  <c r="Q278" i="90"/>
  <c r="S278" i="90"/>
  <c r="L279" i="90"/>
  <c r="N279" i="90"/>
  <c r="O279" i="90"/>
  <c r="F279" i="90" s="1"/>
  <c r="P279" i="90"/>
  <c r="Q279" i="90"/>
  <c r="S279" i="90"/>
  <c r="L280" i="90"/>
  <c r="N280" i="90"/>
  <c r="O280" i="90"/>
  <c r="F280" i="90" s="1"/>
  <c r="P280" i="90"/>
  <c r="Q280" i="90"/>
  <c r="S280" i="90"/>
  <c r="L281" i="90"/>
  <c r="N281" i="90"/>
  <c r="O281" i="90"/>
  <c r="P281" i="90"/>
  <c r="Q281" i="90"/>
  <c r="S281" i="90"/>
  <c r="F282" i="90"/>
  <c r="L282" i="90"/>
  <c r="N282" i="90"/>
  <c r="O282" i="90"/>
  <c r="P282" i="90"/>
  <c r="Q282" i="90"/>
  <c r="S282" i="90"/>
  <c r="F283" i="90"/>
  <c r="L283" i="90"/>
  <c r="N283" i="90"/>
  <c r="O283" i="90"/>
  <c r="P283" i="90"/>
  <c r="Q283" i="90"/>
  <c r="S283" i="90"/>
  <c r="F284" i="90"/>
  <c r="L284" i="90"/>
  <c r="N284" i="90"/>
  <c r="O284" i="90"/>
  <c r="P284" i="90"/>
  <c r="Q284" i="90"/>
  <c r="S284" i="90"/>
  <c r="L285" i="90"/>
  <c r="N285" i="90"/>
  <c r="O285" i="90"/>
  <c r="P285" i="90"/>
  <c r="Q285" i="90"/>
  <c r="S285" i="90"/>
  <c r="L286" i="90"/>
  <c r="N286" i="90"/>
  <c r="O286" i="90"/>
  <c r="P286" i="90"/>
  <c r="Q286" i="90"/>
  <c r="S286" i="90"/>
  <c r="L287" i="90"/>
  <c r="N287" i="90"/>
  <c r="O287" i="90"/>
  <c r="P287" i="90"/>
  <c r="Q287" i="90"/>
  <c r="S287" i="90"/>
  <c r="L288" i="90"/>
  <c r="N288" i="90"/>
  <c r="O288" i="90"/>
  <c r="F288" i="90" s="1"/>
  <c r="P288" i="90"/>
  <c r="Q288" i="90"/>
  <c r="S288" i="90"/>
  <c r="L289" i="90"/>
  <c r="N289" i="90"/>
  <c r="O289" i="90"/>
  <c r="P289" i="90"/>
  <c r="Q289" i="90"/>
  <c r="S289" i="90"/>
  <c r="L290" i="90"/>
  <c r="N290" i="90"/>
  <c r="O290" i="90"/>
  <c r="F290" i="90" s="1"/>
  <c r="P290" i="90"/>
  <c r="Q290" i="90"/>
  <c r="S290" i="90"/>
  <c r="L291" i="90"/>
  <c r="N291" i="90"/>
  <c r="O291" i="90"/>
  <c r="F291" i="90" s="1"/>
  <c r="P291" i="90"/>
  <c r="Q291" i="90"/>
  <c r="S291" i="90"/>
  <c r="L292" i="90"/>
  <c r="N292" i="90"/>
  <c r="O292" i="90"/>
  <c r="F292" i="90" s="1"/>
  <c r="P292" i="90"/>
  <c r="Q292" i="90"/>
  <c r="S292" i="90"/>
  <c r="L293" i="90"/>
  <c r="N293" i="90"/>
  <c r="O293" i="90"/>
  <c r="P293" i="90"/>
  <c r="Q293" i="90"/>
  <c r="S293" i="90"/>
  <c r="L294" i="90"/>
  <c r="N294" i="90"/>
  <c r="O294" i="90"/>
  <c r="F294" i="90" s="1"/>
  <c r="P294" i="90"/>
  <c r="Q294" i="90"/>
  <c r="S294" i="90"/>
  <c r="L295" i="90"/>
  <c r="N295" i="90"/>
  <c r="O295" i="90"/>
  <c r="F295" i="90" s="1"/>
  <c r="P295" i="90"/>
  <c r="Q295" i="90"/>
  <c r="S295" i="90"/>
  <c r="L296" i="90"/>
  <c r="N296" i="90"/>
  <c r="O296" i="90"/>
  <c r="P296" i="90"/>
  <c r="Q296" i="90"/>
  <c r="S296" i="90"/>
  <c r="L297" i="90"/>
  <c r="N297" i="90"/>
  <c r="O297" i="90"/>
  <c r="P297" i="90"/>
  <c r="Q297" i="90"/>
  <c r="S297" i="90"/>
  <c r="F298" i="90"/>
  <c r="L298" i="90"/>
  <c r="N298" i="90"/>
  <c r="O298" i="90"/>
  <c r="P298" i="90"/>
  <c r="Q298" i="90"/>
  <c r="S298" i="90"/>
  <c r="L299" i="90"/>
  <c r="N299" i="90"/>
  <c r="O299" i="90"/>
  <c r="F299" i="90" s="1"/>
  <c r="P299" i="90"/>
  <c r="Q299" i="90"/>
  <c r="S299" i="90"/>
  <c r="L300" i="90"/>
  <c r="N300" i="90"/>
  <c r="O300" i="90"/>
  <c r="P300" i="90"/>
  <c r="Q300" i="90"/>
  <c r="S300" i="90"/>
  <c r="L301" i="90"/>
  <c r="N301" i="90"/>
  <c r="O301" i="90"/>
  <c r="P301" i="90"/>
  <c r="Q301" i="90"/>
  <c r="S301" i="90"/>
  <c r="L302" i="90"/>
  <c r="N302" i="90"/>
  <c r="O302" i="90"/>
  <c r="P302" i="90"/>
  <c r="Q302" i="90"/>
  <c r="S302" i="90"/>
  <c r="L303" i="90"/>
  <c r="N303" i="90"/>
  <c r="O303" i="90"/>
  <c r="F303" i="90" s="1"/>
  <c r="P303" i="90"/>
  <c r="Q303" i="90"/>
  <c r="S303" i="90"/>
  <c r="L304" i="90"/>
  <c r="N304" i="90"/>
  <c r="O304" i="90"/>
  <c r="P304" i="90"/>
  <c r="Q304" i="90"/>
  <c r="S304" i="90"/>
  <c r="L305" i="90"/>
  <c r="N305" i="90"/>
  <c r="O305" i="90"/>
  <c r="P305" i="90"/>
  <c r="Q305" i="90"/>
  <c r="S305" i="90"/>
  <c r="L306" i="90"/>
  <c r="N306" i="90"/>
  <c r="O306" i="90"/>
  <c r="F306" i="90" s="1"/>
  <c r="P306" i="90"/>
  <c r="Q306" i="90"/>
  <c r="S306" i="90"/>
  <c r="F307" i="90"/>
  <c r="L307" i="90"/>
  <c r="N307" i="90"/>
  <c r="O307" i="90"/>
  <c r="P307" i="90"/>
  <c r="Q307" i="90"/>
  <c r="S307" i="90"/>
  <c r="F308" i="90"/>
  <c r="L308" i="90"/>
  <c r="N308" i="90"/>
  <c r="O308" i="90"/>
  <c r="P308" i="90"/>
  <c r="Q308" i="90"/>
  <c r="S308" i="90"/>
  <c r="L309" i="90"/>
  <c r="N309" i="90"/>
  <c r="O309" i="90"/>
  <c r="F309" i="90" s="1"/>
  <c r="P309" i="90"/>
  <c r="Q309" i="90"/>
  <c r="S309" i="90"/>
  <c r="L310" i="90"/>
  <c r="N310" i="90"/>
  <c r="O310" i="90"/>
  <c r="F310" i="90" s="1"/>
  <c r="P310" i="90"/>
  <c r="Q310" i="90"/>
  <c r="S310" i="90"/>
  <c r="L311" i="90"/>
  <c r="N311" i="90"/>
  <c r="O311" i="90"/>
  <c r="P311" i="90"/>
  <c r="Q311" i="90"/>
  <c r="S311" i="90"/>
  <c r="L312" i="90"/>
  <c r="N312" i="90"/>
  <c r="O312" i="90"/>
  <c r="P312" i="90"/>
  <c r="Q312" i="90"/>
  <c r="S312" i="90"/>
  <c r="L313" i="90"/>
  <c r="N313" i="90"/>
  <c r="O313" i="90"/>
  <c r="F313" i="90" s="1"/>
  <c r="P313" i="90"/>
  <c r="Q313" i="90"/>
  <c r="S313" i="90"/>
  <c r="L314" i="90"/>
  <c r="N314" i="90"/>
  <c r="O314" i="90"/>
  <c r="F314" i="90" s="1"/>
  <c r="P314" i="90"/>
  <c r="Q314" i="90"/>
  <c r="S314" i="90"/>
  <c r="L315" i="90"/>
  <c r="N315" i="90"/>
  <c r="O315" i="90"/>
  <c r="F315" i="90" s="1"/>
  <c r="P315" i="90"/>
  <c r="Q315" i="90"/>
  <c r="S315" i="90"/>
  <c r="L316" i="90"/>
  <c r="N316" i="90"/>
  <c r="O316" i="90"/>
  <c r="F316" i="90" s="1"/>
  <c r="P316" i="90"/>
  <c r="Q316" i="90"/>
  <c r="S316" i="90"/>
  <c r="L317" i="90"/>
  <c r="N317" i="90"/>
  <c r="O317" i="90"/>
  <c r="P317" i="90"/>
  <c r="Q317" i="90"/>
  <c r="S317" i="90"/>
  <c r="L318" i="90"/>
  <c r="N318" i="90"/>
  <c r="O318" i="90"/>
  <c r="F318" i="90" s="1"/>
  <c r="P318" i="90"/>
  <c r="Q318" i="90"/>
  <c r="S318" i="90"/>
  <c r="L319" i="90"/>
  <c r="N319" i="90"/>
  <c r="O319" i="90"/>
  <c r="P319" i="90"/>
  <c r="Q319" i="90"/>
  <c r="S319" i="90"/>
  <c r="L320" i="90"/>
  <c r="N320" i="90"/>
  <c r="O320" i="90"/>
  <c r="P320" i="90"/>
  <c r="Q320" i="90"/>
  <c r="S320" i="90"/>
  <c r="L321" i="90"/>
  <c r="N321" i="90"/>
  <c r="O321" i="90"/>
  <c r="P321" i="90"/>
  <c r="Q321" i="90"/>
  <c r="S321" i="90"/>
  <c r="F322" i="90"/>
  <c r="L322" i="90"/>
  <c r="N322" i="90"/>
  <c r="O322" i="90"/>
  <c r="P322" i="90"/>
  <c r="Q322" i="90"/>
  <c r="S322" i="90"/>
  <c r="F323" i="90"/>
  <c r="L323" i="90"/>
  <c r="N323" i="90"/>
  <c r="O323" i="90"/>
  <c r="P323" i="90"/>
  <c r="Q323" i="90"/>
  <c r="S323" i="90"/>
  <c r="L324" i="90"/>
  <c r="N324" i="90"/>
  <c r="O324" i="90"/>
  <c r="F324" i="90" s="1"/>
  <c r="P324" i="90"/>
  <c r="Q324" i="90"/>
  <c r="S324" i="90"/>
  <c r="L325" i="90"/>
  <c r="N325" i="90"/>
  <c r="O325" i="90"/>
  <c r="F325" i="90" s="1"/>
  <c r="P325" i="90"/>
  <c r="Q325" i="90"/>
  <c r="S325" i="90"/>
  <c r="L326" i="90"/>
  <c r="N326" i="90"/>
  <c r="O326" i="90"/>
  <c r="P326" i="90"/>
  <c r="Q326" i="90"/>
  <c r="S326" i="90"/>
  <c r="L327" i="90"/>
  <c r="N327" i="90"/>
  <c r="O327" i="90"/>
  <c r="P327" i="90"/>
  <c r="Q327" i="90"/>
  <c r="S327" i="90"/>
  <c r="L328" i="90"/>
  <c r="N328" i="90"/>
  <c r="O328" i="90"/>
  <c r="F328" i="90" s="1"/>
  <c r="P328" i="90"/>
  <c r="Q328" i="90"/>
  <c r="S328" i="90"/>
  <c r="L329" i="90"/>
  <c r="N329" i="90"/>
  <c r="O329" i="90"/>
  <c r="F329" i="90" s="1"/>
  <c r="P329" i="90"/>
  <c r="Q329" i="90"/>
  <c r="S329" i="90"/>
  <c r="L330" i="90"/>
  <c r="N330" i="90"/>
  <c r="O330" i="90"/>
  <c r="P330" i="90"/>
  <c r="Q330" i="90"/>
  <c r="S330" i="90"/>
  <c r="L331" i="90"/>
  <c r="N331" i="90"/>
  <c r="O331" i="90"/>
  <c r="F331" i="90" s="1"/>
  <c r="P331" i="90"/>
  <c r="Q331" i="90"/>
  <c r="S331" i="90"/>
  <c r="F332" i="90"/>
  <c r="L332" i="90"/>
  <c r="N332" i="90"/>
  <c r="O332" i="90"/>
  <c r="P332" i="90"/>
  <c r="Q332" i="90"/>
  <c r="S332" i="90"/>
  <c r="L333" i="90"/>
  <c r="N333" i="90"/>
  <c r="O333" i="90"/>
  <c r="F333" i="90" s="1"/>
  <c r="P333" i="90"/>
  <c r="Q333" i="90"/>
  <c r="S333" i="90"/>
  <c r="L334" i="90"/>
  <c r="N334" i="90"/>
  <c r="O334" i="90"/>
  <c r="P334" i="90"/>
  <c r="Q334" i="90"/>
  <c r="S334" i="90"/>
  <c r="L335" i="90"/>
  <c r="N335" i="90"/>
  <c r="O335" i="90"/>
  <c r="P335" i="90"/>
  <c r="Q335" i="90"/>
  <c r="S335" i="90"/>
  <c r="L336" i="90"/>
  <c r="N336" i="90"/>
  <c r="O336" i="90"/>
  <c r="P336" i="90"/>
  <c r="Q336" i="90"/>
  <c r="S336" i="90"/>
  <c r="L337" i="90"/>
  <c r="N337" i="90"/>
  <c r="O337" i="90"/>
  <c r="F337" i="90" s="1"/>
  <c r="P337" i="90"/>
  <c r="Q337" i="90"/>
  <c r="S337" i="90"/>
  <c r="L338" i="90"/>
  <c r="N338" i="90"/>
  <c r="O338" i="90"/>
  <c r="F338" i="90" s="1"/>
  <c r="P338" i="90"/>
  <c r="Q338" i="90"/>
  <c r="S338" i="90"/>
  <c r="L339" i="90"/>
  <c r="N339" i="90"/>
  <c r="O339" i="90"/>
  <c r="P339" i="90"/>
  <c r="Q339" i="90"/>
  <c r="S339" i="90"/>
  <c r="L340" i="90"/>
  <c r="N340" i="90"/>
  <c r="O340" i="90"/>
  <c r="F340" i="90" s="1"/>
  <c r="P340" i="90"/>
  <c r="Q340" i="90"/>
  <c r="S340" i="90"/>
  <c r="L341" i="90"/>
  <c r="N341" i="90"/>
  <c r="O341" i="90"/>
  <c r="P341" i="90"/>
  <c r="Q341" i="90"/>
  <c r="S341" i="90"/>
  <c r="L342" i="90"/>
  <c r="N342" i="90"/>
  <c r="O342" i="90"/>
  <c r="P342" i="90"/>
  <c r="Q342" i="90"/>
  <c r="S342" i="90"/>
  <c r="L343" i="90"/>
  <c r="N343" i="90"/>
  <c r="O343" i="90"/>
  <c r="F343" i="90" s="1"/>
  <c r="P343" i="90"/>
  <c r="Q343" i="90"/>
  <c r="S343" i="90"/>
  <c r="L344" i="90"/>
  <c r="N344" i="90"/>
  <c r="O344" i="90"/>
  <c r="F344" i="90" s="1"/>
  <c r="P344" i="90"/>
  <c r="Q344" i="90"/>
  <c r="S344" i="90"/>
  <c r="L345" i="90"/>
  <c r="N345" i="90"/>
  <c r="O345" i="90"/>
  <c r="P345" i="90"/>
  <c r="Q345" i="90"/>
  <c r="S345" i="90"/>
  <c r="F346" i="90"/>
  <c r="L346" i="90"/>
  <c r="N346" i="90"/>
  <c r="O346" i="90"/>
  <c r="P346" i="90"/>
  <c r="Q346" i="90"/>
  <c r="S346" i="90"/>
  <c r="F347" i="90"/>
  <c r="L347" i="90"/>
  <c r="N347" i="90"/>
  <c r="O347" i="90"/>
  <c r="P347" i="90"/>
  <c r="Q347" i="90"/>
  <c r="S347" i="90"/>
  <c r="F348" i="90"/>
  <c r="L348" i="90"/>
  <c r="N348" i="90"/>
  <c r="O348" i="90"/>
  <c r="P348" i="90"/>
  <c r="Q348" i="90"/>
  <c r="S348" i="90"/>
  <c r="L349" i="90"/>
  <c r="N349" i="90"/>
  <c r="O349" i="90"/>
  <c r="F349" i="90" s="1"/>
  <c r="P349" i="90"/>
  <c r="Q349" i="90"/>
  <c r="S349" i="90"/>
  <c r="L350" i="90"/>
  <c r="N350" i="90"/>
  <c r="O350" i="90"/>
  <c r="F350" i="90" s="1"/>
  <c r="P350" i="90"/>
  <c r="Q350" i="90"/>
  <c r="S350" i="90"/>
  <c r="L351" i="90"/>
  <c r="N351" i="90"/>
  <c r="O351" i="90"/>
  <c r="P351" i="90"/>
  <c r="Q351" i="90"/>
  <c r="S351" i="90"/>
  <c r="L352" i="90"/>
  <c r="N352" i="90"/>
  <c r="O352" i="90"/>
  <c r="F352" i="90" s="1"/>
  <c r="P352" i="90"/>
  <c r="Q352" i="90"/>
  <c r="S352" i="90"/>
  <c r="L353" i="90"/>
  <c r="N353" i="90"/>
  <c r="O353" i="90"/>
  <c r="F353" i="90" s="1"/>
  <c r="P353" i="90"/>
  <c r="Q353" i="90"/>
  <c r="S353" i="90"/>
  <c r="L354" i="90"/>
  <c r="N354" i="90"/>
  <c r="O354" i="90"/>
  <c r="F354" i="90" s="1"/>
  <c r="P354" i="90"/>
  <c r="Q354" i="90"/>
  <c r="S354" i="90"/>
  <c r="L355" i="90"/>
  <c r="N355" i="90"/>
  <c r="O355" i="90"/>
  <c r="F355" i="90" s="1"/>
  <c r="P355" i="90"/>
  <c r="Q355" i="90"/>
  <c r="S355" i="90"/>
  <c r="L356" i="90"/>
  <c r="N356" i="90"/>
  <c r="O356" i="90"/>
  <c r="P356" i="90"/>
  <c r="Q356" i="90"/>
  <c r="S356" i="90"/>
  <c r="L357" i="90"/>
  <c r="N357" i="90"/>
  <c r="O357" i="90"/>
  <c r="P357" i="90"/>
  <c r="Q357" i="90"/>
  <c r="S357" i="90"/>
  <c r="L358" i="90"/>
  <c r="N358" i="90"/>
  <c r="O358" i="90"/>
  <c r="F358" i="90" s="1"/>
  <c r="P358" i="90"/>
  <c r="Q358" i="90"/>
  <c r="S358" i="90"/>
  <c r="L359" i="90"/>
  <c r="N359" i="90"/>
  <c r="O359" i="90"/>
  <c r="F359" i="90" s="1"/>
  <c r="P359" i="90"/>
  <c r="Q359" i="90"/>
  <c r="S359" i="90"/>
  <c r="L360" i="90"/>
  <c r="N360" i="90"/>
  <c r="O360" i="90"/>
  <c r="P360" i="90"/>
  <c r="Q360" i="90"/>
  <c r="S360" i="90"/>
  <c r="L361" i="90"/>
  <c r="N361" i="90"/>
  <c r="O361" i="90"/>
  <c r="P361" i="90"/>
  <c r="Q361" i="90"/>
  <c r="S361" i="90"/>
  <c r="F362" i="90"/>
  <c r="L362" i="90"/>
  <c r="N362" i="90"/>
  <c r="O362" i="90"/>
  <c r="P362" i="90"/>
  <c r="Q362" i="90"/>
  <c r="S362" i="90"/>
  <c r="L363" i="90"/>
  <c r="N363" i="90"/>
  <c r="O363" i="90"/>
  <c r="F363" i="90" s="1"/>
  <c r="P363" i="90"/>
  <c r="Q363" i="90"/>
  <c r="S363" i="90"/>
  <c r="L364" i="90"/>
  <c r="N364" i="90"/>
  <c r="O364" i="90"/>
  <c r="F364" i="90" s="1"/>
  <c r="P364" i="90"/>
  <c r="Q364" i="90"/>
  <c r="S364" i="90"/>
  <c r="L365" i="90"/>
  <c r="N365" i="90"/>
  <c r="O365" i="90"/>
  <c r="P365" i="90"/>
  <c r="Q365" i="90"/>
  <c r="S365" i="90"/>
  <c r="L366" i="90"/>
  <c r="N366" i="90"/>
  <c r="O366" i="90"/>
  <c r="P366" i="90"/>
  <c r="Q366" i="90"/>
  <c r="S366" i="90"/>
  <c r="L367" i="90"/>
  <c r="N367" i="90"/>
  <c r="O367" i="90"/>
  <c r="F367" i="90" s="1"/>
  <c r="P367" i="90"/>
  <c r="Q367" i="90"/>
  <c r="S367" i="90"/>
  <c r="L368" i="90"/>
  <c r="N368" i="90"/>
  <c r="O368" i="90"/>
  <c r="F368" i="90" s="1"/>
  <c r="P368" i="90"/>
  <c r="Q368" i="90"/>
  <c r="S368" i="90"/>
  <c r="L369" i="90"/>
  <c r="N369" i="90"/>
  <c r="O369" i="90"/>
  <c r="P369" i="90"/>
  <c r="Q369" i="90"/>
  <c r="S369" i="90"/>
  <c r="L370" i="90"/>
  <c r="N370" i="90"/>
  <c r="O370" i="90"/>
  <c r="F370" i="90" s="1"/>
  <c r="P370" i="90"/>
  <c r="Q370" i="90"/>
  <c r="S370" i="90"/>
  <c r="F371" i="90"/>
  <c r="L371" i="90"/>
  <c r="N371" i="90"/>
  <c r="O371" i="90"/>
  <c r="P371" i="90"/>
  <c r="Q371" i="90"/>
  <c r="S371" i="90"/>
  <c r="F372" i="90"/>
  <c r="L372" i="90"/>
  <c r="N372" i="90"/>
  <c r="O372" i="90"/>
  <c r="P372" i="90"/>
  <c r="Q372" i="90"/>
  <c r="S372" i="90"/>
  <c r="L373" i="90"/>
  <c r="N373" i="90"/>
  <c r="O373" i="90"/>
  <c r="F373" i="90" s="1"/>
  <c r="P373" i="90"/>
  <c r="Q373" i="90"/>
  <c r="S373" i="90"/>
  <c r="L374" i="90"/>
  <c r="N374" i="90"/>
  <c r="O374" i="90"/>
  <c r="P374" i="90"/>
  <c r="Q374" i="90"/>
  <c r="S374" i="90"/>
  <c r="L375" i="90"/>
  <c r="N375" i="90"/>
  <c r="O375" i="90"/>
  <c r="P375" i="90"/>
  <c r="Q375" i="90"/>
  <c r="S375" i="90"/>
  <c r="L376" i="90"/>
  <c r="N376" i="90"/>
  <c r="O376" i="90"/>
  <c r="P376" i="90"/>
  <c r="Q376" i="90"/>
  <c r="S376" i="90"/>
  <c r="L377" i="90"/>
  <c r="N377" i="90"/>
  <c r="O377" i="90"/>
  <c r="F377" i="90" s="1"/>
  <c r="P377" i="90"/>
  <c r="Q377" i="90"/>
  <c r="S377" i="90"/>
  <c r="L378" i="90"/>
  <c r="N378" i="90"/>
  <c r="O378" i="90"/>
  <c r="P378" i="90"/>
  <c r="Q378" i="90"/>
  <c r="S378" i="90"/>
  <c r="L379" i="90"/>
  <c r="N379" i="90"/>
  <c r="O379" i="90"/>
  <c r="F379" i="90" s="1"/>
  <c r="P379" i="90"/>
  <c r="Q379" i="90"/>
  <c r="S379" i="90"/>
  <c r="L380" i="90"/>
  <c r="N380" i="90"/>
  <c r="O380" i="90"/>
  <c r="F380" i="90" s="1"/>
  <c r="P380" i="90"/>
  <c r="Q380" i="90"/>
  <c r="S380" i="90"/>
  <c r="L381" i="90"/>
  <c r="N381" i="90"/>
  <c r="O381" i="90"/>
  <c r="P381" i="90"/>
  <c r="Q381" i="90"/>
  <c r="S381" i="90"/>
  <c r="L382" i="90"/>
  <c r="N382" i="90"/>
  <c r="O382" i="90"/>
  <c r="F382" i="90" s="1"/>
  <c r="P382" i="90"/>
  <c r="Q382" i="90"/>
  <c r="S382" i="90"/>
  <c r="L383" i="90"/>
  <c r="N383" i="90"/>
  <c r="O383" i="90"/>
  <c r="F383" i="90" s="1"/>
  <c r="P383" i="90"/>
  <c r="Q383" i="90"/>
  <c r="S383" i="90"/>
  <c r="L384" i="90"/>
  <c r="N384" i="90"/>
  <c r="O384" i="90"/>
  <c r="F384" i="90" s="1"/>
  <c r="P384" i="90"/>
  <c r="Q384" i="90"/>
  <c r="S384" i="90"/>
  <c r="L385" i="90"/>
  <c r="N385" i="90"/>
  <c r="O385" i="90"/>
  <c r="P385" i="90"/>
  <c r="Q385" i="90"/>
  <c r="S385" i="90"/>
  <c r="F386" i="90"/>
  <c r="L386" i="90"/>
  <c r="N386" i="90"/>
  <c r="O386" i="90"/>
  <c r="P386" i="90"/>
  <c r="Q386" i="90"/>
  <c r="S386" i="90"/>
  <c r="F387" i="90"/>
  <c r="L387" i="90"/>
  <c r="N387" i="90"/>
  <c r="O387" i="90"/>
  <c r="P387" i="90"/>
  <c r="Q387" i="90"/>
  <c r="S387" i="90"/>
  <c r="F388" i="90"/>
  <c r="L388" i="90"/>
  <c r="N388" i="90"/>
  <c r="O388" i="90"/>
  <c r="P388" i="90"/>
  <c r="Q388" i="90"/>
  <c r="S388" i="90"/>
  <c r="L389" i="90"/>
  <c r="N389" i="90"/>
  <c r="O389" i="90"/>
  <c r="F389" i="90" s="1"/>
  <c r="P389" i="90"/>
  <c r="Q389" i="90"/>
  <c r="S389" i="90"/>
  <c r="L390" i="90"/>
  <c r="N390" i="90"/>
  <c r="O390" i="90"/>
  <c r="P390" i="90"/>
  <c r="Q390" i="90"/>
  <c r="S390" i="90"/>
  <c r="L391" i="90"/>
  <c r="N391" i="90"/>
  <c r="O391" i="90"/>
  <c r="P391" i="90"/>
  <c r="Q391" i="90"/>
  <c r="S391" i="90"/>
  <c r="L392" i="90"/>
  <c r="N392" i="90"/>
  <c r="O392" i="90"/>
  <c r="F392" i="90" s="1"/>
  <c r="P392" i="90"/>
  <c r="Q392" i="90"/>
  <c r="S392" i="90"/>
  <c r="L393" i="90"/>
  <c r="N393" i="90"/>
  <c r="O393" i="90"/>
  <c r="F393" i="90" s="1"/>
  <c r="P393" i="90"/>
  <c r="Q393" i="90"/>
  <c r="S393" i="90"/>
  <c r="L394" i="90"/>
  <c r="N394" i="90"/>
  <c r="O394" i="90"/>
  <c r="P394" i="90"/>
  <c r="Q394" i="90"/>
  <c r="S394" i="90"/>
  <c r="L395" i="90"/>
  <c r="N395" i="90"/>
  <c r="O395" i="90"/>
  <c r="P395" i="90"/>
  <c r="Q395" i="90"/>
  <c r="S395" i="90"/>
  <c r="F396" i="90"/>
  <c r="L396" i="90"/>
  <c r="N396" i="90"/>
  <c r="O396" i="90"/>
  <c r="P396" i="90"/>
  <c r="Q396" i="90"/>
  <c r="S396" i="90"/>
  <c r="L397" i="90"/>
  <c r="N397" i="90"/>
  <c r="O397" i="90"/>
  <c r="F397" i="90" s="1"/>
  <c r="P397" i="90"/>
  <c r="Q397" i="90"/>
  <c r="S397" i="90"/>
  <c r="L398" i="90"/>
  <c r="N398" i="90"/>
  <c r="O398" i="90"/>
  <c r="F398" i="90" s="1"/>
  <c r="P398" i="90"/>
  <c r="Q398" i="90"/>
  <c r="S398" i="90"/>
  <c r="L399" i="90"/>
  <c r="N399" i="90"/>
  <c r="O399" i="90"/>
  <c r="F399" i="90" s="1"/>
  <c r="P399" i="90"/>
  <c r="Q399" i="90"/>
  <c r="S399" i="90"/>
  <c r="L400" i="90"/>
  <c r="N400" i="90"/>
  <c r="O400" i="90"/>
  <c r="P400" i="90"/>
  <c r="Q400" i="90"/>
  <c r="S400" i="90"/>
  <c r="L401" i="90"/>
  <c r="N401" i="90"/>
  <c r="O401" i="90"/>
  <c r="F401" i="90" s="1"/>
  <c r="P401" i="90"/>
  <c r="Q401" i="90"/>
  <c r="S401" i="90"/>
  <c r="F402" i="90"/>
  <c r="L402" i="90"/>
  <c r="N402" i="90"/>
  <c r="O402" i="90"/>
  <c r="P402" i="90"/>
  <c r="Q402" i="90"/>
  <c r="S402" i="90"/>
  <c r="L403" i="90"/>
  <c r="N403" i="90"/>
  <c r="O403" i="90"/>
  <c r="P403" i="90"/>
  <c r="Q403" i="90"/>
  <c r="S403" i="90"/>
  <c r="L404" i="90"/>
  <c r="N404" i="90"/>
  <c r="O404" i="90"/>
  <c r="P404" i="90"/>
  <c r="Q404" i="90"/>
  <c r="S404" i="90"/>
  <c r="L405" i="90"/>
  <c r="N405" i="90"/>
  <c r="O405" i="90"/>
  <c r="P405" i="90"/>
  <c r="Q405" i="90"/>
  <c r="S405" i="90"/>
  <c r="L406" i="90"/>
  <c r="N406" i="90"/>
  <c r="O406" i="90"/>
  <c r="P406" i="90"/>
  <c r="Q406" i="90"/>
  <c r="S406" i="90"/>
  <c r="L407" i="90"/>
  <c r="N407" i="90"/>
  <c r="O407" i="90"/>
  <c r="F407" i="90" s="1"/>
  <c r="P407" i="90"/>
  <c r="Q407" i="90"/>
  <c r="S407" i="90"/>
  <c r="L408" i="90"/>
  <c r="N408" i="90"/>
  <c r="O408" i="90"/>
  <c r="P408" i="90"/>
  <c r="Q408" i="90"/>
  <c r="S408" i="90"/>
  <c r="L409" i="90"/>
  <c r="N409" i="90"/>
  <c r="O409" i="90"/>
  <c r="P409" i="90"/>
  <c r="F409" i="90" s="1"/>
  <c r="Q409" i="90"/>
  <c r="S409" i="90"/>
  <c r="F410" i="90"/>
  <c r="L410" i="90"/>
  <c r="N410" i="90"/>
  <c r="O410" i="90"/>
  <c r="P410" i="90"/>
  <c r="Q410" i="90"/>
  <c r="S410" i="90"/>
  <c r="F411" i="90"/>
  <c r="L411" i="90"/>
  <c r="N411" i="90"/>
  <c r="O411" i="90"/>
  <c r="P411" i="90"/>
  <c r="Q411" i="90"/>
  <c r="S411" i="90"/>
  <c r="F412" i="90"/>
  <c r="L412" i="90"/>
  <c r="N412" i="90"/>
  <c r="O412" i="90"/>
  <c r="P412" i="90"/>
  <c r="Q412" i="90"/>
  <c r="S412" i="90"/>
  <c r="L413" i="90"/>
  <c r="N413" i="90"/>
  <c r="O413" i="90"/>
  <c r="F413" i="90" s="1"/>
  <c r="P413" i="90"/>
  <c r="Q413" i="90"/>
  <c r="S413" i="90"/>
  <c r="L414" i="90"/>
  <c r="N414" i="90"/>
  <c r="O414" i="90"/>
  <c r="P414" i="90"/>
  <c r="Q414" i="90"/>
  <c r="S414" i="90"/>
  <c r="L415" i="90"/>
  <c r="N415" i="90"/>
  <c r="O415" i="90"/>
  <c r="P415" i="90"/>
  <c r="Q415" i="90"/>
  <c r="S415" i="90"/>
  <c r="L416" i="90"/>
  <c r="N416" i="90"/>
  <c r="O416" i="90"/>
  <c r="F416" i="90" s="1"/>
  <c r="P416" i="90"/>
  <c r="Q416" i="90"/>
  <c r="S416" i="90"/>
  <c r="L417" i="90"/>
  <c r="N417" i="90"/>
  <c r="O417" i="90"/>
  <c r="F417" i="90" s="1"/>
  <c r="P417" i="90"/>
  <c r="Q417" i="90"/>
  <c r="S417" i="90"/>
  <c r="L418" i="90"/>
  <c r="N418" i="90"/>
  <c r="O418" i="90"/>
  <c r="P418" i="90"/>
  <c r="Q418" i="90"/>
  <c r="S418" i="90"/>
  <c r="L419" i="90"/>
  <c r="N419" i="90"/>
  <c r="O419" i="90"/>
  <c r="F419" i="90" s="1"/>
  <c r="P419" i="90"/>
  <c r="Q419" i="90"/>
  <c r="S419" i="90"/>
  <c r="L420" i="90"/>
  <c r="N420" i="90"/>
  <c r="O420" i="90"/>
  <c r="F420" i="90" s="1"/>
  <c r="P420" i="90"/>
  <c r="Q420" i="90"/>
  <c r="S420" i="90"/>
  <c r="L421" i="90"/>
  <c r="N421" i="90"/>
  <c r="O421" i="90"/>
  <c r="P421" i="90"/>
  <c r="Q421" i="90"/>
  <c r="S421" i="90"/>
  <c r="L422" i="90"/>
  <c r="N422" i="90"/>
  <c r="O422" i="90"/>
  <c r="F422" i="90" s="1"/>
  <c r="P422" i="90"/>
  <c r="Q422" i="90"/>
  <c r="S422" i="90"/>
  <c r="L423" i="90"/>
  <c r="N423" i="90"/>
  <c r="O423" i="90"/>
  <c r="F423" i="90" s="1"/>
  <c r="P423" i="90"/>
  <c r="Q423" i="90"/>
  <c r="S423" i="90"/>
  <c r="L424" i="90"/>
  <c r="N424" i="90"/>
  <c r="O424" i="90"/>
  <c r="P424" i="90"/>
  <c r="Q424" i="90"/>
  <c r="S424" i="90"/>
  <c r="L425" i="90"/>
  <c r="N425" i="90"/>
  <c r="O425" i="90"/>
  <c r="P425" i="90"/>
  <c r="Q425" i="90"/>
  <c r="S425" i="90"/>
  <c r="F426" i="90"/>
  <c r="L426" i="90"/>
  <c r="N426" i="90"/>
  <c r="O426" i="90"/>
  <c r="P426" i="90"/>
  <c r="Q426" i="90"/>
  <c r="S426" i="90"/>
  <c r="L427" i="90"/>
  <c r="N427" i="90"/>
  <c r="O427" i="90"/>
  <c r="F427" i="90" s="1"/>
  <c r="P427" i="90"/>
  <c r="Q427" i="90"/>
  <c r="S427" i="90"/>
  <c r="L428" i="90"/>
  <c r="N428" i="90"/>
  <c r="O428" i="90"/>
  <c r="F428" i="90" s="1"/>
  <c r="P428" i="90"/>
  <c r="Q428" i="90"/>
  <c r="S428" i="90"/>
  <c r="L429" i="90"/>
  <c r="N429" i="90"/>
  <c r="O429" i="90"/>
  <c r="F429" i="90" s="1"/>
  <c r="P429" i="90"/>
  <c r="Q429" i="90"/>
  <c r="S429" i="90"/>
  <c r="L430" i="90"/>
  <c r="N430" i="90"/>
  <c r="O430" i="90"/>
  <c r="P430" i="90"/>
  <c r="Q430" i="90"/>
  <c r="S430" i="90"/>
  <c r="L431" i="90"/>
  <c r="N431" i="90"/>
  <c r="O431" i="90"/>
  <c r="F431" i="90" s="1"/>
  <c r="P431" i="90"/>
  <c r="Q431" i="90"/>
  <c r="S431" i="90"/>
  <c r="L432" i="90"/>
  <c r="N432" i="90"/>
  <c r="O432" i="90"/>
  <c r="F432" i="90" s="1"/>
  <c r="P432" i="90"/>
  <c r="Q432" i="90"/>
  <c r="S432" i="90"/>
  <c r="L433" i="90"/>
  <c r="N433" i="90"/>
  <c r="O433" i="90"/>
  <c r="F433" i="90" s="1"/>
  <c r="P433" i="90"/>
  <c r="Q433" i="90"/>
  <c r="S433" i="90"/>
  <c r="L434" i="90"/>
  <c r="N434" i="90"/>
  <c r="O434" i="90"/>
  <c r="F434" i="90" s="1"/>
  <c r="P434" i="90"/>
  <c r="Q434" i="90"/>
  <c r="S434" i="90"/>
  <c r="F435" i="90"/>
  <c r="L435" i="90"/>
  <c r="N435" i="90"/>
  <c r="O435" i="90"/>
  <c r="P435" i="90"/>
  <c r="Q435" i="90"/>
  <c r="S435" i="90"/>
  <c r="F436" i="90"/>
  <c r="L436" i="90"/>
  <c r="N436" i="90"/>
  <c r="O436" i="90"/>
  <c r="P436" i="90"/>
  <c r="Q436" i="90"/>
  <c r="S436" i="90"/>
  <c r="L437" i="90"/>
  <c r="N437" i="90"/>
  <c r="O437" i="90"/>
  <c r="F437" i="90" s="1"/>
  <c r="P437" i="90"/>
  <c r="Q437" i="90"/>
  <c r="S437" i="90"/>
  <c r="L438" i="90"/>
  <c r="N438" i="90"/>
  <c r="O438" i="90"/>
  <c r="F438" i="90" s="1"/>
  <c r="P438" i="90"/>
  <c r="Q438" i="90"/>
  <c r="S438" i="90"/>
  <c r="L439" i="90"/>
  <c r="N439" i="90"/>
  <c r="O439" i="90"/>
  <c r="P439" i="90"/>
  <c r="Q439" i="90"/>
  <c r="S439" i="90"/>
  <c r="L440" i="90"/>
  <c r="N440" i="90"/>
  <c r="O440" i="90"/>
  <c r="P440" i="90"/>
  <c r="Q440" i="90"/>
  <c r="S440" i="90"/>
  <c r="L441" i="90"/>
  <c r="N441" i="90"/>
  <c r="O441" i="90"/>
  <c r="F441" i="90" s="1"/>
  <c r="P441" i="90"/>
  <c r="Q441" i="90"/>
  <c r="S441" i="90"/>
  <c r="L442" i="90"/>
  <c r="N442" i="90"/>
  <c r="O442" i="90"/>
  <c r="F442" i="90" s="1"/>
  <c r="P442" i="90"/>
  <c r="Q442" i="90"/>
  <c r="S442" i="90"/>
  <c r="L443" i="90"/>
  <c r="N443" i="90"/>
  <c r="O443" i="90"/>
  <c r="F443" i="90" s="1"/>
  <c r="P443" i="90"/>
  <c r="Q443" i="90"/>
  <c r="S443" i="90"/>
  <c r="L444" i="90"/>
  <c r="N444" i="90"/>
  <c r="O444" i="90"/>
  <c r="P444" i="90"/>
  <c r="Q444" i="90"/>
  <c r="S444" i="90"/>
  <c r="L445" i="90"/>
  <c r="N445" i="90"/>
  <c r="O445" i="90"/>
  <c r="P445" i="90"/>
  <c r="Q445" i="90"/>
  <c r="S445" i="90"/>
  <c r="L446" i="90"/>
  <c r="N446" i="90"/>
  <c r="O446" i="90"/>
  <c r="F446" i="90" s="1"/>
  <c r="P446" i="90"/>
  <c r="Q446" i="90"/>
  <c r="S446" i="90"/>
  <c r="L447" i="90"/>
  <c r="N447" i="90"/>
  <c r="O447" i="90"/>
  <c r="F447" i="90" s="1"/>
  <c r="P447" i="90"/>
  <c r="Q447" i="90"/>
  <c r="S447" i="90"/>
  <c r="L448" i="90"/>
  <c r="N448" i="90"/>
  <c r="O448" i="90"/>
  <c r="P448" i="90"/>
  <c r="Q448" i="90"/>
  <c r="S448" i="90"/>
  <c r="L449" i="90"/>
  <c r="N449" i="90"/>
  <c r="O449" i="90"/>
  <c r="P449" i="90"/>
  <c r="F449" i="90" s="1"/>
  <c r="Q449" i="90"/>
  <c r="S449" i="90"/>
  <c r="F450" i="90"/>
  <c r="L450" i="90"/>
  <c r="N450" i="90"/>
  <c r="O450" i="90"/>
  <c r="P450" i="90"/>
  <c r="Q450" i="90"/>
  <c r="S450" i="90"/>
  <c r="F451" i="90"/>
  <c r="L451" i="90"/>
  <c r="N451" i="90"/>
  <c r="O451" i="90"/>
  <c r="P451" i="90"/>
  <c r="Q451" i="90"/>
  <c r="S451" i="90"/>
  <c r="L452" i="90"/>
  <c r="N452" i="90"/>
  <c r="O452" i="90"/>
  <c r="F452" i="90" s="1"/>
  <c r="P452" i="90"/>
  <c r="Q452" i="90"/>
  <c r="S452" i="90"/>
  <c r="L453" i="90"/>
  <c r="N453" i="90"/>
  <c r="O453" i="90"/>
  <c r="P453" i="90"/>
  <c r="Q453" i="90"/>
  <c r="S453" i="90"/>
  <c r="L454" i="90"/>
  <c r="N454" i="90"/>
  <c r="O454" i="90"/>
  <c r="P454" i="90"/>
  <c r="Q454" i="90"/>
  <c r="S454" i="90"/>
  <c r="L455" i="90"/>
  <c r="N455" i="90"/>
  <c r="O455" i="90"/>
  <c r="P455" i="90"/>
  <c r="Q455" i="90"/>
  <c r="S455" i="90"/>
  <c r="L456" i="90"/>
  <c r="N456" i="90"/>
  <c r="O456" i="90"/>
  <c r="F456" i="90" s="1"/>
  <c r="P456" i="90"/>
  <c r="Q456" i="90"/>
  <c r="S456" i="90"/>
  <c r="L457" i="90"/>
  <c r="N457" i="90"/>
  <c r="O457" i="90"/>
  <c r="P457" i="90"/>
  <c r="Q457" i="90"/>
  <c r="S457" i="90"/>
  <c r="L458" i="90"/>
  <c r="N458" i="90"/>
  <c r="O458" i="90"/>
  <c r="P458" i="90"/>
  <c r="Q458" i="90"/>
  <c r="S458" i="90"/>
  <c r="L459" i="90"/>
  <c r="N459" i="90"/>
  <c r="O459" i="90"/>
  <c r="P459" i="90"/>
  <c r="Q459" i="90"/>
  <c r="S459" i="90"/>
  <c r="F460" i="90"/>
  <c r="L460" i="90"/>
  <c r="N460" i="90"/>
  <c r="O460" i="90"/>
  <c r="P460" i="90"/>
  <c r="Q460" i="90"/>
  <c r="S460" i="90"/>
  <c r="L461" i="90"/>
  <c r="N461" i="90"/>
  <c r="O461" i="90"/>
  <c r="F461" i="90" s="1"/>
  <c r="P461" i="90"/>
  <c r="Q461" i="90"/>
  <c r="S461" i="90"/>
  <c r="L462" i="90"/>
  <c r="N462" i="90"/>
  <c r="O462" i="90"/>
  <c r="P462" i="90"/>
  <c r="Q462" i="90"/>
  <c r="S462" i="90"/>
  <c r="L463" i="90"/>
  <c r="N463" i="90"/>
  <c r="O463" i="90"/>
  <c r="F463" i="90" s="1"/>
  <c r="P463" i="90"/>
  <c r="Q463" i="90"/>
  <c r="S463" i="90"/>
  <c r="L464" i="90"/>
  <c r="N464" i="90"/>
  <c r="O464" i="90"/>
  <c r="P464" i="90"/>
  <c r="Q464" i="90"/>
  <c r="S464" i="90"/>
  <c r="L465" i="90"/>
  <c r="N465" i="90"/>
  <c r="O465" i="90"/>
  <c r="F465" i="90" s="1"/>
  <c r="P465" i="90"/>
  <c r="Q465" i="90"/>
  <c r="S465" i="90"/>
  <c r="L466" i="90"/>
  <c r="N466" i="90"/>
  <c r="O466" i="90"/>
  <c r="F466" i="90" s="1"/>
  <c r="P466" i="90"/>
  <c r="Q466" i="90"/>
  <c r="S466" i="90"/>
  <c r="L467" i="90"/>
  <c r="N467" i="90"/>
  <c r="O467" i="90"/>
  <c r="P467" i="90"/>
  <c r="Q467" i="90"/>
  <c r="S467" i="90"/>
  <c r="L468" i="90"/>
  <c r="N468" i="90"/>
  <c r="O468" i="90"/>
  <c r="P468" i="90"/>
  <c r="Q468" i="90"/>
  <c r="S468" i="90"/>
  <c r="L469" i="90"/>
  <c r="N469" i="90"/>
  <c r="O469" i="90"/>
  <c r="P469" i="90"/>
  <c r="Q469" i="90"/>
  <c r="S469" i="90"/>
  <c r="L470" i="90"/>
  <c r="N470" i="90"/>
  <c r="O470" i="90"/>
  <c r="P470" i="90"/>
  <c r="Q470" i="90"/>
  <c r="S470" i="90"/>
  <c r="L471" i="90"/>
  <c r="N471" i="90"/>
  <c r="O471" i="90"/>
  <c r="F471" i="90" s="1"/>
  <c r="P471" i="90"/>
  <c r="Q471" i="90"/>
  <c r="S471" i="90"/>
  <c r="L472" i="90"/>
  <c r="N472" i="90"/>
  <c r="O472" i="90"/>
  <c r="P472" i="90"/>
  <c r="Q472" i="90"/>
  <c r="S472" i="90"/>
  <c r="L473" i="90"/>
  <c r="N473" i="90"/>
  <c r="O473" i="90"/>
  <c r="P473" i="90"/>
  <c r="F473" i="90" s="1"/>
  <c r="Q473" i="90"/>
  <c r="S473" i="90"/>
  <c r="F474" i="90"/>
  <c r="L474" i="90"/>
  <c r="N474" i="90"/>
  <c r="O474" i="90"/>
  <c r="P474" i="90"/>
  <c r="Q474" i="90"/>
  <c r="S474" i="90"/>
  <c r="F475" i="90"/>
  <c r="L475" i="90"/>
  <c r="N475" i="90"/>
  <c r="O475" i="90"/>
  <c r="P475" i="90"/>
  <c r="Q475" i="90"/>
  <c r="S475" i="90"/>
  <c r="F476" i="90"/>
  <c r="L476" i="90"/>
  <c r="N476" i="90"/>
  <c r="O476" i="90"/>
  <c r="P476" i="90"/>
  <c r="Q476" i="90"/>
  <c r="S476" i="90"/>
  <c r="L477" i="90"/>
  <c r="N477" i="90"/>
  <c r="O477" i="90"/>
  <c r="F477" i="90" s="1"/>
  <c r="P477" i="90"/>
  <c r="Q477" i="90"/>
  <c r="S477" i="90"/>
  <c r="L478" i="90"/>
  <c r="N478" i="90"/>
  <c r="O478" i="90"/>
  <c r="F478" i="90" s="1"/>
  <c r="P478" i="90"/>
  <c r="Q478" i="90"/>
  <c r="S478" i="90"/>
  <c r="L479" i="90"/>
  <c r="N479" i="90"/>
  <c r="O479" i="90"/>
  <c r="P479" i="90"/>
  <c r="Q479" i="90"/>
  <c r="S479" i="90"/>
  <c r="L480" i="90"/>
  <c r="N480" i="90"/>
  <c r="O480" i="90"/>
  <c r="F480" i="90" s="1"/>
  <c r="P480" i="90"/>
  <c r="Q480" i="90"/>
  <c r="S480" i="90"/>
  <c r="L481" i="90"/>
  <c r="N481" i="90"/>
  <c r="O481" i="90"/>
  <c r="F481" i="90" s="1"/>
  <c r="P481" i="90"/>
  <c r="Q481" i="90"/>
  <c r="S481" i="90"/>
  <c r="L482" i="90"/>
  <c r="N482" i="90"/>
  <c r="O482" i="90"/>
  <c r="F482" i="90" s="1"/>
  <c r="P482" i="90"/>
  <c r="Q482" i="90"/>
  <c r="S482" i="90"/>
  <c r="L483" i="90"/>
  <c r="N483" i="90"/>
  <c r="O483" i="90"/>
  <c r="F483" i="90" s="1"/>
  <c r="P483" i="90"/>
  <c r="Q483" i="90"/>
  <c r="S483" i="90"/>
  <c r="L484" i="90"/>
  <c r="N484" i="90"/>
  <c r="O484" i="90"/>
  <c r="P484" i="90"/>
  <c r="Q484" i="90"/>
  <c r="S484" i="90"/>
  <c r="L485" i="90"/>
  <c r="N485" i="90"/>
  <c r="O485" i="90"/>
  <c r="P485" i="90"/>
  <c r="Q485" i="90"/>
  <c r="S485" i="90"/>
  <c r="L486" i="90"/>
  <c r="N486" i="90"/>
  <c r="O486" i="90"/>
  <c r="F486" i="90" s="1"/>
  <c r="P486" i="90"/>
  <c r="Q486" i="90"/>
  <c r="S486" i="90"/>
  <c r="L487" i="90"/>
  <c r="N487" i="90"/>
  <c r="O487" i="90"/>
  <c r="F487" i="90" s="1"/>
  <c r="P487" i="90"/>
  <c r="Q487" i="90"/>
  <c r="S487" i="90"/>
  <c r="L488" i="90"/>
  <c r="N488" i="90"/>
  <c r="O488" i="90"/>
  <c r="P488" i="90"/>
  <c r="Q488" i="90"/>
  <c r="S488" i="90"/>
  <c r="L489" i="90"/>
  <c r="N489" i="90"/>
  <c r="O489" i="90"/>
  <c r="P489" i="90"/>
  <c r="Q489" i="90"/>
  <c r="S489" i="90"/>
  <c r="F490" i="90"/>
  <c r="L490" i="90"/>
  <c r="N490" i="90"/>
  <c r="O490" i="90"/>
  <c r="P490" i="90"/>
  <c r="Q490" i="90"/>
  <c r="S490" i="90"/>
  <c r="L491" i="90"/>
  <c r="N491" i="90"/>
  <c r="O491" i="90"/>
  <c r="F491" i="90" s="1"/>
  <c r="P491" i="90"/>
  <c r="Q491" i="90"/>
  <c r="S491" i="90"/>
  <c r="L492" i="90"/>
  <c r="N492" i="90"/>
  <c r="O492" i="90"/>
  <c r="F492" i="90" s="1"/>
  <c r="P492" i="90"/>
  <c r="Q492" i="90"/>
  <c r="S492" i="90"/>
  <c r="L493" i="90"/>
  <c r="N493" i="90"/>
  <c r="O493" i="90"/>
  <c r="P493" i="90"/>
  <c r="Q493" i="90"/>
  <c r="S493" i="90"/>
  <c r="L494" i="90"/>
  <c r="N494" i="90"/>
  <c r="O494" i="90"/>
  <c r="P494" i="90"/>
  <c r="Q494" i="90"/>
  <c r="S494" i="90"/>
  <c r="L495" i="90"/>
  <c r="N495" i="90"/>
  <c r="O495" i="90"/>
  <c r="F495" i="90" s="1"/>
  <c r="P495" i="90"/>
  <c r="Q495" i="90"/>
  <c r="S495" i="90"/>
  <c r="L496" i="90"/>
  <c r="N496" i="90"/>
  <c r="O496" i="90"/>
  <c r="F496" i="90" s="1"/>
  <c r="P496" i="90"/>
  <c r="Q496" i="90"/>
  <c r="S496" i="90"/>
  <c r="L497" i="90"/>
  <c r="N497" i="90"/>
  <c r="O497" i="90"/>
  <c r="P497" i="90"/>
  <c r="Q497" i="90"/>
  <c r="S497" i="90"/>
  <c r="L498" i="90"/>
  <c r="N498" i="90"/>
  <c r="O498" i="90"/>
  <c r="F498" i="90" s="1"/>
  <c r="P498" i="90"/>
  <c r="Q498" i="90"/>
  <c r="S498" i="90"/>
  <c r="F499" i="90"/>
  <c r="L499" i="90"/>
  <c r="N499" i="90"/>
  <c r="O499" i="90"/>
  <c r="P499" i="90"/>
  <c r="Q499" i="90"/>
  <c r="S499" i="90"/>
  <c r="F500" i="90"/>
  <c r="L500" i="90"/>
  <c r="N500" i="90"/>
  <c r="O500" i="90"/>
  <c r="P500" i="90"/>
  <c r="Q500" i="90"/>
  <c r="S500" i="90"/>
  <c r="L501" i="90"/>
  <c r="N501" i="90"/>
  <c r="O501" i="90"/>
  <c r="F501" i="90" s="1"/>
  <c r="P501" i="90"/>
  <c r="Q501" i="90"/>
  <c r="S501" i="90"/>
  <c r="L502" i="90"/>
  <c r="N502" i="90"/>
  <c r="O502" i="90"/>
  <c r="P502" i="90"/>
  <c r="Q502" i="90"/>
  <c r="S502" i="90"/>
  <c r="L503" i="90"/>
  <c r="N503" i="90"/>
  <c r="O503" i="90"/>
  <c r="P503" i="90"/>
  <c r="Q503" i="90"/>
  <c r="S503" i="90"/>
  <c r="L504" i="90"/>
  <c r="N504" i="90"/>
  <c r="O504" i="90"/>
  <c r="P504" i="90"/>
  <c r="Q504" i="90"/>
  <c r="S504" i="90"/>
  <c r="L505" i="90"/>
  <c r="N505" i="90"/>
  <c r="O505" i="90"/>
  <c r="F505" i="90" s="1"/>
  <c r="P505" i="90"/>
  <c r="Q505" i="90"/>
  <c r="S505" i="90"/>
  <c r="L506" i="90"/>
  <c r="N506" i="90"/>
  <c r="O506" i="90"/>
  <c r="P506" i="90"/>
  <c r="Q506" i="90"/>
  <c r="S506" i="90"/>
  <c r="L507" i="90"/>
  <c r="N507" i="90"/>
  <c r="O507" i="90"/>
  <c r="F507" i="90" s="1"/>
  <c r="P507" i="90"/>
  <c r="Q507" i="90"/>
  <c r="S507" i="90"/>
  <c r="L508" i="90"/>
  <c r="N508" i="90"/>
  <c r="O508" i="90"/>
  <c r="F508" i="90" s="1"/>
  <c r="P508" i="90"/>
  <c r="Q508" i="90"/>
  <c r="S508" i="90"/>
  <c r="L509" i="90"/>
  <c r="N509" i="90"/>
  <c r="O509" i="90"/>
  <c r="P509" i="90"/>
  <c r="Q509" i="90"/>
  <c r="S509" i="90"/>
  <c r="L510" i="90"/>
  <c r="N510" i="90"/>
  <c r="O510" i="90"/>
  <c r="F510" i="90" s="1"/>
  <c r="P510" i="90"/>
  <c r="Q510" i="90"/>
  <c r="S510" i="90"/>
  <c r="L511" i="90"/>
  <c r="N511" i="90"/>
  <c r="O511" i="90"/>
  <c r="F511" i="90" s="1"/>
  <c r="P511" i="90"/>
  <c r="Q511" i="90"/>
  <c r="S511" i="90"/>
  <c r="L512" i="90"/>
  <c r="N512" i="90"/>
  <c r="O512" i="90"/>
  <c r="F512" i="90" s="1"/>
  <c r="P512" i="90"/>
  <c r="Q512" i="90"/>
  <c r="S512" i="90"/>
  <c r="L513" i="90"/>
  <c r="N513" i="90"/>
  <c r="O513" i="90"/>
  <c r="P513" i="90"/>
  <c r="Q513" i="90"/>
  <c r="S513" i="90"/>
  <c r="F514" i="90"/>
  <c r="L514" i="90"/>
  <c r="N514" i="90"/>
  <c r="O514" i="90"/>
  <c r="P514" i="90"/>
  <c r="Q514" i="90"/>
  <c r="S514" i="90"/>
  <c r="F515" i="90"/>
  <c r="L515" i="90"/>
  <c r="N515" i="90"/>
  <c r="O515" i="90"/>
  <c r="P515" i="90"/>
  <c r="Q515" i="90"/>
  <c r="S515" i="90"/>
  <c r="F516" i="90"/>
  <c r="L516" i="90"/>
  <c r="N516" i="90"/>
  <c r="O516" i="90"/>
  <c r="P516" i="90"/>
  <c r="Q516" i="90"/>
  <c r="S516" i="90"/>
  <c r="L517" i="90"/>
  <c r="N517" i="90"/>
  <c r="O517" i="90"/>
  <c r="P517" i="90"/>
  <c r="Q517" i="90"/>
  <c r="S517" i="90"/>
  <c r="L518" i="90"/>
  <c r="N518" i="90"/>
  <c r="O518" i="90"/>
  <c r="P518" i="90"/>
  <c r="Q518" i="90"/>
  <c r="S518" i="90"/>
  <c r="L519" i="90"/>
  <c r="N519" i="90"/>
  <c r="O519" i="90"/>
  <c r="P519" i="90"/>
  <c r="Q519" i="90"/>
  <c r="S519" i="90"/>
  <c r="L520" i="90"/>
  <c r="N520" i="90"/>
  <c r="O520" i="90"/>
  <c r="F520" i="90" s="1"/>
  <c r="P520" i="90"/>
  <c r="Q520" i="90"/>
  <c r="S520" i="90"/>
  <c r="L521" i="90"/>
  <c r="N521" i="90"/>
  <c r="O521" i="90"/>
  <c r="P521" i="90"/>
  <c r="Q521" i="90"/>
  <c r="S521" i="90"/>
  <c r="L522" i="90"/>
  <c r="N522" i="90"/>
  <c r="O522" i="90"/>
  <c r="P522" i="90"/>
  <c r="Q522" i="90"/>
  <c r="S522" i="90"/>
  <c r="L523" i="90"/>
  <c r="N523" i="90"/>
  <c r="O523" i="90"/>
  <c r="P523" i="90"/>
  <c r="Q523" i="90"/>
  <c r="S523" i="90"/>
  <c r="F524" i="90"/>
  <c r="L524" i="90"/>
  <c r="N524" i="90"/>
  <c r="O524" i="90"/>
  <c r="P524" i="90"/>
  <c r="Q524" i="90"/>
  <c r="S524" i="90"/>
  <c r="L525" i="90"/>
  <c r="N525" i="90"/>
  <c r="O525" i="90"/>
  <c r="F525" i="90" s="1"/>
  <c r="P525" i="90"/>
  <c r="Q525" i="90"/>
  <c r="S525" i="90"/>
  <c r="L526" i="90"/>
  <c r="N526" i="90"/>
  <c r="O526" i="90"/>
  <c r="F526" i="90" s="1"/>
  <c r="P526" i="90"/>
  <c r="Q526" i="90"/>
  <c r="S526" i="90"/>
  <c r="L527" i="90"/>
  <c r="N527" i="90"/>
  <c r="O527" i="90"/>
  <c r="F527" i="90" s="1"/>
  <c r="P527" i="90"/>
  <c r="Q527" i="90"/>
  <c r="S527" i="90"/>
  <c r="L528" i="90"/>
  <c r="N528" i="90"/>
  <c r="O528" i="90"/>
  <c r="P528" i="90"/>
  <c r="Q528" i="90"/>
  <c r="S528" i="90"/>
  <c r="L529" i="90"/>
  <c r="N529" i="90"/>
  <c r="O529" i="90"/>
  <c r="P529" i="90"/>
  <c r="Q529" i="90"/>
  <c r="S529" i="90"/>
  <c r="F530" i="90"/>
  <c r="L530" i="90"/>
  <c r="N530" i="90"/>
  <c r="O530" i="90"/>
  <c r="P530" i="90"/>
  <c r="Q530" i="90"/>
  <c r="S530" i="90"/>
  <c r="L531" i="90"/>
  <c r="N531" i="90"/>
  <c r="O531" i="90"/>
  <c r="P531" i="90"/>
  <c r="Q531" i="90"/>
  <c r="S531" i="90"/>
  <c r="L532" i="90"/>
  <c r="N532" i="90"/>
  <c r="O532" i="90"/>
  <c r="P532" i="90"/>
  <c r="Q532" i="90"/>
  <c r="S532" i="90"/>
  <c r="L533" i="90"/>
  <c r="N533" i="90"/>
  <c r="O533" i="90"/>
  <c r="P533" i="90"/>
  <c r="Q533" i="90"/>
  <c r="S533" i="90"/>
  <c r="L534" i="90"/>
  <c r="N534" i="90"/>
  <c r="O534" i="90"/>
  <c r="P534" i="90"/>
  <c r="Q534" i="90"/>
  <c r="S534" i="90"/>
  <c r="L144" i="89"/>
  <c r="N144" i="89"/>
  <c r="O144" i="89"/>
  <c r="F144" i="89" s="1"/>
  <c r="P144" i="89"/>
  <c r="Q144" i="89"/>
  <c r="S144" i="89"/>
  <c r="L145" i="89"/>
  <c r="N145" i="89"/>
  <c r="O145" i="89"/>
  <c r="P145" i="89"/>
  <c r="Q145" i="89"/>
  <c r="S145" i="89"/>
  <c r="L146" i="89"/>
  <c r="N146" i="89"/>
  <c r="O146" i="89"/>
  <c r="P146" i="89"/>
  <c r="Q146" i="89"/>
  <c r="S146" i="89"/>
  <c r="L147" i="89"/>
  <c r="N147" i="89"/>
  <c r="O147" i="89"/>
  <c r="P147" i="89"/>
  <c r="Q147" i="89"/>
  <c r="S147" i="89"/>
  <c r="L148" i="89"/>
  <c r="N148" i="89"/>
  <c r="O148" i="89"/>
  <c r="P148" i="89"/>
  <c r="Q148" i="89"/>
  <c r="S148" i="89"/>
  <c r="L149" i="89"/>
  <c r="N149" i="89"/>
  <c r="O149" i="89"/>
  <c r="P149" i="89"/>
  <c r="Q149" i="89"/>
  <c r="S149" i="89"/>
  <c r="L150" i="89"/>
  <c r="N150" i="89"/>
  <c r="O150" i="89"/>
  <c r="P150" i="89"/>
  <c r="Q150" i="89"/>
  <c r="S150" i="89"/>
  <c r="L151" i="89"/>
  <c r="N151" i="89"/>
  <c r="O151" i="89"/>
  <c r="P151" i="89"/>
  <c r="Q151" i="89"/>
  <c r="S151" i="89"/>
  <c r="L152" i="89"/>
  <c r="N152" i="89"/>
  <c r="O152" i="89"/>
  <c r="P152" i="89"/>
  <c r="Q152" i="89"/>
  <c r="S152" i="89"/>
  <c r="F153" i="89"/>
  <c r="L153" i="89"/>
  <c r="N153" i="89"/>
  <c r="O153" i="89"/>
  <c r="P153" i="89"/>
  <c r="Q153" i="89"/>
  <c r="S153" i="89"/>
  <c r="F154" i="89"/>
  <c r="L154" i="89"/>
  <c r="N154" i="89"/>
  <c r="O154" i="89"/>
  <c r="P154" i="89"/>
  <c r="Q154" i="89"/>
  <c r="S154" i="89"/>
  <c r="L155" i="89"/>
  <c r="N155" i="89"/>
  <c r="O155" i="89"/>
  <c r="F155" i="89" s="1"/>
  <c r="P155" i="89"/>
  <c r="Q155" i="89"/>
  <c r="S155" i="89"/>
  <c r="L156" i="89"/>
  <c r="N156" i="89"/>
  <c r="O156" i="89"/>
  <c r="F156" i="89" s="1"/>
  <c r="P156" i="89"/>
  <c r="Q156" i="89"/>
  <c r="S156" i="89"/>
  <c r="L157" i="89"/>
  <c r="N157" i="89"/>
  <c r="O157" i="89"/>
  <c r="P157" i="89"/>
  <c r="F157" i="89" s="1"/>
  <c r="Q157" i="89"/>
  <c r="S157" i="89"/>
  <c r="L158" i="89"/>
  <c r="N158" i="89"/>
  <c r="O158" i="89"/>
  <c r="P158" i="89"/>
  <c r="Q158" i="89"/>
  <c r="S158" i="89"/>
  <c r="L159" i="89"/>
  <c r="N159" i="89"/>
  <c r="O159" i="89"/>
  <c r="F159" i="89" s="1"/>
  <c r="P159" i="89"/>
  <c r="Q159" i="89"/>
  <c r="S159" i="89"/>
  <c r="L160" i="89"/>
  <c r="N160" i="89"/>
  <c r="O160" i="89"/>
  <c r="F160" i="89" s="1"/>
  <c r="P160" i="89"/>
  <c r="Q160" i="89"/>
  <c r="S160" i="89"/>
  <c r="L161" i="89"/>
  <c r="N161" i="89"/>
  <c r="O161" i="89"/>
  <c r="F161" i="89" s="1"/>
  <c r="P161" i="89"/>
  <c r="Q161" i="89"/>
  <c r="S161" i="89"/>
  <c r="L162" i="89"/>
  <c r="N162" i="89"/>
  <c r="O162" i="89"/>
  <c r="F162" i="89" s="1"/>
  <c r="P162" i="89"/>
  <c r="Q162" i="89"/>
  <c r="S162" i="89"/>
  <c r="F163" i="89"/>
  <c r="L163" i="89"/>
  <c r="N163" i="89"/>
  <c r="O163" i="89"/>
  <c r="P163" i="89"/>
  <c r="Q163" i="89"/>
  <c r="S163" i="89"/>
  <c r="L164" i="89"/>
  <c r="N164" i="89"/>
  <c r="O164" i="89"/>
  <c r="P164" i="89"/>
  <c r="Q164" i="89"/>
  <c r="S164" i="89"/>
  <c r="L165" i="89"/>
  <c r="N165" i="89"/>
  <c r="O165" i="89"/>
  <c r="P165" i="89"/>
  <c r="F165" i="89" s="1"/>
  <c r="Q165" i="89"/>
  <c r="S165" i="89"/>
  <c r="L166" i="89"/>
  <c r="N166" i="89"/>
  <c r="O166" i="89"/>
  <c r="P166" i="89"/>
  <c r="Q166" i="89"/>
  <c r="S166" i="89"/>
  <c r="L167" i="89"/>
  <c r="N167" i="89"/>
  <c r="O167" i="89"/>
  <c r="P167" i="89"/>
  <c r="Q167" i="89"/>
  <c r="S167" i="89"/>
  <c r="L168" i="89"/>
  <c r="N168" i="89"/>
  <c r="O168" i="89"/>
  <c r="P168" i="89"/>
  <c r="Q168" i="89"/>
  <c r="S168" i="89"/>
  <c r="F169" i="89"/>
  <c r="L169" i="89"/>
  <c r="N169" i="89"/>
  <c r="O169" i="89"/>
  <c r="P169" i="89"/>
  <c r="Q169" i="89"/>
  <c r="S169" i="89"/>
  <c r="L170" i="89"/>
  <c r="N170" i="89"/>
  <c r="O170" i="89"/>
  <c r="F170" i="89" s="1"/>
  <c r="P170" i="89"/>
  <c r="Q170" i="89"/>
  <c r="S170" i="89"/>
  <c r="L171" i="89"/>
  <c r="N171" i="89"/>
  <c r="O171" i="89"/>
  <c r="F171" i="89" s="1"/>
  <c r="P171" i="89"/>
  <c r="Q171" i="89"/>
  <c r="S171" i="89"/>
  <c r="L172" i="89"/>
  <c r="N172" i="89"/>
  <c r="O172" i="89"/>
  <c r="P172" i="89"/>
  <c r="Q172" i="89"/>
  <c r="S172" i="89"/>
  <c r="L173" i="89"/>
  <c r="N173" i="89"/>
  <c r="O173" i="89"/>
  <c r="P173" i="89"/>
  <c r="F173" i="89" s="1"/>
  <c r="Q173" i="89"/>
  <c r="S173" i="89"/>
  <c r="L174" i="89"/>
  <c r="N174" i="89"/>
  <c r="O174" i="89"/>
  <c r="F174" i="89" s="1"/>
  <c r="P174" i="89"/>
  <c r="Q174" i="89"/>
  <c r="S174" i="89"/>
  <c r="L175" i="89"/>
  <c r="N175" i="89"/>
  <c r="O175" i="89"/>
  <c r="F175" i="89" s="1"/>
  <c r="P175" i="89"/>
  <c r="Q175" i="89"/>
  <c r="S175" i="89"/>
  <c r="L176" i="89"/>
  <c r="N176" i="89"/>
  <c r="O176" i="89"/>
  <c r="P176" i="89"/>
  <c r="Q176" i="89"/>
  <c r="S176" i="89"/>
  <c r="F177" i="89"/>
  <c r="L177" i="89"/>
  <c r="N177" i="89"/>
  <c r="O177" i="89"/>
  <c r="P177" i="89"/>
  <c r="Q177" i="89"/>
  <c r="S177" i="89"/>
  <c r="F178" i="89"/>
  <c r="L178" i="89"/>
  <c r="N178" i="89"/>
  <c r="O178" i="89"/>
  <c r="P178" i="89"/>
  <c r="Q178" i="89"/>
  <c r="S178" i="89"/>
  <c r="F179" i="89"/>
  <c r="L179" i="89"/>
  <c r="N179" i="89"/>
  <c r="O179" i="89"/>
  <c r="P179" i="89"/>
  <c r="Q179" i="89"/>
  <c r="S179" i="89"/>
  <c r="L180" i="89"/>
  <c r="N180" i="89"/>
  <c r="O180" i="89"/>
  <c r="P180" i="89"/>
  <c r="Q180" i="89"/>
  <c r="S180" i="89"/>
  <c r="L181" i="89"/>
  <c r="N181" i="89"/>
  <c r="O181" i="89"/>
  <c r="P181" i="89"/>
  <c r="F181" i="89" s="1"/>
  <c r="Q181" i="89"/>
  <c r="S181" i="89"/>
  <c r="L182" i="89"/>
  <c r="N182" i="89"/>
  <c r="O182" i="89"/>
  <c r="P182" i="89"/>
  <c r="Q182" i="89"/>
  <c r="S182" i="89"/>
  <c r="L183" i="89"/>
  <c r="N183" i="89"/>
  <c r="O183" i="89"/>
  <c r="P183" i="89"/>
  <c r="Q183" i="89"/>
  <c r="S183" i="89"/>
  <c r="L184" i="89"/>
  <c r="N184" i="89"/>
  <c r="O184" i="89"/>
  <c r="P184" i="89"/>
  <c r="Q184" i="89"/>
  <c r="S184" i="89"/>
  <c r="L185" i="89"/>
  <c r="N185" i="89"/>
  <c r="O185" i="89"/>
  <c r="P185" i="89"/>
  <c r="Q185" i="89"/>
  <c r="S185" i="89"/>
  <c r="L186" i="89"/>
  <c r="N186" i="89"/>
  <c r="O186" i="89"/>
  <c r="P186" i="89"/>
  <c r="Q186" i="89"/>
  <c r="S186" i="89"/>
  <c r="L187" i="89"/>
  <c r="N187" i="89"/>
  <c r="O187" i="89"/>
  <c r="P187" i="89"/>
  <c r="Q187" i="89"/>
  <c r="S187" i="89"/>
  <c r="L188" i="89"/>
  <c r="N188" i="89"/>
  <c r="O188" i="89"/>
  <c r="P188" i="89"/>
  <c r="Q188" i="89"/>
  <c r="S188" i="89"/>
  <c r="L189" i="89"/>
  <c r="N189" i="89"/>
  <c r="O189" i="89"/>
  <c r="P189" i="89"/>
  <c r="Q189" i="89"/>
  <c r="S189" i="89"/>
  <c r="L190" i="89"/>
  <c r="N190" i="89"/>
  <c r="O190" i="89"/>
  <c r="P190" i="89"/>
  <c r="Q190" i="89"/>
  <c r="S190" i="89"/>
  <c r="L191" i="89"/>
  <c r="N191" i="89"/>
  <c r="O191" i="89"/>
  <c r="P191" i="89"/>
  <c r="Q191" i="89"/>
  <c r="S191" i="89"/>
  <c r="L192" i="89"/>
  <c r="N192" i="89"/>
  <c r="O192" i="89"/>
  <c r="P192" i="89"/>
  <c r="Q192" i="89"/>
  <c r="S192" i="89"/>
  <c r="F193" i="89"/>
  <c r="L193" i="89"/>
  <c r="N193" i="89"/>
  <c r="O193" i="89"/>
  <c r="P193" i="89"/>
  <c r="Q193" i="89"/>
  <c r="S193" i="89"/>
  <c r="L194" i="89"/>
  <c r="N194" i="89"/>
  <c r="O194" i="89"/>
  <c r="F194" i="89" s="1"/>
  <c r="P194" i="89"/>
  <c r="Q194" i="89"/>
  <c r="S194" i="89"/>
  <c r="L195" i="89"/>
  <c r="N195" i="89"/>
  <c r="O195" i="89"/>
  <c r="P195" i="89"/>
  <c r="Q195" i="89"/>
  <c r="S195" i="89"/>
  <c r="L196" i="89"/>
  <c r="N196" i="89"/>
  <c r="O196" i="89"/>
  <c r="P196" i="89"/>
  <c r="Q196" i="89"/>
  <c r="S196" i="89"/>
  <c r="L197" i="89"/>
  <c r="N197" i="89"/>
  <c r="O197" i="89"/>
  <c r="P197" i="89"/>
  <c r="F197" i="89" s="1"/>
  <c r="Q197" i="89"/>
  <c r="S197" i="89"/>
  <c r="L198" i="89"/>
  <c r="N198" i="89"/>
  <c r="O198" i="89"/>
  <c r="P198" i="89"/>
  <c r="Q198" i="89"/>
  <c r="S198" i="89"/>
  <c r="L199" i="89"/>
  <c r="N199" i="89"/>
  <c r="O199" i="89"/>
  <c r="P199" i="89"/>
  <c r="Q199" i="89"/>
  <c r="S199" i="89"/>
  <c r="L200" i="89"/>
  <c r="N200" i="89"/>
  <c r="O200" i="89"/>
  <c r="P200" i="89"/>
  <c r="Q200" i="89"/>
  <c r="S200" i="89"/>
  <c r="L201" i="89"/>
  <c r="N201" i="89"/>
  <c r="O201" i="89"/>
  <c r="P201" i="89"/>
  <c r="Q201" i="89"/>
  <c r="S201" i="89"/>
  <c r="L202" i="89"/>
  <c r="N202" i="89"/>
  <c r="O202" i="89"/>
  <c r="P202" i="89"/>
  <c r="F202" i="89" s="1"/>
  <c r="Q202" i="89"/>
  <c r="S202" i="89"/>
  <c r="F203" i="89"/>
  <c r="L203" i="89"/>
  <c r="N203" i="89"/>
  <c r="O203" i="89"/>
  <c r="P203" i="89"/>
  <c r="Q203" i="89"/>
  <c r="S203" i="89"/>
  <c r="L204" i="89"/>
  <c r="N204" i="89"/>
  <c r="O204" i="89"/>
  <c r="F204" i="89" s="1"/>
  <c r="P204" i="89"/>
  <c r="Q204" i="89"/>
  <c r="S204" i="89"/>
  <c r="L205" i="89"/>
  <c r="N205" i="89"/>
  <c r="O205" i="89"/>
  <c r="P205" i="89"/>
  <c r="Q205" i="89"/>
  <c r="S205" i="89"/>
  <c r="L206" i="89"/>
  <c r="N206" i="89"/>
  <c r="O206" i="89"/>
  <c r="P206" i="89"/>
  <c r="Q206" i="89"/>
  <c r="S206" i="89"/>
  <c r="L207" i="89"/>
  <c r="N207" i="89"/>
  <c r="O207" i="89"/>
  <c r="P207" i="89"/>
  <c r="Q207" i="89"/>
  <c r="S207" i="89"/>
  <c r="L208" i="89"/>
  <c r="N208" i="89"/>
  <c r="O208" i="89"/>
  <c r="F208" i="89" s="1"/>
  <c r="P208" i="89"/>
  <c r="Q208" i="89"/>
  <c r="S208" i="89"/>
  <c r="L209" i="89"/>
  <c r="N209" i="89"/>
  <c r="O209" i="89"/>
  <c r="F209" i="89" s="1"/>
  <c r="P209" i="89"/>
  <c r="Q209" i="89"/>
  <c r="S209" i="89"/>
  <c r="L210" i="89"/>
  <c r="N210" i="89"/>
  <c r="O210" i="89"/>
  <c r="F210" i="89" s="1"/>
  <c r="P210" i="89"/>
  <c r="Q210" i="89"/>
  <c r="S210" i="89"/>
  <c r="L211" i="89"/>
  <c r="N211" i="89"/>
  <c r="O211" i="89"/>
  <c r="P211" i="89"/>
  <c r="Q211" i="89"/>
  <c r="S211" i="89"/>
  <c r="L212" i="89"/>
  <c r="N212" i="89"/>
  <c r="O212" i="89"/>
  <c r="P212" i="89"/>
  <c r="Q212" i="89"/>
  <c r="S212" i="89"/>
  <c r="L213" i="89"/>
  <c r="N213" i="89"/>
  <c r="O213" i="89"/>
  <c r="P213" i="89"/>
  <c r="Q213" i="89"/>
  <c r="S213" i="89"/>
  <c r="L214" i="89"/>
  <c r="N214" i="89"/>
  <c r="O214" i="89"/>
  <c r="F214" i="89" s="1"/>
  <c r="P214" i="89"/>
  <c r="Q214" i="89"/>
  <c r="S214" i="89"/>
  <c r="L215" i="89"/>
  <c r="N215" i="89"/>
  <c r="O215" i="89"/>
  <c r="P215" i="89"/>
  <c r="Q215" i="89"/>
  <c r="S215" i="89"/>
  <c r="L216" i="89"/>
  <c r="N216" i="89"/>
  <c r="O216" i="89"/>
  <c r="P216" i="89"/>
  <c r="Q216" i="89"/>
  <c r="S216" i="89"/>
  <c r="F217" i="89"/>
  <c r="L217" i="89"/>
  <c r="N217" i="89"/>
  <c r="O217" i="89"/>
  <c r="P217" i="89"/>
  <c r="Q217" i="89"/>
  <c r="S217" i="89"/>
  <c r="L218" i="89"/>
  <c r="N218" i="89"/>
  <c r="O218" i="89"/>
  <c r="P218" i="89"/>
  <c r="F218" i="89" s="1"/>
  <c r="Q218" i="89"/>
  <c r="S218" i="89"/>
  <c r="L219" i="89"/>
  <c r="N219" i="89"/>
  <c r="O219" i="89"/>
  <c r="P219" i="89"/>
  <c r="Q219" i="89"/>
  <c r="S219" i="89"/>
  <c r="L220" i="89"/>
  <c r="N220" i="89"/>
  <c r="O220" i="89"/>
  <c r="P220" i="89"/>
  <c r="Q220" i="89"/>
  <c r="S220" i="89"/>
  <c r="L221" i="89"/>
  <c r="N221" i="89"/>
  <c r="O221" i="89"/>
  <c r="P221" i="89"/>
  <c r="F221" i="89" s="1"/>
  <c r="Q221" i="89"/>
  <c r="S221" i="89"/>
  <c r="L222" i="89"/>
  <c r="N222" i="89"/>
  <c r="O222" i="89"/>
  <c r="F222" i="89" s="1"/>
  <c r="P222" i="89"/>
  <c r="Q222" i="89"/>
  <c r="S222" i="89"/>
  <c r="L223" i="89"/>
  <c r="N223" i="89"/>
  <c r="O223" i="89"/>
  <c r="P223" i="89"/>
  <c r="Q223" i="89"/>
  <c r="S223" i="89"/>
  <c r="L224" i="89"/>
  <c r="N224" i="89"/>
  <c r="O224" i="89"/>
  <c r="P224" i="89"/>
  <c r="Q224" i="89"/>
  <c r="S224" i="89"/>
  <c r="F225" i="89"/>
  <c r="L225" i="89"/>
  <c r="N225" i="89"/>
  <c r="O225" i="89"/>
  <c r="P225" i="89"/>
  <c r="Q225" i="89"/>
  <c r="S225" i="89"/>
  <c r="L226" i="89"/>
  <c r="N226" i="89"/>
  <c r="O226" i="89"/>
  <c r="P226" i="89"/>
  <c r="F226" i="89" s="1"/>
  <c r="Q226" i="89"/>
  <c r="S226" i="89"/>
  <c r="L227" i="89"/>
  <c r="N227" i="89"/>
  <c r="O227" i="89"/>
  <c r="F227" i="89" s="1"/>
  <c r="P227" i="89"/>
  <c r="Q227" i="89"/>
  <c r="S227" i="89"/>
  <c r="L228" i="89"/>
  <c r="N228" i="89"/>
  <c r="O228" i="89"/>
  <c r="P228" i="89"/>
  <c r="Q228" i="89"/>
  <c r="S228" i="89"/>
  <c r="L229" i="89"/>
  <c r="N229" i="89"/>
  <c r="O229" i="89"/>
  <c r="P229" i="89"/>
  <c r="F229" i="89" s="1"/>
  <c r="Q229" i="89"/>
  <c r="S229" i="89"/>
  <c r="L230" i="89"/>
  <c r="N230" i="89"/>
  <c r="O230" i="89"/>
  <c r="P230" i="89"/>
  <c r="Q230" i="89"/>
  <c r="S230" i="89"/>
  <c r="L231" i="89"/>
  <c r="N231" i="89"/>
  <c r="O231" i="89"/>
  <c r="F231" i="89" s="1"/>
  <c r="P231" i="89"/>
  <c r="Q231" i="89"/>
  <c r="S231" i="89"/>
  <c r="L232" i="89"/>
  <c r="N232" i="89"/>
  <c r="O232" i="89"/>
  <c r="P232" i="89"/>
  <c r="Q232" i="89"/>
  <c r="S232" i="89"/>
  <c r="L233" i="89"/>
  <c r="N233" i="89"/>
  <c r="O233" i="89"/>
  <c r="P233" i="89"/>
  <c r="Q233" i="89"/>
  <c r="S233" i="89"/>
  <c r="L234" i="89"/>
  <c r="N234" i="89"/>
  <c r="O234" i="89"/>
  <c r="P234" i="89"/>
  <c r="F234" i="89" s="1"/>
  <c r="Q234" i="89"/>
  <c r="S234" i="89"/>
  <c r="F235" i="89"/>
  <c r="L235" i="89"/>
  <c r="N235" i="89"/>
  <c r="O235" i="89"/>
  <c r="P235" i="89"/>
  <c r="Q235" i="89"/>
  <c r="S235" i="89"/>
  <c r="L236" i="89"/>
  <c r="N236" i="89"/>
  <c r="O236" i="89"/>
  <c r="F236" i="89" s="1"/>
  <c r="P236" i="89"/>
  <c r="Q236" i="89"/>
  <c r="S236" i="89"/>
  <c r="L237" i="89"/>
  <c r="N237" i="89"/>
  <c r="O237" i="89"/>
  <c r="P237" i="89"/>
  <c r="F237" i="89" s="1"/>
  <c r="Q237" i="89"/>
  <c r="S237" i="89"/>
  <c r="L238" i="89"/>
  <c r="N238" i="89"/>
  <c r="O238" i="89"/>
  <c r="P238" i="89"/>
  <c r="Q238" i="89"/>
  <c r="S238" i="89"/>
  <c r="L239" i="89"/>
  <c r="N239" i="89"/>
  <c r="O239" i="89"/>
  <c r="P239" i="89"/>
  <c r="Q239" i="89"/>
  <c r="S239" i="89"/>
  <c r="L240" i="89"/>
  <c r="N240" i="89"/>
  <c r="O240" i="89"/>
  <c r="F240" i="89" s="1"/>
  <c r="P240" i="89"/>
  <c r="Q240" i="89"/>
  <c r="S240" i="89"/>
  <c r="L241" i="89"/>
  <c r="N241" i="89"/>
  <c r="O241" i="89"/>
  <c r="P241" i="89"/>
  <c r="Q241" i="89"/>
  <c r="S241" i="89"/>
  <c r="L242" i="89"/>
  <c r="N242" i="89"/>
  <c r="O242" i="89"/>
  <c r="P242" i="89"/>
  <c r="Q242" i="89"/>
  <c r="S242" i="89"/>
  <c r="L243" i="89"/>
  <c r="N243" i="89"/>
  <c r="O243" i="89"/>
  <c r="F243" i="89" s="1"/>
  <c r="P243" i="89"/>
  <c r="Q243" i="89"/>
  <c r="S243" i="89"/>
  <c r="L244" i="89"/>
  <c r="N244" i="89"/>
  <c r="O244" i="89"/>
  <c r="P244" i="89"/>
  <c r="Q244" i="89"/>
  <c r="S244" i="89"/>
  <c r="L245" i="89"/>
  <c r="N245" i="89"/>
  <c r="O245" i="89"/>
  <c r="P245" i="89"/>
  <c r="Q245" i="89"/>
  <c r="S245" i="89"/>
  <c r="L246" i="89"/>
  <c r="N246" i="89"/>
  <c r="O246" i="89"/>
  <c r="F246" i="89" s="1"/>
  <c r="P246" i="89"/>
  <c r="Q246" i="89"/>
  <c r="S246" i="89"/>
  <c r="L247" i="89"/>
  <c r="N247" i="89"/>
  <c r="O247" i="89"/>
  <c r="P247" i="89"/>
  <c r="Q247" i="89"/>
  <c r="S247" i="89"/>
  <c r="L248" i="89"/>
  <c r="N248" i="89"/>
  <c r="O248" i="89"/>
  <c r="P248" i="89"/>
  <c r="Q248" i="89"/>
  <c r="S248" i="89"/>
  <c r="F249" i="89"/>
  <c r="L249" i="89"/>
  <c r="N249" i="89"/>
  <c r="O249" i="89"/>
  <c r="P249" i="89"/>
  <c r="Q249" i="89"/>
  <c r="S249" i="89"/>
  <c r="L250" i="89"/>
  <c r="N250" i="89"/>
  <c r="O250" i="89"/>
  <c r="P250" i="89"/>
  <c r="F250" i="89" s="1"/>
  <c r="Q250" i="89"/>
  <c r="S250" i="89"/>
  <c r="L251" i="89"/>
  <c r="N251" i="89"/>
  <c r="O251" i="89"/>
  <c r="P251" i="89"/>
  <c r="Q251" i="89"/>
  <c r="S251" i="89"/>
  <c r="L252" i="89"/>
  <c r="N252" i="89"/>
  <c r="O252" i="89"/>
  <c r="P252" i="89"/>
  <c r="Q252" i="89"/>
  <c r="S252" i="89"/>
  <c r="L253" i="89"/>
  <c r="N253" i="89"/>
  <c r="O253" i="89"/>
  <c r="P253" i="89"/>
  <c r="F253" i="89" s="1"/>
  <c r="Q253" i="89"/>
  <c r="S253" i="89"/>
  <c r="L254" i="89"/>
  <c r="N254" i="89"/>
  <c r="O254" i="89"/>
  <c r="F254" i="89" s="1"/>
  <c r="P254" i="89"/>
  <c r="Q254" i="89"/>
  <c r="S254" i="89"/>
  <c r="L255" i="89"/>
  <c r="N255" i="89"/>
  <c r="O255" i="89"/>
  <c r="P255" i="89"/>
  <c r="Q255" i="89"/>
  <c r="S255" i="89"/>
  <c r="L256" i="89"/>
  <c r="N256" i="89"/>
  <c r="O256" i="89"/>
  <c r="P256" i="89"/>
  <c r="Q256" i="89"/>
  <c r="S256" i="89"/>
  <c r="F257" i="89"/>
  <c r="L257" i="89"/>
  <c r="N257" i="89"/>
  <c r="O257" i="89"/>
  <c r="P257" i="89"/>
  <c r="Q257" i="89"/>
  <c r="S257" i="89"/>
  <c r="L258" i="89"/>
  <c r="N258" i="89"/>
  <c r="O258" i="89"/>
  <c r="P258" i="89"/>
  <c r="F258" i="89" s="1"/>
  <c r="Q258" i="89"/>
  <c r="S258" i="89"/>
  <c r="F259" i="89"/>
  <c r="L259" i="89"/>
  <c r="N259" i="89"/>
  <c r="O259" i="89"/>
  <c r="P259" i="89"/>
  <c r="Q259" i="89"/>
  <c r="S259" i="89"/>
  <c r="L260" i="89"/>
  <c r="N260" i="89"/>
  <c r="O260" i="89"/>
  <c r="P260" i="89"/>
  <c r="Q260" i="89"/>
  <c r="S260" i="89"/>
  <c r="L261" i="89"/>
  <c r="N261" i="89"/>
  <c r="O261" i="89"/>
  <c r="P261" i="89"/>
  <c r="F261" i="89" s="1"/>
  <c r="Q261" i="89"/>
  <c r="S261" i="89"/>
  <c r="L262" i="89"/>
  <c r="N262" i="89"/>
  <c r="O262" i="89"/>
  <c r="P262" i="89"/>
  <c r="Q262" i="89"/>
  <c r="S262" i="89"/>
  <c r="L263" i="89"/>
  <c r="N263" i="89"/>
  <c r="O263" i="89"/>
  <c r="F263" i="89" s="1"/>
  <c r="P263" i="89"/>
  <c r="Q263" i="89"/>
  <c r="S263" i="89"/>
  <c r="L264" i="89"/>
  <c r="N264" i="89"/>
  <c r="O264" i="89"/>
  <c r="P264" i="89"/>
  <c r="Q264" i="89"/>
  <c r="S264" i="89"/>
  <c r="L265" i="89"/>
  <c r="N265" i="89"/>
  <c r="O265" i="89"/>
  <c r="P265" i="89"/>
  <c r="Q265" i="89"/>
  <c r="S265" i="89"/>
  <c r="L266" i="89"/>
  <c r="N266" i="89"/>
  <c r="O266" i="89"/>
  <c r="P266" i="89"/>
  <c r="F266" i="89" s="1"/>
  <c r="Q266" i="89"/>
  <c r="S266" i="89"/>
  <c r="F267" i="89"/>
  <c r="L267" i="89"/>
  <c r="N267" i="89"/>
  <c r="O267" i="89"/>
  <c r="P267" i="89"/>
  <c r="Q267" i="89"/>
  <c r="S267" i="89"/>
  <c r="L268" i="89"/>
  <c r="N268" i="89"/>
  <c r="O268" i="89"/>
  <c r="F268" i="89" s="1"/>
  <c r="P268" i="89"/>
  <c r="Q268" i="89"/>
  <c r="S268" i="89"/>
  <c r="L269" i="89"/>
  <c r="N269" i="89"/>
  <c r="O269" i="89"/>
  <c r="P269" i="89"/>
  <c r="Q269" i="89"/>
  <c r="S269" i="89"/>
  <c r="L270" i="89"/>
  <c r="N270" i="89"/>
  <c r="O270" i="89"/>
  <c r="P270" i="89"/>
  <c r="Q270" i="89"/>
  <c r="S270" i="89"/>
  <c r="L271" i="89"/>
  <c r="N271" i="89"/>
  <c r="O271" i="89"/>
  <c r="F271" i="89" s="1"/>
  <c r="P271" i="89"/>
  <c r="Q271" i="89"/>
  <c r="S271" i="89"/>
  <c r="L272" i="89"/>
  <c r="N272" i="89"/>
  <c r="O272" i="89"/>
  <c r="F272" i="89" s="1"/>
  <c r="P272" i="89"/>
  <c r="Q272" i="89"/>
  <c r="S272" i="89"/>
  <c r="L273" i="89"/>
  <c r="N273" i="89"/>
  <c r="O273" i="89"/>
  <c r="F273" i="89" s="1"/>
  <c r="P273" i="89"/>
  <c r="Q273" i="89"/>
  <c r="S273" i="89"/>
  <c r="L274" i="89"/>
  <c r="N274" i="89"/>
  <c r="O274" i="89"/>
  <c r="F274" i="89" s="1"/>
  <c r="P274" i="89"/>
  <c r="Q274" i="89"/>
  <c r="S274" i="89"/>
  <c r="L275" i="89"/>
  <c r="N275" i="89"/>
  <c r="O275" i="89"/>
  <c r="P275" i="89"/>
  <c r="Q275" i="89"/>
  <c r="S275" i="89"/>
  <c r="L276" i="89"/>
  <c r="N276" i="89"/>
  <c r="O276" i="89"/>
  <c r="P276" i="89"/>
  <c r="Q276" i="89"/>
  <c r="S276" i="89"/>
  <c r="L277" i="89"/>
  <c r="N277" i="89"/>
  <c r="O277" i="89"/>
  <c r="P277" i="89"/>
  <c r="F277" i="89" s="1"/>
  <c r="Q277" i="89"/>
  <c r="S277" i="89"/>
  <c r="L278" i="89"/>
  <c r="N278" i="89"/>
  <c r="O278" i="89"/>
  <c r="F278" i="89" s="1"/>
  <c r="P278" i="89"/>
  <c r="Q278" i="89"/>
  <c r="S278" i="89"/>
  <c r="L279" i="89"/>
  <c r="N279" i="89"/>
  <c r="O279" i="89"/>
  <c r="P279" i="89"/>
  <c r="Q279" i="89"/>
  <c r="S279" i="89"/>
  <c r="L280" i="89"/>
  <c r="N280" i="89"/>
  <c r="O280" i="89"/>
  <c r="P280" i="89"/>
  <c r="Q280" i="89"/>
  <c r="S280" i="89"/>
  <c r="F281" i="89"/>
  <c r="L281" i="89"/>
  <c r="N281" i="89"/>
  <c r="O281" i="89"/>
  <c r="P281" i="89"/>
  <c r="Q281" i="89"/>
  <c r="S281" i="89"/>
  <c r="L282" i="89"/>
  <c r="N282" i="89"/>
  <c r="O282" i="89"/>
  <c r="P282" i="89"/>
  <c r="Q282" i="89"/>
  <c r="S282" i="89"/>
  <c r="L283" i="89"/>
  <c r="N283" i="89"/>
  <c r="O283" i="89"/>
  <c r="P283" i="89"/>
  <c r="Q283" i="89"/>
  <c r="S283" i="89"/>
  <c r="L284" i="89"/>
  <c r="N284" i="89"/>
  <c r="O284" i="89"/>
  <c r="P284" i="89"/>
  <c r="Q284" i="89"/>
  <c r="S284" i="89"/>
  <c r="L285" i="89"/>
  <c r="N285" i="89"/>
  <c r="O285" i="89"/>
  <c r="P285" i="89"/>
  <c r="F285" i="89" s="1"/>
  <c r="Q285" i="89"/>
  <c r="S285" i="89"/>
  <c r="L286" i="89"/>
  <c r="N286" i="89"/>
  <c r="O286" i="89"/>
  <c r="P286" i="89"/>
  <c r="Q286" i="89"/>
  <c r="S286" i="89"/>
  <c r="L287" i="89"/>
  <c r="N287" i="89"/>
  <c r="O287" i="89"/>
  <c r="P287" i="89"/>
  <c r="Q287" i="89"/>
  <c r="S287" i="89"/>
  <c r="L288" i="89"/>
  <c r="N288" i="89"/>
  <c r="O288" i="89"/>
  <c r="P288" i="89"/>
  <c r="Q288" i="89"/>
  <c r="S288" i="89"/>
  <c r="L289" i="89"/>
  <c r="N289" i="89"/>
  <c r="O289" i="89"/>
  <c r="P289" i="89"/>
  <c r="Q289" i="89"/>
  <c r="S289" i="89"/>
  <c r="F290" i="89"/>
  <c r="L290" i="89"/>
  <c r="N290" i="89"/>
  <c r="O290" i="89"/>
  <c r="P290" i="89"/>
  <c r="Q290" i="89"/>
  <c r="S290" i="89"/>
  <c r="F291" i="89"/>
  <c r="L291" i="89"/>
  <c r="N291" i="89"/>
  <c r="O291" i="89"/>
  <c r="P291" i="89"/>
  <c r="Q291" i="89"/>
  <c r="S291" i="89"/>
  <c r="L292" i="89"/>
  <c r="N292" i="89"/>
  <c r="O292" i="89"/>
  <c r="F292" i="89" s="1"/>
  <c r="P292" i="89"/>
  <c r="Q292" i="89"/>
  <c r="S292" i="89"/>
  <c r="L293" i="89"/>
  <c r="N293" i="89"/>
  <c r="O293" i="89"/>
  <c r="P293" i="89"/>
  <c r="F293" i="89" s="1"/>
  <c r="Q293" i="89"/>
  <c r="S293" i="89"/>
  <c r="L294" i="89"/>
  <c r="N294" i="89"/>
  <c r="O294" i="89"/>
  <c r="P294" i="89"/>
  <c r="Q294" i="89"/>
  <c r="S294" i="89"/>
  <c r="L295" i="89"/>
  <c r="N295" i="89"/>
  <c r="O295" i="89"/>
  <c r="F295" i="89" s="1"/>
  <c r="P295" i="89"/>
  <c r="Q295" i="89"/>
  <c r="S295" i="89"/>
  <c r="L296" i="89"/>
  <c r="N296" i="89"/>
  <c r="O296" i="89"/>
  <c r="F296" i="89" s="1"/>
  <c r="P296" i="89"/>
  <c r="Q296" i="89"/>
  <c r="S296" i="89"/>
  <c r="L297" i="89"/>
  <c r="N297" i="89"/>
  <c r="O297" i="89"/>
  <c r="P297" i="89"/>
  <c r="Q297" i="89"/>
  <c r="S297" i="89"/>
  <c r="L298" i="89"/>
  <c r="N298" i="89"/>
  <c r="O298" i="89"/>
  <c r="P298" i="89"/>
  <c r="F298" i="89" s="1"/>
  <c r="Q298" i="89"/>
  <c r="S298" i="89"/>
  <c r="L299" i="89"/>
  <c r="N299" i="89"/>
  <c r="O299" i="89"/>
  <c r="P299" i="89"/>
  <c r="Q299" i="89"/>
  <c r="S299" i="89"/>
  <c r="L300" i="89"/>
  <c r="N300" i="89"/>
  <c r="O300" i="89"/>
  <c r="F300" i="89" s="1"/>
  <c r="P300" i="89"/>
  <c r="Q300" i="89"/>
  <c r="S300" i="89"/>
  <c r="L301" i="89"/>
  <c r="N301" i="89"/>
  <c r="O301" i="89"/>
  <c r="P301" i="89"/>
  <c r="Q301" i="89"/>
  <c r="S301" i="89"/>
  <c r="L302" i="89"/>
  <c r="N302" i="89"/>
  <c r="O302" i="89"/>
  <c r="P302" i="89"/>
  <c r="Q302" i="89"/>
  <c r="S302" i="89"/>
  <c r="L303" i="89"/>
  <c r="N303" i="89"/>
  <c r="O303" i="89"/>
  <c r="P303" i="89"/>
  <c r="Q303" i="89"/>
  <c r="S303" i="89"/>
  <c r="L304" i="89"/>
  <c r="N304" i="89"/>
  <c r="O304" i="89"/>
  <c r="F304" i="89" s="1"/>
  <c r="P304" i="89"/>
  <c r="Q304" i="89"/>
  <c r="S304" i="89"/>
  <c r="F305" i="89"/>
  <c r="L305" i="89"/>
  <c r="N305" i="89"/>
  <c r="O305" i="89"/>
  <c r="P305" i="89"/>
  <c r="Q305" i="89"/>
  <c r="S305" i="89"/>
  <c r="L306" i="89"/>
  <c r="N306" i="89"/>
  <c r="O306" i="89"/>
  <c r="P306" i="89"/>
  <c r="Q306" i="89"/>
  <c r="S306" i="89"/>
  <c r="L307" i="89"/>
  <c r="N307" i="89"/>
  <c r="O307" i="89"/>
  <c r="F307" i="89" s="1"/>
  <c r="P307" i="89"/>
  <c r="Q307" i="89"/>
  <c r="S307" i="89"/>
  <c r="L308" i="89"/>
  <c r="N308" i="89"/>
  <c r="O308" i="89"/>
  <c r="P308" i="89"/>
  <c r="Q308" i="89"/>
  <c r="S308" i="89"/>
  <c r="L309" i="89"/>
  <c r="N309" i="89"/>
  <c r="O309" i="89"/>
  <c r="P309" i="89"/>
  <c r="Q309" i="89"/>
  <c r="S309" i="89"/>
  <c r="L310" i="89"/>
  <c r="N310" i="89"/>
  <c r="O310" i="89"/>
  <c r="F310" i="89" s="1"/>
  <c r="P310" i="89"/>
  <c r="Q310" i="89"/>
  <c r="S310" i="89"/>
  <c r="L311" i="89"/>
  <c r="N311" i="89"/>
  <c r="O311" i="89"/>
  <c r="F311" i="89" s="1"/>
  <c r="P311" i="89"/>
  <c r="Q311" i="89"/>
  <c r="S311" i="89"/>
  <c r="L312" i="89"/>
  <c r="N312" i="89"/>
  <c r="O312" i="89"/>
  <c r="P312" i="89"/>
  <c r="Q312" i="89"/>
  <c r="S312" i="89"/>
  <c r="F313" i="89"/>
  <c r="L313" i="89"/>
  <c r="N313" i="89"/>
  <c r="O313" i="89"/>
  <c r="P313" i="89"/>
  <c r="Q313" i="89"/>
  <c r="S313" i="89"/>
  <c r="L314" i="89"/>
  <c r="N314" i="89"/>
  <c r="O314" i="89"/>
  <c r="P314" i="89"/>
  <c r="F314" i="89" s="1"/>
  <c r="Q314" i="89"/>
  <c r="S314" i="89"/>
  <c r="F315" i="89"/>
  <c r="L315" i="89"/>
  <c r="N315" i="89"/>
  <c r="O315" i="89"/>
  <c r="P315" i="89"/>
  <c r="Q315" i="89"/>
  <c r="S315" i="89"/>
  <c r="L316" i="89"/>
  <c r="N316" i="89"/>
  <c r="O316" i="89"/>
  <c r="F316" i="89" s="1"/>
  <c r="P316" i="89"/>
  <c r="Q316" i="89"/>
  <c r="S316" i="89"/>
  <c r="L317" i="89"/>
  <c r="N317" i="89"/>
  <c r="O317" i="89"/>
  <c r="P317" i="89"/>
  <c r="F317" i="89" s="1"/>
  <c r="Q317" i="89"/>
  <c r="S317" i="89"/>
  <c r="L318" i="89"/>
  <c r="N318" i="89"/>
  <c r="O318" i="89"/>
  <c r="F318" i="89" s="1"/>
  <c r="P318" i="89"/>
  <c r="Q318" i="89"/>
  <c r="S318" i="89"/>
  <c r="L319" i="89"/>
  <c r="N319" i="89"/>
  <c r="O319" i="89"/>
  <c r="F319" i="89" s="1"/>
  <c r="P319" i="89"/>
  <c r="Q319" i="89"/>
  <c r="S319" i="89"/>
  <c r="L320" i="89"/>
  <c r="N320" i="89"/>
  <c r="O320" i="89"/>
  <c r="F320" i="89" s="1"/>
  <c r="P320" i="89"/>
  <c r="Q320" i="89"/>
  <c r="S320" i="89"/>
  <c r="L321" i="89"/>
  <c r="N321" i="89"/>
  <c r="O321" i="89"/>
  <c r="F321" i="89" s="1"/>
  <c r="P321" i="89"/>
  <c r="Q321" i="89"/>
  <c r="S321" i="89"/>
  <c r="L322" i="89"/>
  <c r="N322" i="89"/>
  <c r="O322" i="89"/>
  <c r="P322" i="89"/>
  <c r="F322" i="89" s="1"/>
  <c r="Q322" i="89"/>
  <c r="S322" i="89"/>
  <c r="F323" i="89"/>
  <c r="L323" i="89"/>
  <c r="N323" i="89"/>
  <c r="O323" i="89"/>
  <c r="P323" i="89"/>
  <c r="Q323" i="89"/>
  <c r="S323" i="89"/>
  <c r="L324" i="89"/>
  <c r="N324" i="89"/>
  <c r="O324" i="89"/>
  <c r="F324" i="89" s="1"/>
  <c r="P324" i="89"/>
  <c r="Q324" i="89"/>
  <c r="S324" i="89"/>
  <c r="L325" i="89"/>
  <c r="N325" i="89"/>
  <c r="O325" i="89"/>
  <c r="P325" i="89"/>
  <c r="F325" i="89" s="1"/>
  <c r="Q325" i="89"/>
  <c r="S325" i="89"/>
  <c r="L326" i="89"/>
  <c r="N326" i="89"/>
  <c r="O326" i="89"/>
  <c r="P326" i="89"/>
  <c r="Q326" i="89"/>
  <c r="S326" i="89"/>
  <c r="L327" i="89"/>
  <c r="N327" i="89"/>
  <c r="O327" i="89"/>
  <c r="F327" i="89" s="1"/>
  <c r="P327" i="89"/>
  <c r="Q327" i="89"/>
  <c r="S327" i="89"/>
  <c r="L328" i="89"/>
  <c r="N328" i="89"/>
  <c r="O328" i="89"/>
  <c r="F328" i="89" s="1"/>
  <c r="P328" i="89"/>
  <c r="Q328" i="89"/>
  <c r="S328" i="89"/>
  <c r="L329" i="89"/>
  <c r="N329" i="89"/>
  <c r="O329" i="89"/>
  <c r="P329" i="89"/>
  <c r="Q329" i="89"/>
  <c r="S329" i="89"/>
  <c r="L330" i="89"/>
  <c r="N330" i="89"/>
  <c r="O330" i="89"/>
  <c r="P330" i="89"/>
  <c r="Q330" i="89"/>
  <c r="S330" i="89"/>
  <c r="L331" i="89"/>
  <c r="N331" i="89"/>
  <c r="O331" i="89"/>
  <c r="P331" i="89"/>
  <c r="Q331" i="89"/>
  <c r="S331" i="89"/>
  <c r="L332" i="89"/>
  <c r="N332" i="89"/>
  <c r="O332" i="89"/>
  <c r="F332" i="89" s="1"/>
  <c r="P332" i="89"/>
  <c r="Q332" i="89"/>
  <c r="S332" i="89"/>
  <c r="L333" i="89"/>
  <c r="N333" i="89"/>
  <c r="O333" i="89"/>
  <c r="P333" i="89"/>
  <c r="Q333" i="89"/>
  <c r="S333" i="89"/>
  <c r="L334" i="89"/>
  <c r="N334" i="89"/>
  <c r="O334" i="89"/>
  <c r="F334" i="89" s="1"/>
  <c r="P334" i="89"/>
  <c r="Q334" i="89"/>
  <c r="S334" i="89"/>
  <c r="L335" i="89"/>
  <c r="N335" i="89"/>
  <c r="O335" i="89"/>
  <c r="P335" i="89"/>
  <c r="Q335" i="89"/>
  <c r="S335" i="89"/>
  <c r="L336" i="89"/>
  <c r="N336" i="89"/>
  <c r="O336" i="89"/>
  <c r="F336" i="89" s="1"/>
  <c r="P336" i="89"/>
  <c r="Q336" i="89"/>
  <c r="S336" i="89"/>
  <c r="F337" i="89"/>
  <c r="L337" i="89"/>
  <c r="N337" i="89"/>
  <c r="O337" i="89"/>
  <c r="P337" i="89"/>
  <c r="Q337" i="89"/>
  <c r="S337" i="89"/>
  <c r="L338" i="89"/>
  <c r="N338" i="89"/>
  <c r="O338" i="89"/>
  <c r="P338" i="89"/>
  <c r="Q338" i="89"/>
  <c r="S338" i="89"/>
  <c r="L339" i="89"/>
  <c r="N339" i="89"/>
  <c r="O339" i="89"/>
  <c r="P339" i="89"/>
  <c r="Q339" i="89"/>
  <c r="S339" i="89"/>
  <c r="L340" i="89"/>
  <c r="N340" i="89"/>
  <c r="O340" i="89"/>
  <c r="P340" i="89"/>
  <c r="Q340" i="89"/>
  <c r="S340" i="89"/>
  <c r="L341" i="89"/>
  <c r="N341" i="89"/>
  <c r="O341" i="89"/>
  <c r="P341" i="89"/>
  <c r="Q341" i="89"/>
  <c r="S341" i="89"/>
  <c r="L342" i="89"/>
  <c r="N342" i="89"/>
  <c r="O342" i="89"/>
  <c r="F342" i="89" s="1"/>
  <c r="P342" i="89"/>
  <c r="Q342" i="89"/>
  <c r="S342" i="89"/>
  <c r="L343" i="89"/>
  <c r="N343" i="89"/>
  <c r="O343" i="89"/>
  <c r="P343" i="89"/>
  <c r="Q343" i="89"/>
  <c r="S343" i="89"/>
  <c r="L344" i="89"/>
  <c r="N344" i="89"/>
  <c r="O344" i="89"/>
  <c r="P344" i="89"/>
  <c r="Q344" i="89"/>
  <c r="S344" i="89"/>
  <c r="F345" i="89"/>
  <c r="L345" i="89"/>
  <c r="N345" i="89"/>
  <c r="O345" i="89"/>
  <c r="P345" i="89"/>
  <c r="Q345" i="89"/>
  <c r="S345" i="89"/>
  <c r="L346" i="89"/>
  <c r="N346" i="89"/>
  <c r="O346" i="89"/>
  <c r="P346" i="89"/>
  <c r="F346" i="89" s="1"/>
  <c r="Q346" i="89"/>
  <c r="S346" i="89"/>
  <c r="L347" i="89"/>
  <c r="N347" i="89"/>
  <c r="O347" i="89"/>
  <c r="F347" i="89" s="1"/>
  <c r="P347" i="89"/>
  <c r="Q347" i="89"/>
  <c r="S347" i="89"/>
  <c r="L348" i="89"/>
  <c r="N348" i="89"/>
  <c r="O348" i="89"/>
  <c r="P348" i="89"/>
  <c r="Q348" i="89"/>
  <c r="S348" i="89"/>
  <c r="L349" i="89"/>
  <c r="N349" i="89"/>
  <c r="O349" i="89"/>
  <c r="P349" i="89"/>
  <c r="F349" i="89" s="1"/>
  <c r="Q349" i="89"/>
  <c r="S349" i="89"/>
  <c r="L350" i="89"/>
  <c r="N350" i="89"/>
  <c r="O350" i="89"/>
  <c r="F350" i="89" s="1"/>
  <c r="P350" i="89"/>
  <c r="Q350" i="89"/>
  <c r="S350" i="89"/>
  <c r="L351" i="89"/>
  <c r="N351" i="89"/>
  <c r="O351" i="89"/>
  <c r="F351" i="89" s="1"/>
  <c r="P351" i="89"/>
  <c r="Q351" i="89"/>
  <c r="S351" i="89"/>
  <c r="L352" i="89"/>
  <c r="N352" i="89"/>
  <c r="O352" i="89"/>
  <c r="P352" i="89"/>
  <c r="Q352" i="89"/>
  <c r="S352" i="89"/>
  <c r="L353" i="89"/>
  <c r="N353" i="89"/>
  <c r="O353" i="89"/>
  <c r="F353" i="89" s="1"/>
  <c r="P353" i="89"/>
  <c r="Q353" i="89"/>
  <c r="S353" i="89"/>
  <c r="L354" i="89"/>
  <c r="N354" i="89"/>
  <c r="O354" i="89"/>
  <c r="P354" i="89"/>
  <c r="F354" i="89" s="1"/>
  <c r="Q354" i="89"/>
  <c r="S354" i="89"/>
  <c r="F355" i="89"/>
  <c r="L355" i="89"/>
  <c r="N355" i="89"/>
  <c r="O355" i="89"/>
  <c r="P355" i="89"/>
  <c r="Q355" i="89"/>
  <c r="S355" i="89"/>
  <c r="L356" i="89"/>
  <c r="N356" i="89"/>
  <c r="O356" i="89"/>
  <c r="F356" i="89" s="1"/>
  <c r="P356" i="89"/>
  <c r="Q356" i="89"/>
  <c r="S356" i="89"/>
  <c r="L357" i="89"/>
  <c r="N357" i="89"/>
  <c r="O357" i="89"/>
  <c r="P357" i="89"/>
  <c r="F357" i="89" s="1"/>
  <c r="Q357" i="89"/>
  <c r="S357" i="89"/>
  <c r="L358" i="89"/>
  <c r="N358" i="89"/>
  <c r="O358" i="89"/>
  <c r="P358" i="89"/>
  <c r="Q358" i="89"/>
  <c r="S358" i="89"/>
  <c r="L359" i="89"/>
  <c r="N359" i="89"/>
  <c r="O359" i="89"/>
  <c r="F359" i="89" s="1"/>
  <c r="P359" i="89"/>
  <c r="Q359" i="89"/>
  <c r="S359" i="89"/>
  <c r="L360" i="89"/>
  <c r="N360" i="89"/>
  <c r="O360" i="89"/>
  <c r="F360" i="89" s="1"/>
  <c r="P360" i="89"/>
  <c r="Q360" i="89"/>
  <c r="S360" i="89"/>
  <c r="L361" i="89"/>
  <c r="N361" i="89"/>
  <c r="O361" i="89"/>
  <c r="P361" i="89"/>
  <c r="Q361" i="89"/>
  <c r="S361" i="89"/>
  <c r="L362" i="89"/>
  <c r="N362" i="89"/>
  <c r="O362" i="89"/>
  <c r="P362" i="89"/>
  <c r="F362" i="89" s="1"/>
  <c r="Q362" i="89"/>
  <c r="S362" i="89"/>
  <c r="L363" i="89"/>
  <c r="N363" i="89"/>
  <c r="O363" i="89"/>
  <c r="P363" i="89"/>
  <c r="Q363" i="89"/>
  <c r="S363" i="89"/>
  <c r="L364" i="89"/>
  <c r="N364" i="89"/>
  <c r="O364" i="89"/>
  <c r="F364" i="89" s="1"/>
  <c r="P364" i="89"/>
  <c r="Q364" i="89"/>
  <c r="S364" i="89"/>
  <c r="L365" i="89"/>
  <c r="N365" i="89"/>
  <c r="O365" i="89"/>
  <c r="P365" i="89"/>
  <c r="Q365" i="89"/>
  <c r="S365" i="89"/>
  <c r="L366" i="89"/>
  <c r="N366" i="89"/>
  <c r="O366" i="89"/>
  <c r="P366" i="89"/>
  <c r="Q366" i="89"/>
  <c r="S366" i="89"/>
  <c r="L367" i="89"/>
  <c r="N367" i="89"/>
  <c r="O367" i="89"/>
  <c r="P367" i="89"/>
  <c r="Q367" i="89"/>
  <c r="S367" i="89"/>
  <c r="L368" i="89"/>
  <c r="N368" i="89"/>
  <c r="O368" i="89"/>
  <c r="F368" i="89" s="1"/>
  <c r="P368" i="89"/>
  <c r="Q368" i="89"/>
  <c r="S368" i="89"/>
  <c r="F369" i="89"/>
  <c r="L369" i="89"/>
  <c r="N369" i="89"/>
  <c r="O369" i="89"/>
  <c r="P369" i="89"/>
  <c r="Q369" i="89"/>
  <c r="S369" i="89"/>
  <c r="L370" i="89"/>
  <c r="N370" i="89"/>
  <c r="O370" i="89"/>
  <c r="P370" i="89"/>
  <c r="Q370" i="89"/>
  <c r="S370" i="89"/>
  <c r="L371" i="89"/>
  <c r="N371" i="89"/>
  <c r="O371" i="89"/>
  <c r="F371" i="89" s="1"/>
  <c r="P371" i="89"/>
  <c r="Q371" i="89"/>
  <c r="S371" i="89"/>
  <c r="L372" i="89"/>
  <c r="N372" i="89"/>
  <c r="O372" i="89"/>
  <c r="P372" i="89"/>
  <c r="Q372" i="89"/>
  <c r="S372" i="89"/>
  <c r="L373" i="89"/>
  <c r="N373" i="89"/>
  <c r="O373" i="89"/>
  <c r="P373" i="89"/>
  <c r="Q373" i="89"/>
  <c r="S373" i="89"/>
  <c r="L374" i="89"/>
  <c r="N374" i="89"/>
  <c r="O374" i="89"/>
  <c r="F374" i="89" s="1"/>
  <c r="P374" i="89"/>
  <c r="Q374" i="89"/>
  <c r="S374" i="89"/>
  <c r="L375" i="89"/>
  <c r="N375" i="89"/>
  <c r="O375" i="89"/>
  <c r="F375" i="89" s="1"/>
  <c r="P375" i="89"/>
  <c r="Q375" i="89"/>
  <c r="S375" i="89"/>
  <c r="L376" i="89"/>
  <c r="N376" i="89"/>
  <c r="O376" i="89"/>
  <c r="P376" i="89"/>
  <c r="Q376" i="89"/>
  <c r="S376" i="89"/>
  <c r="F377" i="89"/>
  <c r="L377" i="89"/>
  <c r="N377" i="89"/>
  <c r="O377" i="89"/>
  <c r="P377" i="89"/>
  <c r="Q377" i="89"/>
  <c r="S377" i="89"/>
  <c r="L378" i="89"/>
  <c r="N378" i="89"/>
  <c r="O378" i="89"/>
  <c r="P378" i="89"/>
  <c r="F378" i="89" s="1"/>
  <c r="Q378" i="89"/>
  <c r="S378" i="89"/>
  <c r="F379" i="89"/>
  <c r="L379" i="89"/>
  <c r="N379" i="89"/>
  <c r="O379" i="89"/>
  <c r="P379" i="89"/>
  <c r="Q379" i="89"/>
  <c r="S379" i="89"/>
  <c r="L380" i="89"/>
  <c r="N380" i="89"/>
  <c r="O380" i="89"/>
  <c r="F380" i="89" s="1"/>
  <c r="P380" i="89"/>
  <c r="Q380" i="89"/>
  <c r="S380" i="89"/>
  <c r="L381" i="89"/>
  <c r="N381" i="89"/>
  <c r="O381" i="89"/>
  <c r="P381" i="89"/>
  <c r="F381" i="89" s="1"/>
  <c r="Q381" i="89"/>
  <c r="S381" i="89"/>
  <c r="L382" i="89"/>
  <c r="N382" i="89"/>
  <c r="O382" i="89"/>
  <c r="F382" i="89" s="1"/>
  <c r="P382" i="89"/>
  <c r="Q382" i="89"/>
  <c r="S382" i="89"/>
  <c r="L383" i="89"/>
  <c r="N383" i="89"/>
  <c r="O383" i="89"/>
  <c r="F383" i="89" s="1"/>
  <c r="P383" i="89"/>
  <c r="Q383" i="89"/>
  <c r="S383" i="89"/>
  <c r="L384" i="89"/>
  <c r="N384" i="89"/>
  <c r="O384" i="89"/>
  <c r="F384" i="89" s="1"/>
  <c r="P384" i="89"/>
  <c r="Q384" i="89"/>
  <c r="S384" i="89"/>
  <c r="L385" i="89"/>
  <c r="N385" i="89"/>
  <c r="O385" i="89"/>
  <c r="F385" i="89" s="1"/>
  <c r="P385" i="89"/>
  <c r="Q385" i="89"/>
  <c r="S385" i="89"/>
  <c r="L386" i="89"/>
  <c r="N386" i="89"/>
  <c r="O386" i="89"/>
  <c r="P386" i="89"/>
  <c r="F386" i="89" s="1"/>
  <c r="Q386" i="89"/>
  <c r="S386" i="89"/>
  <c r="F387" i="89"/>
  <c r="L387" i="89"/>
  <c r="N387" i="89"/>
  <c r="O387" i="89"/>
  <c r="P387" i="89"/>
  <c r="Q387" i="89"/>
  <c r="S387" i="89"/>
  <c r="L388" i="89"/>
  <c r="N388" i="89"/>
  <c r="O388" i="89"/>
  <c r="F388" i="89" s="1"/>
  <c r="P388" i="89"/>
  <c r="Q388" i="89"/>
  <c r="S388" i="89"/>
  <c r="L389" i="89"/>
  <c r="N389" i="89"/>
  <c r="O389" i="89"/>
  <c r="P389" i="89"/>
  <c r="Q389" i="89"/>
  <c r="S389" i="89"/>
  <c r="L390" i="89"/>
  <c r="N390" i="89"/>
  <c r="O390" i="89"/>
  <c r="P390" i="89"/>
  <c r="Q390" i="89"/>
  <c r="S390" i="89"/>
  <c r="L391" i="89"/>
  <c r="N391" i="89"/>
  <c r="O391" i="89"/>
  <c r="F391" i="89" s="1"/>
  <c r="P391" i="89"/>
  <c r="Q391" i="89"/>
  <c r="S391" i="89"/>
  <c r="L392" i="89"/>
  <c r="N392" i="89"/>
  <c r="O392" i="89"/>
  <c r="F392" i="89" s="1"/>
  <c r="P392" i="89"/>
  <c r="Q392" i="89"/>
  <c r="S392" i="89"/>
  <c r="L393" i="89"/>
  <c r="N393" i="89"/>
  <c r="O393" i="89"/>
  <c r="F393" i="89" s="1"/>
  <c r="P393" i="89"/>
  <c r="Q393" i="89"/>
  <c r="S393" i="89"/>
  <c r="L394" i="89"/>
  <c r="N394" i="89"/>
  <c r="O394" i="89"/>
  <c r="P394" i="89"/>
  <c r="Q394" i="89"/>
  <c r="S394" i="89"/>
  <c r="L395" i="89"/>
  <c r="N395" i="89"/>
  <c r="O395" i="89"/>
  <c r="P395" i="89"/>
  <c r="Q395" i="89"/>
  <c r="S395" i="89"/>
  <c r="L396" i="89"/>
  <c r="N396" i="89"/>
  <c r="O396" i="89"/>
  <c r="F396" i="89" s="1"/>
  <c r="P396" i="89"/>
  <c r="Q396" i="89"/>
  <c r="S396" i="89"/>
  <c r="L397" i="89"/>
  <c r="N397" i="89"/>
  <c r="O397" i="89"/>
  <c r="P397" i="89"/>
  <c r="Q397" i="89"/>
  <c r="S397" i="89"/>
  <c r="L398" i="89"/>
  <c r="N398" i="89"/>
  <c r="O398" i="89"/>
  <c r="F398" i="89" s="1"/>
  <c r="P398" i="89"/>
  <c r="Q398" i="89"/>
  <c r="S398" i="89"/>
  <c r="L399" i="89"/>
  <c r="N399" i="89"/>
  <c r="O399" i="89"/>
  <c r="P399" i="89"/>
  <c r="Q399" i="89"/>
  <c r="S399" i="89"/>
  <c r="L400" i="89"/>
  <c r="N400" i="89"/>
  <c r="O400" i="89"/>
  <c r="F400" i="89" s="1"/>
  <c r="P400" i="89"/>
  <c r="Q400" i="89"/>
  <c r="S400" i="89"/>
  <c r="F401" i="89"/>
  <c r="L401" i="89"/>
  <c r="N401" i="89"/>
  <c r="O401" i="89"/>
  <c r="P401" i="89"/>
  <c r="Q401" i="89"/>
  <c r="S401" i="89"/>
  <c r="L402" i="89"/>
  <c r="N402" i="89"/>
  <c r="O402" i="89"/>
  <c r="P402" i="89"/>
  <c r="F402" i="89" s="1"/>
  <c r="Q402" i="89"/>
  <c r="S402" i="89"/>
  <c r="L403" i="89"/>
  <c r="N403" i="89"/>
  <c r="O403" i="89"/>
  <c r="P403" i="89"/>
  <c r="Q403" i="89"/>
  <c r="S403" i="89"/>
  <c r="L404" i="89"/>
  <c r="N404" i="89"/>
  <c r="O404" i="89"/>
  <c r="P404" i="89"/>
  <c r="Q404" i="89"/>
  <c r="S404" i="89"/>
  <c r="L405" i="89"/>
  <c r="N405" i="89"/>
  <c r="O405" i="89"/>
  <c r="P405" i="89"/>
  <c r="Q405" i="89"/>
  <c r="S405" i="89"/>
  <c r="L406" i="89"/>
  <c r="N406" i="89"/>
  <c r="O406" i="89"/>
  <c r="F406" i="89" s="1"/>
  <c r="P406" i="89"/>
  <c r="Q406" i="89"/>
  <c r="S406" i="89"/>
  <c r="L407" i="89"/>
  <c r="N407" i="89"/>
  <c r="O407" i="89"/>
  <c r="P407" i="89"/>
  <c r="Q407" i="89"/>
  <c r="S407" i="89"/>
  <c r="L408" i="89"/>
  <c r="N408" i="89"/>
  <c r="O408" i="89"/>
  <c r="P408" i="89"/>
  <c r="Q408" i="89"/>
  <c r="S408" i="89"/>
  <c r="F409" i="89"/>
  <c r="L409" i="89"/>
  <c r="N409" i="89"/>
  <c r="O409" i="89"/>
  <c r="P409" i="89"/>
  <c r="Q409" i="89"/>
  <c r="S409" i="89"/>
  <c r="L410" i="89"/>
  <c r="N410" i="89"/>
  <c r="O410" i="89"/>
  <c r="P410" i="89"/>
  <c r="Q410" i="89"/>
  <c r="S410" i="89"/>
  <c r="L411" i="89"/>
  <c r="N411" i="89"/>
  <c r="O411" i="89"/>
  <c r="F411" i="89" s="1"/>
  <c r="P411" i="89"/>
  <c r="Q411" i="89"/>
  <c r="S411" i="89"/>
  <c r="L412" i="89"/>
  <c r="N412" i="89"/>
  <c r="O412" i="89"/>
  <c r="P412" i="89"/>
  <c r="Q412" i="89"/>
  <c r="S412" i="89"/>
  <c r="L413" i="89"/>
  <c r="N413" i="89"/>
  <c r="O413" i="89"/>
  <c r="P413" i="89"/>
  <c r="F413" i="89" s="1"/>
  <c r="Q413" i="89"/>
  <c r="S413" i="89"/>
  <c r="L414" i="89"/>
  <c r="N414" i="89"/>
  <c r="O414" i="89"/>
  <c r="F414" i="89" s="1"/>
  <c r="P414" i="89"/>
  <c r="Q414" i="89"/>
  <c r="S414" i="89"/>
  <c r="L415" i="89"/>
  <c r="N415" i="89"/>
  <c r="O415" i="89"/>
  <c r="F415" i="89" s="1"/>
  <c r="P415" i="89"/>
  <c r="Q415" i="89"/>
  <c r="S415" i="89"/>
  <c r="L416" i="89"/>
  <c r="N416" i="89"/>
  <c r="O416" i="89"/>
  <c r="P416" i="89"/>
  <c r="Q416" i="89"/>
  <c r="S416" i="89"/>
  <c r="L417" i="89"/>
  <c r="N417" i="89"/>
  <c r="O417" i="89"/>
  <c r="P417" i="89"/>
  <c r="F417" i="89" s="1"/>
  <c r="Q417" i="89"/>
  <c r="S417" i="89"/>
  <c r="L418" i="89"/>
  <c r="N418" i="89"/>
  <c r="O418" i="89"/>
  <c r="P418" i="89"/>
  <c r="Q418" i="89"/>
  <c r="S418" i="89"/>
  <c r="F419" i="89"/>
  <c r="L419" i="89"/>
  <c r="N419" i="89"/>
  <c r="O419" i="89"/>
  <c r="P419" i="89"/>
  <c r="Q419" i="89"/>
  <c r="S419" i="89"/>
  <c r="L420" i="89"/>
  <c r="N420" i="89"/>
  <c r="O420" i="89"/>
  <c r="F420" i="89" s="1"/>
  <c r="P420" i="89"/>
  <c r="Q420" i="89"/>
  <c r="S420" i="89"/>
  <c r="L421" i="89"/>
  <c r="N421" i="89"/>
  <c r="O421" i="89"/>
  <c r="P421" i="89"/>
  <c r="F421" i="89" s="1"/>
  <c r="Q421" i="89"/>
  <c r="S421" i="89"/>
  <c r="L422" i="89"/>
  <c r="N422" i="89"/>
  <c r="O422" i="89"/>
  <c r="P422" i="89"/>
  <c r="Q422" i="89"/>
  <c r="S422" i="89"/>
  <c r="L423" i="89"/>
  <c r="N423" i="89"/>
  <c r="O423" i="89"/>
  <c r="F423" i="89" s="1"/>
  <c r="P423" i="89"/>
  <c r="Q423" i="89"/>
  <c r="S423" i="89"/>
  <c r="L424" i="89"/>
  <c r="N424" i="89"/>
  <c r="O424" i="89"/>
  <c r="F424" i="89" s="1"/>
  <c r="P424" i="89"/>
  <c r="Q424" i="89"/>
  <c r="S424" i="89"/>
  <c r="L425" i="89"/>
  <c r="N425" i="89"/>
  <c r="O425" i="89"/>
  <c r="F425" i="89" s="1"/>
  <c r="P425" i="89"/>
  <c r="Q425" i="89"/>
  <c r="S425" i="89"/>
  <c r="L426" i="89"/>
  <c r="N426" i="89"/>
  <c r="O426" i="89"/>
  <c r="P426" i="89"/>
  <c r="Q426" i="89"/>
  <c r="S426" i="89"/>
  <c r="L427" i="89"/>
  <c r="N427" i="89"/>
  <c r="O427" i="89"/>
  <c r="F427" i="89" s="1"/>
  <c r="P427" i="89"/>
  <c r="Q427" i="89"/>
  <c r="S427" i="89"/>
  <c r="L428" i="89"/>
  <c r="N428" i="89"/>
  <c r="O428" i="89"/>
  <c r="F428" i="89" s="1"/>
  <c r="P428" i="89"/>
  <c r="Q428" i="89"/>
  <c r="S428" i="89"/>
  <c r="L429" i="89"/>
  <c r="N429" i="89"/>
  <c r="O429" i="89"/>
  <c r="P429" i="89"/>
  <c r="Q429" i="89"/>
  <c r="S429" i="89"/>
  <c r="L430" i="89"/>
  <c r="N430" i="89"/>
  <c r="O430" i="89"/>
  <c r="P430" i="89"/>
  <c r="Q430" i="89"/>
  <c r="S430" i="89"/>
  <c r="L431" i="89"/>
  <c r="N431" i="89"/>
  <c r="O431" i="89"/>
  <c r="F431" i="89" s="1"/>
  <c r="P431" i="89"/>
  <c r="Q431" i="89"/>
  <c r="S431" i="89"/>
  <c r="L432" i="89"/>
  <c r="N432" i="89"/>
  <c r="O432" i="89"/>
  <c r="F432" i="89" s="1"/>
  <c r="P432" i="89"/>
  <c r="Q432" i="89"/>
  <c r="S432" i="89"/>
  <c r="L433" i="89"/>
  <c r="N433" i="89"/>
  <c r="O433" i="89"/>
  <c r="P433" i="89"/>
  <c r="F433" i="89" s="1"/>
  <c r="Q433" i="89"/>
  <c r="S433" i="89"/>
  <c r="L434" i="89"/>
  <c r="N434" i="89"/>
  <c r="O434" i="89"/>
  <c r="F434" i="89" s="1"/>
  <c r="P434" i="89"/>
  <c r="Q434" i="89"/>
  <c r="S434" i="89"/>
  <c r="L435" i="89"/>
  <c r="N435" i="89"/>
  <c r="O435" i="89"/>
  <c r="P435" i="89"/>
  <c r="Q435" i="89"/>
  <c r="S435" i="89"/>
  <c r="L436" i="89"/>
  <c r="N436" i="89"/>
  <c r="O436" i="89"/>
  <c r="P436" i="89"/>
  <c r="Q436" i="89"/>
  <c r="S436" i="89"/>
  <c r="L437" i="89"/>
  <c r="N437" i="89"/>
  <c r="O437" i="89"/>
  <c r="P437" i="89"/>
  <c r="Q437" i="89"/>
  <c r="S437" i="89"/>
  <c r="L438" i="89"/>
  <c r="N438" i="89"/>
  <c r="O438" i="89"/>
  <c r="F438" i="89" s="1"/>
  <c r="P438" i="89"/>
  <c r="Q438" i="89"/>
  <c r="S438" i="89"/>
  <c r="L439" i="89"/>
  <c r="N439" i="89"/>
  <c r="O439" i="89"/>
  <c r="P439" i="89"/>
  <c r="Q439" i="89"/>
  <c r="S439" i="89"/>
  <c r="L440" i="89"/>
  <c r="N440" i="89"/>
  <c r="O440" i="89"/>
  <c r="P440" i="89"/>
  <c r="Q440" i="89"/>
  <c r="S440" i="89"/>
  <c r="F441" i="89"/>
  <c r="L441" i="89"/>
  <c r="N441" i="89"/>
  <c r="O441" i="89"/>
  <c r="P441" i="89"/>
  <c r="Q441" i="89"/>
  <c r="S441" i="89"/>
  <c r="L442" i="89"/>
  <c r="N442" i="89"/>
  <c r="O442" i="89"/>
  <c r="P442" i="89"/>
  <c r="F442" i="89" s="1"/>
  <c r="Q442" i="89"/>
  <c r="S442" i="89"/>
  <c r="L443" i="89"/>
  <c r="N443" i="89"/>
  <c r="O443" i="89"/>
  <c r="F443" i="89" s="1"/>
  <c r="P443" i="89"/>
  <c r="Q443" i="89"/>
  <c r="S443" i="89"/>
  <c r="L444" i="89"/>
  <c r="N444" i="89"/>
  <c r="O444" i="89"/>
  <c r="P444" i="89"/>
  <c r="Q444" i="89"/>
  <c r="S444" i="89"/>
  <c r="L445" i="89"/>
  <c r="N445" i="89"/>
  <c r="O445" i="89"/>
  <c r="P445" i="89"/>
  <c r="F445" i="89" s="1"/>
  <c r="Q445" i="89"/>
  <c r="S445" i="89"/>
  <c r="L446" i="89"/>
  <c r="N446" i="89"/>
  <c r="O446" i="89"/>
  <c r="F446" i="89" s="1"/>
  <c r="P446" i="89"/>
  <c r="Q446" i="89"/>
  <c r="S446" i="89"/>
  <c r="L447" i="89"/>
  <c r="N447" i="89"/>
  <c r="O447" i="89"/>
  <c r="F447" i="89" s="1"/>
  <c r="P447" i="89"/>
  <c r="Q447" i="89"/>
  <c r="S447" i="89"/>
  <c r="L448" i="89"/>
  <c r="N448" i="89"/>
  <c r="O448" i="89"/>
  <c r="P448" i="89"/>
  <c r="Q448" i="89"/>
  <c r="S448" i="89"/>
  <c r="F449" i="89"/>
  <c r="L449" i="89"/>
  <c r="N449" i="89"/>
  <c r="O449" i="89"/>
  <c r="P449" i="89"/>
  <c r="Q449" i="89"/>
  <c r="S449" i="89"/>
  <c r="L450" i="89"/>
  <c r="N450" i="89"/>
  <c r="O450" i="89"/>
  <c r="P450" i="89"/>
  <c r="Q450" i="89"/>
  <c r="S450" i="89"/>
  <c r="L451" i="89"/>
  <c r="N451" i="89"/>
  <c r="O451" i="89"/>
  <c r="F451" i="89" s="1"/>
  <c r="P451" i="89"/>
  <c r="Q451" i="89"/>
  <c r="S451" i="89"/>
  <c r="L452" i="89"/>
  <c r="N452" i="89"/>
  <c r="O452" i="89"/>
  <c r="F452" i="89" s="1"/>
  <c r="P452" i="89"/>
  <c r="Q452" i="89"/>
  <c r="S452" i="89"/>
  <c r="L453" i="89"/>
  <c r="N453" i="89"/>
  <c r="O453" i="89"/>
  <c r="P453" i="89"/>
  <c r="F453" i="89" s="1"/>
  <c r="Q453" i="89"/>
  <c r="S453" i="89"/>
  <c r="L454" i="89"/>
  <c r="N454" i="89"/>
  <c r="O454" i="89"/>
  <c r="P454" i="89"/>
  <c r="Q454" i="89"/>
  <c r="S454" i="89"/>
  <c r="L455" i="89"/>
  <c r="N455" i="89"/>
  <c r="O455" i="89"/>
  <c r="F455" i="89" s="1"/>
  <c r="P455" i="89"/>
  <c r="Q455" i="89"/>
  <c r="S455" i="89"/>
  <c r="L456" i="89"/>
  <c r="N456" i="89"/>
  <c r="O456" i="89"/>
  <c r="F456" i="89" s="1"/>
  <c r="P456" i="89"/>
  <c r="Q456" i="89"/>
  <c r="S456" i="89"/>
  <c r="L457" i="89"/>
  <c r="N457" i="89"/>
  <c r="O457" i="89"/>
  <c r="P457" i="89"/>
  <c r="F457" i="89" s="1"/>
  <c r="Q457" i="89"/>
  <c r="S457" i="89"/>
  <c r="L458" i="89"/>
  <c r="N458" i="89"/>
  <c r="O458" i="89"/>
  <c r="P458" i="89"/>
  <c r="Q458" i="89"/>
  <c r="S458" i="89"/>
  <c r="L459" i="89"/>
  <c r="N459" i="89"/>
  <c r="O459" i="89"/>
  <c r="F459" i="89" s="1"/>
  <c r="P459" i="89"/>
  <c r="Q459" i="89"/>
  <c r="S459" i="89"/>
  <c r="L460" i="89"/>
  <c r="N460" i="89"/>
  <c r="O460" i="89"/>
  <c r="F460" i="89" s="1"/>
  <c r="P460" i="89"/>
  <c r="Q460" i="89"/>
  <c r="S460" i="89"/>
  <c r="L461" i="89"/>
  <c r="N461" i="89"/>
  <c r="O461" i="89"/>
  <c r="P461" i="89"/>
  <c r="Q461" i="89"/>
  <c r="S461" i="89"/>
  <c r="L462" i="89"/>
  <c r="N462" i="89"/>
  <c r="O462" i="89"/>
  <c r="F462" i="89" s="1"/>
  <c r="P462" i="89"/>
  <c r="Q462" i="89"/>
  <c r="S462" i="89"/>
  <c r="L463" i="89"/>
  <c r="N463" i="89"/>
  <c r="O463" i="89"/>
  <c r="F463" i="89" s="1"/>
  <c r="P463" i="89"/>
  <c r="Q463" i="89"/>
  <c r="S463" i="89"/>
  <c r="L464" i="89"/>
  <c r="N464" i="89"/>
  <c r="O464" i="89"/>
  <c r="F464" i="89" s="1"/>
  <c r="P464" i="89"/>
  <c r="Q464" i="89"/>
  <c r="S464" i="89"/>
  <c r="L465" i="89"/>
  <c r="N465" i="89"/>
  <c r="O465" i="89"/>
  <c r="P465" i="89"/>
  <c r="F465" i="89" s="1"/>
  <c r="Q465" i="89"/>
  <c r="S465" i="89"/>
  <c r="L466" i="89"/>
  <c r="N466" i="89"/>
  <c r="O466" i="89"/>
  <c r="P466" i="89"/>
  <c r="Q466" i="89"/>
  <c r="S466" i="89"/>
  <c r="L467" i="89"/>
  <c r="N467" i="89"/>
  <c r="O467" i="89"/>
  <c r="P467" i="89"/>
  <c r="Q467" i="89"/>
  <c r="S467" i="89"/>
  <c r="L468" i="89"/>
  <c r="N468" i="89"/>
  <c r="O468" i="89"/>
  <c r="P468" i="89"/>
  <c r="Q468" i="89"/>
  <c r="S468" i="89"/>
  <c r="L469" i="89"/>
  <c r="N469" i="89"/>
  <c r="O469" i="89"/>
  <c r="P469" i="89"/>
  <c r="Q469" i="89"/>
  <c r="S469" i="89"/>
  <c r="L470" i="89"/>
  <c r="N470" i="89"/>
  <c r="O470" i="89"/>
  <c r="F470" i="89" s="1"/>
  <c r="P470" i="89"/>
  <c r="Q470" i="89"/>
  <c r="S470" i="89"/>
  <c r="L471" i="89"/>
  <c r="N471" i="89"/>
  <c r="O471" i="89"/>
  <c r="P471" i="89"/>
  <c r="Q471" i="89"/>
  <c r="S471" i="89"/>
  <c r="L472" i="89"/>
  <c r="N472" i="89"/>
  <c r="O472" i="89"/>
  <c r="P472" i="89"/>
  <c r="Q472" i="89"/>
  <c r="S472" i="89"/>
  <c r="L473" i="89"/>
  <c r="N473" i="89"/>
  <c r="O473" i="89"/>
  <c r="P473" i="89"/>
  <c r="F473" i="89" s="1"/>
  <c r="Q473" i="89"/>
  <c r="S473" i="89"/>
  <c r="L474" i="89"/>
  <c r="N474" i="89"/>
  <c r="O474" i="89"/>
  <c r="P474" i="89"/>
  <c r="Q474" i="89"/>
  <c r="S474" i="89"/>
  <c r="F475" i="89"/>
  <c r="L475" i="89"/>
  <c r="N475" i="89"/>
  <c r="O475" i="89"/>
  <c r="P475" i="89"/>
  <c r="Q475" i="89"/>
  <c r="S475" i="89"/>
  <c r="L476" i="89"/>
  <c r="N476" i="89"/>
  <c r="O476" i="89"/>
  <c r="P476" i="89"/>
  <c r="Q476" i="89"/>
  <c r="S476" i="89"/>
  <c r="L477" i="89"/>
  <c r="N477" i="89"/>
  <c r="O477" i="89"/>
  <c r="P477" i="89"/>
  <c r="Q477" i="89"/>
  <c r="S477" i="89"/>
  <c r="L478" i="89"/>
  <c r="N478" i="89"/>
  <c r="O478" i="89"/>
  <c r="F478" i="89" s="1"/>
  <c r="P478" i="89"/>
  <c r="Q478" i="89"/>
  <c r="S478" i="89"/>
  <c r="L479" i="89"/>
  <c r="N479" i="89"/>
  <c r="O479" i="89"/>
  <c r="F479" i="89" s="1"/>
  <c r="P479" i="89"/>
  <c r="Q479" i="89"/>
  <c r="S479" i="89"/>
  <c r="L480" i="89"/>
  <c r="N480" i="89"/>
  <c r="O480" i="89"/>
  <c r="P480" i="89"/>
  <c r="Q480" i="89"/>
  <c r="S480" i="89"/>
  <c r="F481" i="89"/>
  <c r="L481" i="89"/>
  <c r="N481" i="89"/>
  <c r="O481" i="89"/>
  <c r="P481" i="89"/>
  <c r="Q481" i="89"/>
  <c r="S481" i="89"/>
  <c r="L482" i="89"/>
  <c r="N482" i="89"/>
  <c r="O482" i="89"/>
  <c r="P482" i="89"/>
  <c r="Q482" i="89"/>
  <c r="S482" i="89"/>
  <c r="L483" i="89"/>
  <c r="N483" i="89"/>
  <c r="O483" i="89"/>
  <c r="F483" i="89" s="1"/>
  <c r="P483" i="89"/>
  <c r="Q483" i="89"/>
  <c r="S483" i="89"/>
  <c r="L484" i="89"/>
  <c r="N484" i="89"/>
  <c r="O484" i="89"/>
  <c r="F484" i="89" s="1"/>
  <c r="P484" i="89"/>
  <c r="Q484" i="89"/>
  <c r="S484" i="89"/>
  <c r="L485" i="89"/>
  <c r="N485" i="89"/>
  <c r="O485" i="89"/>
  <c r="P485" i="89"/>
  <c r="F485" i="89" s="1"/>
  <c r="Q485" i="89"/>
  <c r="S485" i="89"/>
  <c r="L486" i="89"/>
  <c r="N486" i="89"/>
  <c r="O486" i="89"/>
  <c r="F486" i="89" s="1"/>
  <c r="P486" i="89"/>
  <c r="Q486" i="89"/>
  <c r="S486" i="89"/>
  <c r="L487" i="89"/>
  <c r="N487" i="89"/>
  <c r="O487" i="89"/>
  <c r="F487" i="89" s="1"/>
  <c r="P487" i="89"/>
  <c r="Q487" i="89"/>
  <c r="S487" i="89"/>
  <c r="L488" i="89"/>
  <c r="N488" i="89"/>
  <c r="O488" i="89"/>
  <c r="F488" i="89" s="1"/>
  <c r="P488" i="89"/>
  <c r="Q488" i="89"/>
  <c r="S488" i="89"/>
  <c r="F489" i="89"/>
  <c r="L489" i="89"/>
  <c r="N489" i="89"/>
  <c r="O489" i="89"/>
  <c r="P489" i="89"/>
  <c r="Q489" i="89"/>
  <c r="S489" i="89"/>
  <c r="L490" i="89"/>
  <c r="N490" i="89"/>
  <c r="O490" i="89"/>
  <c r="F490" i="89" s="1"/>
  <c r="P490" i="89"/>
  <c r="Q490" i="89"/>
  <c r="S490" i="89"/>
  <c r="L491" i="89"/>
  <c r="N491" i="89"/>
  <c r="O491" i="89"/>
  <c r="P491" i="89"/>
  <c r="Q491" i="89"/>
  <c r="S491" i="89"/>
  <c r="L492" i="89"/>
  <c r="N492" i="89"/>
  <c r="O492" i="89"/>
  <c r="F492" i="89" s="1"/>
  <c r="P492" i="89"/>
  <c r="Q492" i="89"/>
  <c r="S492" i="89"/>
  <c r="L493" i="89"/>
  <c r="N493" i="89"/>
  <c r="O493" i="89"/>
  <c r="P493" i="89"/>
  <c r="Q493" i="89"/>
  <c r="S493" i="89"/>
  <c r="L494" i="89"/>
  <c r="N494" i="89"/>
  <c r="O494" i="89"/>
  <c r="F494" i="89" s="1"/>
  <c r="P494" i="89"/>
  <c r="Q494" i="89"/>
  <c r="S494" i="89"/>
  <c r="L495" i="89"/>
  <c r="N495" i="89"/>
  <c r="O495" i="89"/>
  <c r="P495" i="89"/>
  <c r="Q495" i="89"/>
  <c r="S495" i="89"/>
  <c r="L496" i="89"/>
  <c r="N496" i="89"/>
  <c r="O496" i="89"/>
  <c r="P496" i="89"/>
  <c r="Q496" i="89"/>
  <c r="S496" i="89"/>
  <c r="F497" i="89"/>
  <c r="L497" i="89"/>
  <c r="N497" i="89"/>
  <c r="O497" i="89"/>
  <c r="P497" i="89"/>
  <c r="Q497" i="89"/>
  <c r="S497" i="89"/>
  <c r="L498" i="89"/>
  <c r="N498" i="89"/>
  <c r="O498" i="89"/>
  <c r="P498" i="89"/>
  <c r="Q498" i="89"/>
  <c r="S498" i="89"/>
  <c r="F499" i="89"/>
  <c r="L499" i="89"/>
  <c r="N499" i="89"/>
  <c r="O499" i="89"/>
  <c r="P499" i="89"/>
  <c r="Q499" i="89"/>
  <c r="S499" i="89"/>
  <c r="L500" i="89"/>
  <c r="N500" i="89"/>
  <c r="O500" i="89"/>
  <c r="P500" i="89"/>
  <c r="Q500" i="89"/>
  <c r="S500" i="89"/>
  <c r="L501" i="89"/>
  <c r="N501" i="89"/>
  <c r="O501" i="89"/>
  <c r="P501" i="89"/>
  <c r="F501" i="89" s="1"/>
  <c r="Q501" i="89"/>
  <c r="S501" i="89"/>
  <c r="L502" i="89"/>
  <c r="N502" i="89"/>
  <c r="O502" i="89"/>
  <c r="F502" i="89" s="1"/>
  <c r="P502" i="89"/>
  <c r="Q502" i="89"/>
  <c r="S502" i="89"/>
  <c r="L503" i="89"/>
  <c r="N503" i="89"/>
  <c r="O503" i="89"/>
  <c r="F503" i="89" s="1"/>
  <c r="P503" i="89"/>
  <c r="Q503" i="89"/>
  <c r="S503" i="89"/>
  <c r="L504" i="89"/>
  <c r="N504" i="89"/>
  <c r="O504" i="89"/>
  <c r="P504" i="89"/>
  <c r="Q504" i="89"/>
  <c r="S504" i="89"/>
  <c r="L505" i="89"/>
  <c r="N505" i="89"/>
  <c r="O505" i="89"/>
  <c r="P505" i="89"/>
  <c r="Q505" i="89"/>
  <c r="S505" i="89"/>
  <c r="L506" i="89"/>
  <c r="N506" i="89"/>
  <c r="O506" i="89"/>
  <c r="P506" i="89"/>
  <c r="Q506" i="89"/>
  <c r="S506" i="89"/>
  <c r="F507" i="89"/>
  <c r="L507" i="89"/>
  <c r="N507" i="89"/>
  <c r="O507" i="89"/>
  <c r="P507" i="89"/>
  <c r="Q507" i="89"/>
  <c r="S507" i="89"/>
  <c r="L508" i="89"/>
  <c r="N508" i="89"/>
  <c r="O508" i="89"/>
  <c r="F508" i="89" s="1"/>
  <c r="P508" i="89"/>
  <c r="Q508" i="89"/>
  <c r="S508" i="89"/>
  <c r="L509" i="89"/>
  <c r="N509" i="89"/>
  <c r="O509" i="89"/>
  <c r="P509" i="89"/>
  <c r="Q509" i="89"/>
  <c r="S509" i="89"/>
  <c r="L510" i="89"/>
  <c r="N510" i="89"/>
  <c r="O510" i="89"/>
  <c r="P510" i="89"/>
  <c r="Q510" i="89"/>
  <c r="S510" i="89"/>
  <c r="L511" i="89"/>
  <c r="N511" i="89"/>
  <c r="O511" i="89"/>
  <c r="F511" i="89" s="1"/>
  <c r="P511" i="89"/>
  <c r="Q511" i="89"/>
  <c r="S511" i="89"/>
  <c r="L512" i="89"/>
  <c r="N512" i="89"/>
  <c r="O512" i="89"/>
  <c r="F512" i="89" s="1"/>
  <c r="P512" i="89"/>
  <c r="Q512" i="89"/>
  <c r="S512" i="89"/>
  <c r="L513" i="89"/>
  <c r="N513" i="89"/>
  <c r="O513" i="89"/>
  <c r="F513" i="89" s="1"/>
  <c r="P513" i="89"/>
  <c r="Q513" i="89"/>
  <c r="S513" i="89"/>
  <c r="L514" i="89"/>
  <c r="N514" i="89"/>
  <c r="O514" i="89"/>
  <c r="F514" i="89" s="1"/>
  <c r="P514" i="89"/>
  <c r="Q514" i="89"/>
  <c r="S514" i="89"/>
  <c r="L515" i="89"/>
  <c r="N515" i="89"/>
  <c r="O515" i="89"/>
  <c r="P515" i="89"/>
  <c r="F515" i="89" s="1"/>
  <c r="Q515" i="89"/>
  <c r="S515" i="89"/>
  <c r="L516" i="89"/>
  <c r="N516" i="89"/>
  <c r="O516" i="89"/>
  <c r="F516" i="89" s="1"/>
  <c r="P516" i="89"/>
  <c r="Q516" i="89"/>
  <c r="S516" i="89"/>
  <c r="L517" i="89"/>
  <c r="N517" i="89"/>
  <c r="O517" i="89"/>
  <c r="P517" i="89"/>
  <c r="Q517" i="89"/>
  <c r="S517" i="89"/>
  <c r="L518" i="89"/>
  <c r="N518" i="89"/>
  <c r="O518" i="89"/>
  <c r="F518" i="89" s="1"/>
  <c r="P518" i="89"/>
  <c r="Q518" i="89"/>
  <c r="S518" i="89"/>
  <c r="L519" i="89"/>
  <c r="N519" i="89"/>
  <c r="O519" i="89"/>
  <c r="P519" i="89"/>
  <c r="Q519" i="89"/>
  <c r="S519" i="89"/>
  <c r="L520" i="89"/>
  <c r="N520" i="89"/>
  <c r="O520" i="89"/>
  <c r="F520" i="89" s="1"/>
  <c r="P520" i="89"/>
  <c r="Q520" i="89"/>
  <c r="S520" i="89"/>
  <c r="F521" i="89"/>
  <c r="L521" i="89"/>
  <c r="N521" i="89"/>
  <c r="O521" i="89"/>
  <c r="P521" i="89"/>
  <c r="Q521" i="89"/>
  <c r="S521" i="89"/>
  <c r="L522" i="89"/>
  <c r="N522" i="89"/>
  <c r="O522" i="89"/>
  <c r="P522" i="89"/>
  <c r="Q522" i="89"/>
  <c r="S522" i="89"/>
  <c r="L523" i="89"/>
  <c r="N523" i="89"/>
  <c r="O523" i="89"/>
  <c r="P523" i="89"/>
  <c r="Q523" i="89"/>
  <c r="S523" i="89"/>
  <c r="L524" i="89"/>
  <c r="N524" i="89"/>
  <c r="O524" i="89"/>
  <c r="P524" i="89"/>
  <c r="Q524" i="89"/>
  <c r="S524" i="89"/>
  <c r="L525" i="89"/>
  <c r="N525" i="89"/>
  <c r="O525" i="89"/>
  <c r="P525" i="89"/>
  <c r="Q525" i="89"/>
  <c r="S525" i="89"/>
  <c r="L526" i="89"/>
  <c r="N526" i="89"/>
  <c r="O526" i="89"/>
  <c r="P526" i="89"/>
  <c r="Q526" i="89"/>
  <c r="S526" i="89"/>
  <c r="L527" i="89"/>
  <c r="N527" i="89"/>
  <c r="O527" i="89"/>
  <c r="P527" i="89"/>
  <c r="Q527" i="89"/>
  <c r="S527" i="89"/>
  <c r="L528" i="89"/>
  <c r="N528" i="89"/>
  <c r="O528" i="89"/>
  <c r="P528" i="89"/>
  <c r="Q528" i="89"/>
  <c r="S528" i="89"/>
  <c r="F529" i="89"/>
  <c r="L529" i="89"/>
  <c r="N529" i="89"/>
  <c r="O529" i="89"/>
  <c r="P529" i="89"/>
  <c r="Q529" i="89"/>
  <c r="S529" i="89"/>
  <c r="L530" i="89"/>
  <c r="N530" i="89"/>
  <c r="O530" i="89"/>
  <c r="F530" i="89" s="1"/>
  <c r="P530" i="89"/>
  <c r="Q530" i="89"/>
  <c r="S530" i="89"/>
  <c r="L531" i="89"/>
  <c r="N531" i="89"/>
  <c r="O531" i="89"/>
  <c r="F531" i="89" s="1"/>
  <c r="P531" i="89"/>
  <c r="Q531" i="89"/>
  <c r="S531" i="89"/>
  <c r="L532" i="89"/>
  <c r="N532" i="89"/>
  <c r="O532" i="89"/>
  <c r="P532" i="89"/>
  <c r="Q532" i="89"/>
  <c r="S532" i="89"/>
  <c r="L533" i="89"/>
  <c r="N533" i="89"/>
  <c r="O533" i="89"/>
  <c r="P533" i="89"/>
  <c r="F533" i="89" s="1"/>
  <c r="Q533" i="89"/>
  <c r="S533" i="89"/>
  <c r="L534" i="89"/>
  <c r="N534" i="89"/>
  <c r="O534" i="89"/>
  <c r="F534" i="89" s="1"/>
  <c r="P534" i="89"/>
  <c r="Q534" i="89"/>
  <c r="S534" i="89"/>
  <c r="L535" i="89"/>
  <c r="N535" i="89"/>
  <c r="O535" i="89"/>
  <c r="F535" i="89" s="1"/>
  <c r="P535" i="89"/>
  <c r="Q535" i="89"/>
  <c r="S535" i="89"/>
  <c r="L536" i="89"/>
  <c r="N536" i="89"/>
  <c r="O536" i="89"/>
  <c r="P536" i="89"/>
  <c r="Q536" i="89"/>
  <c r="S536" i="89"/>
  <c r="L537" i="89"/>
  <c r="N537" i="89"/>
  <c r="O537" i="89"/>
  <c r="P537" i="89"/>
  <c r="F537" i="89" s="1"/>
  <c r="Q537" i="89"/>
  <c r="S537" i="89"/>
  <c r="L538" i="89"/>
  <c r="N538" i="89"/>
  <c r="O538" i="89"/>
  <c r="P538" i="89"/>
  <c r="Q538" i="89"/>
  <c r="S538" i="89"/>
  <c r="F539" i="89"/>
  <c r="L539" i="89"/>
  <c r="N539" i="89"/>
  <c r="O539" i="89"/>
  <c r="P539" i="89"/>
  <c r="Q539" i="89"/>
  <c r="S539" i="89"/>
  <c r="L540" i="89"/>
  <c r="N540" i="89"/>
  <c r="O540" i="89"/>
  <c r="P540" i="89"/>
  <c r="Q540" i="89"/>
  <c r="S540" i="89"/>
  <c r="L541" i="89"/>
  <c r="N541" i="89"/>
  <c r="O541" i="89"/>
  <c r="P541" i="89"/>
  <c r="Q541" i="89"/>
  <c r="S541" i="89"/>
  <c r="L542" i="89"/>
  <c r="N542" i="89"/>
  <c r="O542" i="89"/>
  <c r="P542" i="89"/>
  <c r="Q542" i="89"/>
  <c r="S542" i="89"/>
  <c r="L543" i="89"/>
  <c r="N543" i="89"/>
  <c r="O543" i="89"/>
  <c r="F543" i="89" s="1"/>
  <c r="P543" i="89"/>
  <c r="Q543" i="89"/>
  <c r="S543" i="89"/>
  <c r="L144" i="88"/>
  <c r="N144" i="88"/>
  <c r="O144" i="88"/>
  <c r="P144" i="88"/>
  <c r="Q144" i="88"/>
  <c r="S144" i="88"/>
  <c r="L145" i="88"/>
  <c r="N145" i="88"/>
  <c r="O145" i="88"/>
  <c r="F145" i="88" s="1"/>
  <c r="P145" i="88"/>
  <c r="Q145" i="88"/>
  <c r="S145" i="88"/>
  <c r="L146" i="88"/>
  <c r="N146" i="88"/>
  <c r="O146" i="88"/>
  <c r="P146" i="88"/>
  <c r="Q146" i="88"/>
  <c r="S146" i="88"/>
  <c r="F147" i="88"/>
  <c r="L147" i="88"/>
  <c r="N147" i="88"/>
  <c r="O147" i="88"/>
  <c r="P147" i="88"/>
  <c r="Q147" i="88"/>
  <c r="S147" i="88"/>
  <c r="L148" i="88"/>
  <c r="N148" i="88"/>
  <c r="O148" i="88"/>
  <c r="P148" i="88"/>
  <c r="Q148" i="88"/>
  <c r="S148" i="88"/>
  <c r="L149" i="88"/>
  <c r="N149" i="88"/>
  <c r="O149" i="88"/>
  <c r="P149" i="88"/>
  <c r="F149" i="88" s="1"/>
  <c r="Q149" i="88"/>
  <c r="S149" i="88"/>
  <c r="L150" i="88"/>
  <c r="N150" i="88"/>
  <c r="O150" i="88"/>
  <c r="F150" i="88" s="1"/>
  <c r="P150" i="88"/>
  <c r="Q150" i="88"/>
  <c r="S150" i="88"/>
  <c r="L151" i="88"/>
  <c r="N151" i="88"/>
  <c r="O151" i="88"/>
  <c r="P151" i="88"/>
  <c r="Q151" i="88"/>
  <c r="S151" i="88"/>
  <c r="L152" i="88"/>
  <c r="N152" i="88"/>
  <c r="O152" i="88"/>
  <c r="P152" i="88"/>
  <c r="Q152" i="88"/>
  <c r="S152" i="88"/>
  <c r="F153" i="88"/>
  <c r="L153" i="88"/>
  <c r="N153" i="88"/>
  <c r="O153" i="88"/>
  <c r="P153" i="88"/>
  <c r="Q153" i="88"/>
  <c r="S153" i="88"/>
  <c r="L154" i="88"/>
  <c r="N154" i="88"/>
  <c r="O154" i="88"/>
  <c r="F154" i="88" s="1"/>
  <c r="P154" i="88"/>
  <c r="Q154" i="88"/>
  <c r="S154" i="88"/>
  <c r="L155" i="88"/>
  <c r="N155" i="88"/>
  <c r="O155" i="88"/>
  <c r="P155" i="88"/>
  <c r="Q155" i="88"/>
  <c r="S155" i="88"/>
  <c r="L156" i="88"/>
  <c r="N156" i="88"/>
  <c r="O156" i="88"/>
  <c r="P156" i="88"/>
  <c r="Q156" i="88"/>
  <c r="S156" i="88"/>
  <c r="L157" i="88"/>
  <c r="N157" i="88"/>
  <c r="O157" i="88"/>
  <c r="P157" i="88"/>
  <c r="Q157" i="88"/>
  <c r="S157" i="88"/>
  <c r="L158" i="88"/>
  <c r="N158" i="88"/>
  <c r="O158" i="88"/>
  <c r="F158" i="88" s="1"/>
  <c r="P158" i="88"/>
  <c r="Q158" i="88"/>
  <c r="S158" i="88"/>
  <c r="L159" i="88"/>
  <c r="N159" i="88"/>
  <c r="O159" i="88"/>
  <c r="P159" i="88"/>
  <c r="Q159" i="88"/>
  <c r="S159" i="88"/>
  <c r="L160" i="88"/>
  <c r="N160" i="88"/>
  <c r="O160" i="88"/>
  <c r="P160" i="88"/>
  <c r="Q160" i="88"/>
  <c r="S160" i="88"/>
  <c r="F161" i="88"/>
  <c r="L161" i="88"/>
  <c r="N161" i="88"/>
  <c r="O161" i="88"/>
  <c r="P161" i="88"/>
  <c r="Q161" i="88"/>
  <c r="S161" i="88"/>
  <c r="F162" i="88"/>
  <c r="L162" i="88"/>
  <c r="N162" i="88"/>
  <c r="O162" i="88"/>
  <c r="P162" i="88"/>
  <c r="Q162" i="88"/>
  <c r="S162" i="88"/>
  <c r="F163" i="88"/>
  <c r="L163" i="88"/>
  <c r="N163" i="88"/>
  <c r="O163" i="88"/>
  <c r="P163" i="88"/>
  <c r="Q163" i="88"/>
  <c r="S163" i="88"/>
  <c r="L164" i="88"/>
  <c r="N164" i="88"/>
  <c r="O164" i="88"/>
  <c r="F164" i="88" s="1"/>
  <c r="P164" i="88"/>
  <c r="Q164" i="88"/>
  <c r="S164" i="88"/>
  <c r="L165" i="88"/>
  <c r="N165" i="88"/>
  <c r="O165" i="88"/>
  <c r="P165" i="88"/>
  <c r="Q165" i="88"/>
  <c r="S165" i="88"/>
  <c r="L166" i="88"/>
  <c r="N166" i="88"/>
  <c r="O166" i="88"/>
  <c r="P166" i="88"/>
  <c r="Q166" i="88"/>
  <c r="S166" i="88"/>
  <c r="L167" i="88"/>
  <c r="N167" i="88"/>
  <c r="O167" i="88"/>
  <c r="P167" i="88"/>
  <c r="Q167" i="88"/>
  <c r="S167" i="88"/>
  <c r="L168" i="88"/>
  <c r="N168" i="88"/>
  <c r="O168" i="88"/>
  <c r="F168" i="88" s="1"/>
  <c r="P168" i="88"/>
  <c r="Q168" i="88"/>
  <c r="S168" i="88"/>
  <c r="L169" i="88"/>
  <c r="N169" i="88"/>
  <c r="O169" i="88"/>
  <c r="F169" i="88" s="1"/>
  <c r="P169" i="88"/>
  <c r="Q169" i="88"/>
  <c r="S169" i="88"/>
  <c r="L170" i="88"/>
  <c r="N170" i="88"/>
  <c r="O170" i="88"/>
  <c r="F170" i="88" s="1"/>
  <c r="P170" i="88"/>
  <c r="Q170" i="88"/>
  <c r="S170" i="88"/>
  <c r="L171" i="88"/>
  <c r="N171" i="88"/>
  <c r="O171" i="88"/>
  <c r="P171" i="88"/>
  <c r="Q171" i="88"/>
  <c r="S171" i="88"/>
  <c r="L172" i="88"/>
  <c r="N172" i="88"/>
  <c r="O172" i="88"/>
  <c r="F172" i="88" s="1"/>
  <c r="P172" i="88"/>
  <c r="Q172" i="88"/>
  <c r="S172" i="88"/>
  <c r="L173" i="88"/>
  <c r="N173" i="88"/>
  <c r="O173" i="88"/>
  <c r="P173" i="88"/>
  <c r="Q173" i="88"/>
  <c r="S173" i="88"/>
  <c r="L174" i="88"/>
  <c r="N174" i="88"/>
  <c r="O174" i="88"/>
  <c r="F174" i="88" s="1"/>
  <c r="P174" i="88"/>
  <c r="Q174" i="88"/>
  <c r="S174" i="88"/>
  <c r="L175" i="88"/>
  <c r="N175" i="88"/>
  <c r="O175" i="88"/>
  <c r="P175" i="88"/>
  <c r="Q175" i="88"/>
  <c r="S175" i="88"/>
  <c r="L176" i="88"/>
  <c r="N176" i="88"/>
  <c r="O176" i="88"/>
  <c r="F176" i="88" s="1"/>
  <c r="P176" i="88"/>
  <c r="Q176" i="88"/>
  <c r="S176" i="88"/>
  <c r="F177" i="88"/>
  <c r="L177" i="88"/>
  <c r="N177" i="88"/>
  <c r="O177" i="88"/>
  <c r="P177" i="88"/>
  <c r="Q177" i="88"/>
  <c r="S177" i="88"/>
  <c r="L178" i="88"/>
  <c r="N178" i="88"/>
  <c r="O178" i="88"/>
  <c r="F178" i="88" s="1"/>
  <c r="P178" i="88"/>
  <c r="Q178" i="88"/>
  <c r="S178" i="88"/>
  <c r="L179" i="88"/>
  <c r="N179" i="88"/>
  <c r="O179" i="88"/>
  <c r="P179" i="88"/>
  <c r="Q179" i="88"/>
  <c r="S179" i="88"/>
  <c r="L180" i="88"/>
  <c r="N180" i="88"/>
  <c r="O180" i="88"/>
  <c r="P180" i="88"/>
  <c r="Q180" i="88"/>
  <c r="S180" i="88"/>
  <c r="L181" i="88"/>
  <c r="N181" i="88"/>
  <c r="O181" i="88"/>
  <c r="P181" i="88"/>
  <c r="Q181" i="88"/>
  <c r="S181" i="88"/>
  <c r="L182" i="88"/>
  <c r="N182" i="88"/>
  <c r="O182" i="88"/>
  <c r="P182" i="88"/>
  <c r="Q182" i="88"/>
  <c r="S182" i="88"/>
  <c r="L183" i="88"/>
  <c r="N183" i="88"/>
  <c r="O183" i="88"/>
  <c r="P183" i="88"/>
  <c r="Q183" i="88"/>
  <c r="S183" i="88"/>
  <c r="L184" i="88"/>
  <c r="N184" i="88"/>
  <c r="O184" i="88"/>
  <c r="P184" i="88"/>
  <c r="Q184" i="88"/>
  <c r="S184" i="88"/>
  <c r="L185" i="88"/>
  <c r="N185" i="88"/>
  <c r="O185" i="88"/>
  <c r="F185" i="88" s="1"/>
  <c r="P185" i="88"/>
  <c r="Q185" i="88"/>
  <c r="S185" i="88"/>
  <c r="F186" i="88"/>
  <c r="L186" i="88"/>
  <c r="N186" i="88"/>
  <c r="O186" i="88"/>
  <c r="P186" i="88"/>
  <c r="Q186" i="88"/>
  <c r="S186" i="88"/>
  <c r="L187" i="88"/>
  <c r="N187" i="88"/>
  <c r="O187" i="88"/>
  <c r="F187" i="88" s="1"/>
  <c r="P187" i="88"/>
  <c r="Q187" i="88"/>
  <c r="S187" i="88"/>
  <c r="L188" i="88"/>
  <c r="N188" i="88"/>
  <c r="O188" i="88"/>
  <c r="F188" i="88" s="1"/>
  <c r="P188" i="88"/>
  <c r="Q188" i="88"/>
  <c r="S188" i="88"/>
  <c r="L189" i="88"/>
  <c r="N189" i="88"/>
  <c r="O189" i="88"/>
  <c r="P189" i="88"/>
  <c r="F189" i="88" s="1"/>
  <c r="Q189" i="88"/>
  <c r="S189" i="88"/>
  <c r="L190" i="88"/>
  <c r="N190" i="88"/>
  <c r="O190" i="88"/>
  <c r="F190" i="88" s="1"/>
  <c r="P190" i="88"/>
  <c r="Q190" i="88"/>
  <c r="S190" i="88"/>
  <c r="L191" i="88"/>
  <c r="N191" i="88"/>
  <c r="O191" i="88"/>
  <c r="F191" i="88" s="1"/>
  <c r="P191" i="88"/>
  <c r="Q191" i="88"/>
  <c r="S191" i="88"/>
  <c r="L192" i="88"/>
  <c r="N192" i="88"/>
  <c r="O192" i="88"/>
  <c r="F192" i="88" s="1"/>
  <c r="P192" i="88"/>
  <c r="Q192" i="88"/>
  <c r="S192" i="88"/>
  <c r="L193" i="88"/>
  <c r="N193" i="88"/>
  <c r="O193" i="88"/>
  <c r="F193" i="88" s="1"/>
  <c r="P193" i="88"/>
  <c r="Q193" i="88"/>
  <c r="S193" i="88"/>
  <c r="L194" i="88"/>
  <c r="N194" i="88"/>
  <c r="O194" i="88"/>
  <c r="P194" i="88"/>
  <c r="F194" i="88" s="1"/>
  <c r="Q194" i="88"/>
  <c r="S194" i="88"/>
  <c r="F195" i="88"/>
  <c r="L195" i="88"/>
  <c r="N195" i="88"/>
  <c r="O195" i="88"/>
  <c r="P195" i="88"/>
  <c r="Q195" i="88"/>
  <c r="S195" i="88"/>
  <c r="L196" i="88"/>
  <c r="N196" i="88"/>
  <c r="O196" i="88"/>
  <c r="F196" i="88" s="1"/>
  <c r="P196" i="88"/>
  <c r="Q196" i="88"/>
  <c r="S196" i="88"/>
  <c r="L197" i="88"/>
  <c r="N197" i="88"/>
  <c r="O197" i="88"/>
  <c r="P197" i="88"/>
  <c r="F197" i="88" s="1"/>
  <c r="Q197" i="88"/>
  <c r="S197" i="88"/>
  <c r="L198" i="88"/>
  <c r="N198" i="88"/>
  <c r="O198" i="88"/>
  <c r="F198" i="88" s="1"/>
  <c r="P198" i="88"/>
  <c r="Q198" i="88"/>
  <c r="S198" i="88"/>
  <c r="L199" i="88"/>
  <c r="N199" i="88"/>
  <c r="O199" i="88"/>
  <c r="P199" i="88"/>
  <c r="Q199" i="88"/>
  <c r="S199" i="88"/>
  <c r="L200" i="88"/>
  <c r="N200" i="88"/>
  <c r="O200" i="88"/>
  <c r="F200" i="88" s="1"/>
  <c r="P200" i="88"/>
  <c r="Q200" i="88"/>
  <c r="S200" i="88"/>
  <c r="F201" i="88"/>
  <c r="L201" i="88"/>
  <c r="N201" i="88"/>
  <c r="O201" i="88"/>
  <c r="P201" i="88"/>
  <c r="Q201" i="88"/>
  <c r="S201" i="88"/>
  <c r="L202" i="88"/>
  <c r="N202" i="88"/>
  <c r="O202" i="88"/>
  <c r="P202" i="88"/>
  <c r="F202" i="88" s="1"/>
  <c r="Q202" i="88"/>
  <c r="S202" i="88"/>
  <c r="L203" i="88"/>
  <c r="N203" i="88"/>
  <c r="O203" i="88"/>
  <c r="F203" i="88" s="1"/>
  <c r="P203" i="88"/>
  <c r="Q203" i="88"/>
  <c r="S203" i="88"/>
  <c r="L204" i="88"/>
  <c r="N204" i="88"/>
  <c r="O204" i="88"/>
  <c r="P204" i="88"/>
  <c r="Q204" i="88"/>
  <c r="S204" i="88"/>
  <c r="L205" i="88"/>
  <c r="N205" i="88"/>
  <c r="O205" i="88"/>
  <c r="P205" i="88"/>
  <c r="Q205" i="88"/>
  <c r="S205" i="88"/>
  <c r="L206" i="88"/>
  <c r="N206" i="88"/>
  <c r="O206" i="88"/>
  <c r="F206" i="88" s="1"/>
  <c r="P206" i="88"/>
  <c r="Q206" i="88"/>
  <c r="S206" i="88"/>
  <c r="L207" i="88"/>
  <c r="N207" i="88"/>
  <c r="O207" i="88"/>
  <c r="F207" i="88" s="1"/>
  <c r="P207" i="88"/>
  <c r="Q207" i="88"/>
  <c r="S207" i="88"/>
  <c r="L208" i="88"/>
  <c r="N208" i="88"/>
  <c r="O208" i="88"/>
  <c r="P208" i="88"/>
  <c r="Q208" i="88"/>
  <c r="S208" i="88"/>
  <c r="F209" i="88"/>
  <c r="L209" i="88"/>
  <c r="N209" i="88"/>
  <c r="O209" i="88"/>
  <c r="P209" i="88"/>
  <c r="Q209" i="88"/>
  <c r="S209" i="88"/>
  <c r="L210" i="88"/>
  <c r="N210" i="88"/>
  <c r="O210" i="88"/>
  <c r="F210" i="88" s="1"/>
  <c r="P210" i="88"/>
  <c r="Q210" i="88"/>
  <c r="S210" i="88"/>
  <c r="F211" i="88"/>
  <c r="L211" i="88"/>
  <c r="N211" i="88"/>
  <c r="O211" i="88"/>
  <c r="P211" i="88"/>
  <c r="Q211" i="88"/>
  <c r="S211" i="88"/>
  <c r="L212" i="88"/>
  <c r="N212" i="88"/>
  <c r="O212" i="88"/>
  <c r="P212" i="88"/>
  <c r="Q212" i="88"/>
  <c r="S212" i="88"/>
  <c r="L213" i="88"/>
  <c r="N213" i="88"/>
  <c r="O213" i="88"/>
  <c r="P213" i="88"/>
  <c r="F213" i="88" s="1"/>
  <c r="Q213" i="88"/>
  <c r="S213" i="88"/>
  <c r="L214" i="88"/>
  <c r="N214" i="88"/>
  <c r="O214" i="88"/>
  <c r="F214" i="88" s="1"/>
  <c r="P214" i="88"/>
  <c r="Q214" i="88"/>
  <c r="S214" i="88"/>
  <c r="L215" i="88"/>
  <c r="N215" i="88"/>
  <c r="O215" i="88"/>
  <c r="F215" i="88" s="1"/>
  <c r="P215" i="88"/>
  <c r="Q215" i="88"/>
  <c r="S215" i="88"/>
  <c r="L216" i="88"/>
  <c r="N216" i="88"/>
  <c r="O216" i="88"/>
  <c r="P216" i="88"/>
  <c r="Q216" i="88"/>
  <c r="S216" i="88"/>
  <c r="L217" i="88"/>
  <c r="N217" i="88"/>
  <c r="O217" i="88"/>
  <c r="F217" i="88" s="1"/>
  <c r="P217" i="88"/>
  <c r="Q217" i="88"/>
  <c r="S217" i="88"/>
  <c r="L218" i="88"/>
  <c r="N218" i="88"/>
  <c r="O218" i="88"/>
  <c r="P218" i="88"/>
  <c r="F218" i="88" s="1"/>
  <c r="Q218" i="88"/>
  <c r="S218" i="88"/>
  <c r="F219" i="88"/>
  <c r="L219" i="88"/>
  <c r="N219" i="88"/>
  <c r="O219" i="88"/>
  <c r="P219" i="88"/>
  <c r="Q219" i="88"/>
  <c r="S219" i="88"/>
  <c r="L220" i="88"/>
  <c r="N220" i="88"/>
  <c r="O220" i="88"/>
  <c r="F220" i="88" s="1"/>
  <c r="P220" i="88"/>
  <c r="Q220" i="88"/>
  <c r="S220" i="88"/>
  <c r="L221" i="88"/>
  <c r="N221" i="88"/>
  <c r="O221" i="88"/>
  <c r="P221" i="88"/>
  <c r="Q221" i="88"/>
  <c r="S221" i="88"/>
  <c r="L222" i="88"/>
  <c r="N222" i="88"/>
  <c r="O222" i="88"/>
  <c r="F222" i="88" s="1"/>
  <c r="P222" i="88"/>
  <c r="Q222" i="88"/>
  <c r="S222" i="88"/>
  <c r="L223" i="88"/>
  <c r="N223" i="88"/>
  <c r="O223" i="88"/>
  <c r="P223" i="88"/>
  <c r="Q223" i="88"/>
  <c r="S223" i="88"/>
  <c r="L224" i="88"/>
  <c r="N224" i="88"/>
  <c r="O224" i="88"/>
  <c r="F224" i="88" s="1"/>
  <c r="P224" i="88"/>
  <c r="Q224" i="88"/>
  <c r="S224" i="88"/>
  <c r="F225" i="88"/>
  <c r="L225" i="88"/>
  <c r="N225" i="88"/>
  <c r="O225" i="88"/>
  <c r="P225" i="88"/>
  <c r="Q225" i="88"/>
  <c r="S225" i="88"/>
  <c r="L226" i="88"/>
  <c r="N226" i="88"/>
  <c r="O226" i="88"/>
  <c r="P226" i="88"/>
  <c r="Q226" i="88"/>
  <c r="S226" i="88"/>
  <c r="L227" i="88"/>
  <c r="N227" i="88"/>
  <c r="O227" i="88"/>
  <c r="P227" i="88"/>
  <c r="F227" i="88" s="1"/>
  <c r="Q227" i="88"/>
  <c r="S227" i="88"/>
  <c r="L228" i="88"/>
  <c r="N228" i="88"/>
  <c r="O228" i="88"/>
  <c r="P228" i="88"/>
  <c r="Q228" i="88"/>
  <c r="S228" i="88"/>
  <c r="L229" i="88"/>
  <c r="N229" i="88"/>
  <c r="O229" i="88"/>
  <c r="P229" i="88"/>
  <c r="Q229" i="88"/>
  <c r="S229" i="88"/>
  <c r="L230" i="88"/>
  <c r="N230" i="88"/>
  <c r="O230" i="88"/>
  <c r="F230" i="88" s="1"/>
  <c r="P230" i="88"/>
  <c r="Q230" i="88"/>
  <c r="S230" i="88"/>
  <c r="L231" i="88"/>
  <c r="N231" i="88"/>
  <c r="O231" i="88"/>
  <c r="P231" i="88"/>
  <c r="Q231" i="88"/>
  <c r="S231" i="88"/>
  <c r="L232" i="88"/>
  <c r="N232" i="88"/>
  <c r="O232" i="88"/>
  <c r="P232" i="88"/>
  <c r="Q232" i="88"/>
  <c r="S232" i="88"/>
  <c r="F233" i="88"/>
  <c r="L233" i="88"/>
  <c r="N233" i="88"/>
  <c r="O233" i="88"/>
  <c r="P233" i="88"/>
  <c r="Q233" i="88"/>
  <c r="S233" i="88"/>
  <c r="F234" i="88"/>
  <c r="L234" i="88"/>
  <c r="N234" i="88"/>
  <c r="O234" i="88"/>
  <c r="P234" i="88"/>
  <c r="Q234" i="88"/>
  <c r="S234" i="88"/>
  <c r="L235" i="88"/>
  <c r="N235" i="88"/>
  <c r="O235" i="88"/>
  <c r="F235" i="88" s="1"/>
  <c r="P235" i="88"/>
  <c r="Q235" i="88"/>
  <c r="S235" i="88"/>
  <c r="L236" i="88"/>
  <c r="N236" i="88"/>
  <c r="O236" i="88"/>
  <c r="P236" i="88"/>
  <c r="Q236" i="88"/>
  <c r="S236" i="88"/>
  <c r="L237" i="88"/>
  <c r="N237" i="88"/>
  <c r="O237" i="88"/>
  <c r="P237" i="88"/>
  <c r="Q237" i="88"/>
  <c r="S237" i="88"/>
  <c r="L238" i="88"/>
  <c r="N238" i="88"/>
  <c r="O238" i="88"/>
  <c r="F238" i="88" s="1"/>
  <c r="P238" i="88"/>
  <c r="Q238" i="88"/>
  <c r="S238" i="88"/>
  <c r="L239" i="88"/>
  <c r="N239" i="88"/>
  <c r="O239" i="88"/>
  <c r="F239" i="88" s="1"/>
  <c r="P239" i="88"/>
  <c r="Q239" i="88"/>
  <c r="S239" i="88"/>
  <c r="L240" i="88"/>
  <c r="N240" i="88"/>
  <c r="O240" i="88"/>
  <c r="P240" i="88"/>
  <c r="Q240" i="88"/>
  <c r="S240" i="88"/>
  <c r="L241" i="88"/>
  <c r="N241" i="88"/>
  <c r="O241" i="88"/>
  <c r="P241" i="88"/>
  <c r="F241" i="88" s="1"/>
  <c r="Q241" i="88"/>
  <c r="S241" i="88"/>
  <c r="F242" i="88"/>
  <c r="L242" i="88"/>
  <c r="N242" i="88"/>
  <c r="O242" i="88"/>
  <c r="P242" i="88"/>
  <c r="Q242" i="88"/>
  <c r="S242" i="88"/>
  <c r="F243" i="88"/>
  <c r="L243" i="88"/>
  <c r="N243" i="88"/>
  <c r="O243" i="88"/>
  <c r="P243" i="88"/>
  <c r="Q243" i="88"/>
  <c r="S243" i="88"/>
  <c r="L244" i="88"/>
  <c r="N244" i="88"/>
  <c r="O244" i="88"/>
  <c r="F244" i="88" s="1"/>
  <c r="P244" i="88"/>
  <c r="Q244" i="88"/>
  <c r="S244" i="88"/>
  <c r="L245" i="88"/>
  <c r="N245" i="88"/>
  <c r="O245" i="88"/>
  <c r="P245" i="88"/>
  <c r="F245" i="88" s="1"/>
  <c r="Q245" i="88"/>
  <c r="S245" i="88"/>
  <c r="L246" i="88"/>
  <c r="N246" i="88"/>
  <c r="O246" i="88"/>
  <c r="P246" i="88"/>
  <c r="Q246" i="88"/>
  <c r="S246" i="88"/>
  <c r="L247" i="88"/>
  <c r="N247" i="88"/>
  <c r="O247" i="88"/>
  <c r="P247" i="88"/>
  <c r="Q247" i="88"/>
  <c r="S247" i="88"/>
  <c r="L248" i="88"/>
  <c r="N248" i="88"/>
  <c r="O248" i="88"/>
  <c r="F248" i="88" s="1"/>
  <c r="P248" i="88"/>
  <c r="Q248" i="88"/>
  <c r="S248" i="88"/>
  <c r="L249" i="88"/>
  <c r="N249" i="88"/>
  <c r="O249" i="88"/>
  <c r="P249" i="88"/>
  <c r="Q249" i="88"/>
  <c r="S249" i="88"/>
  <c r="L250" i="88"/>
  <c r="N250" i="88"/>
  <c r="O250" i="88"/>
  <c r="F250" i="88" s="1"/>
  <c r="P250" i="88"/>
  <c r="Q250" i="88"/>
  <c r="S250" i="88"/>
  <c r="L251" i="88"/>
  <c r="N251" i="88"/>
  <c r="O251" i="88"/>
  <c r="P251" i="88"/>
  <c r="Q251" i="88"/>
  <c r="S251" i="88"/>
  <c r="L252" i="88"/>
  <c r="N252" i="88"/>
  <c r="O252" i="88"/>
  <c r="F252" i="88" s="1"/>
  <c r="P252" i="88"/>
  <c r="Q252" i="88"/>
  <c r="S252" i="88"/>
  <c r="L253" i="88"/>
  <c r="N253" i="88"/>
  <c r="O253" i="88"/>
  <c r="P253" i="88"/>
  <c r="Q253" i="88"/>
  <c r="S253" i="88"/>
  <c r="L254" i="88"/>
  <c r="N254" i="88"/>
  <c r="O254" i="88"/>
  <c r="F254" i="88" s="1"/>
  <c r="P254" i="88"/>
  <c r="Q254" i="88"/>
  <c r="S254" i="88"/>
  <c r="L255" i="88"/>
  <c r="N255" i="88"/>
  <c r="O255" i="88"/>
  <c r="P255" i="88"/>
  <c r="Q255" i="88"/>
  <c r="S255" i="88"/>
  <c r="L256" i="88"/>
  <c r="N256" i="88"/>
  <c r="O256" i="88"/>
  <c r="F256" i="88" s="1"/>
  <c r="P256" i="88"/>
  <c r="Q256" i="88"/>
  <c r="S256" i="88"/>
  <c r="F257" i="88"/>
  <c r="L257" i="88"/>
  <c r="N257" i="88"/>
  <c r="O257" i="88"/>
  <c r="P257" i="88"/>
  <c r="Q257" i="88"/>
  <c r="S257" i="88"/>
  <c r="F258" i="88"/>
  <c r="L258" i="88"/>
  <c r="N258" i="88"/>
  <c r="O258" i="88"/>
  <c r="P258" i="88"/>
  <c r="Q258" i="88"/>
  <c r="S258" i="88"/>
  <c r="F259" i="88"/>
  <c r="L259" i="88"/>
  <c r="N259" i="88"/>
  <c r="O259" i="88"/>
  <c r="P259" i="88"/>
  <c r="Q259" i="88"/>
  <c r="S259" i="88"/>
  <c r="L260" i="88"/>
  <c r="N260" i="88"/>
  <c r="O260" i="88"/>
  <c r="F260" i="88" s="1"/>
  <c r="P260" i="88"/>
  <c r="Q260" i="88"/>
  <c r="S260" i="88"/>
  <c r="L261" i="88"/>
  <c r="N261" i="88"/>
  <c r="O261" i="88"/>
  <c r="P261" i="88"/>
  <c r="F261" i="88" s="1"/>
  <c r="Q261" i="88"/>
  <c r="S261" i="88"/>
  <c r="L262" i="88"/>
  <c r="N262" i="88"/>
  <c r="O262" i="88"/>
  <c r="F262" i="88" s="1"/>
  <c r="P262" i="88"/>
  <c r="Q262" i="88"/>
  <c r="S262" i="88"/>
  <c r="L263" i="88"/>
  <c r="N263" i="88"/>
  <c r="O263" i="88"/>
  <c r="F263" i="88" s="1"/>
  <c r="P263" i="88"/>
  <c r="Q263" i="88"/>
  <c r="S263" i="88"/>
  <c r="L264" i="88"/>
  <c r="N264" i="88"/>
  <c r="O264" i="88"/>
  <c r="F264" i="88" s="1"/>
  <c r="P264" i="88"/>
  <c r="Q264" i="88"/>
  <c r="S264" i="88"/>
  <c r="L265" i="88"/>
  <c r="N265" i="88"/>
  <c r="O265" i="88"/>
  <c r="F265" i="88" s="1"/>
  <c r="P265" i="88"/>
  <c r="Q265" i="88"/>
  <c r="S265" i="88"/>
  <c r="L266" i="88"/>
  <c r="N266" i="88"/>
  <c r="O266" i="88"/>
  <c r="P266" i="88"/>
  <c r="F266" i="88" s="1"/>
  <c r="Q266" i="88"/>
  <c r="S266" i="88"/>
  <c r="F267" i="88"/>
  <c r="L267" i="88"/>
  <c r="N267" i="88"/>
  <c r="O267" i="88"/>
  <c r="P267" i="88"/>
  <c r="Q267" i="88"/>
  <c r="S267" i="88"/>
  <c r="L268" i="88"/>
  <c r="N268" i="88"/>
  <c r="O268" i="88"/>
  <c r="F268" i="88" s="1"/>
  <c r="P268" i="88"/>
  <c r="Q268" i="88"/>
  <c r="S268" i="88"/>
  <c r="L269" i="88"/>
  <c r="N269" i="88"/>
  <c r="O269" i="88"/>
  <c r="P269" i="88"/>
  <c r="F269" i="88" s="1"/>
  <c r="Q269" i="88"/>
  <c r="S269" i="88"/>
  <c r="L270" i="88"/>
  <c r="N270" i="88"/>
  <c r="O270" i="88"/>
  <c r="P270" i="88"/>
  <c r="Q270" i="88"/>
  <c r="S270" i="88"/>
  <c r="L271" i="88"/>
  <c r="N271" i="88"/>
  <c r="O271" i="88"/>
  <c r="F271" i="88" s="1"/>
  <c r="P271" i="88"/>
  <c r="Q271" i="88"/>
  <c r="S271" i="88"/>
  <c r="L272" i="88"/>
  <c r="N272" i="88"/>
  <c r="O272" i="88"/>
  <c r="F272" i="88" s="1"/>
  <c r="P272" i="88"/>
  <c r="Q272" i="88"/>
  <c r="S272" i="88"/>
  <c r="L273" i="88"/>
  <c r="N273" i="88"/>
  <c r="O273" i="88"/>
  <c r="F273" i="88" s="1"/>
  <c r="P273" i="88"/>
  <c r="Q273" i="88"/>
  <c r="S273" i="88"/>
  <c r="L274" i="88"/>
  <c r="N274" i="88"/>
  <c r="O274" i="88"/>
  <c r="F274" i="88" s="1"/>
  <c r="P274" i="88"/>
  <c r="Q274" i="88"/>
  <c r="S274" i="88"/>
  <c r="L275" i="88"/>
  <c r="N275" i="88"/>
  <c r="O275" i="88"/>
  <c r="F275" i="88" s="1"/>
  <c r="P275" i="88"/>
  <c r="Q275" i="88"/>
  <c r="S275" i="88"/>
  <c r="L276" i="88"/>
  <c r="N276" i="88"/>
  <c r="O276" i="88"/>
  <c r="P276" i="88"/>
  <c r="Q276" i="88"/>
  <c r="S276" i="88"/>
  <c r="L277" i="88"/>
  <c r="N277" i="88"/>
  <c r="O277" i="88"/>
  <c r="P277" i="88"/>
  <c r="Q277" i="88"/>
  <c r="S277" i="88"/>
  <c r="L278" i="88"/>
  <c r="N278" i="88"/>
  <c r="O278" i="88"/>
  <c r="F278" i="88" s="1"/>
  <c r="P278" i="88"/>
  <c r="Q278" i="88"/>
  <c r="S278" i="88"/>
  <c r="L279" i="88"/>
  <c r="N279" i="88"/>
  <c r="O279" i="88"/>
  <c r="F279" i="88" s="1"/>
  <c r="P279" i="88"/>
  <c r="Q279" i="88"/>
  <c r="S279" i="88"/>
  <c r="L280" i="88"/>
  <c r="N280" i="88"/>
  <c r="O280" i="88"/>
  <c r="P280" i="88"/>
  <c r="Q280" i="88"/>
  <c r="S280" i="88"/>
  <c r="F281" i="88"/>
  <c r="L281" i="88"/>
  <c r="N281" i="88"/>
  <c r="O281" i="88"/>
  <c r="P281" i="88"/>
  <c r="Q281" i="88"/>
  <c r="S281" i="88"/>
  <c r="F282" i="88"/>
  <c r="L282" i="88"/>
  <c r="N282" i="88"/>
  <c r="O282" i="88"/>
  <c r="P282" i="88"/>
  <c r="Q282" i="88"/>
  <c r="S282" i="88"/>
  <c r="F283" i="88"/>
  <c r="L283" i="88"/>
  <c r="N283" i="88"/>
  <c r="O283" i="88"/>
  <c r="P283" i="88"/>
  <c r="Q283" i="88"/>
  <c r="S283" i="88"/>
  <c r="L284" i="88"/>
  <c r="N284" i="88"/>
  <c r="O284" i="88"/>
  <c r="P284" i="88"/>
  <c r="Q284" i="88"/>
  <c r="S284" i="88"/>
  <c r="L285" i="88"/>
  <c r="N285" i="88"/>
  <c r="O285" i="88"/>
  <c r="P285" i="88"/>
  <c r="F285" i="88" s="1"/>
  <c r="Q285" i="88"/>
  <c r="S285" i="88"/>
  <c r="L286" i="88"/>
  <c r="N286" i="88"/>
  <c r="O286" i="88"/>
  <c r="F286" i="88" s="1"/>
  <c r="P286" i="88"/>
  <c r="Q286" i="88"/>
  <c r="S286" i="88"/>
  <c r="L287" i="88"/>
  <c r="N287" i="88"/>
  <c r="O287" i="88"/>
  <c r="F287" i="88" s="1"/>
  <c r="P287" i="88"/>
  <c r="Q287" i="88"/>
  <c r="S287" i="88"/>
  <c r="L288" i="88"/>
  <c r="N288" i="88"/>
  <c r="O288" i="88"/>
  <c r="P288" i="88"/>
  <c r="Q288" i="88"/>
  <c r="S288" i="88"/>
  <c r="L289" i="88"/>
  <c r="N289" i="88"/>
  <c r="O289" i="88"/>
  <c r="P289" i="88"/>
  <c r="Q289" i="88"/>
  <c r="S289" i="88"/>
  <c r="L290" i="88"/>
  <c r="N290" i="88"/>
  <c r="O290" i="88"/>
  <c r="P290" i="88"/>
  <c r="F290" i="88" s="1"/>
  <c r="Q290" i="88"/>
  <c r="S290" i="88"/>
  <c r="F291" i="88"/>
  <c r="L291" i="88"/>
  <c r="N291" i="88"/>
  <c r="O291" i="88"/>
  <c r="P291" i="88"/>
  <c r="Q291" i="88"/>
  <c r="S291" i="88"/>
  <c r="L292" i="88"/>
  <c r="N292" i="88"/>
  <c r="O292" i="88"/>
  <c r="F292" i="88" s="1"/>
  <c r="P292" i="88"/>
  <c r="Q292" i="88"/>
  <c r="S292" i="88"/>
  <c r="L293" i="88"/>
  <c r="N293" i="88"/>
  <c r="O293" i="88"/>
  <c r="P293" i="88"/>
  <c r="Q293" i="88"/>
  <c r="S293" i="88"/>
  <c r="L294" i="88"/>
  <c r="N294" i="88"/>
  <c r="O294" i="88"/>
  <c r="P294" i="88"/>
  <c r="Q294" i="88"/>
  <c r="S294" i="88"/>
  <c r="L295" i="88"/>
  <c r="N295" i="88"/>
  <c r="O295" i="88"/>
  <c r="P295" i="88"/>
  <c r="Q295" i="88"/>
  <c r="S295" i="88"/>
  <c r="L296" i="88"/>
  <c r="N296" i="88"/>
  <c r="O296" i="88"/>
  <c r="F296" i="88" s="1"/>
  <c r="P296" i="88"/>
  <c r="Q296" i="88"/>
  <c r="S296" i="88"/>
  <c r="L297" i="88"/>
  <c r="N297" i="88"/>
  <c r="O297" i="88"/>
  <c r="F297" i="88" s="1"/>
  <c r="P297" i="88"/>
  <c r="Q297" i="88"/>
  <c r="S297" i="88"/>
  <c r="L298" i="88"/>
  <c r="N298" i="88"/>
  <c r="O298" i="88"/>
  <c r="P298" i="88"/>
  <c r="Q298" i="88"/>
  <c r="S298" i="88"/>
  <c r="L299" i="88"/>
  <c r="N299" i="88"/>
  <c r="O299" i="88"/>
  <c r="F299" i="88" s="1"/>
  <c r="P299" i="88"/>
  <c r="Q299" i="88"/>
  <c r="S299" i="88"/>
  <c r="L300" i="88"/>
  <c r="N300" i="88"/>
  <c r="O300" i="88"/>
  <c r="P300" i="88"/>
  <c r="Q300" i="88"/>
  <c r="S300" i="88"/>
  <c r="L301" i="88"/>
  <c r="N301" i="88"/>
  <c r="O301" i="88"/>
  <c r="P301" i="88"/>
  <c r="Q301" i="88"/>
  <c r="S301" i="88"/>
  <c r="L302" i="88"/>
  <c r="N302" i="88"/>
  <c r="O302" i="88"/>
  <c r="F302" i="88" s="1"/>
  <c r="P302" i="88"/>
  <c r="Q302" i="88"/>
  <c r="S302" i="88"/>
  <c r="L303" i="88"/>
  <c r="N303" i="88"/>
  <c r="O303" i="88"/>
  <c r="F303" i="88" s="1"/>
  <c r="P303" i="88"/>
  <c r="Q303" i="88"/>
  <c r="S303" i="88"/>
  <c r="L304" i="88"/>
  <c r="N304" i="88"/>
  <c r="O304" i="88"/>
  <c r="P304" i="88"/>
  <c r="Q304" i="88"/>
  <c r="S304" i="88"/>
  <c r="F305" i="88"/>
  <c r="L305" i="88"/>
  <c r="N305" i="88"/>
  <c r="O305" i="88"/>
  <c r="P305" i="88"/>
  <c r="Q305" i="88"/>
  <c r="S305" i="88"/>
  <c r="F306" i="88"/>
  <c r="L306" i="88"/>
  <c r="N306" i="88"/>
  <c r="O306" i="88"/>
  <c r="P306" i="88"/>
  <c r="Q306" i="88"/>
  <c r="S306" i="88"/>
  <c r="F307" i="88"/>
  <c r="L307" i="88"/>
  <c r="N307" i="88"/>
  <c r="O307" i="88"/>
  <c r="P307" i="88"/>
  <c r="Q307" i="88"/>
  <c r="S307" i="88"/>
  <c r="L308" i="88"/>
  <c r="N308" i="88"/>
  <c r="O308" i="88"/>
  <c r="P308" i="88"/>
  <c r="Q308" i="88"/>
  <c r="S308" i="88"/>
  <c r="L309" i="88"/>
  <c r="N309" i="88"/>
  <c r="O309" i="88"/>
  <c r="P309" i="88"/>
  <c r="Q309" i="88"/>
  <c r="S309" i="88"/>
  <c r="L310" i="88"/>
  <c r="N310" i="88"/>
  <c r="O310" i="88"/>
  <c r="P310" i="88"/>
  <c r="Q310" i="88"/>
  <c r="S310" i="88"/>
  <c r="L311" i="88"/>
  <c r="N311" i="88"/>
  <c r="O311" i="88"/>
  <c r="F311" i="88" s="1"/>
  <c r="P311" i="88"/>
  <c r="Q311" i="88"/>
  <c r="S311" i="88"/>
  <c r="L312" i="88"/>
  <c r="N312" i="88"/>
  <c r="O312" i="88"/>
  <c r="P312" i="88"/>
  <c r="Q312" i="88"/>
  <c r="S312" i="88"/>
  <c r="L313" i="88"/>
  <c r="N313" i="88"/>
  <c r="O313" i="88"/>
  <c r="F313" i="88" s="1"/>
  <c r="P313" i="88"/>
  <c r="Q313" i="88"/>
  <c r="S313" i="88"/>
  <c r="L314" i="88"/>
  <c r="N314" i="88"/>
  <c r="O314" i="88"/>
  <c r="F314" i="88" s="1"/>
  <c r="P314" i="88"/>
  <c r="Q314" i="88"/>
  <c r="S314" i="88"/>
  <c r="L315" i="88"/>
  <c r="N315" i="88"/>
  <c r="O315" i="88"/>
  <c r="P315" i="88"/>
  <c r="F315" i="88" s="1"/>
  <c r="Q315" i="88"/>
  <c r="S315" i="88"/>
  <c r="L316" i="88"/>
  <c r="N316" i="88"/>
  <c r="O316" i="88"/>
  <c r="F316" i="88" s="1"/>
  <c r="P316" i="88"/>
  <c r="Q316" i="88"/>
  <c r="S316" i="88"/>
  <c r="L317" i="88"/>
  <c r="N317" i="88"/>
  <c r="O317" i="88"/>
  <c r="P317" i="88"/>
  <c r="Q317" i="88"/>
  <c r="S317" i="88"/>
  <c r="L318" i="88"/>
  <c r="N318" i="88"/>
  <c r="O318" i="88"/>
  <c r="F318" i="88" s="1"/>
  <c r="P318" i="88"/>
  <c r="Q318" i="88"/>
  <c r="S318" i="88"/>
  <c r="L319" i="88"/>
  <c r="N319" i="88"/>
  <c r="O319" i="88"/>
  <c r="P319" i="88"/>
  <c r="Q319" i="88"/>
  <c r="S319" i="88"/>
  <c r="L320" i="88"/>
  <c r="N320" i="88"/>
  <c r="O320" i="88"/>
  <c r="F320" i="88" s="1"/>
  <c r="P320" i="88"/>
  <c r="Q320" i="88"/>
  <c r="S320" i="88"/>
  <c r="F321" i="88"/>
  <c r="L321" i="88"/>
  <c r="N321" i="88"/>
  <c r="O321" i="88"/>
  <c r="P321" i="88"/>
  <c r="Q321" i="88"/>
  <c r="S321" i="88"/>
  <c r="L322" i="88"/>
  <c r="N322" i="88"/>
  <c r="O322" i="88"/>
  <c r="P322" i="88"/>
  <c r="Q322" i="88"/>
  <c r="S322" i="88"/>
  <c r="L323" i="88"/>
  <c r="N323" i="88"/>
  <c r="O323" i="88"/>
  <c r="P323" i="88"/>
  <c r="Q323" i="88"/>
  <c r="S323" i="88"/>
  <c r="L324" i="88"/>
  <c r="N324" i="88"/>
  <c r="O324" i="88"/>
  <c r="P324" i="88"/>
  <c r="Q324" i="88"/>
  <c r="S324" i="88"/>
  <c r="L325" i="88"/>
  <c r="N325" i="88"/>
  <c r="O325" i="88"/>
  <c r="P325" i="88"/>
  <c r="Q325" i="88"/>
  <c r="S325" i="88"/>
  <c r="L326" i="88"/>
  <c r="N326" i="88"/>
  <c r="O326" i="88"/>
  <c r="F326" i="88" s="1"/>
  <c r="P326" i="88"/>
  <c r="Q326" i="88"/>
  <c r="S326" i="88"/>
  <c r="L327" i="88"/>
  <c r="N327" i="88"/>
  <c r="O327" i="88"/>
  <c r="P327" i="88"/>
  <c r="Q327" i="88"/>
  <c r="S327" i="88"/>
  <c r="L328" i="88"/>
  <c r="N328" i="88"/>
  <c r="O328" i="88"/>
  <c r="P328" i="88"/>
  <c r="Q328" i="88"/>
  <c r="S328" i="88"/>
  <c r="F329" i="88"/>
  <c r="L329" i="88"/>
  <c r="N329" i="88"/>
  <c r="O329" i="88"/>
  <c r="P329" i="88"/>
  <c r="Q329" i="88"/>
  <c r="S329" i="88"/>
  <c r="F330" i="88"/>
  <c r="L330" i="88"/>
  <c r="N330" i="88"/>
  <c r="O330" i="88"/>
  <c r="P330" i="88"/>
  <c r="Q330" i="88"/>
  <c r="S330" i="88"/>
  <c r="F331" i="88"/>
  <c r="L331" i="88"/>
  <c r="N331" i="88"/>
  <c r="O331" i="88"/>
  <c r="P331" i="88"/>
  <c r="Q331" i="88"/>
  <c r="S331" i="88"/>
  <c r="L332" i="88"/>
  <c r="N332" i="88"/>
  <c r="O332" i="88"/>
  <c r="F332" i="88" s="1"/>
  <c r="P332" i="88"/>
  <c r="Q332" i="88"/>
  <c r="S332" i="88"/>
  <c r="L333" i="88"/>
  <c r="N333" i="88"/>
  <c r="O333" i="88"/>
  <c r="P333" i="88"/>
  <c r="Q333" i="88"/>
  <c r="S333" i="88"/>
  <c r="L334" i="88"/>
  <c r="N334" i="88"/>
  <c r="O334" i="88"/>
  <c r="F334" i="88" s="1"/>
  <c r="P334" i="88"/>
  <c r="Q334" i="88"/>
  <c r="S334" i="88"/>
  <c r="L335" i="88"/>
  <c r="N335" i="88"/>
  <c r="O335" i="88"/>
  <c r="F335" i="88" s="1"/>
  <c r="P335" i="88"/>
  <c r="Q335" i="88"/>
  <c r="S335" i="88"/>
  <c r="L336" i="88"/>
  <c r="N336" i="88"/>
  <c r="O336" i="88"/>
  <c r="F336" i="88" s="1"/>
  <c r="P336" i="88"/>
  <c r="Q336" i="88"/>
  <c r="S336" i="88"/>
  <c r="L337" i="88"/>
  <c r="N337" i="88"/>
  <c r="O337" i="88"/>
  <c r="F337" i="88" s="1"/>
  <c r="P337" i="88"/>
  <c r="Q337" i="88"/>
  <c r="S337" i="88"/>
  <c r="L338" i="88"/>
  <c r="N338" i="88"/>
  <c r="O338" i="88"/>
  <c r="P338" i="88"/>
  <c r="Q338" i="88"/>
  <c r="S338" i="88"/>
  <c r="F339" i="88"/>
  <c r="L339" i="88"/>
  <c r="N339" i="88"/>
  <c r="O339" i="88"/>
  <c r="P339" i="88"/>
  <c r="Q339" i="88"/>
  <c r="S339" i="88"/>
  <c r="L340" i="88"/>
  <c r="N340" i="88"/>
  <c r="O340" i="88"/>
  <c r="F340" i="88" s="1"/>
  <c r="P340" i="88"/>
  <c r="Q340" i="88"/>
  <c r="S340" i="88"/>
  <c r="L341" i="88"/>
  <c r="N341" i="88"/>
  <c r="O341" i="88"/>
  <c r="P341" i="88"/>
  <c r="F341" i="88" s="1"/>
  <c r="Q341" i="88"/>
  <c r="S341" i="88"/>
  <c r="L342" i="88"/>
  <c r="N342" i="88"/>
  <c r="O342" i="88"/>
  <c r="P342" i="88"/>
  <c r="Q342" i="88"/>
  <c r="S342" i="88"/>
  <c r="L343" i="88"/>
  <c r="N343" i="88"/>
  <c r="O343" i="88"/>
  <c r="F343" i="88" s="1"/>
  <c r="P343" i="88"/>
  <c r="Q343" i="88"/>
  <c r="S343" i="88"/>
  <c r="L344" i="88"/>
  <c r="N344" i="88"/>
  <c r="O344" i="88"/>
  <c r="F344" i="88" s="1"/>
  <c r="P344" i="88"/>
  <c r="Q344" i="88"/>
  <c r="S344" i="88"/>
  <c r="L345" i="88"/>
  <c r="N345" i="88"/>
  <c r="O345" i="88"/>
  <c r="F345" i="88" s="1"/>
  <c r="P345" i="88"/>
  <c r="Q345" i="88"/>
  <c r="S345" i="88"/>
  <c r="L346" i="88"/>
  <c r="N346" i="88"/>
  <c r="O346" i="88"/>
  <c r="F346" i="88" s="1"/>
  <c r="P346" i="88"/>
  <c r="Q346" i="88"/>
  <c r="S346" i="88"/>
  <c r="L347" i="88"/>
  <c r="N347" i="88"/>
  <c r="O347" i="88"/>
  <c r="P347" i="88"/>
  <c r="Q347" i="88"/>
  <c r="S347" i="88"/>
  <c r="L348" i="88"/>
  <c r="N348" i="88"/>
  <c r="O348" i="88"/>
  <c r="F348" i="88" s="1"/>
  <c r="P348" i="88"/>
  <c r="Q348" i="88"/>
  <c r="S348" i="88"/>
  <c r="L349" i="88"/>
  <c r="N349" i="88"/>
  <c r="O349" i="88"/>
  <c r="P349" i="88"/>
  <c r="Q349" i="88"/>
  <c r="S349" i="88"/>
  <c r="L350" i="88"/>
  <c r="N350" i="88"/>
  <c r="O350" i="88"/>
  <c r="F350" i="88" s="1"/>
  <c r="P350" i="88"/>
  <c r="Q350" i="88"/>
  <c r="S350" i="88"/>
  <c r="L351" i="88"/>
  <c r="N351" i="88"/>
  <c r="O351" i="88"/>
  <c r="P351" i="88"/>
  <c r="Q351" i="88"/>
  <c r="S351" i="88"/>
  <c r="L352" i="88"/>
  <c r="N352" i="88"/>
  <c r="O352" i="88"/>
  <c r="F352" i="88" s="1"/>
  <c r="P352" i="88"/>
  <c r="Q352" i="88"/>
  <c r="S352" i="88"/>
  <c r="F353" i="88"/>
  <c r="L353" i="88"/>
  <c r="N353" i="88"/>
  <c r="O353" i="88"/>
  <c r="P353" i="88"/>
  <c r="Q353" i="88"/>
  <c r="S353" i="88"/>
  <c r="L354" i="88"/>
  <c r="N354" i="88"/>
  <c r="O354" i="88"/>
  <c r="F354" i="88" s="1"/>
  <c r="P354" i="88"/>
  <c r="Q354" i="88"/>
  <c r="S354" i="88"/>
  <c r="L355" i="88"/>
  <c r="N355" i="88"/>
  <c r="O355" i="88"/>
  <c r="P355" i="88"/>
  <c r="Q355" i="88"/>
  <c r="S355" i="88"/>
  <c r="L356" i="88"/>
  <c r="N356" i="88"/>
  <c r="O356" i="88"/>
  <c r="F356" i="88" s="1"/>
  <c r="P356" i="88"/>
  <c r="Q356" i="88"/>
  <c r="S356" i="88"/>
  <c r="L357" i="88"/>
  <c r="N357" i="88"/>
  <c r="O357" i="88"/>
  <c r="P357" i="88"/>
  <c r="Q357" i="88"/>
  <c r="S357" i="88"/>
  <c r="L358" i="88"/>
  <c r="N358" i="88"/>
  <c r="O358" i="88"/>
  <c r="F358" i="88" s="1"/>
  <c r="P358" i="88"/>
  <c r="Q358" i="88"/>
  <c r="S358" i="88"/>
  <c r="L359" i="88"/>
  <c r="N359" i="88"/>
  <c r="O359" i="88"/>
  <c r="P359" i="88"/>
  <c r="Q359" i="88"/>
  <c r="S359" i="88"/>
  <c r="L360" i="88"/>
  <c r="N360" i="88"/>
  <c r="O360" i="88"/>
  <c r="F360" i="88" s="1"/>
  <c r="P360" i="88"/>
  <c r="Q360" i="88"/>
  <c r="S360" i="88"/>
  <c r="L361" i="88"/>
  <c r="N361" i="88"/>
  <c r="O361" i="88"/>
  <c r="P361" i="88"/>
  <c r="F361" i="88" s="1"/>
  <c r="Q361" i="88"/>
  <c r="S361" i="88"/>
  <c r="L362" i="88"/>
  <c r="N362" i="88"/>
  <c r="O362" i="88"/>
  <c r="P362" i="88"/>
  <c r="Q362" i="88"/>
  <c r="S362" i="88"/>
  <c r="F363" i="88"/>
  <c r="L363" i="88"/>
  <c r="N363" i="88"/>
  <c r="O363" i="88"/>
  <c r="P363" i="88"/>
  <c r="Q363" i="88"/>
  <c r="S363" i="88"/>
  <c r="L364" i="88"/>
  <c r="N364" i="88"/>
  <c r="O364" i="88"/>
  <c r="P364" i="88"/>
  <c r="Q364" i="88"/>
  <c r="S364" i="88"/>
  <c r="L365" i="88"/>
  <c r="N365" i="88"/>
  <c r="O365" i="88"/>
  <c r="P365" i="88"/>
  <c r="Q365" i="88"/>
  <c r="S365" i="88"/>
  <c r="L366" i="88"/>
  <c r="N366" i="88"/>
  <c r="O366" i="88"/>
  <c r="F366" i="88" s="1"/>
  <c r="P366" i="88"/>
  <c r="Q366" i="88"/>
  <c r="S366" i="88"/>
  <c r="L367" i="88"/>
  <c r="N367" i="88"/>
  <c r="O367" i="88"/>
  <c r="F367" i="88" s="1"/>
  <c r="P367" i="88"/>
  <c r="Q367" i="88"/>
  <c r="S367" i="88"/>
  <c r="L368" i="88"/>
  <c r="N368" i="88"/>
  <c r="O368" i="88"/>
  <c r="P368" i="88"/>
  <c r="Q368" i="88"/>
  <c r="S368" i="88"/>
  <c r="L369" i="88"/>
  <c r="N369" i="88"/>
  <c r="O369" i="88"/>
  <c r="F369" i="88" s="1"/>
  <c r="P369" i="88"/>
  <c r="Q369" i="88"/>
  <c r="S369" i="88"/>
  <c r="L370" i="88"/>
  <c r="N370" i="88"/>
  <c r="O370" i="88"/>
  <c r="P370" i="88"/>
  <c r="Q370" i="88"/>
  <c r="S370" i="88"/>
  <c r="F371" i="88"/>
  <c r="L371" i="88"/>
  <c r="N371" i="88"/>
  <c r="O371" i="88"/>
  <c r="P371" i="88"/>
  <c r="Q371" i="88"/>
  <c r="S371" i="88"/>
  <c r="L372" i="88"/>
  <c r="N372" i="88"/>
  <c r="O372" i="88"/>
  <c r="F372" i="88" s="1"/>
  <c r="P372" i="88"/>
  <c r="Q372" i="88"/>
  <c r="S372" i="88"/>
  <c r="L373" i="88"/>
  <c r="N373" i="88"/>
  <c r="O373" i="88"/>
  <c r="P373" i="88"/>
  <c r="Q373" i="88"/>
  <c r="S373" i="88"/>
  <c r="L374" i="88"/>
  <c r="N374" i="88"/>
  <c r="O374" i="88"/>
  <c r="P374" i="88"/>
  <c r="Q374" i="88"/>
  <c r="S374" i="88"/>
  <c r="L375" i="88"/>
  <c r="N375" i="88"/>
  <c r="O375" i="88"/>
  <c r="F375" i="88" s="1"/>
  <c r="P375" i="88"/>
  <c r="Q375" i="88"/>
  <c r="S375" i="88"/>
  <c r="L376" i="88"/>
  <c r="N376" i="88"/>
  <c r="O376" i="88"/>
  <c r="F376" i="88" s="1"/>
  <c r="P376" i="88"/>
  <c r="Q376" i="88"/>
  <c r="S376" i="88"/>
  <c r="F377" i="88"/>
  <c r="L377" i="88"/>
  <c r="N377" i="88"/>
  <c r="O377" i="88"/>
  <c r="P377" i="88"/>
  <c r="Q377" i="88"/>
  <c r="S377" i="88"/>
  <c r="L378" i="88"/>
  <c r="N378" i="88"/>
  <c r="O378" i="88"/>
  <c r="F378" i="88" s="1"/>
  <c r="P378" i="88"/>
  <c r="Q378" i="88"/>
  <c r="S378" i="88"/>
  <c r="L379" i="88"/>
  <c r="N379" i="88"/>
  <c r="O379" i="88"/>
  <c r="F379" i="88" s="1"/>
  <c r="P379" i="88"/>
  <c r="Q379" i="88"/>
  <c r="S379" i="88"/>
  <c r="L380" i="88"/>
  <c r="N380" i="88"/>
  <c r="O380" i="88"/>
  <c r="F380" i="88" s="1"/>
  <c r="P380" i="88"/>
  <c r="Q380" i="88"/>
  <c r="S380" i="88"/>
  <c r="L381" i="88"/>
  <c r="N381" i="88"/>
  <c r="O381" i="88"/>
  <c r="P381" i="88"/>
  <c r="Q381" i="88"/>
  <c r="S381" i="88"/>
  <c r="L382" i="88"/>
  <c r="N382" i="88"/>
  <c r="O382" i="88"/>
  <c r="F382" i="88" s="1"/>
  <c r="P382" i="88"/>
  <c r="Q382" i="88"/>
  <c r="S382" i="88"/>
  <c r="L383" i="88"/>
  <c r="N383" i="88"/>
  <c r="O383" i="88"/>
  <c r="F383" i="88" s="1"/>
  <c r="P383" i="88"/>
  <c r="Q383" i="88"/>
  <c r="S383" i="88"/>
  <c r="L384" i="88"/>
  <c r="N384" i="88"/>
  <c r="O384" i="88"/>
  <c r="F384" i="88" s="1"/>
  <c r="P384" i="88"/>
  <c r="Q384" i="88"/>
  <c r="S384" i="88"/>
  <c r="F385" i="88"/>
  <c r="L385" i="88"/>
  <c r="N385" i="88"/>
  <c r="O385" i="88"/>
  <c r="P385" i="88"/>
  <c r="Q385" i="88"/>
  <c r="S385" i="88"/>
  <c r="L386" i="88"/>
  <c r="N386" i="88"/>
  <c r="O386" i="88"/>
  <c r="F386" i="88" s="1"/>
  <c r="P386" i="88"/>
  <c r="Q386" i="88"/>
  <c r="S386" i="88"/>
  <c r="L387" i="88"/>
  <c r="N387" i="88"/>
  <c r="O387" i="88"/>
  <c r="P387" i="88"/>
  <c r="Q387" i="88"/>
  <c r="S387" i="88"/>
  <c r="L388" i="88"/>
  <c r="N388" i="88"/>
  <c r="O388" i="88"/>
  <c r="P388" i="88"/>
  <c r="Q388" i="88"/>
  <c r="S388" i="88"/>
  <c r="L389" i="88"/>
  <c r="N389" i="88"/>
  <c r="O389" i="88"/>
  <c r="P389" i="88"/>
  <c r="Q389" i="88"/>
  <c r="S389" i="88"/>
  <c r="L390" i="88"/>
  <c r="N390" i="88"/>
  <c r="O390" i="88"/>
  <c r="F390" i="88" s="1"/>
  <c r="P390" i="88"/>
  <c r="Q390" i="88"/>
  <c r="S390" i="88"/>
  <c r="L391" i="88"/>
  <c r="N391" i="88"/>
  <c r="O391" i="88"/>
  <c r="P391" i="88"/>
  <c r="Q391" i="88"/>
  <c r="S391" i="88"/>
  <c r="L392" i="88"/>
  <c r="N392" i="88"/>
  <c r="O392" i="88"/>
  <c r="P392" i="88"/>
  <c r="Q392" i="88"/>
  <c r="S392" i="88"/>
  <c r="L393" i="88"/>
  <c r="N393" i="88"/>
  <c r="O393" i="88"/>
  <c r="P393" i="88"/>
  <c r="F393" i="88" s="1"/>
  <c r="Q393" i="88"/>
  <c r="S393" i="88"/>
  <c r="L394" i="88"/>
  <c r="N394" i="88"/>
  <c r="O394" i="88"/>
  <c r="F394" i="88" s="1"/>
  <c r="P394" i="88"/>
  <c r="Q394" i="88"/>
  <c r="S394" i="88"/>
  <c r="F395" i="88"/>
  <c r="L395" i="88"/>
  <c r="N395" i="88"/>
  <c r="O395" i="88"/>
  <c r="P395" i="88"/>
  <c r="Q395" i="88"/>
  <c r="S395" i="88"/>
  <c r="L396" i="88"/>
  <c r="N396" i="88"/>
  <c r="O396" i="88"/>
  <c r="F396" i="88" s="1"/>
  <c r="P396" i="88"/>
  <c r="Q396" i="88"/>
  <c r="S396" i="88"/>
  <c r="L397" i="88"/>
  <c r="N397" i="88"/>
  <c r="O397" i="88"/>
  <c r="P397" i="88"/>
  <c r="Q397" i="88"/>
  <c r="S397" i="88"/>
  <c r="L398" i="88"/>
  <c r="N398" i="88"/>
  <c r="O398" i="88"/>
  <c r="F398" i="88" s="1"/>
  <c r="P398" i="88"/>
  <c r="Q398" i="88"/>
  <c r="S398" i="88"/>
  <c r="L399" i="88"/>
  <c r="N399" i="88"/>
  <c r="O399" i="88"/>
  <c r="F399" i="88" s="1"/>
  <c r="P399" i="88"/>
  <c r="Q399" i="88"/>
  <c r="S399" i="88"/>
  <c r="L400" i="88"/>
  <c r="N400" i="88"/>
  <c r="O400" i="88"/>
  <c r="F400" i="88" s="1"/>
  <c r="P400" i="88"/>
  <c r="Q400" i="88"/>
  <c r="S400" i="88"/>
  <c r="L401" i="88"/>
  <c r="N401" i="88"/>
  <c r="O401" i="88"/>
  <c r="F401" i="88" s="1"/>
  <c r="P401" i="88"/>
  <c r="Q401" i="88"/>
  <c r="S401" i="88"/>
  <c r="L402" i="88"/>
  <c r="N402" i="88"/>
  <c r="O402" i="88"/>
  <c r="P402" i="88"/>
  <c r="Q402" i="88"/>
  <c r="S402" i="88"/>
  <c r="F403" i="88"/>
  <c r="L403" i="88"/>
  <c r="N403" i="88"/>
  <c r="O403" i="88"/>
  <c r="P403" i="88"/>
  <c r="Q403" i="88"/>
  <c r="S403" i="88"/>
  <c r="L404" i="88"/>
  <c r="N404" i="88"/>
  <c r="O404" i="88"/>
  <c r="F404" i="88" s="1"/>
  <c r="P404" i="88"/>
  <c r="Q404" i="88"/>
  <c r="S404" i="88"/>
  <c r="L405" i="88"/>
  <c r="N405" i="88"/>
  <c r="O405" i="88"/>
  <c r="P405" i="88"/>
  <c r="F405" i="88" s="1"/>
  <c r="Q405" i="88"/>
  <c r="S405" i="88"/>
  <c r="L406" i="88"/>
  <c r="N406" i="88"/>
  <c r="O406" i="88"/>
  <c r="P406" i="88"/>
  <c r="Q406" i="88"/>
  <c r="S406" i="88"/>
  <c r="L407" i="88"/>
  <c r="N407" i="88"/>
  <c r="O407" i="88"/>
  <c r="F407" i="88" s="1"/>
  <c r="P407" i="88"/>
  <c r="Q407" i="88"/>
  <c r="S407" i="88"/>
  <c r="L408" i="88"/>
  <c r="N408" i="88"/>
  <c r="O408" i="88"/>
  <c r="F408" i="88" s="1"/>
  <c r="P408" i="88"/>
  <c r="Q408" i="88"/>
  <c r="S408" i="88"/>
  <c r="L409" i="88"/>
  <c r="N409" i="88"/>
  <c r="O409" i="88"/>
  <c r="F409" i="88" s="1"/>
  <c r="P409" i="88"/>
  <c r="Q409" i="88"/>
  <c r="S409" i="88"/>
  <c r="L410" i="88"/>
  <c r="N410" i="88"/>
  <c r="O410" i="88"/>
  <c r="F410" i="88" s="1"/>
  <c r="P410" i="88"/>
  <c r="Q410" i="88"/>
  <c r="S410" i="88"/>
  <c r="L411" i="88"/>
  <c r="N411" i="88"/>
  <c r="O411" i="88"/>
  <c r="P411" i="88"/>
  <c r="Q411" i="88"/>
  <c r="S411" i="88"/>
  <c r="L412" i="88"/>
  <c r="N412" i="88"/>
  <c r="O412" i="88"/>
  <c r="F412" i="88" s="1"/>
  <c r="P412" i="88"/>
  <c r="Q412" i="88"/>
  <c r="S412" i="88"/>
  <c r="L413" i="88"/>
  <c r="N413" i="88"/>
  <c r="O413" i="88"/>
  <c r="P413" i="88"/>
  <c r="Q413" i="88"/>
  <c r="S413" i="88"/>
  <c r="L414" i="88"/>
  <c r="N414" i="88"/>
  <c r="O414" i="88"/>
  <c r="F414" i="88" s="1"/>
  <c r="P414" i="88"/>
  <c r="Q414" i="88"/>
  <c r="S414" i="88"/>
  <c r="L415" i="88"/>
  <c r="N415" i="88"/>
  <c r="O415" i="88"/>
  <c r="P415" i="88"/>
  <c r="Q415" i="88"/>
  <c r="S415" i="88"/>
  <c r="L416" i="88"/>
  <c r="N416" i="88"/>
  <c r="O416" i="88"/>
  <c r="F416" i="88" s="1"/>
  <c r="P416" i="88"/>
  <c r="Q416" i="88"/>
  <c r="S416" i="88"/>
  <c r="F417" i="88"/>
  <c r="L417" i="88"/>
  <c r="N417" i="88"/>
  <c r="O417" i="88"/>
  <c r="P417" i="88"/>
  <c r="Q417" i="88"/>
  <c r="S417" i="88"/>
  <c r="L418" i="88"/>
  <c r="N418" i="88"/>
  <c r="O418" i="88"/>
  <c r="F418" i="88" s="1"/>
  <c r="P418" i="88"/>
  <c r="Q418" i="88"/>
  <c r="S418" i="88"/>
  <c r="L419" i="88"/>
  <c r="N419" i="88"/>
  <c r="O419" i="88"/>
  <c r="P419" i="88"/>
  <c r="Q419" i="88"/>
  <c r="S419" i="88"/>
  <c r="L420" i="88"/>
  <c r="N420" i="88"/>
  <c r="O420" i="88"/>
  <c r="F420" i="88" s="1"/>
  <c r="P420" i="88"/>
  <c r="Q420" i="88"/>
  <c r="S420" i="88"/>
  <c r="L421" i="88"/>
  <c r="N421" i="88"/>
  <c r="O421" i="88"/>
  <c r="P421" i="88"/>
  <c r="Q421" i="88"/>
  <c r="S421" i="88"/>
  <c r="L422" i="88"/>
  <c r="N422" i="88"/>
  <c r="O422" i="88"/>
  <c r="F422" i="88" s="1"/>
  <c r="P422" i="88"/>
  <c r="Q422" i="88"/>
  <c r="S422" i="88"/>
  <c r="L423" i="88"/>
  <c r="N423" i="88"/>
  <c r="O423" i="88"/>
  <c r="P423" i="88"/>
  <c r="Q423" i="88"/>
  <c r="S423" i="88"/>
  <c r="L424" i="88"/>
  <c r="N424" i="88"/>
  <c r="O424" i="88"/>
  <c r="F424" i="88" s="1"/>
  <c r="P424" i="88"/>
  <c r="Q424" i="88"/>
  <c r="S424" i="88"/>
  <c r="L425" i="88"/>
  <c r="N425" i="88"/>
  <c r="O425" i="88"/>
  <c r="P425" i="88"/>
  <c r="F425" i="88" s="1"/>
  <c r="Q425" i="88"/>
  <c r="S425" i="88"/>
  <c r="L426" i="88"/>
  <c r="N426" i="88"/>
  <c r="O426" i="88"/>
  <c r="F426" i="88" s="1"/>
  <c r="P426" i="88"/>
  <c r="Q426" i="88"/>
  <c r="S426" i="88"/>
  <c r="F427" i="88"/>
  <c r="L427" i="88"/>
  <c r="N427" i="88"/>
  <c r="O427" i="88"/>
  <c r="P427" i="88"/>
  <c r="Q427" i="88"/>
  <c r="S427" i="88"/>
  <c r="L428" i="88"/>
  <c r="N428" i="88"/>
  <c r="O428" i="88"/>
  <c r="P428" i="88"/>
  <c r="Q428" i="88"/>
  <c r="S428" i="88"/>
  <c r="L429" i="88"/>
  <c r="N429" i="88"/>
  <c r="O429" i="88"/>
  <c r="P429" i="88"/>
  <c r="Q429" i="88"/>
  <c r="S429" i="88"/>
  <c r="L430" i="88"/>
  <c r="N430" i="88"/>
  <c r="O430" i="88"/>
  <c r="F430" i="88" s="1"/>
  <c r="P430" i="88"/>
  <c r="Q430" i="88"/>
  <c r="S430" i="88"/>
  <c r="L431" i="88"/>
  <c r="N431" i="88"/>
  <c r="O431" i="88"/>
  <c r="F431" i="88" s="1"/>
  <c r="P431" i="88"/>
  <c r="Q431" i="88"/>
  <c r="S431" i="88"/>
  <c r="L432" i="88"/>
  <c r="N432" i="88"/>
  <c r="O432" i="88"/>
  <c r="P432" i="88"/>
  <c r="Q432" i="88"/>
  <c r="S432" i="88"/>
  <c r="L433" i="88"/>
  <c r="N433" i="88"/>
  <c r="O433" i="88"/>
  <c r="F433" i="88" s="1"/>
  <c r="P433" i="88"/>
  <c r="Q433" i="88"/>
  <c r="S433" i="88"/>
  <c r="L434" i="88"/>
  <c r="N434" i="88"/>
  <c r="O434" i="88"/>
  <c r="P434" i="88"/>
  <c r="Q434" i="88"/>
  <c r="S434" i="88"/>
  <c r="F435" i="88"/>
  <c r="L435" i="88"/>
  <c r="N435" i="88"/>
  <c r="O435" i="88"/>
  <c r="P435" i="88"/>
  <c r="Q435" i="88"/>
  <c r="S435" i="88"/>
  <c r="L436" i="88"/>
  <c r="N436" i="88"/>
  <c r="O436" i="88"/>
  <c r="F436" i="88" s="1"/>
  <c r="P436" i="88"/>
  <c r="Q436" i="88"/>
  <c r="S436" i="88"/>
  <c r="L437" i="88"/>
  <c r="N437" i="88"/>
  <c r="O437" i="88"/>
  <c r="P437" i="88"/>
  <c r="Q437" i="88"/>
  <c r="S437" i="88"/>
  <c r="L438" i="88"/>
  <c r="N438" i="88"/>
  <c r="O438" i="88"/>
  <c r="P438" i="88"/>
  <c r="Q438" i="88"/>
  <c r="S438" i="88"/>
  <c r="L439" i="88"/>
  <c r="N439" i="88"/>
  <c r="O439" i="88"/>
  <c r="F439" i="88" s="1"/>
  <c r="P439" i="88"/>
  <c r="Q439" i="88"/>
  <c r="S439" i="88"/>
  <c r="L440" i="88"/>
  <c r="N440" i="88"/>
  <c r="O440" i="88"/>
  <c r="F440" i="88" s="1"/>
  <c r="P440" i="88"/>
  <c r="Q440" i="88"/>
  <c r="S440" i="88"/>
  <c r="F441" i="88"/>
  <c r="L441" i="88"/>
  <c r="N441" i="88"/>
  <c r="O441" i="88"/>
  <c r="P441" i="88"/>
  <c r="Q441" i="88"/>
  <c r="S441" i="88"/>
  <c r="L442" i="88"/>
  <c r="N442" i="88"/>
  <c r="O442" i="88"/>
  <c r="F442" i="88" s="1"/>
  <c r="P442" i="88"/>
  <c r="Q442" i="88"/>
  <c r="S442" i="88"/>
  <c r="L443" i="88"/>
  <c r="N443" i="88"/>
  <c r="O443" i="88"/>
  <c r="F443" i="88" s="1"/>
  <c r="P443" i="88"/>
  <c r="Q443" i="88"/>
  <c r="S443" i="88"/>
  <c r="L444" i="88"/>
  <c r="N444" i="88"/>
  <c r="O444" i="88"/>
  <c r="F444" i="88" s="1"/>
  <c r="P444" i="88"/>
  <c r="Q444" i="88"/>
  <c r="S444" i="88"/>
  <c r="L445" i="88"/>
  <c r="N445" i="88"/>
  <c r="O445" i="88"/>
  <c r="P445" i="88"/>
  <c r="Q445" i="88"/>
  <c r="S445" i="88"/>
  <c r="L446" i="88"/>
  <c r="N446" i="88"/>
  <c r="O446" i="88"/>
  <c r="F446" i="88" s="1"/>
  <c r="P446" i="88"/>
  <c r="Q446" i="88"/>
  <c r="S446" i="88"/>
  <c r="L447" i="88"/>
  <c r="N447" i="88"/>
  <c r="O447" i="88"/>
  <c r="F447" i="88" s="1"/>
  <c r="P447" i="88"/>
  <c r="Q447" i="88"/>
  <c r="S447" i="88"/>
  <c r="L448" i="88"/>
  <c r="N448" i="88"/>
  <c r="O448" i="88"/>
  <c r="F448" i="88" s="1"/>
  <c r="P448" i="88"/>
  <c r="Q448" i="88"/>
  <c r="S448" i="88"/>
  <c r="F449" i="88"/>
  <c r="L449" i="88"/>
  <c r="N449" i="88"/>
  <c r="O449" i="88"/>
  <c r="P449" i="88"/>
  <c r="Q449" i="88"/>
  <c r="S449" i="88"/>
  <c r="L450" i="88"/>
  <c r="N450" i="88"/>
  <c r="O450" i="88"/>
  <c r="F450" i="88" s="1"/>
  <c r="P450" i="88"/>
  <c r="Q450" i="88"/>
  <c r="S450" i="88"/>
  <c r="L451" i="88"/>
  <c r="N451" i="88"/>
  <c r="O451" i="88"/>
  <c r="P451" i="88"/>
  <c r="Q451" i="88"/>
  <c r="S451" i="88"/>
  <c r="L452" i="88"/>
  <c r="N452" i="88"/>
  <c r="O452" i="88"/>
  <c r="P452" i="88"/>
  <c r="Q452" i="88"/>
  <c r="S452" i="88"/>
  <c r="L453" i="88"/>
  <c r="N453" i="88"/>
  <c r="O453" i="88"/>
  <c r="P453" i="88"/>
  <c r="Q453" i="88"/>
  <c r="S453" i="88"/>
  <c r="L454" i="88"/>
  <c r="N454" i="88"/>
  <c r="O454" i="88"/>
  <c r="F454" i="88" s="1"/>
  <c r="P454" i="88"/>
  <c r="Q454" i="88"/>
  <c r="S454" i="88"/>
  <c r="L455" i="88"/>
  <c r="N455" i="88"/>
  <c r="O455" i="88"/>
  <c r="P455" i="88"/>
  <c r="Q455" i="88"/>
  <c r="S455" i="88"/>
  <c r="L456" i="88"/>
  <c r="N456" i="88"/>
  <c r="O456" i="88"/>
  <c r="P456" i="88"/>
  <c r="Q456" i="88"/>
  <c r="S456" i="88"/>
  <c r="L457" i="88"/>
  <c r="N457" i="88"/>
  <c r="O457" i="88"/>
  <c r="P457" i="88"/>
  <c r="F457" i="88" s="1"/>
  <c r="Q457" i="88"/>
  <c r="S457" i="88"/>
  <c r="L458" i="88"/>
  <c r="N458" i="88"/>
  <c r="O458" i="88"/>
  <c r="F458" i="88" s="1"/>
  <c r="P458" i="88"/>
  <c r="Q458" i="88"/>
  <c r="S458" i="88"/>
  <c r="F459" i="88"/>
  <c r="L459" i="88"/>
  <c r="N459" i="88"/>
  <c r="O459" i="88"/>
  <c r="P459" i="88"/>
  <c r="Q459" i="88"/>
  <c r="S459" i="88"/>
  <c r="L460" i="88"/>
  <c r="N460" i="88"/>
  <c r="O460" i="88"/>
  <c r="F460" i="88" s="1"/>
  <c r="P460" i="88"/>
  <c r="Q460" i="88"/>
  <c r="S460" i="88"/>
  <c r="L461" i="88"/>
  <c r="N461" i="88"/>
  <c r="O461" i="88"/>
  <c r="P461" i="88"/>
  <c r="Q461" i="88"/>
  <c r="S461" i="88"/>
  <c r="L462" i="88"/>
  <c r="N462" i="88"/>
  <c r="O462" i="88"/>
  <c r="F462" i="88" s="1"/>
  <c r="P462" i="88"/>
  <c r="Q462" i="88"/>
  <c r="S462" i="88"/>
  <c r="L463" i="88"/>
  <c r="N463" i="88"/>
  <c r="O463" i="88"/>
  <c r="F463" i="88" s="1"/>
  <c r="P463" i="88"/>
  <c r="Q463" i="88"/>
  <c r="S463" i="88"/>
  <c r="L464" i="88"/>
  <c r="N464" i="88"/>
  <c r="O464" i="88"/>
  <c r="F464" i="88" s="1"/>
  <c r="P464" i="88"/>
  <c r="Q464" i="88"/>
  <c r="S464" i="88"/>
  <c r="L465" i="88"/>
  <c r="N465" i="88"/>
  <c r="O465" i="88"/>
  <c r="F465" i="88" s="1"/>
  <c r="P465" i="88"/>
  <c r="Q465" i="88"/>
  <c r="S465" i="88"/>
  <c r="L466" i="88"/>
  <c r="N466" i="88"/>
  <c r="O466" i="88"/>
  <c r="P466" i="88"/>
  <c r="Q466" i="88"/>
  <c r="S466" i="88"/>
  <c r="F467" i="88"/>
  <c r="L467" i="88"/>
  <c r="N467" i="88"/>
  <c r="O467" i="88"/>
  <c r="P467" i="88"/>
  <c r="Q467" i="88"/>
  <c r="S467" i="88"/>
  <c r="L468" i="88"/>
  <c r="N468" i="88"/>
  <c r="O468" i="88"/>
  <c r="F468" i="88" s="1"/>
  <c r="P468" i="88"/>
  <c r="Q468" i="88"/>
  <c r="S468" i="88"/>
  <c r="L469" i="88"/>
  <c r="N469" i="88"/>
  <c r="O469" i="88"/>
  <c r="P469" i="88"/>
  <c r="F469" i="88" s="1"/>
  <c r="Q469" i="88"/>
  <c r="S469" i="88"/>
  <c r="L470" i="88"/>
  <c r="N470" i="88"/>
  <c r="O470" i="88"/>
  <c r="P470" i="88"/>
  <c r="Q470" i="88"/>
  <c r="S470" i="88"/>
  <c r="L471" i="88"/>
  <c r="N471" i="88"/>
  <c r="O471" i="88"/>
  <c r="F471" i="88" s="1"/>
  <c r="P471" i="88"/>
  <c r="Q471" i="88"/>
  <c r="S471" i="88"/>
  <c r="L472" i="88"/>
  <c r="N472" i="88"/>
  <c r="O472" i="88"/>
  <c r="F472" i="88" s="1"/>
  <c r="P472" i="88"/>
  <c r="Q472" i="88"/>
  <c r="S472" i="88"/>
  <c r="L473" i="88"/>
  <c r="N473" i="88"/>
  <c r="O473" i="88"/>
  <c r="F473" i="88" s="1"/>
  <c r="P473" i="88"/>
  <c r="Q473" i="88"/>
  <c r="S473" i="88"/>
  <c r="L474" i="88"/>
  <c r="N474" i="88"/>
  <c r="O474" i="88"/>
  <c r="F474" i="88" s="1"/>
  <c r="P474" i="88"/>
  <c r="Q474" i="88"/>
  <c r="S474" i="88"/>
  <c r="L475" i="88"/>
  <c r="N475" i="88"/>
  <c r="O475" i="88"/>
  <c r="P475" i="88"/>
  <c r="Q475" i="88"/>
  <c r="S475" i="88"/>
  <c r="L476" i="88"/>
  <c r="N476" i="88"/>
  <c r="O476" i="88"/>
  <c r="F476" i="88" s="1"/>
  <c r="P476" i="88"/>
  <c r="Q476" i="88"/>
  <c r="S476" i="88"/>
  <c r="L477" i="88"/>
  <c r="N477" i="88"/>
  <c r="O477" i="88"/>
  <c r="P477" i="88"/>
  <c r="Q477" i="88"/>
  <c r="S477" i="88"/>
  <c r="L478" i="88"/>
  <c r="N478" i="88"/>
  <c r="O478" i="88"/>
  <c r="F478" i="88" s="1"/>
  <c r="P478" i="88"/>
  <c r="Q478" i="88"/>
  <c r="S478" i="88"/>
  <c r="L479" i="88"/>
  <c r="N479" i="88"/>
  <c r="O479" i="88"/>
  <c r="P479" i="88"/>
  <c r="Q479" i="88"/>
  <c r="S479" i="88"/>
  <c r="L480" i="88"/>
  <c r="N480" i="88"/>
  <c r="O480" i="88"/>
  <c r="F480" i="88" s="1"/>
  <c r="P480" i="88"/>
  <c r="Q480" i="88"/>
  <c r="S480" i="88"/>
  <c r="F481" i="88"/>
  <c r="L481" i="88"/>
  <c r="N481" i="88"/>
  <c r="O481" i="88"/>
  <c r="P481" i="88"/>
  <c r="Q481" i="88"/>
  <c r="S481" i="88"/>
  <c r="L482" i="88"/>
  <c r="N482" i="88"/>
  <c r="O482" i="88"/>
  <c r="F482" i="88" s="1"/>
  <c r="P482" i="88"/>
  <c r="Q482" i="88"/>
  <c r="S482" i="88"/>
  <c r="L483" i="88"/>
  <c r="N483" i="88"/>
  <c r="O483" i="88"/>
  <c r="P483" i="88"/>
  <c r="Q483" i="88"/>
  <c r="S483" i="88"/>
  <c r="L484" i="88"/>
  <c r="N484" i="88"/>
  <c r="O484" i="88"/>
  <c r="F484" i="88" s="1"/>
  <c r="P484" i="88"/>
  <c r="Q484" i="88"/>
  <c r="S484" i="88"/>
  <c r="L485" i="88"/>
  <c r="N485" i="88"/>
  <c r="O485" i="88"/>
  <c r="P485" i="88"/>
  <c r="Q485" i="88"/>
  <c r="S485" i="88"/>
  <c r="L486" i="88"/>
  <c r="N486" i="88"/>
  <c r="O486" i="88"/>
  <c r="F486" i="88" s="1"/>
  <c r="P486" i="88"/>
  <c r="Q486" i="88"/>
  <c r="S486" i="88"/>
  <c r="L487" i="88"/>
  <c r="N487" i="88"/>
  <c r="O487" i="88"/>
  <c r="P487" i="88"/>
  <c r="Q487" i="88"/>
  <c r="S487" i="88"/>
  <c r="L488" i="88"/>
  <c r="N488" i="88"/>
  <c r="O488" i="88"/>
  <c r="F488" i="88" s="1"/>
  <c r="P488" i="88"/>
  <c r="Q488" i="88"/>
  <c r="S488" i="88"/>
  <c r="L489" i="88"/>
  <c r="N489" i="88"/>
  <c r="O489" i="88"/>
  <c r="P489" i="88"/>
  <c r="F489" i="88" s="1"/>
  <c r="Q489" i="88"/>
  <c r="S489" i="88"/>
  <c r="L490" i="88"/>
  <c r="N490" i="88"/>
  <c r="O490" i="88"/>
  <c r="P490" i="88"/>
  <c r="Q490" i="88"/>
  <c r="S490" i="88"/>
  <c r="F491" i="88"/>
  <c r="L491" i="88"/>
  <c r="N491" i="88"/>
  <c r="O491" i="88"/>
  <c r="P491" i="88"/>
  <c r="Q491" i="88"/>
  <c r="S491" i="88"/>
  <c r="L492" i="88"/>
  <c r="N492" i="88"/>
  <c r="O492" i="88"/>
  <c r="P492" i="88"/>
  <c r="Q492" i="88"/>
  <c r="S492" i="88"/>
  <c r="L493" i="88"/>
  <c r="N493" i="88"/>
  <c r="O493" i="88"/>
  <c r="P493" i="88"/>
  <c r="Q493" i="88"/>
  <c r="S493" i="88"/>
  <c r="L494" i="88"/>
  <c r="N494" i="88"/>
  <c r="O494" i="88"/>
  <c r="F494" i="88" s="1"/>
  <c r="P494" i="88"/>
  <c r="Q494" i="88"/>
  <c r="S494" i="88"/>
  <c r="L495" i="88"/>
  <c r="N495" i="88"/>
  <c r="O495" i="88"/>
  <c r="F495" i="88" s="1"/>
  <c r="P495" i="88"/>
  <c r="Q495" i="88"/>
  <c r="S495" i="88"/>
  <c r="L496" i="88"/>
  <c r="N496" i="88"/>
  <c r="O496" i="88"/>
  <c r="P496" i="88"/>
  <c r="Q496" i="88"/>
  <c r="S496" i="88"/>
  <c r="L497" i="88"/>
  <c r="N497" i="88"/>
  <c r="O497" i="88"/>
  <c r="F497" i="88" s="1"/>
  <c r="P497" i="88"/>
  <c r="Q497" i="88"/>
  <c r="S497" i="88"/>
  <c r="L498" i="88"/>
  <c r="N498" i="88"/>
  <c r="O498" i="88"/>
  <c r="P498" i="88"/>
  <c r="Q498" i="88"/>
  <c r="S498" i="88"/>
  <c r="F499" i="88"/>
  <c r="L499" i="88"/>
  <c r="N499" i="88"/>
  <c r="O499" i="88"/>
  <c r="P499" i="88"/>
  <c r="Q499" i="88"/>
  <c r="S499" i="88"/>
  <c r="L500" i="88"/>
  <c r="N500" i="88"/>
  <c r="O500" i="88"/>
  <c r="F500" i="88" s="1"/>
  <c r="P500" i="88"/>
  <c r="Q500" i="88"/>
  <c r="S500" i="88"/>
  <c r="L501" i="88"/>
  <c r="N501" i="88"/>
  <c r="O501" i="88"/>
  <c r="P501" i="88"/>
  <c r="Q501" i="88"/>
  <c r="S501" i="88"/>
  <c r="L502" i="88"/>
  <c r="N502" i="88"/>
  <c r="O502" i="88"/>
  <c r="P502" i="88"/>
  <c r="Q502" i="88"/>
  <c r="S502" i="88"/>
  <c r="L503" i="88"/>
  <c r="N503" i="88"/>
  <c r="O503" i="88"/>
  <c r="F503" i="88" s="1"/>
  <c r="P503" i="88"/>
  <c r="Q503" i="88"/>
  <c r="S503" i="88"/>
  <c r="L504" i="88"/>
  <c r="N504" i="88"/>
  <c r="O504" i="88"/>
  <c r="F504" i="88" s="1"/>
  <c r="P504" i="88"/>
  <c r="Q504" i="88"/>
  <c r="S504" i="88"/>
  <c r="F505" i="88"/>
  <c r="L505" i="88"/>
  <c r="N505" i="88"/>
  <c r="O505" i="88"/>
  <c r="P505" i="88"/>
  <c r="Q505" i="88"/>
  <c r="S505" i="88"/>
  <c r="L506" i="88"/>
  <c r="N506" i="88"/>
  <c r="O506" i="88"/>
  <c r="F506" i="88" s="1"/>
  <c r="P506" i="88"/>
  <c r="Q506" i="88"/>
  <c r="S506" i="88"/>
  <c r="L144" i="87"/>
  <c r="N144" i="87"/>
  <c r="O144" i="87"/>
  <c r="P144" i="87"/>
  <c r="Q144" i="87"/>
  <c r="S144" i="87"/>
  <c r="F145" i="87"/>
  <c r="L145" i="87"/>
  <c r="N145" i="87"/>
  <c r="O145" i="87"/>
  <c r="P145" i="87"/>
  <c r="Q145" i="87"/>
  <c r="S145" i="87"/>
  <c r="L146" i="87"/>
  <c r="N146" i="87"/>
  <c r="O146" i="87"/>
  <c r="F146" i="87" s="1"/>
  <c r="P146" i="87"/>
  <c r="Q146" i="87"/>
  <c r="S146" i="87"/>
  <c r="F147" i="87"/>
  <c r="L147" i="87"/>
  <c r="N147" i="87"/>
  <c r="O147" i="87"/>
  <c r="P147" i="87"/>
  <c r="Q147" i="87"/>
  <c r="S147" i="87"/>
  <c r="L148" i="87"/>
  <c r="N148" i="87"/>
  <c r="O148" i="87"/>
  <c r="F148" i="87" s="1"/>
  <c r="P148" i="87"/>
  <c r="Q148" i="87"/>
  <c r="S148" i="87"/>
  <c r="L149" i="87"/>
  <c r="N149" i="87"/>
  <c r="O149" i="87"/>
  <c r="P149" i="87"/>
  <c r="F149" i="87" s="1"/>
  <c r="Q149" i="87"/>
  <c r="S149" i="87"/>
  <c r="L150" i="87"/>
  <c r="N150" i="87"/>
  <c r="O150" i="87"/>
  <c r="P150" i="87"/>
  <c r="Q150" i="87"/>
  <c r="S150" i="87"/>
  <c r="L151" i="87"/>
  <c r="N151" i="87"/>
  <c r="O151" i="87"/>
  <c r="F151" i="87" s="1"/>
  <c r="P151" i="87"/>
  <c r="Q151" i="87"/>
  <c r="S151" i="87"/>
  <c r="L152" i="87"/>
  <c r="N152" i="87"/>
  <c r="O152" i="87"/>
  <c r="F152" i="87" s="1"/>
  <c r="P152" i="87"/>
  <c r="Q152" i="87"/>
  <c r="S152" i="87"/>
  <c r="L153" i="87"/>
  <c r="N153" i="87"/>
  <c r="O153" i="87"/>
  <c r="F153" i="87" s="1"/>
  <c r="P153" i="87"/>
  <c r="Q153" i="87"/>
  <c r="S153" i="87"/>
  <c r="L154" i="87"/>
  <c r="N154" i="87"/>
  <c r="O154" i="87"/>
  <c r="P154" i="87"/>
  <c r="F154" i="87" s="1"/>
  <c r="Q154" i="87"/>
  <c r="S154" i="87"/>
  <c r="F155" i="87"/>
  <c r="L155" i="87"/>
  <c r="N155" i="87"/>
  <c r="O155" i="87"/>
  <c r="P155" i="87"/>
  <c r="Q155" i="87"/>
  <c r="S155" i="87"/>
  <c r="L156" i="87"/>
  <c r="N156" i="87"/>
  <c r="O156" i="87"/>
  <c r="F156" i="87" s="1"/>
  <c r="P156" i="87"/>
  <c r="Q156" i="87"/>
  <c r="S156" i="87"/>
  <c r="L157" i="87"/>
  <c r="N157" i="87"/>
  <c r="O157" i="87"/>
  <c r="P157" i="87"/>
  <c r="F157" i="87" s="1"/>
  <c r="Q157" i="87"/>
  <c r="S157" i="87"/>
  <c r="L158" i="87"/>
  <c r="N158" i="87"/>
  <c r="O158" i="87"/>
  <c r="F158" i="87" s="1"/>
  <c r="P158" i="87"/>
  <c r="Q158" i="87"/>
  <c r="S158" i="87"/>
  <c r="L159" i="87"/>
  <c r="N159" i="87"/>
  <c r="O159" i="87"/>
  <c r="F159" i="87" s="1"/>
  <c r="P159" i="87"/>
  <c r="Q159" i="87"/>
  <c r="S159" i="87"/>
  <c r="L160" i="87"/>
  <c r="N160" i="87"/>
  <c r="O160" i="87"/>
  <c r="F160" i="87" s="1"/>
  <c r="P160" i="87"/>
  <c r="Q160" i="87"/>
  <c r="S160" i="87"/>
  <c r="L161" i="87"/>
  <c r="N161" i="87"/>
  <c r="O161" i="87"/>
  <c r="F161" i="87" s="1"/>
  <c r="P161" i="87"/>
  <c r="Q161" i="87"/>
  <c r="S161" i="87"/>
  <c r="L162" i="87"/>
  <c r="N162" i="87"/>
  <c r="O162" i="87"/>
  <c r="F162" i="87" s="1"/>
  <c r="P162" i="87"/>
  <c r="Q162" i="87"/>
  <c r="S162" i="87"/>
  <c r="L163" i="87"/>
  <c r="N163" i="87"/>
  <c r="O163" i="87"/>
  <c r="F163" i="87" s="1"/>
  <c r="P163" i="87"/>
  <c r="Q163" i="87"/>
  <c r="S163" i="87"/>
  <c r="L164" i="87"/>
  <c r="N164" i="87"/>
  <c r="O164" i="87"/>
  <c r="P164" i="87"/>
  <c r="Q164" i="87"/>
  <c r="S164" i="87"/>
  <c r="L165" i="87"/>
  <c r="N165" i="87"/>
  <c r="O165" i="87"/>
  <c r="P165" i="87"/>
  <c r="F165" i="87" s="1"/>
  <c r="Q165" i="87"/>
  <c r="S165" i="87"/>
  <c r="L166" i="87"/>
  <c r="N166" i="87"/>
  <c r="O166" i="87"/>
  <c r="F166" i="87" s="1"/>
  <c r="P166" i="87"/>
  <c r="Q166" i="87"/>
  <c r="S166" i="87"/>
  <c r="L167" i="87"/>
  <c r="N167" i="87"/>
  <c r="O167" i="87"/>
  <c r="F167" i="87" s="1"/>
  <c r="P167" i="87"/>
  <c r="Q167" i="87"/>
  <c r="S167" i="87"/>
  <c r="L168" i="87"/>
  <c r="N168" i="87"/>
  <c r="O168" i="87"/>
  <c r="P168" i="87"/>
  <c r="Q168" i="87"/>
  <c r="S168" i="87"/>
  <c r="F169" i="87"/>
  <c r="L169" i="87"/>
  <c r="N169" i="87"/>
  <c r="O169" i="87"/>
  <c r="P169" i="87"/>
  <c r="Q169" i="87"/>
  <c r="S169" i="87"/>
  <c r="F170" i="87"/>
  <c r="L170" i="87"/>
  <c r="N170" i="87"/>
  <c r="O170" i="87"/>
  <c r="P170" i="87"/>
  <c r="Q170" i="87"/>
  <c r="S170" i="87"/>
  <c r="F171" i="87"/>
  <c r="L171" i="87"/>
  <c r="N171" i="87"/>
  <c r="O171" i="87"/>
  <c r="P171" i="87"/>
  <c r="Q171" i="87"/>
  <c r="S171" i="87"/>
  <c r="L172" i="87"/>
  <c r="N172" i="87"/>
  <c r="O172" i="87"/>
  <c r="F172" i="87" s="1"/>
  <c r="P172" i="87"/>
  <c r="Q172" i="87"/>
  <c r="S172" i="87"/>
  <c r="L173" i="87"/>
  <c r="N173" i="87"/>
  <c r="O173" i="87"/>
  <c r="P173" i="87"/>
  <c r="F173" i="87" s="1"/>
  <c r="Q173" i="87"/>
  <c r="S173" i="87"/>
  <c r="L174" i="87"/>
  <c r="N174" i="87"/>
  <c r="O174" i="87"/>
  <c r="F174" i="87" s="1"/>
  <c r="P174" i="87"/>
  <c r="Q174" i="87"/>
  <c r="S174" i="87"/>
  <c r="L175" i="87"/>
  <c r="N175" i="87"/>
  <c r="O175" i="87"/>
  <c r="F175" i="87" s="1"/>
  <c r="P175" i="87"/>
  <c r="Q175" i="87"/>
  <c r="S175" i="87"/>
  <c r="L176" i="87"/>
  <c r="N176" i="87"/>
  <c r="O176" i="87"/>
  <c r="F176" i="87" s="1"/>
  <c r="P176" i="87"/>
  <c r="Q176" i="87"/>
  <c r="S176" i="87"/>
  <c r="L177" i="87"/>
  <c r="N177" i="87"/>
  <c r="O177" i="87"/>
  <c r="P177" i="87"/>
  <c r="Q177" i="87"/>
  <c r="S177" i="87"/>
  <c r="L178" i="87"/>
  <c r="N178" i="87"/>
  <c r="O178" i="87"/>
  <c r="F178" i="87" s="1"/>
  <c r="P178" i="87"/>
  <c r="Q178" i="87"/>
  <c r="S178" i="87"/>
  <c r="L179" i="87"/>
  <c r="N179" i="87"/>
  <c r="O179" i="87"/>
  <c r="P179" i="87"/>
  <c r="F179" i="87" s="1"/>
  <c r="Q179" i="87"/>
  <c r="S179" i="87"/>
  <c r="L180" i="87"/>
  <c r="N180" i="87"/>
  <c r="O180" i="87"/>
  <c r="P180" i="87"/>
  <c r="Q180" i="87"/>
  <c r="S180" i="87"/>
  <c r="L181" i="87"/>
  <c r="N181" i="87"/>
  <c r="O181" i="87"/>
  <c r="P181" i="87"/>
  <c r="Q181" i="87"/>
  <c r="S181" i="87"/>
  <c r="L182" i="87"/>
  <c r="N182" i="87"/>
  <c r="O182" i="87"/>
  <c r="F182" i="87" s="1"/>
  <c r="P182" i="87"/>
  <c r="Q182" i="87"/>
  <c r="S182" i="87"/>
  <c r="L183" i="87"/>
  <c r="N183" i="87"/>
  <c r="O183" i="87"/>
  <c r="P183" i="87"/>
  <c r="Q183" i="87"/>
  <c r="S183" i="87"/>
  <c r="L184" i="87"/>
  <c r="N184" i="87"/>
  <c r="O184" i="87"/>
  <c r="P184" i="87"/>
  <c r="Q184" i="87"/>
  <c r="S184" i="87"/>
  <c r="F185" i="87"/>
  <c r="L185" i="87"/>
  <c r="N185" i="87"/>
  <c r="O185" i="87"/>
  <c r="P185" i="87"/>
  <c r="Q185" i="87"/>
  <c r="S185" i="87"/>
  <c r="F186" i="87"/>
  <c r="L186" i="87"/>
  <c r="N186" i="87"/>
  <c r="O186" i="87"/>
  <c r="P186" i="87"/>
  <c r="Q186" i="87"/>
  <c r="S186" i="87"/>
  <c r="L187" i="87"/>
  <c r="N187" i="87"/>
  <c r="O187" i="87"/>
  <c r="F187" i="87" s="1"/>
  <c r="P187" i="87"/>
  <c r="Q187" i="87"/>
  <c r="S187" i="87"/>
  <c r="L188" i="87"/>
  <c r="N188" i="87"/>
  <c r="O188" i="87"/>
  <c r="P188" i="87"/>
  <c r="Q188" i="87"/>
  <c r="S188" i="87"/>
  <c r="L189" i="87"/>
  <c r="N189" i="87"/>
  <c r="O189" i="87"/>
  <c r="P189" i="87"/>
  <c r="Q189" i="87"/>
  <c r="S189" i="87"/>
  <c r="L190" i="87"/>
  <c r="N190" i="87"/>
  <c r="O190" i="87"/>
  <c r="F190" i="87" s="1"/>
  <c r="P190" i="87"/>
  <c r="Q190" i="87"/>
  <c r="S190" i="87"/>
  <c r="L191" i="87"/>
  <c r="N191" i="87"/>
  <c r="O191" i="87"/>
  <c r="F191" i="87" s="1"/>
  <c r="P191" i="87"/>
  <c r="Q191" i="87"/>
  <c r="S191" i="87"/>
  <c r="L192" i="87"/>
  <c r="N192" i="87"/>
  <c r="O192" i="87"/>
  <c r="P192" i="87"/>
  <c r="Q192" i="87"/>
  <c r="S192" i="87"/>
  <c r="L193" i="87"/>
  <c r="N193" i="87"/>
  <c r="O193" i="87"/>
  <c r="P193" i="87"/>
  <c r="F193" i="87" s="1"/>
  <c r="Q193" i="87"/>
  <c r="S193" i="87"/>
  <c r="F194" i="87"/>
  <c r="L194" i="87"/>
  <c r="N194" i="87"/>
  <c r="O194" i="87"/>
  <c r="P194" i="87"/>
  <c r="Q194" i="87"/>
  <c r="S194" i="87"/>
  <c r="F195" i="87"/>
  <c r="L195" i="87"/>
  <c r="N195" i="87"/>
  <c r="O195" i="87"/>
  <c r="P195" i="87"/>
  <c r="Q195" i="87"/>
  <c r="S195" i="87"/>
  <c r="L196" i="87"/>
  <c r="N196" i="87"/>
  <c r="O196" i="87"/>
  <c r="F196" i="87" s="1"/>
  <c r="P196" i="87"/>
  <c r="Q196" i="87"/>
  <c r="S196" i="87"/>
  <c r="L197" i="87"/>
  <c r="N197" i="87"/>
  <c r="O197" i="87"/>
  <c r="P197" i="87"/>
  <c r="F197" i="87" s="1"/>
  <c r="Q197" i="87"/>
  <c r="S197" i="87"/>
  <c r="L198" i="87"/>
  <c r="N198" i="87"/>
  <c r="O198" i="87"/>
  <c r="P198" i="87"/>
  <c r="Q198" i="87"/>
  <c r="S198" i="87"/>
  <c r="L199" i="87"/>
  <c r="N199" i="87"/>
  <c r="O199" i="87"/>
  <c r="P199" i="87"/>
  <c r="Q199" i="87"/>
  <c r="S199" i="87"/>
  <c r="L200" i="87"/>
  <c r="N200" i="87"/>
  <c r="O200" i="87"/>
  <c r="F200" i="87" s="1"/>
  <c r="P200" i="87"/>
  <c r="Q200" i="87"/>
  <c r="S200" i="87"/>
  <c r="L201" i="87"/>
  <c r="N201" i="87"/>
  <c r="O201" i="87"/>
  <c r="P201" i="87"/>
  <c r="Q201" i="87"/>
  <c r="S201" i="87"/>
  <c r="L202" i="87"/>
  <c r="N202" i="87"/>
  <c r="O202" i="87"/>
  <c r="F202" i="87" s="1"/>
  <c r="P202" i="87"/>
  <c r="Q202" i="87"/>
  <c r="S202" i="87"/>
  <c r="L203" i="87"/>
  <c r="N203" i="87"/>
  <c r="O203" i="87"/>
  <c r="P203" i="87"/>
  <c r="Q203" i="87"/>
  <c r="S203" i="87"/>
  <c r="L204" i="87"/>
  <c r="N204" i="87"/>
  <c r="O204" i="87"/>
  <c r="F204" i="87" s="1"/>
  <c r="P204" i="87"/>
  <c r="Q204" i="87"/>
  <c r="S204" i="87"/>
  <c r="L205" i="87"/>
  <c r="N205" i="87"/>
  <c r="O205" i="87"/>
  <c r="P205" i="87"/>
  <c r="Q205" i="87"/>
  <c r="S205" i="87"/>
  <c r="L206" i="87"/>
  <c r="N206" i="87"/>
  <c r="O206" i="87"/>
  <c r="F206" i="87" s="1"/>
  <c r="P206" i="87"/>
  <c r="Q206" i="87"/>
  <c r="S206" i="87"/>
  <c r="L207" i="87"/>
  <c r="N207" i="87"/>
  <c r="O207" i="87"/>
  <c r="P207" i="87"/>
  <c r="Q207" i="87"/>
  <c r="S207" i="87"/>
  <c r="L208" i="87"/>
  <c r="N208" i="87"/>
  <c r="O208" i="87"/>
  <c r="F208" i="87" s="1"/>
  <c r="P208" i="87"/>
  <c r="Q208" i="87"/>
  <c r="S208" i="87"/>
  <c r="F209" i="87"/>
  <c r="L209" i="87"/>
  <c r="N209" i="87"/>
  <c r="O209" i="87"/>
  <c r="P209" i="87"/>
  <c r="Q209" i="87"/>
  <c r="S209" i="87"/>
  <c r="F210" i="87"/>
  <c r="L210" i="87"/>
  <c r="N210" i="87"/>
  <c r="O210" i="87"/>
  <c r="P210" i="87"/>
  <c r="Q210" i="87"/>
  <c r="S210" i="87"/>
  <c r="L211" i="87"/>
  <c r="N211" i="87"/>
  <c r="O211" i="87"/>
  <c r="F211" i="87" s="1"/>
  <c r="P211" i="87"/>
  <c r="Q211" i="87"/>
  <c r="S211" i="87"/>
  <c r="L212" i="87"/>
  <c r="N212" i="87"/>
  <c r="O212" i="87"/>
  <c r="P212" i="87"/>
  <c r="Q212" i="87"/>
  <c r="S212" i="87"/>
  <c r="L213" i="87"/>
  <c r="N213" i="87"/>
  <c r="O213" i="87"/>
  <c r="P213" i="87"/>
  <c r="F213" i="87" s="1"/>
  <c r="Q213" i="87"/>
  <c r="S213" i="87"/>
  <c r="L214" i="87"/>
  <c r="N214" i="87"/>
  <c r="O214" i="87"/>
  <c r="P214" i="87"/>
  <c r="Q214" i="87"/>
  <c r="S214" i="87"/>
  <c r="L215" i="87"/>
  <c r="N215" i="87"/>
  <c r="O215" i="87"/>
  <c r="F215" i="87" s="1"/>
  <c r="P215" i="87"/>
  <c r="Q215" i="87"/>
  <c r="S215" i="87"/>
  <c r="L216" i="87"/>
  <c r="N216" i="87"/>
  <c r="O216" i="87"/>
  <c r="P216" i="87"/>
  <c r="Q216" i="87"/>
  <c r="S216" i="87"/>
  <c r="L217" i="87"/>
  <c r="N217" i="87"/>
  <c r="O217" i="87"/>
  <c r="P217" i="87"/>
  <c r="Q217" i="87"/>
  <c r="S217" i="87"/>
  <c r="L218" i="87"/>
  <c r="N218" i="87"/>
  <c r="O218" i="87"/>
  <c r="P218" i="87"/>
  <c r="F218" i="87" s="1"/>
  <c r="Q218" i="87"/>
  <c r="S218" i="87"/>
  <c r="F219" i="87"/>
  <c r="L219" i="87"/>
  <c r="N219" i="87"/>
  <c r="O219" i="87"/>
  <c r="P219" i="87"/>
  <c r="Q219" i="87"/>
  <c r="S219" i="87"/>
  <c r="L220" i="87"/>
  <c r="N220" i="87"/>
  <c r="O220" i="87"/>
  <c r="F220" i="87" s="1"/>
  <c r="P220" i="87"/>
  <c r="Q220" i="87"/>
  <c r="S220" i="87"/>
  <c r="L221" i="87"/>
  <c r="N221" i="87"/>
  <c r="O221" i="87"/>
  <c r="P221" i="87"/>
  <c r="F221" i="87" s="1"/>
  <c r="Q221" i="87"/>
  <c r="S221" i="87"/>
  <c r="L222" i="87"/>
  <c r="N222" i="87"/>
  <c r="O222" i="87"/>
  <c r="F222" i="87" s="1"/>
  <c r="P222" i="87"/>
  <c r="Q222" i="87"/>
  <c r="S222" i="87"/>
  <c r="L223" i="87"/>
  <c r="N223" i="87"/>
  <c r="O223" i="87"/>
  <c r="F223" i="87" s="1"/>
  <c r="P223" i="87"/>
  <c r="Q223" i="87"/>
  <c r="S223" i="87"/>
  <c r="L224" i="87"/>
  <c r="N224" i="87"/>
  <c r="O224" i="87"/>
  <c r="F224" i="87" s="1"/>
  <c r="P224" i="87"/>
  <c r="Q224" i="87"/>
  <c r="S224" i="87"/>
  <c r="L225" i="87"/>
  <c r="N225" i="87"/>
  <c r="O225" i="87"/>
  <c r="F225" i="87" s="1"/>
  <c r="P225" i="87"/>
  <c r="Q225" i="87"/>
  <c r="S225" i="87"/>
  <c r="L226" i="87"/>
  <c r="N226" i="87"/>
  <c r="O226" i="87"/>
  <c r="P226" i="87"/>
  <c r="Q226" i="87"/>
  <c r="S226" i="87"/>
  <c r="L227" i="87"/>
  <c r="N227" i="87"/>
  <c r="O227" i="87"/>
  <c r="F227" i="87" s="1"/>
  <c r="P227" i="87"/>
  <c r="Q227" i="87"/>
  <c r="S227" i="87"/>
  <c r="L228" i="87"/>
  <c r="N228" i="87"/>
  <c r="O228" i="87"/>
  <c r="P228" i="87"/>
  <c r="Q228" i="87"/>
  <c r="S228" i="87"/>
  <c r="L229" i="87"/>
  <c r="N229" i="87"/>
  <c r="O229" i="87"/>
  <c r="P229" i="87"/>
  <c r="F229" i="87" s="1"/>
  <c r="Q229" i="87"/>
  <c r="S229" i="87"/>
  <c r="L230" i="87"/>
  <c r="N230" i="87"/>
  <c r="O230" i="87"/>
  <c r="F230" i="87" s="1"/>
  <c r="P230" i="87"/>
  <c r="Q230" i="87"/>
  <c r="S230" i="87"/>
  <c r="L231" i="87"/>
  <c r="N231" i="87"/>
  <c r="O231" i="87"/>
  <c r="F231" i="87" s="1"/>
  <c r="P231" i="87"/>
  <c r="Q231" i="87"/>
  <c r="S231" i="87"/>
  <c r="L232" i="87"/>
  <c r="N232" i="87"/>
  <c r="O232" i="87"/>
  <c r="P232" i="87"/>
  <c r="Q232" i="87"/>
  <c r="S232" i="87"/>
  <c r="F233" i="87"/>
  <c r="L233" i="87"/>
  <c r="N233" i="87"/>
  <c r="O233" i="87"/>
  <c r="P233" i="87"/>
  <c r="Q233" i="87"/>
  <c r="S233" i="87"/>
  <c r="F234" i="87"/>
  <c r="L234" i="87"/>
  <c r="N234" i="87"/>
  <c r="O234" i="87"/>
  <c r="P234" i="87"/>
  <c r="Q234" i="87"/>
  <c r="S234" i="87"/>
  <c r="F235" i="87"/>
  <c r="L235" i="87"/>
  <c r="N235" i="87"/>
  <c r="O235" i="87"/>
  <c r="P235" i="87"/>
  <c r="Q235" i="87"/>
  <c r="S235" i="87"/>
  <c r="L236" i="87"/>
  <c r="N236" i="87"/>
  <c r="O236" i="87"/>
  <c r="F236" i="87" s="1"/>
  <c r="P236" i="87"/>
  <c r="Q236" i="87"/>
  <c r="S236" i="87"/>
  <c r="L237" i="87"/>
  <c r="N237" i="87"/>
  <c r="O237" i="87"/>
  <c r="P237" i="87"/>
  <c r="F237" i="87" s="1"/>
  <c r="Q237" i="87"/>
  <c r="S237" i="87"/>
  <c r="L238" i="87"/>
  <c r="N238" i="87"/>
  <c r="O238" i="87"/>
  <c r="F238" i="87" s="1"/>
  <c r="P238" i="87"/>
  <c r="Q238" i="87"/>
  <c r="S238" i="87"/>
  <c r="L239" i="87"/>
  <c r="N239" i="87"/>
  <c r="O239" i="87"/>
  <c r="F239" i="87" s="1"/>
  <c r="P239" i="87"/>
  <c r="Q239" i="87"/>
  <c r="S239" i="87"/>
  <c r="L240" i="87"/>
  <c r="N240" i="87"/>
  <c r="O240" i="87"/>
  <c r="F240" i="87" s="1"/>
  <c r="P240" i="87"/>
  <c r="Q240" i="87"/>
  <c r="S240" i="87"/>
  <c r="L241" i="87"/>
  <c r="N241" i="87"/>
  <c r="O241" i="87"/>
  <c r="P241" i="87"/>
  <c r="Q241" i="87"/>
  <c r="S241" i="87"/>
  <c r="L242" i="87"/>
  <c r="N242" i="87"/>
  <c r="O242" i="87"/>
  <c r="P242" i="87"/>
  <c r="Q242" i="87"/>
  <c r="S242" i="87"/>
  <c r="L243" i="87"/>
  <c r="N243" i="87"/>
  <c r="O243" i="87"/>
  <c r="P243" i="87"/>
  <c r="F243" i="87" s="1"/>
  <c r="Q243" i="87"/>
  <c r="S243" i="87"/>
  <c r="L244" i="87"/>
  <c r="N244" i="87"/>
  <c r="O244" i="87"/>
  <c r="F244" i="87" s="1"/>
  <c r="P244" i="87"/>
  <c r="Q244" i="87"/>
  <c r="S244" i="87"/>
  <c r="L245" i="87"/>
  <c r="N245" i="87"/>
  <c r="O245" i="87"/>
  <c r="P245" i="87"/>
  <c r="Q245" i="87"/>
  <c r="S245" i="87"/>
  <c r="L246" i="87"/>
  <c r="N246" i="87"/>
  <c r="O246" i="87"/>
  <c r="P246" i="87"/>
  <c r="Q246" i="87"/>
  <c r="S246" i="87"/>
  <c r="L247" i="87"/>
  <c r="N247" i="87"/>
  <c r="O247" i="87"/>
  <c r="P247" i="87"/>
  <c r="Q247" i="87"/>
  <c r="S247" i="87"/>
  <c r="L248" i="87"/>
  <c r="N248" i="87"/>
  <c r="O248" i="87"/>
  <c r="F248" i="87" s="1"/>
  <c r="P248" i="87"/>
  <c r="Q248" i="87"/>
  <c r="S248" i="87"/>
  <c r="F249" i="87"/>
  <c r="L249" i="87"/>
  <c r="N249" i="87"/>
  <c r="O249" i="87"/>
  <c r="P249" i="87"/>
  <c r="Q249" i="87"/>
  <c r="S249" i="87"/>
  <c r="F250" i="87"/>
  <c r="L250" i="87"/>
  <c r="N250" i="87"/>
  <c r="O250" i="87"/>
  <c r="P250" i="87"/>
  <c r="Q250" i="87"/>
  <c r="S250" i="87"/>
  <c r="L251" i="87"/>
  <c r="N251" i="87"/>
  <c r="O251" i="87"/>
  <c r="P251" i="87"/>
  <c r="Q251" i="87"/>
  <c r="S251" i="87"/>
  <c r="L252" i="87"/>
  <c r="N252" i="87"/>
  <c r="O252" i="87"/>
  <c r="P252" i="87"/>
  <c r="Q252" i="87"/>
  <c r="S252" i="87"/>
  <c r="L253" i="87"/>
  <c r="N253" i="87"/>
  <c r="O253" i="87"/>
  <c r="P253" i="87"/>
  <c r="Q253" i="87"/>
  <c r="S253" i="87"/>
  <c r="L254" i="87"/>
  <c r="N254" i="87"/>
  <c r="O254" i="87"/>
  <c r="F254" i="87" s="1"/>
  <c r="P254" i="87"/>
  <c r="Q254" i="87"/>
  <c r="S254" i="87"/>
  <c r="L255" i="87"/>
  <c r="N255" i="87"/>
  <c r="O255" i="87"/>
  <c r="P255" i="87"/>
  <c r="Q255" i="87"/>
  <c r="S255" i="87"/>
  <c r="L256" i="87"/>
  <c r="N256" i="87"/>
  <c r="O256" i="87"/>
  <c r="P256" i="87"/>
  <c r="Q256" i="87"/>
  <c r="S256" i="87"/>
  <c r="L257" i="87"/>
  <c r="N257" i="87"/>
  <c r="O257" i="87"/>
  <c r="P257" i="87"/>
  <c r="F257" i="87" s="1"/>
  <c r="Q257" i="87"/>
  <c r="S257" i="87"/>
  <c r="F258" i="87"/>
  <c r="L258" i="87"/>
  <c r="N258" i="87"/>
  <c r="O258" i="87"/>
  <c r="P258" i="87"/>
  <c r="Q258" i="87"/>
  <c r="S258" i="87"/>
  <c r="F259" i="87"/>
  <c r="L259" i="87"/>
  <c r="N259" i="87"/>
  <c r="O259" i="87"/>
  <c r="P259" i="87"/>
  <c r="Q259" i="87"/>
  <c r="S259" i="87"/>
  <c r="L260" i="87"/>
  <c r="N260" i="87"/>
  <c r="O260" i="87"/>
  <c r="F260" i="87" s="1"/>
  <c r="P260" i="87"/>
  <c r="Q260" i="87"/>
  <c r="S260" i="87"/>
  <c r="L261" i="87"/>
  <c r="N261" i="87"/>
  <c r="O261" i="87"/>
  <c r="P261" i="87"/>
  <c r="F261" i="87" s="1"/>
  <c r="Q261" i="87"/>
  <c r="S261" i="87"/>
  <c r="L262" i="87"/>
  <c r="N262" i="87"/>
  <c r="O262" i="87"/>
  <c r="P262" i="87"/>
  <c r="Q262" i="87"/>
  <c r="S262" i="87"/>
  <c r="L263" i="87"/>
  <c r="N263" i="87"/>
  <c r="O263" i="87"/>
  <c r="F263" i="87" s="1"/>
  <c r="P263" i="87"/>
  <c r="Q263" i="87"/>
  <c r="S263" i="87"/>
  <c r="L264" i="87"/>
  <c r="N264" i="87"/>
  <c r="O264" i="87"/>
  <c r="F264" i="87" s="1"/>
  <c r="P264" i="87"/>
  <c r="Q264" i="87"/>
  <c r="S264" i="87"/>
  <c r="L265" i="87"/>
  <c r="N265" i="87"/>
  <c r="O265" i="87"/>
  <c r="P265" i="87"/>
  <c r="Q265" i="87"/>
  <c r="S265" i="87"/>
  <c r="L266" i="87"/>
  <c r="N266" i="87"/>
  <c r="O266" i="87"/>
  <c r="F266" i="87" s="1"/>
  <c r="P266" i="87"/>
  <c r="Q266" i="87"/>
  <c r="S266" i="87"/>
  <c r="L267" i="87"/>
  <c r="N267" i="87"/>
  <c r="O267" i="87"/>
  <c r="P267" i="87"/>
  <c r="Q267" i="87"/>
  <c r="S267" i="87"/>
  <c r="L268" i="87"/>
  <c r="N268" i="87"/>
  <c r="O268" i="87"/>
  <c r="F268" i="87" s="1"/>
  <c r="P268" i="87"/>
  <c r="Q268" i="87"/>
  <c r="S268" i="87"/>
  <c r="L269" i="87"/>
  <c r="N269" i="87"/>
  <c r="O269" i="87"/>
  <c r="P269" i="87"/>
  <c r="F269" i="87" s="1"/>
  <c r="Q269" i="87"/>
  <c r="S269" i="87"/>
  <c r="L270" i="87"/>
  <c r="N270" i="87"/>
  <c r="O270" i="87"/>
  <c r="F270" i="87" s="1"/>
  <c r="P270" i="87"/>
  <c r="Q270" i="87"/>
  <c r="S270" i="87"/>
  <c r="L271" i="87"/>
  <c r="N271" i="87"/>
  <c r="O271" i="87"/>
  <c r="P271" i="87"/>
  <c r="Q271" i="87"/>
  <c r="S271" i="87"/>
  <c r="L272" i="87"/>
  <c r="N272" i="87"/>
  <c r="O272" i="87"/>
  <c r="F272" i="87" s="1"/>
  <c r="P272" i="87"/>
  <c r="Q272" i="87"/>
  <c r="S272" i="87"/>
  <c r="F273" i="87"/>
  <c r="L273" i="87"/>
  <c r="N273" i="87"/>
  <c r="O273" i="87"/>
  <c r="P273" i="87"/>
  <c r="Q273" i="87"/>
  <c r="S273" i="87"/>
  <c r="F274" i="87"/>
  <c r="L274" i="87"/>
  <c r="N274" i="87"/>
  <c r="O274" i="87"/>
  <c r="P274" i="87"/>
  <c r="Q274" i="87"/>
  <c r="S274" i="87"/>
  <c r="F275" i="87"/>
  <c r="L275" i="87"/>
  <c r="N275" i="87"/>
  <c r="O275" i="87"/>
  <c r="P275" i="87"/>
  <c r="Q275" i="87"/>
  <c r="S275" i="87"/>
  <c r="L276" i="87"/>
  <c r="N276" i="87"/>
  <c r="O276" i="87"/>
  <c r="F276" i="87" s="1"/>
  <c r="P276" i="87"/>
  <c r="Q276" i="87"/>
  <c r="S276" i="87"/>
  <c r="L277" i="87"/>
  <c r="N277" i="87"/>
  <c r="O277" i="87"/>
  <c r="P277" i="87"/>
  <c r="F277" i="87" s="1"/>
  <c r="Q277" i="87"/>
  <c r="S277" i="87"/>
  <c r="L278" i="87"/>
  <c r="N278" i="87"/>
  <c r="O278" i="87"/>
  <c r="F278" i="87" s="1"/>
  <c r="P278" i="87"/>
  <c r="Q278" i="87"/>
  <c r="S278" i="87"/>
  <c r="L279" i="87"/>
  <c r="N279" i="87"/>
  <c r="O279" i="87"/>
  <c r="F279" i="87" s="1"/>
  <c r="P279" i="87"/>
  <c r="Q279" i="87"/>
  <c r="S279" i="87"/>
  <c r="L280" i="87"/>
  <c r="N280" i="87"/>
  <c r="O280" i="87"/>
  <c r="F280" i="87" s="1"/>
  <c r="P280" i="87"/>
  <c r="Q280" i="87"/>
  <c r="S280" i="87"/>
  <c r="L281" i="87"/>
  <c r="N281" i="87"/>
  <c r="O281" i="87"/>
  <c r="F281" i="87" s="1"/>
  <c r="P281" i="87"/>
  <c r="Q281" i="87"/>
  <c r="S281" i="87"/>
  <c r="L282" i="87"/>
  <c r="N282" i="87"/>
  <c r="O282" i="87"/>
  <c r="P282" i="87"/>
  <c r="F282" i="87" s="1"/>
  <c r="Q282" i="87"/>
  <c r="S282" i="87"/>
  <c r="F283" i="87"/>
  <c r="L283" i="87"/>
  <c r="N283" i="87"/>
  <c r="O283" i="87"/>
  <c r="P283" i="87"/>
  <c r="Q283" i="87"/>
  <c r="S283" i="87"/>
  <c r="L284" i="87"/>
  <c r="N284" i="87"/>
  <c r="O284" i="87"/>
  <c r="P284" i="87"/>
  <c r="Q284" i="87"/>
  <c r="S284" i="87"/>
  <c r="L285" i="87"/>
  <c r="N285" i="87"/>
  <c r="O285" i="87"/>
  <c r="P285" i="87"/>
  <c r="F285" i="87" s="1"/>
  <c r="Q285" i="87"/>
  <c r="S285" i="87"/>
  <c r="L286" i="87"/>
  <c r="N286" i="87"/>
  <c r="O286" i="87"/>
  <c r="P286" i="87"/>
  <c r="Q286" i="87"/>
  <c r="S286" i="87"/>
  <c r="L287" i="87"/>
  <c r="N287" i="87"/>
  <c r="O287" i="87"/>
  <c r="F287" i="87" s="1"/>
  <c r="P287" i="87"/>
  <c r="Q287" i="87"/>
  <c r="S287" i="87"/>
  <c r="L288" i="87"/>
  <c r="N288" i="87"/>
  <c r="O288" i="87"/>
  <c r="P288" i="87"/>
  <c r="Q288" i="87"/>
  <c r="S288" i="87"/>
  <c r="F289" i="87"/>
  <c r="L289" i="87"/>
  <c r="N289" i="87"/>
  <c r="O289" i="87"/>
  <c r="P289" i="87"/>
  <c r="Q289" i="87"/>
  <c r="S289" i="87"/>
  <c r="L290" i="87"/>
  <c r="N290" i="87"/>
  <c r="O290" i="87"/>
  <c r="F290" i="87" s="1"/>
  <c r="P290" i="87"/>
  <c r="Q290" i="87"/>
  <c r="S290" i="87"/>
  <c r="L291" i="87"/>
  <c r="N291" i="87"/>
  <c r="O291" i="87"/>
  <c r="P291" i="87"/>
  <c r="Q291" i="87"/>
  <c r="S291" i="87"/>
  <c r="L292" i="87"/>
  <c r="N292" i="87"/>
  <c r="O292" i="87"/>
  <c r="P292" i="87"/>
  <c r="Q292" i="87"/>
  <c r="S292" i="87"/>
  <c r="L293" i="87"/>
  <c r="N293" i="87"/>
  <c r="O293" i="87"/>
  <c r="P293" i="87"/>
  <c r="Q293" i="87"/>
  <c r="S293" i="87"/>
  <c r="L294" i="87"/>
  <c r="N294" i="87"/>
  <c r="O294" i="87"/>
  <c r="F294" i="87" s="1"/>
  <c r="P294" i="87"/>
  <c r="Q294" i="87"/>
  <c r="S294" i="87"/>
  <c r="L295" i="87"/>
  <c r="N295" i="87"/>
  <c r="O295" i="87"/>
  <c r="P295" i="87"/>
  <c r="Q295" i="87"/>
  <c r="S295" i="87"/>
  <c r="L296" i="87"/>
  <c r="N296" i="87"/>
  <c r="O296" i="87"/>
  <c r="P296" i="87"/>
  <c r="Q296" i="87"/>
  <c r="S296" i="87"/>
  <c r="F297" i="87"/>
  <c r="L297" i="87"/>
  <c r="N297" i="87"/>
  <c r="O297" i="87"/>
  <c r="P297" i="87"/>
  <c r="Q297" i="87"/>
  <c r="S297" i="87"/>
  <c r="F298" i="87"/>
  <c r="L298" i="87"/>
  <c r="N298" i="87"/>
  <c r="O298" i="87"/>
  <c r="P298" i="87"/>
  <c r="Q298" i="87"/>
  <c r="S298" i="87"/>
  <c r="F299" i="87"/>
  <c r="L299" i="87"/>
  <c r="N299" i="87"/>
  <c r="O299" i="87"/>
  <c r="P299" i="87"/>
  <c r="Q299" i="87"/>
  <c r="S299" i="87"/>
  <c r="L300" i="87"/>
  <c r="N300" i="87"/>
  <c r="O300" i="87"/>
  <c r="P300" i="87"/>
  <c r="Q300" i="87"/>
  <c r="S300" i="87"/>
  <c r="L301" i="87"/>
  <c r="N301" i="87"/>
  <c r="O301" i="87"/>
  <c r="P301" i="87"/>
  <c r="F301" i="87" s="1"/>
  <c r="Q301" i="87"/>
  <c r="S301" i="87"/>
  <c r="L302" i="87"/>
  <c r="N302" i="87"/>
  <c r="O302" i="87"/>
  <c r="F302" i="87" s="1"/>
  <c r="P302" i="87"/>
  <c r="Q302" i="87"/>
  <c r="S302" i="87"/>
  <c r="L303" i="87"/>
  <c r="N303" i="87"/>
  <c r="O303" i="87"/>
  <c r="P303" i="87"/>
  <c r="Q303" i="87"/>
  <c r="S303" i="87"/>
  <c r="L304" i="87"/>
  <c r="N304" i="87"/>
  <c r="O304" i="87"/>
  <c r="P304" i="87"/>
  <c r="Q304" i="87"/>
  <c r="S304" i="87"/>
  <c r="L305" i="87"/>
  <c r="N305" i="87"/>
  <c r="O305" i="87"/>
  <c r="P305" i="87"/>
  <c r="Q305" i="87"/>
  <c r="S305" i="87"/>
  <c r="L306" i="87"/>
  <c r="N306" i="87"/>
  <c r="O306" i="87"/>
  <c r="F306" i="87" s="1"/>
  <c r="P306" i="87"/>
  <c r="Q306" i="87"/>
  <c r="S306" i="87"/>
  <c r="L307" i="87"/>
  <c r="N307" i="87"/>
  <c r="O307" i="87"/>
  <c r="P307" i="87"/>
  <c r="F307" i="87" s="1"/>
  <c r="Q307" i="87"/>
  <c r="S307" i="87"/>
  <c r="L308" i="87"/>
  <c r="N308" i="87"/>
  <c r="O308" i="87"/>
  <c r="F308" i="87" s="1"/>
  <c r="P308" i="87"/>
  <c r="Q308" i="87"/>
  <c r="S308" i="87"/>
  <c r="L309" i="87"/>
  <c r="N309" i="87"/>
  <c r="O309" i="87"/>
  <c r="P309" i="87"/>
  <c r="Q309" i="87"/>
  <c r="S309" i="87"/>
  <c r="L310" i="87"/>
  <c r="N310" i="87"/>
  <c r="O310" i="87"/>
  <c r="F310" i="87" s="1"/>
  <c r="P310" i="87"/>
  <c r="Q310" i="87"/>
  <c r="S310" i="87"/>
  <c r="L311" i="87"/>
  <c r="N311" i="87"/>
  <c r="O311" i="87"/>
  <c r="P311" i="87"/>
  <c r="Q311" i="87"/>
  <c r="S311" i="87"/>
  <c r="L312" i="87"/>
  <c r="N312" i="87"/>
  <c r="O312" i="87"/>
  <c r="F312" i="87" s="1"/>
  <c r="P312" i="87"/>
  <c r="Q312" i="87"/>
  <c r="S312" i="87"/>
  <c r="F313" i="87"/>
  <c r="L313" i="87"/>
  <c r="N313" i="87"/>
  <c r="O313" i="87"/>
  <c r="P313" i="87"/>
  <c r="Q313" i="87"/>
  <c r="S313" i="87"/>
  <c r="F314" i="87"/>
  <c r="L314" i="87"/>
  <c r="N314" i="87"/>
  <c r="O314" i="87"/>
  <c r="P314" i="87"/>
  <c r="Q314" i="87"/>
  <c r="S314" i="87"/>
  <c r="L315" i="87"/>
  <c r="N315" i="87"/>
  <c r="O315" i="87"/>
  <c r="F315" i="87" s="1"/>
  <c r="P315" i="87"/>
  <c r="Q315" i="87"/>
  <c r="S315" i="87"/>
  <c r="L316" i="87"/>
  <c r="N316" i="87"/>
  <c r="O316" i="87"/>
  <c r="P316" i="87"/>
  <c r="Q316" i="87"/>
  <c r="S316" i="87"/>
  <c r="L317" i="87"/>
  <c r="N317" i="87"/>
  <c r="O317" i="87"/>
  <c r="P317" i="87"/>
  <c r="Q317" i="87"/>
  <c r="S317" i="87"/>
  <c r="L318" i="87"/>
  <c r="N318" i="87"/>
  <c r="O318" i="87"/>
  <c r="P318" i="87"/>
  <c r="Q318" i="87"/>
  <c r="S318" i="87"/>
  <c r="L319" i="87"/>
  <c r="N319" i="87"/>
  <c r="O319" i="87"/>
  <c r="F319" i="87" s="1"/>
  <c r="P319" i="87"/>
  <c r="Q319" i="87"/>
  <c r="S319" i="87"/>
  <c r="L320" i="87"/>
  <c r="N320" i="87"/>
  <c r="O320" i="87"/>
  <c r="P320" i="87"/>
  <c r="Q320" i="87"/>
  <c r="S320" i="87"/>
  <c r="L321" i="87"/>
  <c r="N321" i="87"/>
  <c r="O321" i="87"/>
  <c r="P321" i="87"/>
  <c r="F321" i="87" s="1"/>
  <c r="Q321" i="87"/>
  <c r="S321" i="87"/>
  <c r="F322" i="87"/>
  <c r="L322" i="87"/>
  <c r="N322" i="87"/>
  <c r="O322" i="87"/>
  <c r="P322" i="87"/>
  <c r="Q322" i="87"/>
  <c r="S322" i="87"/>
  <c r="F323" i="87"/>
  <c r="L323" i="87"/>
  <c r="N323" i="87"/>
  <c r="O323" i="87"/>
  <c r="P323" i="87"/>
  <c r="Q323" i="87"/>
  <c r="S323" i="87"/>
  <c r="L324" i="87"/>
  <c r="N324" i="87"/>
  <c r="O324" i="87"/>
  <c r="F324" i="87" s="1"/>
  <c r="P324" i="87"/>
  <c r="Q324" i="87"/>
  <c r="S324" i="87"/>
  <c r="L325" i="87"/>
  <c r="N325" i="87"/>
  <c r="O325" i="87"/>
  <c r="P325" i="87"/>
  <c r="F325" i="87" s="1"/>
  <c r="Q325" i="87"/>
  <c r="S325" i="87"/>
  <c r="L326" i="87"/>
  <c r="N326" i="87"/>
  <c r="O326" i="87"/>
  <c r="P326" i="87"/>
  <c r="Q326" i="87"/>
  <c r="S326" i="87"/>
  <c r="L327" i="87"/>
  <c r="N327" i="87"/>
  <c r="O327" i="87"/>
  <c r="F327" i="87" s="1"/>
  <c r="P327" i="87"/>
  <c r="Q327" i="87"/>
  <c r="S327" i="87"/>
  <c r="L328" i="87"/>
  <c r="N328" i="87"/>
  <c r="O328" i="87"/>
  <c r="F328" i="87" s="1"/>
  <c r="P328" i="87"/>
  <c r="Q328" i="87"/>
  <c r="S328" i="87"/>
  <c r="L329" i="87"/>
  <c r="N329" i="87"/>
  <c r="O329" i="87"/>
  <c r="P329" i="87"/>
  <c r="Q329" i="87"/>
  <c r="S329" i="87"/>
  <c r="L330" i="87"/>
  <c r="N330" i="87"/>
  <c r="O330" i="87"/>
  <c r="P330" i="87"/>
  <c r="Q330" i="87"/>
  <c r="S330" i="87"/>
  <c r="L331" i="87"/>
  <c r="N331" i="87"/>
  <c r="O331" i="87"/>
  <c r="P331" i="87"/>
  <c r="Q331" i="87"/>
  <c r="S331" i="87"/>
  <c r="L332" i="87"/>
  <c r="N332" i="87"/>
  <c r="O332" i="87"/>
  <c r="F332" i="87" s="1"/>
  <c r="P332" i="87"/>
  <c r="Q332" i="87"/>
  <c r="S332" i="87"/>
  <c r="L333" i="87"/>
  <c r="N333" i="87"/>
  <c r="O333" i="87"/>
  <c r="P333" i="87"/>
  <c r="F333" i="87" s="1"/>
  <c r="Q333" i="87"/>
  <c r="S333" i="87"/>
  <c r="L334" i="87"/>
  <c r="N334" i="87"/>
  <c r="O334" i="87"/>
  <c r="P334" i="87"/>
  <c r="Q334" i="87"/>
  <c r="S334" i="87"/>
  <c r="L335" i="87"/>
  <c r="N335" i="87"/>
  <c r="O335" i="87"/>
  <c r="P335" i="87"/>
  <c r="Q335" i="87"/>
  <c r="S335" i="87"/>
  <c r="L336" i="87"/>
  <c r="N336" i="87"/>
  <c r="O336" i="87"/>
  <c r="F336" i="87" s="1"/>
  <c r="P336" i="87"/>
  <c r="Q336" i="87"/>
  <c r="S336" i="87"/>
  <c r="F337" i="87"/>
  <c r="L337" i="87"/>
  <c r="N337" i="87"/>
  <c r="O337" i="87"/>
  <c r="P337" i="87"/>
  <c r="Q337" i="87"/>
  <c r="S337" i="87"/>
  <c r="F338" i="87"/>
  <c r="L338" i="87"/>
  <c r="N338" i="87"/>
  <c r="O338" i="87"/>
  <c r="P338" i="87"/>
  <c r="Q338" i="87"/>
  <c r="S338" i="87"/>
  <c r="L339" i="87"/>
  <c r="N339" i="87"/>
  <c r="O339" i="87"/>
  <c r="F339" i="87" s="1"/>
  <c r="P339" i="87"/>
  <c r="Q339" i="87"/>
  <c r="S339" i="87"/>
  <c r="L340" i="87"/>
  <c r="N340" i="87"/>
  <c r="O340" i="87"/>
  <c r="P340" i="87"/>
  <c r="Q340" i="87"/>
  <c r="S340" i="87"/>
  <c r="L341" i="87"/>
  <c r="N341" i="87"/>
  <c r="O341" i="87"/>
  <c r="P341" i="87"/>
  <c r="F341" i="87" s="1"/>
  <c r="Q341" i="87"/>
  <c r="S341" i="87"/>
  <c r="L342" i="87"/>
  <c r="N342" i="87"/>
  <c r="O342" i="87"/>
  <c r="F342" i="87" s="1"/>
  <c r="P342" i="87"/>
  <c r="Q342" i="87"/>
  <c r="S342" i="87"/>
  <c r="L343" i="87"/>
  <c r="N343" i="87"/>
  <c r="O343" i="87"/>
  <c r="F343" i="87" s="1"/>
  <c r="P343" i="87"/>
  <c r="Q343" i="87"/>
  <c r="S343" i="87"/>
  <c r="L344" i="87"/>
  <c r="N344" i="87"/>
  <c r="O344" i="87"/>
  <c r="P344" i="87"/>
  <c r="Q344" i="87"/>
  <c r="S344" i="87"/>
  <c r="L345" i="87"/>
  <c r="N345" i="87"/>
  <c r="O345" i="87"/>
  <c r="P345" i="87"/>
  <c r="Q345" i="87"/>
  <c r="S345" i="87"/>
  <c r="L346" i="87"/>
  <c r="N346" i="87"/>
  <c r="O346" i="87"/>
  <c r="P346" i="87"/>
  <c r="F346" i="87" s="1"/>
  <c r="Q346" i="87"/>
  <c r="S346" i="87"/>
  <c r="F347" i="87"/>
  <c r="L347" i="87"/>
  <c r="N347" i="87"/>
  <c r="O347" i="87"/>
  <c r="P347" i="87"/>
  <c r="Q347" i="87"/>
  <c r="S347" i="87"/>
  <c r="L348" i="87"/>
  <c r="N348" i="87"/>
  <c r="O348" i="87"/>
  <c r="P348" i="87"/>
  <c r="Q348" i="87"/>
  <c r="S348" i="87"/>
  <c r="L349" i="87"/>
  <c r="N349" i="87"/>
  <c r="O349" i="87"/>
  <c r="P349" i="87"/>
  <c r="F349" i="87" s="1"/>
  <c r="Q349" i="87"/>
  <c r="S349" i="87"/>
  <c r="L350" i="87"/>
  <c r="N350" i="87"/>
  <c r="O350" i="87"/>
  <c r="F350" i="87" s="1"/>
  <c r="P350" i="87"/>
  <c r="Q350" i="87"/>
  <c r="S350" i="87"/>
  <c r="L351" i="87"/>
  <c r="N351" i="87"/>
  <c r="O351" i="87"/>
  <c r="F351" i="87" s="1"/>
  <c r="P351" i="87"/>
  <c r="Q351" i="87"/>
  <c r="S351" i="87"/>
  <c r="L352" i="87"/>
  <c r="N352" i="87"/>
  <c r="O352" i="87"/>
  <c r="P352" i="87"/>
  <c r="Q352" i="87"/>
  <c r="S352" i="87"/>
  <c r="L353" i="87"/>
  <c r="N353" i="87"/>
  <c r="O353" i="87"/>
  <c r="F353" i="87" s="1"/>
  <c r="P353" i="87"/>
  <c r="Q353" i="87"/>
  <c r="S353" i="87"/>
  <c r="L354" i="87"/>
  <c r="N354" i="87"/>
  <c r="O354" i="87"/>
  <c r="P354" i="87"/>
  <c r="Q354" i="87"/>
  <c r="S354" i="87"/>
  <c r="L355" i="87"/>
  <c r="N355" i="87"/>
  <c r="O355" i="87"/>
  <c r="F355" i="87" s="1"/>
  <c r="P355" i="87"/>
  <c r="Q355" i="87"/>
  <c r="S355" i="87"/>
  <c r="L356" i="87"/>
  <c r="N356" i="87"/>
  <c r="O356" i="87"/>
  <c r="F356" i="87" s="1"/>
  <c r="P356" i="87"/>
  <c r="Q356" i="87"/>
  <c r="S356" i="87"/>
  <c r="L357" i="87"/>
  <c r="N357" i="87"/>
  <c r="O357" i="87"/>
  <c r="P357" i="87"/>
  <c r="F357" i="87" s="1"/>
  <c r="Q357" i="87"/>
  <c r="S357" i="87"/>
  <c r="L358" i="87"/>
  <c r="N358" i="87"/>
  <c r="O358" i="87"/>
  <c r="P358" i="87"/>
  <c r="Q358" i="87"/>
  <c r="S358" i="87"/>
  <c r="L359" i="87"/>
  <c r="N359" i="87"/>
  <c r="O359" i="87"/>
  <c r="F359" i="87" s="1"/>
  <c r="P359" i="87"/>
  <c r="Q359" i="87"/>
  <c r="S359" i="87"/>
  <c r="L360" i="87"/>
  <c r="N360" i="87"/>
  <c r="O360" i="87"/>
  <c r="F360" i="87" s="1"/>
  <c r="P360" i="87"/>
  <c r="Q360" i="87"/>
  <c r="S360" i="87"/>
  <c r="F361" i="87"/>
  <c r="L361" i="87"/>
  <c r="N361" i="87"/>
  <c r="O361" i="87"/>
  <c r="P361" i="87"/>
  <c r="Q361" i="87"/>
  <c r="S361" i="87"/>
  <c r="L362" i="87"/>
  <c r="N362" i="87"/>
  <c r="O362" i="87"/>
  <c r="F362" i="87" s="1"/>
  <c r="P362" i="87"/>
  <c r="Q362" i="87"/>
  <c r="S362" i="87"/>
  <c r="L363" i="87"/>
  <c r="N363" i="87"/>
  <c r="O363" i="87"/>
  <c r="F363" i="87" s="1"/>
  <c r="P363" i="87"/>
  <c r="Q363" i="87"/>
  <c r="S363" i="87"/>
  <c r="L364" i="87"/>
  <c r="N364" i="87"/>
  <c r="O364" i="87"/>
  <c r="P364" i="87"/>
  <c r="Q364" i="87"/>
  <c r="S364" i="87"/>
  <c r="L365" i="87"/>
  <c r="N365" i="87"/>
  <c r="O365" i="87"/>
  <c r="P365" i="87"/>
  <c r="Q365" i="87"/>
  <c r="S365" i="87"/>
  <c r="L366" i="87"/>
  <c r="N366" i="87"/>
  <c r="O366" i="87"/>
  <c r="P366" i="87"/>
  <c r="Q366" i="87"/>
  <c r="S366" i="87"/>
  <c r="L367" i="87"/>
  <c r="N367" i="87"/>
  <c r="O367" i="87"/>
  <c r="F367" i="87" s="1"/>
  <c r="P367" i="87"/>
  <c r="Q367" i="87"/>
  <c r="S367" i="87"/>
  <c r="L368" i="87"/>
  <c r="N368" i="87"/>
  <c r="O368" i="87"/>
  <c r="P368" i="87"/>
  <c r="Q368" i="87"/>
  <c r="S368" i="87"/>
  <c r="L369" i="87"/>
  <c r="N369" i="87"/>
  <c r="O369" i="87"/>
  <c r="P369" i="87"/>
  <c r="F369" i="87" s="1"/>
  <c r="Q369" i="87"/>
  <c r="S369" i="87"/>
  <c r="L370" i="87"/>
  <c r="N370" i="87"/>
  <c r="O370" i="87"/>
  <c r="P370" i="87"/>
  <c r="Q370" i="87"/>
  <c r="S370" i="87"/>
  <c r="F371" i="87"/>
  <c r="L371" i="87"/>
  <c r="N371" i="87"/>
  <c r="O371" i="87"/>
  <c r="P371" i="87"/>
  <c r="Q371" i="87"/>
  <c r="S371" i="87"/>
  <c r="L372" i="87"/>
  <c r="N372" i="87"/>
  <c r="O372" i="87"/>
  <c r="F372" i="87" s="1"/>
  <c r="P372" i="87"/>
  <c r="Q372" i="87"/>
  <c r="S372" i="87"/>
  <c r="L373" i="87"/>
  <c r="N373" i="87"/>
  <c r="O373" i="87"/>
  <c r="P373" i="87"/>
  <c r="Q373" i="87"/>
  <c r="S373" i="87"/>
  <c r="L374" i="87"/>
  <c r="N374" i="87"/>
  <c r="O374" i="87"/>
  <c r="F374" i="87" s="1"/>
  <c r="P374" i="87"/>
  <c r="Q374" i="87"/>
  <c r="S374" i="87"/>
  <c r="L375" i="87"/>
  <c r="N375" i="87"/>
  <c r="O375" i="87"/>
  <c r="P375" i="87"/>
  <c r="Q375" i="87"/>
  <c r="S375" i="87"/>
  <c r="L376" i="87"/>
  <c r="N376" i="87"/>
  <c r="O376" i="87"/>
  <c r="F376" i="87" s="1"/>
  <c r="P376" i="87"/>
  <c r="Q376" i="87"/>
  <c r="S376" i="87"/>
  <c r="L377" i="87"/>
  <c r="N377" i="87"/>
  <c r="O377" i="87"/>
  <c r="F377" i="87" s="1"/>
  <c r="P377" i="87"/>
  <c r="Q377" i="87"/>
  <c r="S377" i="87"/>
  <c r="L378" i="87"/>
  <c r="N378" i="87"/>
  <c r="O378" i="87"/>
  <c r="P378" i="87"/>
  <c r="Q378" i="87"/>
  <c r="S378" i="87"/>
  <c r="F379" i="87"/>
  <c r="L379" i="87"/>
  <c r="N379" i="87"/>
  <c r="O379" i="87"/>
  <c r="P379" i="87"/>
  <c r="Q379" i="87"/>
  <c r="S379" i="87"/>
  <c r="L380" i="87"/>
  <c r="N380" i="87"/>
  <c r="O380" i="87"/>
  <c r="P380" i="87"/>
  <c r="Q380" i="87"/>
  <c r="S380" i="87"/>
  <c r="L381" i="87"/>
  <c r="N381" i="87"/>
  <c r="O381" i="87"/>
  <c r="P381" i="87"/>
  <c r="F381" i="87" s="1"/>
  <c r="Q381" i="87"/>
  <c r="S381" i="87"/>
  <c r="L382" i="87"/>
  <c r="N382" i="87"/>
  <c r="O382" i="87"/>
  <c r="P382" i="87"/>
  <c r="Q382" i="87"/>
  <c r="S382" i="87"/>
  <c r="L383" i="87"/>
  <c r="N383" i="87"/>
  <c r="O383" i="87"/>
  <c r="F383" i="87" s="1"/>
  <c r="P383" i="87"/>
  <c r="Q383" i="87"/>
  <c r="S383" i="87"/>
  <c r="L384" i="87"/>
  <c r="N384" i="87"/>
  <c r="O384" i="87"/>
  <c r="P384" i="87"/>
  <c r="Q384" i="87"/>
  <c r="S384" i="87"/>
  <c r="L385" i="87"/>
  <c r="N385" i="87"/>
  <c r="O385" i="87"/>
  <c r="F385" i="87" s="1"/>
  <c r="P385" i="87"/>
  <c r="Q385" i="87"/>
  <c r="S385" i="87"/>
  <c r="L386" i="87"/>
  <c r="N386" i="87"/>
  <c r="O386" i="87"/>
  <c r="F386" i="87" s="1"/>
  <c r="P386" i="87"/>
  <c r="Q386" i="87"/>
  <c r="S386" i="87"/>
  <c r="L387" i="87"/>
  <c r="N387" i="87"/>
  <c r="O387" i="87"/>
  <c r="P387" i="87"/>
  <c r="Q387" i="87"/>
  <c r="S387" i="87"/>
  <c r="L388" i="87"/>
  <c r="N388" i="87"/>
  <c r="O388" i="87"/>
  <c r="F388" i="87" s="1"/>
  <c r="P388" i="87"/>
  <c r="Q388" i="87"/>
  <c r="S388" i="87"/>
  <c r="L389" i="87"/>
  <c r="N389" i="87"/>
  <c r="O389" i="87"/>
  <c r="P389" i="87"/>
  <c r="F389" i="87" s="1"/>
  <c r="Q389" i="87"/>
  <c r="S389" i="87"/>
  <c r="L390" i="87"/>
  <c r="N390" i="87"/>
  <c r="O390" i="87"/>
  <c r="F390" i="87" s="1"/>
  <c r="P390" i="87"/>
  <c r="Q390" i="87"/>
  <c r="S390" i="87"/>
  <c r="L391" i="87"/>
  <c r="N391" i="87"/>
  <c r="O391" i="87"/>
  <c r="P391" i="87"/>
  <c r="Q391" i="87"/>
  <c r="S391" i="87"/>
  <c r="L392" i="87"/>
  <c r="N392" i="87"/>
  <c r="O392" i="87"/>
  <c r="F392" i="87" s="1"/>
  <c r="P392" i="87"/>
  <c r="Q392" i="87"/>
  <c r="S392" i="87"/>
  <c r="F393" i="87"/>
  <c r="L393" i="87"/>
  <c r="N393" i="87"/>
  <c r="O393" i="87"/>
  <c r="P393" i="87"/>
  <c r="Q393" i="87"/>
  <c r="S393" i="87"/>
  <c r="L394" i="87"/>
  <c r="N394" i="87"/>
  <c r="O394" i="87"/>
  <c r="F394" i="87" s="1"/>
  <c r="P394" i="87"/>
  <c r="Q394" i="87"/>
  <c r="S394" i="87"/>
  <c r="L395" i="87"/>
  <c r="N395" i="87"/>
  <c r="O395" i="87"/>
  <c r="P395" i="87"/>
  <c r="Q395" i="87"/>
  <c r="S395" i="87"/>
  <c r="L396" i="87"/>
  <c r="N396" i="87"/>
  <c r="O396" i="87"/>
  <c r="P396" i="87"/>
  <c r="Q396" i="87"/>
  <c r="S396" i="87"/>
  <c r="L397" i="87"/>
  <c r="N397" i="87"/>
  <c r="O397" i="87"/>
  <c r="P397" i="87"/>
  <c r="Q397" i="87"/>
  <c r="S397" i="87"/>
  <c r="L398" i="87"/>
  <c r="N398" i="87"/>
  <c r="O398" i="87"/>
  <c r="P398" i="87"/>
  <c r="Q398" i="87"/>
  <c r="S398" i="87"/>
  <c r="L399" i="87"/>
  <c r="N399" i="87"/>
  <c r="O399" i="87"/>
  <c r="P399" i="87"/>
  <c r="Q399" i="87"/>
  <c r="S399" i="87"/>
  <c r="L400" i="87"/>
  <c r="N400" i="87"/>
  <c r="O400" i="87"/>
  <c r="P400" i="87"/>
  <c r="Q400" i="87"/>
  <c r="S400" i="87"/>
  <c r="L401" i="87"/>
  <c r="N401" i="87"/>
  <c r="O401" i="87"/>
  <c r="P401" i="87"/>
  <c r="F401" i="87" s="1"/>
  <c r="Q401" i="87"/>
  <c r="S401" i="87"/>
  <c r="L402" i="87"/>
  <c r="N402" i="87"/>
  <c r="O402" i="87"/>
  <c r="F402" i="87" s="1"/>
  <c r="P402" i="87"/>
  <c r="Q402" i="87"/>
  <c r="S402" i="87"/>
  <c r="F403" i="87"/>
  <c r="L403" i="87"/>
  <c r="N403" i="87"/>
  <c r="O403" i="87"/>
  <c r="P403" i="87"/>
  <c r="Q403" i="87"/>
  <c r="S403" i="87"/>
  <c r="L404" i="87"/>
  <c r="N404" i="87"/>
  <c r="O404" i="87"/>
  <c r="P404" i="87"/>
  <c r="Q404" i="87"/>
  <c r="S404" i="87"/>
  <c r="L405" i="87"/>
  <c r="N405" i="87"/>
  <c r="O405" i="87"/>
  <c r="P405" i="87"/>
  <c r="F405" i="87" s="1"/>
  <c r="Q405" i="87"/>
  <c r="S405" i="87"/>
  <c r="L406" i="87"/>
  <c r="N406" i="87"/>
  <c r="O406" i="87"/>
  <c r="F406" i="87" s="1"/>
  <c r="P406" i="87"/>
  <c r="Q406" i="87"/>
  <c r="S406" i="87"/>
  <c r="L407" i="87"/>
  <c r="N407" i="87"/>
  <c r="O407" i="87"/>
  <c r="P407" i="87"/>
  <c r="Q407" i="87"/>
  <c r="S407" i="87"/>
  <c r="L408" i="87"/>
  <c r="N408" i="87"/>
  <c r="O408" i="87"/>
  <c r="P408" i="87"/>
  <c r="Q408" i="87"/>
  <c r="S408" i="87"/>
  <c r="L409" i="87"/>
  <c r="N409" i="87"/>
  <c r="O409" i="87"/>
  <c r="P409" i="87"/>
  <c r="Q409" i="87"/>
  <c r="S409" i="87"/>
  <c r="L410" i="87"/>
  <c r="N410" i="87"/>
  <c r="O410" i="87"/>
  <c r="P410" i="87"/>
  <c r="Q410" i="87"/>
  <c r="S410" i="87"/>
  <c r="F411" i="87"/>
  <c r="L411" i="87"/>
  <c r="N411" i="87"/>
  <c r="O411" i="87"/>
  <c r="P411" i="87"/>
  <c r="Q411" i="87"/>
  <c r="S411" i="87"/>
  <c r="L412" i="87"/>
  <c r="N412" i="87"/>
  <c r="O412" i="87"/>
  <c r="P412" i="87"/>
  <c r="Q412" i="87"/>
  <c r="S412" i="87"/>
  <c r="L413" i="87"/>
  <c r="N413" i="87"/>
  <c r="O413" i="87"/>
  <c r="P413" i="87"/>
  <c r="F413" i="87" s="1"/>
  <c r="Q413" i="87"/>
  <c r="S413" i="87"/>
  <c r="L414" i="87"/>
  <c r="N414" i="87"/>
  <c r="O414" i="87"/>
  <c r="F414" i="87" s="1"/>
  <c r="P414" i="87"/>
  <c r="Q414" i="87"/>
  <c r="S414" i="87"/>
  <c r="L415" i="87"/>
  <c r="N415" i="87"/>
  <c r="O415" i="87"/>
  <c r="F415" i="87" s="1"/>
  <c r="P415" i="87"/>
  <c r="Q415" i="87"/>
  <c r="S415" i="87"/>
  <c r="L416" i="87"/>
  <c r="N416" i="87"/>
  <c r="O416" i="87"/>
  <c r="P416" i="87"/>
  <c r="Q416" i="87"/>
  <c r="S416" i="87"/>
  <c r="L417" i="87"/>
  <c r="N417" i="87"/>
  <c r="O417" i="87"/>
  <c r="F417" i="87" s="1"/>
  <c r="P417" i="87"/>
  <c r="Q417" i="87"/>
  <c r="S417" i="87"/>
  <c r="L418" i="87"/>
  <c r="N418" i="87"/>
  <c r="O418" i="87"/>
  <c r="P418" i="87"/>
  <c r="Q418" i="87"/>
  <c r="S418" i="87"/>
  <c r="L419" i="87"/>
  <c r="N419" i="87"/>
  <c r="O419" i="87"/>
  <c r="F419" i="87" s="1"/>
  <c r="P419" i="87"/>
  <c r="Q419" i="87"/>
  <c r="S419" i="87"/>
  <c r="L420" i="87"/>
  <c r="N420" i="87"/>
  <c r="O420" i="87"/>
  <c r="F420" i="87" s="1"/>
  <c r="P420" i="87"/>
  <c r="Q420" i="87"/>
  <c r="S420" i="87"/>
  <c r="L421" i="87"/>
  <c r="N421" i="87"/>
  <c r="O421" i="87"/>
  <c r="P421" i="87"/>
  <c r="F421" i="87" s="1"/>
  <c r="Q421" i="87"/>
  <c r="S421" i="87"/>
  <c r="L422" i="87"/>
  <c r="N422" i="87"/>
  <c r="O422" i="87"/>
  <c r="P422" i="87"/>
  <c r="Q422" i="87"/>
  <c r="S422" i="87"/>
  <c r="L423" i="87"/>
  <c r="N423" i="87"/>
  <c r="O423" i="87"/>
  <c r="F423" i="87" s="1"/>
  <c r="P423" i="87"/>
  <c r="Q423" i="87"/>
  <c r="S423" i="87"/>
  <c r="L424" i="87"/>
  <c r="N424" i="87"/>
  <c r="O424" i="87"/>
  <c r="F424" i="87" s="1"/>
  <c r="P424" i="87"/>
  <c r="Q424" i="87"/>
  <c r="S424" i="87"/>
  <c r="F425" i="87"/>
  <c r="L425" i="87"/>
  <c r="N425" i="87"/>
  <c r="O425" i="87"/>
  <c r="P425" i="87"/>
  <c r="Q425" i="87"/>
  <c r="S425" i="87"/>
  <c r="L426" i="87"/>
  <c r="N426" i="87"/>
  <c r="O426" i="87"/>
  <c r="F426" i="87" s="1"/>
  <c r="P426" i="87"/>
  <c r="Q426" i="87"/>
  <c r="S426" i="87"/>
  <c r="L427" i="87"/>
  <c r="N427" i="87"/>
  <c r="O427" i="87"/>
  <c r="F427" i="87" s="1"/>
  <c r="P427" i="87"/>
  <c r="Q427" i="87"/>
  <c r="S427" i="87"/>
  <c r="L428" i="87"/>
  <c r="N428" i="87"/>
  <c r="O428" i="87"/>
  <c r="P428" i="87"/>
  <c r="Q428" i="87"/>
  <c r="S428" i="87"/>
  <c r="L429" i="87"/>
  <c r="N429" i="87"/>
  <c r="O429" i="87"/>
  <c r="P429" i="87"/>
  <c r="Q429" i="87"/>
  <c r="S429" i="87"/>
  <c r="L430" i="87"/>
  <c r="N430" i="87"/>
  <c r="O430" i="87"/>
  <c r="P430" i="87"/>
  <c r="Q430" i="87"/>
  <c r="S430" i="87"/>
  <c r="L431" i="87"/>
  <c r="N431" i="87"/>
  <c r="O431" i="87"/>
  <c r="F431" i="87" s="1"/>
  <c r="P431" i="87"/>
  <c r="Q431" i="87"/>
  <c r="S431" i="87"/>
  <c r="L432" i="87"/>
  <c r="N432" i="87"/>
  <c r="O432" i="87"/>
  <c r="P432" i="87"/>
  <c r="Q432" i="87"/>
  <c r="S432" i="87"/>
  <c r="L433" i="87"/>
  <c r="N433" i="87"/>
  <c r="O433" i="87"/>
  <c r="P433" i="87"/>
  <c r="F433" i="87" s="1"/>
  <c r="Q433" i="87"/>
  <c r="S433" i="87"/>
  <c r="F434" i="87"/>
  <c r="L434" i="87"/>
  <c r="N434" i="87"/>
  <c r="O434" i="87"/>
  <c r="P434" i="87"/>
  <c r="Q434" i="87"/>
  <c r="S434" i="87"/>
  <c r="F435" i="87"/>
  <c r="L435" i="87"/>
  <c r="N435" i="87"/>
  <c r="O435" i="87"/>
  <c r="P435" i="87"/>
  <c r="Q435" i="87"/>
  <c r="S435" i="87"/>
  <c r="L436" i="87"/>
  <c r="N436" i="87"/>
  <c r="O436" i="87"/>
  <c r="F436" i="87" s="1"/>
  <c r="P436" i="87"/>
  <c r="Q436" i="87"/>
  <c r="S436" i="87"/>
  <c r="L437" i="87"/>
  <c r="N437" i="87"/>
  <c r="O437" i="87"/>
  <c r="P437" i="87"/>
  <c r="F437" i="87" s="1"/>
  <c r="Q437" i="87"/>
  <c r="S437" i="87"/>
  <c r="L438" i="87"/>
  <c r="N438" i="87"/>
  <c r="O438" i="87"/>
  <c r="P438" i="87"/>
  <c r="Q438" i="87"/>
  <c r="S438" i="87"/>
  <c r="L439" i="87"/>
  <c r="N439" i="87"/>
  <c r="O439" i="87"/>
  <c r="F439" i="87" s="1"/>
  <c r="P439" i="87"/>
  <c r="Q439" i="87"/>
  <c r="S439" i="87"/>
  <c r="L440" i="87"/>
  <c r="N440" i="87"/>
  <c r="O440" i="87"/>
  <c r="F440" i="87" s="1"/>
  <c r="P440" i="87"/>
  <c r="Q440" i="87"/>
  <c r="S440" i="87"/>
  <c r="L441" i="87"/>
  <c r="N441" i="87"/>
  <c r="O441" i="87"/>
  <c r="P441" i="87"/>
  <c r="Q441" i="87"/>
  <c r="S441" i="87"/>
  <c r="L442" i="87"/>
  <c r="N442" i="87"/>
  <c r="O442" i="87"/>
  <c r="P442" i="87"/>
  <c r="Q442" i="87"/>
  <c r="S442" i="87"/>
  <c r="L443" i="87"/>
  <c r="N443" i="87"/>
  <c r="O443" i="87"/>
  <c r="P443" i="87"/>
  <c r="F443" i="87" s="1"/>
  <c r="Q443" i="87"/>
  <c r="S443" i="87"/>
  <c r="L444" i="87"/>
  <c r="N444" i="87"/>
  <c r="O444" i="87"/>
  <c r="F444" i="87" s="1"/>
  <c r="P444" i="87"/>
  <c r="Q444" i="87"/>
  <c r="S444" i="87"/>
  <c r="L445" i="87"/>
  <c r="N445" i="87"/>
  <c r="O445" i="87"/>
  <c r="P445" i="87"/>
  <c r="Q445" i="87"/>
  <c r="S445" i="87"/>
  <c r="L446" i="87"/>
  <c r="N446" i="87"/>
  <c r="O446" i="87"/>
  <c r="P446" i="87"/>
  <c r="Q446" i="87"/>
  <c r="S446" i="87"/>
  <c r="L447" i="87"/>
  <c r="N447" i="87"/>
  <c r="O447" i="87"/>
  <c r="P447" i="87"/>
  <c r="Q447" i="87"/>
  <c r="S447" i="87"/>
  <c r="L448" i="87"/>
  <c r="N448" i="87"/>
  <c r="O448" i="87"/>
  <c r="F448" i="87" s="1"/>
  <c r="P448" i="87"/>
  <c r="Q448" i="87"/>
  <c r="S448" i="87"/>
  <c r="F449" i="87"/>
  <c r="L449" i="87"/>
  <c r="N449" i="87"/>
  <c r="O449" i="87"/>
  <c r="P449" i="87"/>
  <c r="Q449" i="87"/>
  <c r="S449" i="87"/>
  <c r="L450" i="87"/>
  <c r="N450" i="87"/>
  <c r="O450" i="87"/>
  <c r="F450" i="87" s="1"/>
  <c r="P450" i="87"/>
  <c r="Q450" i="87"/>
  <c r="S450" i="87"/>
  <c r="L451" i="87"/>
  <c r="N451" i="87"/>
  <c r="O451" i="87"/>
  <c r="P451" i="87"/>
  <c r="Q451" i="87"/>
  <c r="S451" i="87"/>
  <c r="L452" i="87"/>
  <c r="N452" i="87"/>
  <c r="O452" i="87"/>
  <c r="P452" i="87"/>
  <c r="Q452" i="87"/>
  <c r="S452" i="87"/>
  <c r="L453" i="87"/>
  <c r="N453" i="87"/>
  <c r="O453" i="87"/>
  <c r="P453" i="87"/>
  <c r="Q453" i="87"/>
  <c r="S453" i="87"/>
  <c r="L454" i="87"/>
  <c r="N454" i="87"/>
  <c r="O454" i="87"/>
  <c r="F454" i="87" s="1"/>
  <c r="P454" i="87"/>
  <c r="Q454" i="87"/>
  <c r="S454" i="87"/>
  <c r="L455" i="87"/>
  <c r="N455" i="87"/>
  <c r="O455" i="87"/>
  <c r="P455" i="87"/>
  <c r="Q455" i="87"/>
  <c r="S455" i="87"/>
  <c r="L456" i="87"/>
  <c r="N456" i="87"/>
  <c r="O456" i="87"/>
  <c r="P456" i="87"/>
  <c r="Q456" i="87"/>
  <c r="S456" i="87"/>
  <c r="F457" i="87"/>
  <c r="L457" i="87"/>
  <c r="N457" i="87"/>
  <c r="O457" i="87"/>
  <c r="P457" i="87"/>
  <c r="Q457" i="87"/>
  <c r="S457" i="87"/>
  <c r="L458" i="87"/>
  <c r="N458" i="87"/>
  <c r="O458" i="87"/>
  <c r="P458" i="87"/>
  <c r="Q458" i="87"/>
  <c r="S458" i="87"/>
  <c r="L459" i="87"/>
  <c r="N459" i="87"/>
  <c r="O459" i="87"/>
  <c r="F459" i="87" s="1"/>
  <c r="P459" i="87"/>
  <c r="Q459" i="87"/>
  <c r="S459" i="87"/>
  <c r="L460" i="87"/>
  <c r="N460" i="87"/>
  <c r="O460" i="87"/>
  <c r="F460" i="87" s="1"/>
  <c r="P460" i="87"/>
  <c r="Q460" i="87"/>
  <c r="S460" i="87"/>
  <c r="L461" i="87"/>
  <c r="N461" i="87"/>
  <c r="O461" i="87"/>
  <c r="P461" i="87"/>
  <c r="F461" i="87" s="1"/>
  <c r="Q461" i="87"/>
  <c r="S461" i="87"/>
  <c r="L462" i="87"/>
  <c r="N462" i="87"/>
  <c r="O462" i="87"/>
  <c r="F462" i="87" s="1"/>
  <c r="P462" i="87"/>
  <c r="Q462" i="87"/>
  <c r="S462" i="87"/>
  <c r="L463" i="87"/>
  <c r="N463" i="87"/>
  <c r="O463" i="87"/>
  <c r="F463" i="87" s="1"/>
  <c r="P463" i="87"/>
  <c r="Q463" i="87"/>
  <c r="S463" i="87"/>
  <c r="L464" i="87"/>
  <c r="N464" i="87"/>
  <c r="O464" i="87"/>
  <c r="F464" i="87" s="1"/>
  <c r="P464" i="87"/>
  <c r="Q464" i="87"/>
  <c r="S464" i="87"/>
  <c r="F465" i="87"/>
  <c r="L465" i="87"/>
  <c r="N465" i="87"/>
  <c r="O465" i="87"/>
  <c r="P465" i="87"/>
  <c r="Q465" i="87"/>
  <c r="S465" i="87"/>
  <c r="L466" i="87"/>
  <c r="N466" i="87"/>
  <c r="O466" i="87"/>
  <c r="F466" i="87" s="1"/>
  <c r="P466" i="87"/>
  <c r="Q466" i="87"/>
  <c r="S466" i="87"/>
  <c r="L467" i="87"/>
  <c r="N467" i="87"/>
  <c r="O467" i="87"/>
  <c r="F467" i="87" s="1"/>
  <c r="P467" i="87"/>
  <c r="Q467" i="87"/>
  <c r="S467" i="87"/>
  <c r="L468" i="87"/>
  <c r="N468" i="87"/>
  <c r="O468" i="87"/>
  <c r="F468" i="87" s="1"/>
  <c r="P468" i="87"/>
  <c r="Q468" i="87"/>
  <c r="S468" i="87"/>
  <c r="L469" i="87"/>
  <c r="N469" i="87"/>
  <c r="O469" i="87"/>
  <c r="P469" i="87"/>
  <c r="Q469" i="87"/>
  <c r="S469" i="87"/>
  <c r="L470" i="87"/>
  <c r="N470" i="87"/>
  <c r="O470" i="87"/>
  <c r="P470" i="87"/>
  <c r="Q470" i="87"/>
  <c r="S470" i="87"/>
  <c r="L471" i="87"/>
  <c r="N471" i="87"/>
  <c r="O471" i="87"/>
  <c r="F471" i="87" s="1"/>
  <c r="P471" i="87"/>
  <c r="Q471" i="87"/>
  <c r="S471" i="87"/>
  <c r="L472" i="87"/>
  <c r="N472" i="87"/>
  <c r="O472" i="87"/>
  <c r="F472" i="87" s="1"/>
  <c r="P472" i="87"/>
  <c r="Q472" i="87"/>
  <c r="S472" i="87"/>
  <c r="L473" i="87"/>
  <c r="N473" i="87"/>
  <c r="O473" i="87"/>
  <c r="F473" i="87" s="1"/>
  <c r="P473" i="87"/>
  <c r="Q473" i="87"/>
  <c r="S473" i="87"/>
  <c r="L474" i="87"/>
  <c r="N474" i="87"/>
  <c r="O474" i="87"/>
  <c r="P474" i="87"/>
  <c r="Q474" i="87"/>
  <c r="S474" i="87"/>
  <c r="L475" i="87"/>
  <c r="N475" i="87"/>
  <c r="O475" i="87"/>
  <c r="P475" i="87"/>
  <c r="F475" i="87" s="1"/>
  <c r="Q475" i="87"/>
  <c r="S475" i="87"/>
  <c r="L476" i="87"/>
  <c r="N476" i="87"/>
  <c r="O476" i="87"/>
  <c r="F476" i="87" s="1"/>
  <c r="P476" i="87"/>
  <c r="Q476" i="87"/>
  <c r="S476" i="87"/>
  <c r="L477" i="87"/>
  <c r="N477" i="87"/>
  <c r="O477" i="87"/>
  <c r="P477" i="87"/>
  <c r="Q477" i="87"/>
  <c r="S477" i="87"/>
  <c r="L478" i="87"/>
  <c r="N478" i="87"/>
  <c r="O478" i="87"/>
  <c r="P478" i="87"/>
  <c r="Q478" i="87"/>
  <c r="S478" i="87"/>
  <c r="L479" i="87"/>
  <c r="N479" i="87"/>
  <c r="O479" i="87"/>
  <c r="P479" i="87"/>
  <c r="Q479" i="87"/>
  <c r="S479" i="87"/>
  <c r="L480" i="87"/>
  <c r="N480" i="87"/>
  <c r="O480" i="87"/>
  <c r="F480" i="87" s="1"/>
  <c r="P480" i="87"/>
  <c r="Q480" i="87"/>
  <c r="S480" i="87"/>
  <c r="L481" i="87"/>
  <c r="N481" i="87"/>
  <c r="O481" i="87"/>
  <c r="P481" i="87"/>
  <c r="F481" i="87" s="1"/>
  <c r="Q481" i="87"/>
  <c r="S481" i="87"/>
  <c r="L482" i="87"/>
  <c r="N482" i="87"/>
  <c r="O482" i="87"/>
  <c r="P482" i="87"/>
  <c r="Q482" i="87"/>
  <c r="S482" i="87"/>
  <c r="L483" i="87"/>
  <c r="N483" i="87"/>
  <c r="O483" i="87"/>
  <c r="F483" i="87" s="1"/>
  <c r="P483" i="87"/>
  <c r="Q483" i="87"/>
  <c r="S483" i="87"/>
  <c r="L484" i="87"/>
  <c r="N484" i="87"/>
  <c r="O484" i="87"/>
  <c r="P484" i="87"/>
  <c r="Q484" i="87"/>
  <c r="S484" i="87"/>
  <c r="L485" i="87"/>
  <c r="N485" i="87"/>
  <c r="O485" i="87"/>
  <c r="P485" i="87"/>
  <c r="Q485" i="87"/>
  <c r="S485" i="87"/>
  <c r="L486" i="87"/>
  <c r="N486" i="87"/>
  <c r="O486" i="87"/>
  <c r="F486" i="87" s="1"/>
  <c r="P486" i="87"/>
  <c r="Q486" i="87"/>
  <c r="S486" i="87"/>
  <c r="L487" i="87"/>
  <c r="N487" i="87"/>
  <c r="O487" i="87"/>
  <c r="F487" i="87" s="1"/>
  <c r="P487" i="87"/>
  <c r="Q487" i="87"/>
  <c r="S487" i="87"/>
  <c r="L488" i="87"/>
  <c r="N488" i="87"/>
  <c r="O488" i="87"/>
  <c r="P488" i="87"/>
  <c r="Q488" i="87"/>
  <c r="S488" i="87"/>
  <c r="F489" i="87"/>
  <c r="L489" i="87"/>
  <c r="N489" i="87"/>
  <c r="O489" i="87"/>
  <c r="P489" i="87"/>
  <c r="Q489" i="87"/>
  <c r="S489" i="87"/>
  <c r="L490" i="87"/>
  <c r="N490" i="87"/>
  <c r="O490" i="87"/>
  <c r="P490" i="87"/>
  <c r="Q490" i="87"/>
  <c r="S490" i="87"/>
  <c r="F491" i="87"/>
  <c r="L491" i="87"/>
  <c r="N491" i="87"/>
  <c r="O491" i="87"/>
  <c r="P491" i="87"/>
  <c r="Q491" i="87"/>
  <c r="S491" i="87"/>
  <c r="L492" i="87"/>
  <c r="N492" i="87"/>
  <c r="O492" i="87"/>
  <c r="F492" i="87" s="1"/>
  <c r="P492" i="87"/>
  <c r="Q492" i="87"/>
  <c r="S492" i="87"/>
  <c r="L493" i="87"/>
  <c r="N493" i="87"/>
  <c r="O493" i="87"/>
  <c r="P493" i="87"/>
  <c r="F493" i="87" s="1"/>
  <c r="Q493" i="87"/>
  <c r="S493" i="87"/>
  <c r="L494" i="87"/>
  <c r="N494" i="87"/>
  <c r="O494" i="87"/>
  <c r="F494" i="87" s="1"/>
  <c r="P494" i="87"/>
  <c r="Q494" i="87"/>
  <c r="S494" i="87"/>
  <c r="L495" i="87"/>
  <c r="N495" i="87"/>
  <c r="O495" i="87"/>
  <c r="F495" i="87" s="1"/>
  <c r="P495" i="87"/>
  <c r="Q495" i="87"/>
  <c r="S495" i="87"/>
  <c r="L496" i="87"/>
  <c r="N496" i="87"/>
  <c r="O496" i="87"/>
  <c r="F496" i="87" s="1"/>
  <c r="P496" i="87"/>
  <c r="Q496" i="87"/>
  <c r="S496" i="87"/>
  <c r="L497" i="87"/>
  <c r="N497" i="87"/>
  <c r="O497" i="87"/>
  <c r="F497" i="87" s="1"/>
  <c r="P497" i="87"/>
  <c r="Q497" i="87"/>
  <c r="S497" i="87"/>
  <c r="L498" i="87"/>
  <c r="N498" i="87"/>
  <c r="O498" i="87"/>
  <c r="F498" i="87" s="1"/>
  <c r="P498" i="87"/>
  <c r="Q498" i="87"/>
  <c r="S498" i="87"/>
  <c r="L499" i="87"/>
  <c r="N499" i="87"/>
  <c r="O499" i="87"/>
  <c r="F499" i="87" s="1"/>
  <c r="P499" i="87"/>
  <c r="Q499" i="87"/>
  <c r="S499" i="87"/>
  <c r="L500" i="87"/>
  <c r="N500" i="87"/>
  <c r="O500" i="87"/>
  <c r="F500" i="87" s="1"/>
  <c r="P500" i="87"/>
  <c r="Q500" i="87"/>
  <c r="S500" i="87"/>
  <c r="L501" i="87"/>
  <c r="N501" i="87"/>
  <c r="O501" i="87"/>
  <c r="P501" i="87"/>
  <c r="Q501" i="87"/>
  <c r="S501" i="87"/>
  <c r="L502" i="87"/>
  <c r="N502" i="87"/>
  <c r="O502" i="87"/>
  <c r="P502" i="87"/>
  <c r="Q502" i="87"/>
  <c r="S502" i="87"/>
  <c r="L503" i="87"/>
  <c r="N503" i="87"/>
  <c r="O503" i="87"/>
  <c r="F503" i="87" s="1"/>
  <c r="P503" i="87"/>
  <c r="Q503" i="87"/>
  <c r="S503" i="87"/>
  <c r="L504" i="87"/>
  <c r="N504" i="87"/>
  <c r="O504" i="87"/>
  <c r="F504" i="87" s="1"/>
  <c r="P504" i="87"/>
  <c r="Q504" i="87"/>
  <c r="S504" i="87"/>
  <c r="L505" i="87"/>
  <c r="N505" i="87"/>
  <c r="O505" i="87"/>
  <c r="F505" i="87" s="1"/>
  <c r="P505" i="87"/>
  <c r="Q505" i="87"/>
  <c r="S505" i="87"/>
  <c r="L506" i="87"/>
  <c r="N506" i="87"/>
  <c r="O506" i="87"/>
  <c r="P506" i="87"/>
  <c r="Q506" i="87"/>
  <c r="S506" i="87"/>
  <c r="L507" i="87"/>
  <c r="N507" i="87"/>
  <c r="O507" i="87"/>
  <c r="P507" i="87"/>
  <c r="F507" i="87" s="1"/>
  <c r="Q507" i="87"/>
  <c r="S507" i="87"/>
  <c r="L508" i="87"/>
  <c r="N508" i="87"/>
  <c r="O508" i="87"/>
  <c r="F508" i="87" s="1"/>
  <c r="P508" i="87"/>
  <c r="Q508" i="87"/>
  <c r="S508" i="87"/>
  <c r="L509" i="87"/>
  <c r="N509" i="87"/>
  <c r="O509" i="87"/>
  <c r="P509" i="87"/>
  <c r="Q509" i="87"/>
  <c r="S509" i="87"/>
  <c r="L510" i="87"/>
  <c r="N510" i="87"/>
  <c r="O510" i="87"/>
  <c r="P510" i="87"/>
  <c r="Q510" i="87"/>
  <c r="S510" i="87"/>
  <c r="L511" i="87"/>
  <c r="N511" i="87"/>
  <c r="O511" i="87"/>
  <c r="P511" i="87"/>
  <c r="Q511" i="87"/>
  <c r="S511" i="87"/>
  <c r="L512" i="87"/>
  <c r="N512" i="87"/>
  <c r="O512" i="87"/>
  <c r="F512" i="87" s="1"/>
  <c r="P512" i="87"/>
  <c r="Q512" i="87"/>
  <c r="S512" i="87"/>
  <c r="L513" i="87"/>
  <c r="N513" i="87"/>
  <c r="O513" i="87"/>
  <c r="P513" i="87"/>
  <c r="F513" i="87" s="1"/>
  <c r="Q513" i="87"/>
  <c r="S513" i="87"/>
  <c r="L514" i="87"/>
  <c r="N514" i="87"/>
  <c r="O514" i="87"/>
  <c r="F514" i="87" s="1"/>
  <c r="P514" i="87"/>
  <c r="Q514" i="87"/>
  <c r="S514" i="87"/>
  <c r="L515" i="87"/>
  <c r="N515" i="87"/>
  <c r="O515" i="87"/>
  <c r="F515" i="87" s="1"/>
  <c r="P515" i="87"/>
  <c r="Q515" i="87"/>
  <c r="S515" i="87"/>
  <c r="L516" i="87"/>
  <c r="N516" i="87"/>
  <c r="O516" i="87"/>
  <c r="P516" i="87"/>
  <c r="Q516" i="87"/>
  <c r="S516" i="87"/>
  <c r="L517" i="87"/>
  <c r="N517" i="87"/>
  <c r="O517" i="87"/>
  <c r="P517" i="87"/>
  <c r="Q517" i="87"/>
  <c r="S517" i="87"/>
  <c r="L518" i="87"/>
  <c r="N518" i="87"/>
  <c r="O518" i="87"/>
  <c r="F518" i="87" s="1"/>
  <c r="P518" i="87"/>
  <c r="Q518" i="87"/>
  <c r="S518" i="87"/>
  <c r="L519" i="87"/>
  <c r="N519" i="87"/>
  <c r="O519" i="87"/>
  <c r="F519" i="87" s="1"/>
  <c r="P519" i="87"/>
  <c r="Q519" i="87"/>
  <c r="S519" i="87"/>
  <c r="L520" i="87"/>
  <c r="N520" i="87"/>
  <c r="O520" i="87"/>
  <c r="P520" i="87"/>
  <c r="Q520" i="87"/>
  <c r="S520" i="87"/>
  <c r="F521" i="87"/>
  <c r="L521" i="87"/>
  <c r="N521" i="87"/>
  <c r="O521" i="87"/>
  <c r="P521" i="87"/>
  <c r="Q521" i="87"/>
  <c r="S521" i="87"/>
  <c r="F522" i="87"/>
  <c r="L522" i="87"/>
  <c r="N522" i="87"/>
  <c r="O522" i="87"/>
  <c r="P522" i="87"/>
  <c r="Q522" i="87"/>
  <c r="S522" i="87"/>
  <c r="F523" i="87"/>
  <c r="L523" i="87"/>
  <c r="N523" i="87"/>
  <c r="O523" i="87"/>
  <c r="P523" i="87"/>
  <c r="Q523" i="87"/>
  <c r="S523" i="87"/>
  <c r="L524" i="87"/>
  <c r="N524" i="87"/>
  <c r="O524" i="87"/>
  <c r="P524" i="87"/>
  <c r="Q524" i="87"/>
  <c r="S524" i="87"/>
  <c r="L525" i="87"/>
  <c r="N525" i="87"/>
  <c r="O525" i="87"/>
  <c r="P525" i="87"/>
  <c r="Q525" i="87"/>
  <c r="S525" i="87"/>
  <c r="L526" i="87"/>
  <c r="N526" i="87"/>
  <c r="O526" i="87"/>
  <c r="F526" i="87" s="1"/>
  <c r="P526" i="87"/>
  <c r="Q526" i="87"/>
  <c r="S526" i="87"/>
  <c r="L527" i="87"/>
  <c r="N527" i="87"/>
  <c r="O527" i="87"/>
  <c r="F527" i="87" s="1"/>
  <c r="P527" i="87"/>
  <c r="Q527" i="87"/>
  <c r="S527" i="87"/>
  <c r="L528" i="87"/>
  <c r="N528" i="87"/>
  <c r="O528" i="87"/>
  <c r="P528" i="87"/>
  <c r="Q528" i="87"/>
  <c r="S528" i="87"/>
  <c r="L529" i="87"/>
  <c r="N529" i="87"/>
  <c r="O529" i="87"/>
  <c r="F529" i="87" s="1"/>
  <c r="P529" i="87"/>
  <c r="Q529" i="87"/>
  <c r="S529" i="87"/>
  <c r="L530" i="87"/>
  <c r="N530" i="87"/>
  <c r="O530" i="87"/>
  <c r="P530" i="87"/>
  <c r="Q530" i="87"/>
  <c r="S530" i="87"/>
  <c r="F531" i="87"/>
  <c r="L531" i="87"/>
  <c r="N531" i="87"/>
  <c r="O531" i="87"/>
  <c r="P531" i="87"/>
  <c r="Q531" i="87"/>
  <c r="S531" i="87"/>
  <c r="L532" i="87"/>
  <c r="N532" i="87"/>
  <c r="O532" i="87"/>
  <c r="F532" i="87" s="1"/>
  <c r="P532" i="87"/>
  <c r="Q532" i="87"/>
  <c r="S532" i="87"/>
  <c r="L533" i="87"/>
  <c r="N533" i="87"/>
  <c r="O533" i="87"/>
  <c r="P533" i="87"/>
  <c r="F533" i="87" s="1"/>
  <c r="Q533" i="87"/>
  <c r="S533" i="87"/>
  <c r="L534" i="87"/>
  <c r="N534" i="87"/>
  <c r="O534" i="87"/>
  <c r="P534" i="87"/>
  <c r="Q534" i="87"/>
  <c r="S534" i="87"/>
  <c r="L535" i="87"/>
  <c r="N535" i="87"/>
  <c r="O535" i="87"/>
  <c r="F535" i="87" s="1"/>
  <c r="P535" i="87"/>
  <c r="Q535" i="87"/>
  <c r="S535" i="87"/>
  <c r="L536" i="87"/>
  <c r="N536" i="87"/>
  <c r="O536" i="87"/>
  <c r="F536" i="87" s="1"/>
  <c r="P536" i="87"/>
  <c r="Q536" i="87"/>
  <c r="S536" i="87"/>
  <c r="F537" i="87"/>
  <c r="L537" i="87"/>
  <c r="N537" i="87"/>
  <c r="O537" i="87"/>
  <c r="P537" i="87"/>
  <c r="Q537" i="87"/>
  <c r="S537" i="87"/>
  <c r="L538" i="87"/>
  <c r="N538" i="87"/>
  <c r="O538" i="87"/>
  <c r="F538" i="87" s="1"/>
  <c r="P538" i="87"/>
  <c r="Q538" i="87"/>
  <c r="S538" i="87"/>
  <c r="L539" i="87"/>
  <c r="N539" i="87"/>
  <c r="O539" i="87"/>
  <c r="P539" i="87"/>
  <c r="Q539" i="87"/>
  <c r="S539" i="87"/>
  <c r="L540" i="87"/>
  <c r="N540" i="87"/>
  <c r="O540" i="87"/>
  <c r="F540" i="87" s="1"/>
  <c r="P540" i="87"/>
  <c r="Q540" i="87"/>
  <c r="S540" i="87"/>
  <c r="L541" i="87"/>
  <c r="N541" i="87"/>
  <c r="O541" i="87"/>
  <c r="P541" i="87"/>
  <c r="Q541" i="87"/>
  <c r="S541" i="87"/>
  <c r="L542" i="87"/>
  <c r="N542" i="87"/>
  <c r="O542" i="87"/>
  <c r="P542" i="87"/>
  <c r="Q542" i="87"/>
  <c r="S542" i="87"/>
  <c r="L543" i="87"/>
  <c r="N543" i="87"/>
  <c r="O543" i="87"/>
  <c r="P543" i="87"/>
  <c r="Q543" i="87"/>
  <c r="S543" i="87"/>
  <c r="L544" i="87"/>
  <c r="N544" i="87"/>
  <c r="O544" i="87"/>
  <c r="F544" i="87" s="1"/>
  <c r="P544" i="87"/>
  <c r="Q544" i="87"/>
  <c r="S544" i="87"/>
  <c r="L545" i="87"/>
  <c r="N545" i="87"/>
  <c r="O545" i="87"/>
  <c r="P545" i="87"/>
  <c r="F545" i="87" s="1"/>
  <c r="Q545" i="87"/>
  <c r="S545" i="87"/>
  <c r="L546" i="87"/>
  <c r="N546" i="87"/>
  <c r="O546" i="87"/>
  <c r="F546" i="87" s="1"/>
  <c r="P546" i="87"/>
  <c r="Q546" i="87"/>
  <c r="S546" i="87"/>
  <c r="L547" i="87"/>
  <c r="N547" i="87"/>
  <c r="O547" i="87"/>
  <c r="F547" i="87" s="1"/>
  <c r="P547" i="87"/>
  <c r="Q547" i="87"/>
  <c r="S547" i="87"/>
  <c r="L144" i="86"/>
  <c r="N144" i="86"/>
  <c r="O144" i="86"/>
  <c r="P144" i="86"/>
  <c r="Q144" i="86"/>
  <c r="S144" i="86"/>
  <c r="F145" i="86"/>
  <c r="L145" i="86"/>
  <c r="N145" i="86"/>
  <c r="O145" i="86"/>
  <c r="P145" i="86"/>
  <c r="Q145" i="86"/>
  <c r="S145" i="86"/>
  <c r="L146" i="86"/>
  <c r="N146" i="86"/>
  <c r="O146" i="86"/>
  <c r="F146" i="86" s="1"/>
  <c r="P146" i="86"/>
  <c r="Q146" i="86"/>
  <c r="S146" i="86"/>
  <c r="L147" i="86"/>
  <c r="N147" i="86"/>
  <c r="O147" i="86"/>
  <c r="F147" i="86" s="1"/>
  <c r="P147" i="86"/>
  <c r="Q147" i="86"/>
  <c r="S147" i="86"/>
  <c r="L148" i="86"/>
  <c r="N148" i="86"/>
  <c r="O148" i="86"/>
  <c r="F148" i="86" s="1"/>
  <c r="P148" i="86"/>
  <c r="Q148" i="86"/>
  <c r="S148" i="86"/>
  <c r="L149" i="86"/>
  <c r="N149" i="86"/>
  <c r="O149" i="86"/>
  <c r="P149" i="86"/>
  <c r="F149" i="86" s="1"/>
  <c r="Q149" i="86"/>
  <c r="S149" i="86"/>
  <c r="L150" i="86"/>
  <c r="N150" i="86"/>
  <c r="O150" i="86"/>
  <c r="F150" i="86" s="1"/>
  <c r="P150" i="86"/>
  <c r="Q150" i="86"/>
  <c r="S150" i="86"/>
  <c r="L151" i="86"/>
  <c r="N151" i="86"/>
  <c r="O151" i="86"/>
  <c r="F151" i="86" s="1"/>
  <c r="P151" i="86"/>
  <c r="Q151" i="86"/>
  <c r="S151" i="86"/>
  <c r="L152" i="86"/>
  <c r="N152" i="86"/>
  <c r="O152" i="86"/>
  <c r="F152" i="86" s="1"/>
  <c r="P152" i="86"/>
  <c r="Q152" i="86"/>
  <c r="S152" i="86"/>
  <c r="L153" i="86"/>
  <c r="N153" i="86"/>
  <c r="O153" i="86"/>
  <c r="P153" i="86"/>
  <c r="Q153" i="86"/>
  <c r="S153" i="86"/>
  <c r="L154" i="86"/>
  <c r="N154" i="86"/>
  <c r="O154" i="86"/>
  <c r="P154" i="86"/>
  <c r="Q154" i="86"/>
  <c r="S154" i="86"/>
  <c r="F155" i="86"/>
  <c r="L155" i="86"/>
  <c r="N155" i="86"/>
  <c r="O155" i="86"/>
  <c r="P155" i="86"/>
  <c r="Q155" i="86"/>
  <c r="S155" i="86"/>
  <c r="L156" i="86"/>
  <c r="N156" i="86"/>
  <c r="O156" i="86"/>
  <c r="F156" i="86" s="1"/>
  <c r="P156" i="86"/>
  <c r="Q156" i="86"/>
  <c r="S156" i="86"/>
  <c r="L157" i="86"/>
  <c r="N157" i="86"/>
  <c r="O157" i="86"/>
  <c r="P157" i="86"/>
  <c r="Q157" i="86"/>
  <c r="S157" i="86"/>
  <c r="L158" i="86"/>
  <c r="N158" i="86"/>
  <c r="O158" i="86"/>
  <c r="P158" i="86"/>
  <c r="Q158" i="86"/>
  <c r="S158" i="86"/>
  <c r="L159" i="86"/>
  <c r="N159" i="86"/>
  <c r="O159" i="86"/>
  <c r="F159" i="86" s="1"/>
  <c r="P159" i="86"/>
  <c r="Q159" i="86"/>
  <c r="S159" i="86"/>
  <c r="L160" i="86"/>
  <c r="N160" i="86"/>
  <c r="O160" i="86"/>
  <c r="F160" i="86" s="1"/>
  <c r="P160" i="86"/>
  <c r="Q160" i="86"/>
  <c r="S160" i="86"/>
  <c r="L161" i="86"/>
  <c r="N161" i="86"/>
  <c r="O161" i="86"/>
  <c r="P161" i="86"/>
  <c r="F161" i="86" s="1"/>
  <c r="Q161" i="86"/>
  <c r="S161" i="86"/>
  <c r="L162" i="86"/>
  <c r="N162" i="86"/>
  <c r="O162" i="86"/>
  <c r="P162" i="86"/>
  <c r="Q162" i="86"/>
  <c r="S162" i="86"/>
  <c r="L163" i="86"/>
  <c r="N163" i="86"/>
  <c r="O163" i="86"/>
  <c r="F163" i="86" s="1"/>
  <c r="P163" i="86"/>
  <c r="Q163" i="86"/>
  <c r="S163" i="86"/>
  <c r="L164" i="86"/>
  <c r="N164" i="86"/>
  <c r="O164" i="86"/>
  <c r="F164" i="86" s="1"/>
  <c r="P164" i="86"/>
  <c r="Q164" i="86"/>
  <c r="S164" i="86"/>
  <c r="L165" i="86"/>
  <c r="N165" i="86"/>
  <c r="O165" i="86"/>
  <c r="P165" i="86"/>
  <c r="Q165" i="86"/>
  <c r="S165" i="86"/>
  <c r="L166" i="86"/>
  <c r="N166" i="86"/>
  <c r="O166" i="86"/>
  <c r="F166" i="86" s="1"/>
  <c r="P166" i="86"/>
  <c r="Q166" i="86"/>
  <c r="S166" i="86"/>
  <c r="L167" i="86"/>
  <c r="N167" i="86"/>
  <c r="O167" i="86"/>
  <c r="F167" i="86" s="1"/>
  <c r="P167" i="86"/>
  <c r="Q167" i="86"/>
  <c r="S167" i="86"/>
  <c r="L168" i="86"/>
  <c r="N168" i="86"/>
  <c r="O168" i="86"/>
  <c r="F168" i="86" s="1"/>
  <c r="P168" i="86"/>
  <c r="Q168" i="86"/>
  <c r="S168" i="86"/>
  <c r="F169" i="86"/>
  <c r="L169" i="86"/>
  <c r="N169" i="86"/>
  <c r="O169" i="86"/>
  <c r="P169" i="86"/>
  <c r="Q169" i="86"/>
  <c r="S169" i="86"/>
  <c r="L170" i="86"/>
  <c r="N170" i="86"/>
  <c r="O170" i="86"/>
  <c r="P170" i="86"/>
  <c r="Q170" i="86"/>
  <c r="S170" i="86"/>
  <c r="L171" i="86"/>
  <c r="N171" i="86"/>
  <c r="O171" i="86"/>
  <c r="P171" i="86"/>
  <c r="Q171" i="86"/>
  <c r="S171" i="86"/>
  <c r="L172" i="86"/>
  <c r="N172" i="86"/>
  <c r="O172" i="86"/>
  <c r="P172" i="86"/>
  <c r="Q172" i="86"/>
  <c r="S172" i="86"/>
  <c r="L173" i="86"/>
  <c r="N173" i="86"/>
  <c r="O173" i="86"/>
  <c r="P173" i="86"/>
  <c r="Q173" i="86"/>
  <c r="S173" i="86"/>
  <c r="L174" i="86"/>
  <c r="N174" i="86"/>
  <c r="O174" i="86"/>
  <c r="P174" i="86"/>
  <c r="Q174" i="86"/>
  <c r="S174" i="86"/>
  <c r="L175" i="86"/>
  <c r="N175" i="86"/>
  <c r="O175" i="86"/>
  <c r="P175" i="86"/>
  <c r="Q175" i="86"/>
  <c r="S175" i="86"/>
  <c r="L176" i="86"/>
  <c r="N176" i="86"/>
  <c r="O176" i="86"/>
  <c r="P176" i="86"/>
  <c r="Q176" i="86"/>
  <c r="S176" i="86"/>
  <c r="L177" i="86"/>
  <c r="N177" i="86"/>
  <c r="O177" i="86"/>
  <c r="P177" i="86"/>
  <c r="F177" i="86" s="1"/>
  <c r="Q177" i="86"/>
  <c r="S177" i="86"/>
  <c r="L178" i="86"/>
  <c r="N178" i="86"/>
  <c r="O178" i="86"/>
  <c r="F178" i="86" s="1"/>
  <c r="P178" i="86"/>
  <c r="Q178" i="86"/>
  <c r="S178" i="86"/>
  <c r="L179" i="86"/>
  <c r="N179" i="86"/>
  <c r="O179" i="86"/>
  <c r="P179" i="86"/>
  <c r="F179" i="86" s="1"/>
  <c r="Q179" i="86"/>
  <c r="S179" i="86"/>
  <c r="L180" i="86"/>
  <c r="N180" i="86"/>
  <c r="O180" i="86"/>
  <c r="F180" i="86" s="1"/>
  <c r="P180" i="86"/>
  <c r="Q180" i="86"/>
  <c r="S180" i="86"/>
  <c r="L181" i="86"/>
  <c r="N181" i="86"/>
  <c r="O181" i="86"/>
  <c r="P181" i="86"/>
  <c r="F181" i="86" s="1"/>
  <c r="Q181" i="86"/>
  <c r="S181" i="86"/>
  <c r="L182" i="86"/>
  <c r="N182" i="86"/>
  <c r="O182" i="86"/>
  <c r="F182" i="86" s="1"/>
  <c r="P182" i="86"/>
  <c r="Q182" i="86"/>
  <c r="S182" i="86"/>
  <c r="L183" i="86"/>
  <c r="N183" i="86"/>
  <c r="O183" i="86"/>
  <c r="P183" i="86"/>
  <c r="Q183" i="86"/>
  <c r="S183" i="86"/>
  <c r="L184" i="86"/>
  <c r="N184" i="86"/>
  <c r="O184" i="86"/>
  <c r="F184" i="86" s="1"/>
  <c r="P184" i="86"/>
  <c r="Q184" i="86"/>
  <c r="S184" i="86"/>
  <c r="L185" i="86"/>
  <c r="N185" i="86"/>
  <c r="O185" i="86"/>
  <c r="F185" i="86" s="1"/>
  <c r="P185" i="86"/>
  <c r="Q185" i="86"/>
  <c r="S185" i="86"/>
  <c r="L186" i="86"/>
  <c r="N186" i="86"/>
  <c r="O186" i="86"/>
  <c r="P186" i="86"/>
  <c r="Q186" i="86"/>
  <c r="S186" i="86"/>
  <c r="F187" i="86"/>
  <c r="L187" i="86"/>
  <c r="N187" i="86"/>
  <c r="O187" i="86"/>
  <c r="P187" i="86"/>
  <c r="Q187" i="86"/>
  <c r="S187" i="86"/>
  <c r="L188" i="86"/>
  <c r="N188" i="86"/>
  <c r="O188" i="86"/>
  <c r="P188" i="86"/>
  <c r="Q188" i="86"/>
  <c r="S188" i="86"/>
  <c r="L189" i="86"/>
  <c r="N189" i="86"/>
  <c r="O189" i="86"/>
  <c r="P189" i="86"/>
  <c r="F189" i="86" s="1"/>
  <c r="Q189" i="86"/>
  <c r="S189" i="86"/>
  <c r="L190" i="86"/>
  <c r="N190" i="86"/>
  <c r="O190" i="86"/>
  <c r="P190" i="86"/>
  <c r="Q190" i="86"/>
  <c r="S190" i="86"/>
  <c r="L191" i="86"/>
  <c r="N191" i="86"/>
  <c r="O191" i="86"/>
  <c r="F191" i="86" s="1"/>
  <c r="P191" i="86"/>
  <c r="Q191" i="86"/>
  <c r="S191" i="86"/>
  <c r="L192" i="86"/>
  <c r="N192" i="86"/>
  <c r="O192" i="86"/>
  <c r="P192" i="86"/>
  <c r="Q192" i="86"/>
  <c r="S192" i="86"/>
  <c r="L193" i="86"/>
  <c r="N193" i="86"/>
  <c r="O193" i="86"/>
  <c r="F193" i="86" s="1"/>
  <c r="P193" i="86"/>
  <c r="Q193" i="86"/>
  <c r="S193" i="86"/>
  <c r="L194" i="86"/>
  <c r="N194" i="86"/>
  <c r="O194" i="86"/>
  <c r="P194" i="86"/>
  <c r="Q194" i="86"/>
  <c r="S194" i="86"/>
  <c r="L195" i="86"/>
  <c r="N195" i="86"/>
  <c r="O195" i="86"/>
  <c r="P195" i="86"/>
  <c r="F195" i="86" s="1"/>
  <c r="Q195" i="86"/>
  <c r="S195" i="86"/>
  <c r="L196" i="86"/>
  <c r="N196" i="86"/>
  <c r="O196" i="86"/>
  <c r="F196" i="86" s="1"/>
  <c r="P196" i="86"/>
  <c r="Q196" i="86"/>
  <c r="S196" i="86"/>
  <c r="L197" i="86"/>
  <c r="N197" i="86"/>
  <c r="O197" i="86"/>
  <c r="P197" i="86"/>
  <c r="F197" i="86" s="1"/>
  <c r="Q197" i="86"/>
  <c r="S197" i="86"/>
  <c r="L198" i="86"/>
  <c r="N198" i="86"/>
  <c r="O198" i="86"/>
  <c r="F198" i="86" s="1"/>
  <c r="P198" i="86"/>
  <c r="Q198" i="86"/>
  <c r="S198" i="86"/>
  <c r="L199" i="86"/>
  <c r="N199" i="86"/>
  <c r="O199" i="86"/>
  <c r="P199" i="86"/>
  <c r="Q199" i="86"/>
  <c r="S199" i="86"/>
  <c r="L200" i="86"/>
  <c r="N200" i="86"/>
  <c r="O200" i="86"/>
  <c r="F200" i="86" s="1"/>
  <c r="P200" i="86"/>
  <c r="Q200" i="86"/>
  <c r="S200" i="86"/>
  <c r="F201" i="86"/>
  <c r="L201" i="86"/>
  <c r="N201" i="86"/>
  <c r="O201" i="86"/>
  <c r="P201" i="86"/>
  <c r="Q201" i="86"/>
  <c r="S201" i="86"/>
  <c r="L202" i="86"/>
  <c r="N202" i="86"/>
  <c r="O202" i="86"/>
  <c r="F202" i="86" s="1"/>
  <c r="P202" i="86"/>
  <c r="Q202" i="86"/>
  <c r="S202" i="86"/>
  <c r="L203" i="86"/>
  <c r="N203" i="86"/>
  <c r="O203" i="86"/>
  <c r="F203" i="86" s="1"/>
  <c r="P203" i="86"/>
  <c r="Q203" i="86"/>
  <c r="S203" i="86"/>
  <c r="L204" i="86"/>
  <c r="N204" i="86"/>
  <c r="O204" i="86"/>
  <c r="P204" i="86"/>
  <c r="Q204" i="86"/>
  <c r="S204" i="86"/>
  <c r="L205" i="86"/>
  <c r="N205" i="86"/>
  <c r="O205" i="86"/>
  <c r="P205" i="86"/>
  <c r="Q205" i="86"/>
  <c r="S205" i="86"/>
  <c r="L206" i="86"/>
  <c r="N206" i="86"/>
  <c r="O206" i="86"/>
  <c r="P206" i="86"/>
  <c r="Q206" i="86"/>
  <c r="S206" i="86"/>
  <c r="L207" i="86"/>
  <c r="N207" i="86"/>
  <c r="O207" i="86"/>
  <c r="F207" i="86" s="1"/>
  <c r="P207" i="86"/>
  <c r="Q207" i="86"/>
  <c r="S207" i="86"/>
  <c r="L208" i="86"/>
  <c r="N208" i="86"/>
  <c r="O208" i="86"/>
  <c r="P208" i="86"/>
  <c r="Q208" i="86"/>
  <c r="S208" i="86"/>
  <c r="L209" i="86"/>
  <c r="N209" i="86"/>
  <c r="O209" i="86"/>
  <c r="P209" i="86"/>
  <c r="F209" i="86" s="1"/>
  <c r="Q209" i="86"/>
  <c r="S209" i="86"/>
  <c r="L210" i="86"/>
  <c r="N210" i="86"/>
  <c r="O210" i="86"/>
  <c r="F210" i="86" s="1"/>
  <c r="P210" i="86"/>
  <c r="Q210" i="86"/>
  <c r="S210" i="86"/>
  <c r="F211" i="86"/>
  <c r="L211" i="86"/>
  <c r="N211" i="86"/>
  <c r="O211" i="86"/>
  <c r="P211" i="86"/>
  <c r="Q211" i="86"/>
  <c r="S211" i="86"/>
  <c r="L212" i="86"/>
  <c r="N212" i="86"/>
  <c r="O212" i="86"/>
  <c r="P212" i="86"/>
  <c r="Q212" i="86"/>
  <c r="S212" i="86"/>
  <c r="L213" i="86"/>
  <c r="N213" i="86"/>
  <c r="O213" i="86"/>
  <c r="P213" i="86"/>
  <c r="F213" i="86" s="1"/>
  <c r="Q213" i="86"/>
  <c r="S213" i="86"/>
  <c r="L214" i="86"/>
  <c r="N214" i="86"/>
  <c r="O214" i="86"/>
  <c r="F214" i="86" s="1"/>
  <c r="P214" i="86"/>
  <c r="Q214" i="86"/>
  <c r="S214" i="86"/>
  <c r="L215" i="86"/>
  <c r="N215" i="86"/>
  <c r="O215" i="86"/>
  <c r="P215" i="86"/>
  <c r="Q215" i="86"/>
  <c r="S215" i="86"/>
  <c r="L216" i="86"/>
  <c r="N216" i="86"/>
  <c r="O216" i="86"/>
  <c r="F216" i="86" s="1"/>
  <c r="P216" i="86"/>
  <c r="Q216" i="86"/>
  <c r="S216" i="86"/>
  <c r="L217" i="86"/>
  <c r="N217" i="86"/>
  <c r="O217" i="86"/>
  <c r="P217" i="86"/>
  <c r="Q217" i="86"/>
  <c r="S217" i="86"/>
  <c r="L218" i="86"/>
  <c r="N218" i="86"/>
  <c r="O218" i="86"/>
  <c r="P218" i="86"/>
  <c r="Q218" i="86"/>
  <c r="S218" i="86"/>
  <c r="F219" i="86"/>
  <c r="L219" i="86"/>
  <c r="N219" i="86"/>
  <c r="O219" i="86"/>
  <c r="P219" i="86"/>
  <c r="Q219" i="86"/>
  <c r="S219" i="86"/>
  <c r="L220" i="86"/>
  <c r="N220" i="86"/>
  <c r="O220" i="86"/>
  <c r="P220" i="86"/>
  <c r="Q220" i="86"/>
  <c r="S220" i="86"/>
  <c r="L221" i="86"/>
  <c r="N221" i="86"/>
  <c r="O221" i="86"/>
  <c r="P221" i="86"/>
  <c r="F221" i="86" s="1"/>
  <c r="Q221" i="86"/>
  <c r="S221" i="86"/>
  <c r="L222" i="86"/>
  <c r="N222" i="86"/>
  <c r="O222" i="86"/>
  <c r="P222" i="86"/>
  <c r="Q222" i="86"/>
  <c r="S222" i="86"/>
  <c r="L223" i="86"/>
  <c r="N223" i="86"/>
  <c r="O223" i="86"/>
  <c r="F223" i="86" s="1"/>
  <c r="P223" i="86"/>
  <c r="Q223" i="86"/>
  <c r="S223" i="86"/>
  <c r="L224" i="86"/>
  <c r="N224" i="86"/>
  <c r="O224" i="86"/>
  <c r="P224" i="86"/>
  <c r="Q224" i="86"/>
  <c r="S224" i="86"/>
  <c r="L225" i="86"/>
  <c r="N225" i="86"/>
  <c r="O225" i="86"/>
  <c r="F225" i="86" s="1"/>
  <c r="P225" i="86"/>
  <c r="Q225" i="86"/>
  <c r="S225" i="86"/>
  <c r="L226" i="86"/>
  <c r="N226" i="86"/>
  <c r="O226" i="86"/>
  <c r="P226" i="86"/>
  <c r="Q226" i="86"/>
  <c r="S226" i="86"/>
  <c r="F227" i="86"/>
  <c r="L227" i="86"/>
  <c r="N227" i="86"/>
  <c r="O227" i="86"/>
  <c r="P227" i="86"/>
  <c r="Q227" i="86"/>
  <c r="S227" i="86"/>
  <c r="L228" i="86"/>
  <c r="N228" i="86"/>
  <c r="O228" i="86"/>
  <c r="F228" i="86" s="1"/>
  <c r="P228" i="86"/>
  <c r="Q228" i="86"/>
  <c r="S228" i="86"/>
  <c r="L229" i="86"/>
  <c r="N229" i="86"/>
  <c r="O229" i="86"/>
  <c r="P229" i="86"/>
  <c r="F229" i="86" s="1"/>
  <c r="Q229" i="86"/>
  <c r="S229" i="86"/>
  <c r="L230" i="86"/>
  <c r="N230" i="86"/>
  <c r="O230" i="86"/>
  <c r="P230" i="86"/>
  <c r="Q230" i="86"/>
  <c r="S230" i="86"/>
  <c r="L231" i="86"/>
  <c r="N231" i="86"/>
  <c r="O231" i="86"/>
  <c r="P231" i="86"/>
  <c r="Q231" i="86"/>
  <c r="S231" i="86"/>
  <c r="L232" i="86"/>
  <c r="N232" i="86"/>
  <c r="O232" i="86"/>
  <c r="F232" i="86" s="1"/>
  <c r="P232" i="86"/>
  <c r="Q232" i="86"/>
  <c r="S232" i="86"/>
  <c r="L233" i="86"/>
  <c r="N233" i="86"/>
  <c r="O233" i="86"/>
  <c r="F233" i="86" s="1"/>
  <c r="P233" i="86"/>
  <c r="Q233" i="86"/>
  <c r="S233" i="86"/>
  <c r="L234" i="86"/>
  <c r="N234" i="86"/>
  <c r="O234" i="86"/>
  <c r="F234" i="86" s="1"/>
  <c r="P234" i="86"/>
  <c r="Q234" i="86"/>
  <c r="S234" i="86"/>
  <c r="L235" i="86"/>
  <c r="N235" i="86"/>
  <c r="O235" i="86"/>
  <c r="P235" i="86"/>
  <c r="Q235" i="86"/>
  <c r="S235" i="86"/>
  <c r="L236" i="86"/>
  <c r="N236" i="86"/>
  <c r="O236" i="86"/>
  <c r="P236" i="86"/>
  <c r="Q236" i="86"/>
  <c r="S236" i="86"/>
  <c r="L237" i="86"/>
  <c r="N237" i="86"/>
  <c r="O237" i="86"/>
  <c r="P237" i="86"/>
  <c r="Q237" i="86"/>
  <c r="S237" i="86"/>
  <c r="L238" i="86"/>
  <c r="N238" i="86"/>
  <c r="O238" i="86"/>
  <c r="P238" i="86"/>
  <c r="Q238" i="86"/>
  <c r="S238" i="86"/>
  <c r="L239" i="86"/>
  <c r="N239" i="86"/>
  <c r="O239" i="86"/>
  <c r="P239" i="86"/>
  <c r="Q239" i="86"/>
  <c r="S239" i="86"/>
  <c r="L240" i="86"/>
  <c r="N240" i="86"/>
  <c r="O240" i="86"/>
  <c r="P240" i="86"/>
  <c r="Q240" i="86"/>
  <c r="S240" i="86"/>
  <c r="L241" i="86"/>
  <c r="N241" i="86"/>
  <c r="O241" i="86"/>
  <c r="P241" i="86"/>
  <c r="F241" i="86" s="1"/>
  <c r="Q241" i="86"/>
  <c r="S241" i="86"/>
  <c r="L242" i="86"/>
  <c r="N242" i="86"/>
  <c r="O242" i="86"/>
  <c r="F242" i="86" s="1"/>
  <c r="P242" i="86"/>
  <c r="Q242" i="86"/>
  <c r="S242" i="86"/>
  <c r="L243" i="86"/>
  <c r="N243" i="86"/>
  <c r="O243" i="86"/>
  <c r="P243" i="86"/>
  <c r="F243" i="86" s="1"/>
  <c r="Q243" i="86"/>
  <c r="S243" i="86"/>
  <c r="L244" i="86"/>
  <c r="N244" i="86"/>
  <c r="O244" i="86"/>
  <c r="F244" i="86" s="1"/>
  <c r="P244" i="86"/>
  <c r="Q244" i="86"/>
  <c r="S244" i="86"/>
  <c r="L245" i="86"/>
  <c r="N245" i="86"/>
  <c r="O245" i="86"/>
  <c r="P245" i="86"/>
  <c r="F245" i="86" s="1"/>
  <c r="Q245" i="86"/>
  <c r="S245" i="86"/>
  <c r="L246" i="86"/>
  <c r="N246" i="86"/>
  <c r="O246" i="86"/>
  <c r="F246" i="86" s="1"/>
  <c r="P246" i="86"/>
  <c r="Q246" i="86"/>
  <c r="S246" i="86"/>
  <c r="L247" i="86"/>
  <c r="N247" i="86"/>
  <c r="O247" i="86"/>
  <c r="P247" i="86"/>
  <c r="Q247" i="86"/>
  <c r="S247" i="86"/>
  <c r="L248" i="86"/>
  <c r="N248" i="86"/>
  <c r="O248" i="86"/>
  <c r="F248" i="86" s="1"/>
  <c r="P248" i="86"/>
  <c r="Q248" i="86"/>
  <c r="S248" i="86"/>
  <c r="L249" i="86"/>
  <c r="N249" i="86"/>
  <c r="O249" i="86"/>
  <c r="F249" i="86" s="1"/>
  <c r="P249" i="86"/>
  <c r="Q249" i="86"/>
  <c r="S249" i="86"/>
  <c r="L250" i="86"/>
  <c r="N250" i="86"/>
  <c r="O250" i="86"/>
  <c r="P250" i="86"/>
  <c r="F250" i="86" s="1"/>
  <c r="Q250" i="86"/>
  <c r="S250" i="86"/>
  <c r="F251" i="86"/>
  <c r="L251" i="86"/>
  <c r="N251" i="86"/>
  <c r="O251" i="86"/>
  <c r="P251" i="86"/>
  <c r="Q251" i="86"/>
  <c r="S251" i="86"/>
  <c r="L252" i="86"/>
  <c r="N252" i="86"/>
  <c r="O252" i="86"/>
  <c r="P252" i="86"/>
  <c r="Q252" i="86"/>
  <c r="S252" i="86"/>
  <c r="L253" i="86"/>
  <c r="N253" i="86"/>
  <c r="O253" i="86"/>
  <c r="P253" i="86"/>
  <c r="F253" i="86" s="1"/>
  <c r="Q253" i="86"/>
  <c r="S253" i="86"/>
  <c r="L254" i="86"/>
  <c r="N254" i="86"/>
  <c r="O254" i="86"/>
  <c r="P254" i="86"/>
  <c r="Q254" i="86"/>
  <c r="S254" i="86"/>
  <c r="L255" i="86"/>
  <c r="N255" i="86"/>
  <c r="O255" i="86"/>
  <c r="F255" i="86" s="1"/>
  <c r="P255" i="86"/>
  <c r="Q255" i="86"/>
  <c r="S255" i="86"/>
  <c r="L256" i="86"/>
  <c r="N256" i="86"/>
  <c r="O256" i="86"/>
  <c r="P256" i="86"/>
  <c r="Q256" i="86"/>
  <c r="S256" i="86"/>
  <c r="L257" i="86"/>
  <c r="N257" i="86"/>
  <c r="O257" i="86"/>
  <c r="F257" i="86" s="1"/>
  <c r="P257" i="86"/>
  <c r="Q257" i="86"/>
  <c r="S257" i="86"/>
  <c r="L258" i="86"/>
  <c r="N258" i="86"/>
  <c r="O258" i="86"/>
  <c r="P258" i="86"/>
  <c r="Q258" i="86"/>
  <c r="S258" i="86"/>
  <c r="L259" i="86"/>
  <c r="N259" i="86"/>
  <c r="O259" i="86"/>
  <c r="P259" i="86"/>
  <c r="F259" i="86" s="1"/>
  <c r="Q259" i="86"/>
  <c r="S259" i="86"/>
  <c r="L260" i="86"/>
  <c r="N260" i="86"/>
  <c r="O260" i="86"/>
  <c r="F260" i="86" s="1"/>
  <c r="P260" i="86"/>
  <c r="Q260" i="86"/>
  <c r="S260" i="86"/>
  <c r="L261" i="86"/>
  <c r="N261" i="86"/>
  <c r="O261" i="86"/>
  <c r="P261" i="86"/>
  <c r="F261" i="86" s="1"/>
  <c r="Q261" i="86"/>
  <c r="S261" i="86"/>
  <c r="L262" i="86"/>
  <c r="N262" i="86"/>
  <c r="O262" i="86"/>
  <c r="F262" i="86" s="1"/>
  <c r="P262" i="86"/>
  <c r="Q262" i="86"/>
  <c r="S262" i="86"/>
  <c r="L263" i="86"/>
  <c r="N263" i="86"/>
  <c r="O263" i="86"/>
  <c r="P263" i="86"/>
  <c r="Q263" i="86"/>
  <c r="S263" i="86"/>
  <c r="L264" i="86"/>
  <c r="N264" i="86"/>
  <c r="O264" i="86"/>
  <c r="F264" i="86" s="1"/>
  <c r="P264" i="86"/>
  <c r="Q264" i="86"/>
  <c r="S264" i="86"/>
  <c r="F265" i="86"/>
  <c r="L265" i="86"/>
  <c r="N265" i="86"/>
  <c r="O265" i="86"/>
  <c r="P265" i="86"/>
  <c r="Q265" i="86"/>
  <c r="S265" i="86"/>
  <c r="L266" i="86"/>
  <c r="N266" i="86"/>
  <c r="O266" i="86"/>
  <c r="F266" i="86" s="1"/>
  <c r="P266" i="86"/>
  <c r="Q266" i="86"/>
  <c r="S266" i="86"/>
  <c r="L267" i="86"/>
  <c r="N267" i="86"/>
  <c r="O267" i="86"/>
  <c r="P267" i="86"/>
  <c r="Q267" i="86"/>
  <c r="S267" i="86"/>
  <c r="L268" i="86"/>
  <c r="N268" i="86"/>
  <c r="O268" i="86"/>
  <c r="P268" i="86"/>
  <c r="Q268" i="86"/>
  <c r="S268" i="86"/>
  <c r="L269" i="86"/>
  <c r="N269" i="86"/>
  <c r="O269" i="86"/>
  <c r="P269" i="86"/>
  <c r="Q269" i="86"/>
  <c r="S269" i="86"/>
  <c r="L270" i="86"/>
  <c r="N270" i="86"/>
  <c r="O270" i="86"/>
  <c r="P270" i="86"/>
  <c r="Q270" i="86"/>
  <c r="S270" i="86"/>
  <c r="L271" i="86"/>
  <c r="N271" i="86"/>
  <c r="O271" i="86"/>
  <c r="P271" i="86"/>
  <c r="Q271" i="86"/>
  <c r="S271" i="86"/>
  <c r="L272" i="86"/>
  <c r="N272" i="86"/>
  <c r="O272" i="86"/>
  <c r="P272" i="86"/>
  <c r="Q272" i="86"/>
  <c r="S272" i="86"/>
  <c r="L273" i="86"/>
  <c r="N273" i="86"/>
  <c r="O273" i="86"/>
  <c r="P273" i="86"/>
  <c r="F273" i="86" s="1"/>
  <c r="Q273" i="86"/>
  <c r="S273" i="86"/>
  <c r="L274" i="86"/>
  <c r="N274" i="86"/>
  <c r="O274" i="86"/>
  <c r="F274" i="86" s="1"/>
  <c r="P274" i="86"/>
  <c r="Q274" i="86"/>
  <c r="S274" i="86"/>
  <c r="F275" i="86"/>
  <c r="L275" i="86"/>
  <c r="N275" i="86"/>
  <c r="O275" i="86"/>
  <c r="P275" i="86"/>
  <c r="Q275" i="86"/>
  <c r="S275" i="86"/>
  <c r="L276" i="86"/>
  <c r="N276" i="86"/>
  <c r="O276" i="86"/>
  <c r="P276" i="86"/>
  <c r="Q276" i="86"/>
  <c r="S276" i="86"/>
  <c r="L277" i="86"/>
  <c r="N277" i="86"/>
  <c r="O277" i="86"/>
  <c r="P277" i="86"/>
  <c r="F277" i="86" s="1"/>
  <c r="Q277" i="86"/>
  <c r="S277" i="86"/>
  <c r="L278" i="86"/>
  <c r="N278" i="86"/>
  <c r="O278" i="86"/>
  <c r="F278" i="86" s="1"/>
  <c r="P278" i="86"/>
  <c r="Q278" i="86"/>
  <c r="S278" i="86"/>
  <c r="L279" i="86"/>
  <c r="N279" i="86"/>
  <c r="O279" i="86"/>
  <c r="P279" i="86"/>
  <c r="Q279" i="86"/>
  <c r="S279" i="86"/>
  <c r="L280" i="86"/>
  <c r="N280" i="86"/>
  <c r="O280" i="86"/>
  <c r="P280" i="86"/>
  <c r="Q280" i="86"/>
  <c r="S280" i="86"/>
  <c r="L281" i="86"/>
  <c r="N281" i="86"/>
  <c r="O281" i="86"/>
  <c r="P281" i="86"/>
  <c r="Q281" i="86"/>
  <c r="S281" i="86"/>
  <c r="L282" i="86"/>
  <c r="N282" i="86"/>
  <c r="O282" i="86"/>
  <c r="P282" i="86"/>
  <c r="Q282" i="86"/>
  <c r="S282" i="86"/>
  <c r="F283" i="86"/>
  <c r="L283" i="86"/>
  <c r="N283" i="86"/>
  <c r="O283" i="86"/>
  <c r="P283" i="86"/>
  <c r="Q283" i="86"/>
  <c r="S283" i="86"/>
  <c r="L284" i="86"/>
  <c r="N284" i="86"/>
  <c r="O284" i="86"/>
  <c r="P284" i="86"/>
  <c r="Q284" i="86"/>
  <c r="S284" i="86"/>
  <c r="L285" i="86"/>
  <c r="N285" i="86"/>
  <c r="O285" i="86"/>
  <c r="P285" i="86"/>
  <c r="F285" i="86" s="1"/>
  <c r="Q285" i="86"/>
  <c r="S285" i="86"/>
  <c r="L286" i="86"/>
  <c r="N286" i="86"/>
  <c r="O286" i="86"/>
  <c r="P286" i="86"/>
  <c r="Q286" i="86"/>
  <c r="S286" i="86"/>
  <c r="L287" i="86"/>
  <c r="N287" i="86"/>
  <c r="O287" i="86"/>
  <c r="F287" i="86" s="1"/>
  <c r="P287" i="86"/>
  <c r="Q287" i="86"/>
  <c r="S287" i="86"/>
  <c r="L288" i="86"/>
  <c r="N288" i="86"/>
  <c r="O288" i="86"/>
  <c r="P288" i="86"/>
  <c r="Q288" i="86"/>
  <c r="S288" i="86"/>
  <c r="L289" i="86"/>
  <c r="N289" i="86"/>
  <c r="O289" i="86"/>
  <c r="F289" i="86" s="1"/>
  <c r="P289" i="86"/>
  <c r="Q289" i="86"/>
  <c r="S289" i="86"/>
  <c r="L290" i="86"/>
  <c r="N290" i="86"/>
  <c r="O290" i="86"/>
  <c r="P290" i="86"/>
  <c r="Q290" i="86"/>
  <c r="S290" i="86"/>
  <c r="F291" i="86"/>
  <c r="L291" i="86"/>
  <c r="N291" i="86"/>
  <c r="O291" i="86"/>
  <c r="P291" i="86"/>
  <c r="Q291" i="86"/>
  <c r="S291" i="86"/>
  <c r="L292" i="86"/>
  <c r="N292" i="86"/>
  <c r="O292" i="86"/>
  <c r="F292" i="86" s="1"/>
  <c r="P292" i="86"/>
  <c r="Q292" i="86"/>
  <c r="S292" i="86"/>
  <c r="L293" i="86"/>
  <c r="N293" i="86"/>
  <c r="O293" i="86"/>
  <c r="P293" i="86"/>
  <c r="F293" i="86" s="1"/>
  <c r="Q293" i="86"/>
  <c r="S293" i="86"/>
  <c r="L294" i="86"/>
  <c r="N294" i="86"/>
  <c r="O294" i="86"/>
  <c r="P294" i="86"/>
  <c r="Q294" i="86"/>
  <c r="S294" i="86"/>
  <c r="L295" i="86"/>
  <c r="N295" i="86"/>
  <c r="O295" i="86"/>
  <c r="P295" i="86"/>
  <c r="Q295" i="86"/>
  <c r="S295" i="86"/>
  <c r="L296" i="86"/>
  <c r="N296" i="86"/>
  <c r="O296" i="86"/>
  <c r="F296" i="86" s="1"/>
  <c r="P296" i="86"/>
  <c r="Q296" i="86"/>
  <c r="S296" i="86"/>
  <c r="L297" i="86"/>
  <c r="N297" i="86"/>
  <c r="O297" i="86"/>
  <c r="F297" i="86" s="1"/>
  <c r="P297" i="86"/>
  <c r="Q297" i="86"/>
  <c r="S297" i="86"/>
  <c r="L298" i="86"/>
  <c r="N298" i="86"/>
  <c r="O298" i="86"/>
  <c r="F298" i="86" s="1"/>
  <c r="P298" i="86"/>
  <c r="Q298" i="86"/>
  <c r="S298" i="86"/>
  <c r="L299" i="86"/>
  <c r="N299" i="86"/>
  <c r="O299" i="86"/>
  <c r="P299" i="86"/>
  <c r="Q299" i="86"/>
  <c r="S299" i="86"/>
  <c r="L300" i="86"/>
  <c r="N300" i="86"/>
  <c r="O300" i="86"/>
  <c r="P300" i="86"/>
  <c r="Q300" i="86"/>
  <c r="S300" i="86"/>
  <c r="L301" i="86"/>
  <c r="N301" i="86"/>
  <c r="O301" i="86"/>
  <c r="P301" i="86"/>
  <c r="Q301" i="86"/>
  <c r="S301" i="86"/>
  <c r="L302" i="86"/>
  <c r="N302" i="86"/>
  <c r="O302" i="86"/>
  <c r="P302" i="86"/>
  <c r="Q302" i="86"/>
  <c r="S302" i="86"/>
  <c r="L303" i="86"/>
  <c r="N303" i="86"/>
  <c r="O303" i="86"/>
  <c r="P303" i="86"/>
  <c r="Q303" i="86"/>
  <c r="S303" i="86"/>
  <c r="L304" i="86"/>
  <c r="N304" i="86"/>
  <c r="O304" i="86"/>
  <c r="P304" i="86"/>
  <c r="Q304" i="86"/>
  <c r="S304" i="86"/>
  <c r="L305" i="86"/>
  <c r="N305" i="86"/>
  <c r="O305" i="86"/>
  <c r="P305" i="86"/>
  <c r="F305" i="86" s="1"/>
  <c r="Q305" i="86"/>
  <c r="S305" i="86"/>
  <c r="L306" i="86"/>
  <c r="N306" i="86"/>
  <c r="O306" i="86"/>
  <c r="F306" i="86" s="1"/>
  <c r="P306" i="86"/>
  <c r="Q306" i="86"/>
  <c r="S306" i="86"/>
  <c r="L307" i="86"/>
  <c r="N307" i="86"/>
  <c r="O307" i="86"/>
  <c r="P307" i="86"/>
  <c r="F307" i="86" s="1"/>
  <c r="Q307" i="86"/>
  <c r="S307" i="86"/>
  <c r="L308" i="86"/>
  <c r="N308" i="86"/>
  <c r="O308" i="86"/>
  <c r="F308" i="86" s="1"/>
  <c r="P308" i="86"/>
  <c r="Q308" i="86"/>
  <c r="S308" i="86"/>
  <c r="L309" i="86"/>
  <c r="N309" i="86"/>
  <c r="O309" i="86"/>
  <c r="P309" i="86"/>
  <c r="F309" i="86" s="1"/>
  <c r="Q309" i="86"/>
  <c r="S309" i="86"/>
  <c r="L310" i="86"/>
  <c r="N310" i="86"/>
  <c r="O310" i="86"/>
  <c r="F310" i="86" s="1"/>
  <c r="P310" i="86"/>
  <c r="Q310" i="86"/>
  <c r="S310" i="86"/>
  <c r="L311" i="86"/>
  <c r="N311" i="86"/>
  <c r="O311" i="86"/>
  <c r="P311" i="86"/>
  <c r="Q311" i="86"/>
  <c r="S311" i="86"/>
  <c r="L312" i="86"/>
  <c r="N312" i="86"/>
  <c r="O312" i="86"/>
  <c r="F312" i="86" s="1"/>
  <c r="P312" i="86"/>
  <c r="Q312" i="86"/>
  <c r="S312" i="86"/>
  <c r="L313" i="86"/>
  <c r="N313" i="86"/>
  <c r="O313" i="86"/>
  <c r="F313" i="86" s="1"/>
  <c r="P313" i="86"/>
  <c r="Q313" i="86"/>
  <c r="S313" i="86"/>
  <c r="L314" i="86"/>
  <c r="N314" i="86"/>
  <c r="O314" i="86"/>
  <c r="P314" i="86"/>
  <c r="Q314" i="86"/>
  <c r="S314" i="86"/>
  <c r="F315" i="86"/>
  <c r="L315" i="86"/>
  <c r="N315" i="86"/>
  <c r="O315" i="86"/>
  <c r="P315" i="86"/>
  <c r="Q315" i="86"/>
  <c r="S315" i="86"/>
  <c r="L316" i="86"/>
  <c r="N316" i="86"/>
  <c r="O316" i="86"/>
  <c r="P316" i="86"/>
  <c r="Q316" i="86"/>
  <c r="S316" i="86"/>
  <c r="L317" i="86"/>
  <c r="N317" i="86"/>
  <c r="O317" i="86"/>
  <c r="P317" i="86"/>
  <c r="F317" i="86" s="1"/>
  <c r="Q317" i="86"/>
  <c r="S317" i="86"/>
  <c r="L318" i="86"/>
  <c r="N318" i="86"/>
  <c r="O318" i="86"/>
  <c r="P318" i="86"/>
  <c r="Q318" i="86"/>
  <c r="S318" i="86"/>
  <c r="L319" i="86"/>
  <c r="N319" i="86"/>
  <c r="O319" i="86"/>
  <c r="F319" i="86" s="1"/>
  <c r="P319" i="86"/>
  <c r="Q319" i="86"/>
  <c r="S319" i="86"/>
  <c r="L320" i="86"/>
  <c r="N320" i="86"/>
  <c r="O320" i="86"/>
  <c r="P320" i="86"/>
  <c r="Q320" i="86"/>
  <c r="S320" i="86"/>
  <c r="L321" i="86"/>
  <c r="N321" i="86"/>
  <c r="O321" i="86"/>
  <c r="F321" i="86" s="1"/>
  <c r="P321" i="86"/>
  <c r="Q321" i="86"/>
  <c r="S321" i="86"/>
  <c r="L322" i="86"/>
  <c r="N322" i="86"/>
  <c r="O322" i="86"/>
  <c r="P322" i="86"/>
  <c r="Q322" i="86"/>
  <c r="S322" i="86"/>
  <c r="L323" i="86"/>
  <c r="N323" i="86"/>
  <c r="O323" i="86"/>
  <c r="P323" i="86"/>
  <c r="F323" i="86" s="1"/>
  <c r="Q323" i="86"/>
  <c r="S323" i="86"/>
  <c r="L324" i="86"/>
  <c r="N324" i="86"/>
  <c r="O324" i="86"/>
  <c r="F324" i="86" s="1"/>
  <c r="P324" i="86"/>
  <c r="Q324" i="86"/>
  <c r="S324" i="86"/>
  <c r="L325" i="86"/>
  <c r="N325" i="86"/>
  <c r="O325" i="86"/>
  <c r="P325" i="86"/>
  <c r="F325" i="86" s="1"/>
  <c r="Q325" i="86"/>
  <c r="S325" i="86"/>
  <c r="L326" i="86"/>
  <c r="N326" i="86"/>
  <c r="O326" i="86"/>
  <c r="F326" i="86" s="1"/>
  <c r="P326" i="86"/>
  <c r="Q326" i="86"/>
  <c r="S326" i="86"/>
  <c r="L327" i="86"/>
  <c r="N327" i="86"/>
  <c r="O327" i="86"/>
  <c r="P327" i="86"/>
  <c r="Q327" i="86"/>
  <c r="S327" i="86"/>
  <c r="L328" i="86"/>
  <c r="N328" i="86"/>
  <c r="O328" i="86"/>
  <c r="F328" i="86" s="1"/>
  <c r="P328" i="86"/>
  <c r="Q328" i="86"/>
  <c r="S328" i="86"/>
  <c r="F329" i="86"/>
  <c r="L329" i="86"/>
  <c r="N329" i="86"/>
  <c r="O329" i="86"/>
  <c r="P329" i="86"/>
  <c r="Q329" i="86"/>
  <c r="S329" i="86"/>
  <c r="L330" i="86"/>
  <c r="N330" i="86"/>
  <c r="O330" i="86"/>
  <c r="F330" i="86" s="1"/>
  <c r="P330" i="86"/>
  <c r="Q330" i="86"/>
  <c r="S330" i="86"/>
  <c r="L331" i="86"/>
  <c r="N331" i="86"/>
  <c r="O331" i="86"/>
  <c r="P331" i="86"/>
  <c r="Q331" i="86"/>
  <c r="S331" i="86"/>
  <c r="L332" i="86"/>
  <c r="N332" i="86"/>
  <c r="O332" i="86"/>
  <c r="P332" i="86"/>
  <c r="Q332" i="86"/>
  <c r="S332" i="86"/>
  <c r="L333" i="86"/>
  <c r="N333" i="86"/>
  <c r="O333" i="86"/>
  <c r="P333" i="86"/>
  <c r="Q333" i="86"/>
  <c r="S333" i="86"/>
  <c r="L334" i="86"/>
  <c r="N334" i="86"/>
  <c r="O334" i="86"/>
  <c r="P334" i="86"/>
  <c r="Q334" i="86"/>
  <c r="S334" i="86"/>
  <c r="L335" i="86"/>
  <c r="N335" i="86"/>
  <c r="O335" i="86"/>
  <c r="P335" i="86"/>
  <c r="Q335" i="86"/>
  <c r="S335" i="86"/>
  <c r="L336" i="86"/>
  <c r="N336" i="86"/>
  <c r="O336" i="86"/>
  <c r="P336" i="86"/>
  <c r="Q336" i="86"/>
  <c r="S336" i="86"/>
  <c r="L337" i="86"/>
  <c r="N337" i="86"/>
  <c r="O337" i="86"/>
  <c r="P337" i="86"/>
  <c r="F337" i="86" s="1"/>
  <c r="Q337" i="86"/>
  <c r="S337" i="86"/>
  <c r="L338" i="86"/>
  <c r="N338" i="86"/>
  <c r="O338" i="86"/>
  <c r="F338" i="86" s="1"/>
  <c r="P338" i="86"/>
  <c r="Q338" i="86"/>
  <c r="S338" i="86"/>
  <c r="F339" i="86"/>
  <c r="L339" i="86"/>
  <c r="N339" i="86"/>
  <c r="O339" i="86"/>
  <c r="P339" i="86"/>
  <c r="Q339" i="86"/>
  <c r="S339" i="86"/>
  <c r="L340" i="86"/>
  <c r="N340" i="86"/>
  <c r="O340" i="86"/>
  <c r="P340" i="86"/>
  <c r="Q340" i="86"/>
  <c r="S340" i="86"/>
  <c r="L341" i="86"/>
  <c r="N341" i="86"/>
  <c r="O341" i="86"/>
  <c r="P341" i="86"/>
  <c r="F341" i="86" s="1"/>
  <c r="Q341" i="86"/>
  <c r="S341" i="86"/>
  <c r="L342" i="86"/>
  <c r="N342" i="86"/>
  <c r="O342" i="86"/>
  <c r="F342" i="86" s="1"/>
  <c r="P342" i="86"/>
  <c r="Q342" i="86"/>
  <c r="S342" i="86"/>
  <c r="L343" i="86"/>
  <c r="N343" i="86"/>
  <c r="O343" i="86"/>
  <c r="P343" i="86"/>
  <c r="Q343" i="86"/>
  <c r="S343" i="86"/>
  <c r="L344" i="86"/>
  <c r="N344" i="86"/>
  <c r="O344" i="86"/>
  <c r="P344" i="86"/>
  <c r="Q344" i="86"/>
  <c r="S344" i="86"/>
  <c r="L345" i="86"/>
  <c r="N345" i="86"/>
  <c r="O345" i="86"/>
  <c r="P345" i="86"/>
  <c r="Q345" i="86"/>
  <c r="S345" i="86"/>
  <c r="L346" i="86"/>
  <c r="N346" i="86"/>
  <c r="O346" i="86"/>
  <c r="P346" i="86"/>
  <c r="Q346" i="86"/>
  <c r="S346" i="86"/>
  <c r="F347" i="86"/>
  <c r="L347" i="86"/>
  <c r="N347" i="86"/>
  <c r="O347" i="86"/>
  <c r="P347" i="86"/>
  <c r="Q347" i="86"/>
  <c r="S347" i="86"/>
  <c r="L348" i="86"/>
  <c r="N348" i="86"/>
  <c r="O348" i="86"/>
  <c r="P348" i="86"/>
  <c r="Q348" i="86"/>
  <c r="S348" i="86"/>
  <c r="L349" i="86"/>
  <c r="N349" i="86"/>
  <c r="O349" i="86"/>
  <c r="P349" i="86"/>
  <c r="Q349" i="86"/>
  <c r="S349" i="86"/>
  <c r="L350" i="86"/>
  <c r="N350" i="86"/>
  <c r="O350" i="86"/>
  <c r="P350" i="86"/>
  <c r="Q350" i="86"/>
  <c r="S350" i="86"/>
  <c r="L351" i="86"/>
  <c r="N351" i="86"/>
  <c r="O351" i="86"/>
  <c r="F351" i="86" s="1"/>
  <c r="P351" i="86"/>
  <c r="Q351" i="86"/>
  <c r="S351" i="86"/>
  <c r="L352" i="86"/>
  <c r="N352" i="86"/>
  <c r="O352" i="86"/>
  <c r="P352" i="86"/>
  <c r="Q352" i="86"/>
  <c r="S352" i="86"/>
  <c r="L353" i="86"/>
  <c r="N353" i="86"/>
  <c r="O353" i="86"/>
  <c r="F353" i="86" s="1"/>
  <c r="P353" i="86"/>
  <c r="Q353" i="86"/>
  <c r="S353" i="86"/>
  <c r="L354" i="86"/>
  <c r="N354" i="86"/>
  <c r="O354" i="86"/>
  <c r="P354" i="86"/>
  <c r="Q354" i="86"/>
  <c r="S354" i="86"/>
  <c r="L355" i="86"/>
  <c r="N355" i="86"/>
  <c r="O355" i="86"/>
  <c r="P355" i="86"/>
  <c r="Q355" i="86"/>
  <c r="S355" i="86"/>
  <c r="L356" i="86"/>
  <c r="N356" i="86"/>
  <c r="O356" i="86"/>
  <c r="P356" i="86"/>
  <c r="Q356" i="86"/>
  <c r="S356" i="86"/>
  <c r="L357" i="86"/>
  <c r="N357" i="86"/>
  <c r="O357" i="86"/>
  <c r="P357" i="86"/>
  <c r="Q357" i="86"/>
  <c r="S357" i="86"/>
  <c r="L358" i="86"/>
  <c r="N358" i="86"/>
  <c r="O358" i="86"/>
  <c r="F358" i="86" s="1"/>
  <c r="P358" i="86"/>
  <c r="Q358" i="86"/>
  <c r="S358" i="86"/>
  <c r="L359" i="86"/>
  <c r="N359" i="86"/>
  <c r="O359" i="86"/>
  <c r="P359" i="86"/>
  <c r="Q359" i="86"/>
  <c r="S359" i="86"/>
  <c r="L360" i="86"/>
  <c r="N360" i="86"/>
  <c r="O360" i="86"/>
  <c r="P360" i="86"/>
  <c r="Q360" i="86"/>
  <c r="S360" i="86"/>
  <c r="F361" i="86"/>
  <c r="L361" i="86"/>
  <c r="N361" i="86"/>
  <c r="O361" i="86"/>
  <c r="P361" i="86"/>
  <c r="Q361" i="86"/>
  <c r="S361" i="86"/>
  <c r="L362" i="86"/>
  <c r="N362" i="86"/>
  <c r="O362" i="86"/>
  <c r="F362" i="86" s="1"/>
  <c r="P362" i="86"/>
  <c r="Q362" i="86"/>
  <c r="S362" i="86"/>
  <c r="L363" i="86"/>
  <c r="N363" i="86"/>
  <c r="O363" i="86"/>
  <c r="P363" i="86"/>
  <c r="F363" i="86" s="1"/>
  <c r="Q363" i="86"/>
  <c r="S363" i="86"/>
  <c r="L364" i="86"/>
  <c r="N364" i="86"/>
  <c r="O364" i="86"/>
  <c r="F364" i="86" s="1"/>
  <c r="P364" i="86"/>
  <c r="Q364" i="86"/>
  <c r="S364" i="86"/>
  <c r="L365" i="86"/>
  <c r="N365" i="86"/>
  <c r="O365" i="86"/>
  <c r="P365" i="86"/>
  <c r="F365" i="86" s="1"/>
  <c r="Q365" i="86"/>
  <c r="S365" i="86"/>
  <c r="L366" i="86"/>
  <c r="N366" i="86"/>
  <c r="O366" i="86"/>
  <c r="F366" i="86" s="1"/>
  <c r="P366" i="86"/>
  <c r="Q366" i="86"/>
  <c r="S366" i="86"/>
  <c r="L367" i="86"/>
  <c r="N367" i="86"/>
  <c r="O367" i="86"/>
  <c r="P367" i="86"/>
  <c r="Q367" i="86"/>
  <c r="S367" i="86"/>
  <c r="L368" i="86"/>
  <c r="N368" i="86"/>
  <c r="O368" i="86"/>
  <c r="F368" i="86" s="1"/>
  <c r="P368" i="86"/>
  <c r="Q368" i="86"/>
  <c r="S368" i="86"/>
  <c r="L369" i="86"/>
  <c r="N369" i="86"/>
  <c r="O369" i="86"/>
  <c r="F369" i="86" s="1"/>
  <c r="P369" i="86"/>
  <c r="Q369" i="86"/>
  <c r="S369" i="86"/>
  <c r="L370" i="86"/>
  <c r="N370" i="86"/>
  <c r="O370" i="86"/>
  <c r="P370" i="86"/>
  <c r="F370" i="86" s="1"/>
  <c r="Q370" i="86"/>
  <c r="S370" i="86"/>
  <c r="L371" i="86"/>
  <c r="N371" i="86"/>
  <c r="O371" i="86"/>
  <c r="P371" i="86"/>
  <c r="F371" i="86" s="1"/>
  <c r="Q371" i="86"/>
  <c r="S371" i="86"/>
  <c r="L372" i="86"/>
  <c r="N372" i="86"/>
  <c r="O372" i="86"/>
  <c r="F372" i="86" s="1"/>
  <c r="P372" i="86"/>
  <c r="Q372" i="86"/>
  <c r="S372" i="86"/>
  <c r="L373" i="86"/>
  <c r="N373" i="86"/>
  <c r="O373" i="86"/>
  <c r="P373" i="86"/>
  <c r="Q373" i="86"/>
  <c r="S373" i="86"/>
  <c r="L374" i="86"/>
  <c r="N374" i="86"/>
  <c r="O374" i="86"/>
  <c r="P374" i="86"/>
  <c r="Q374" i="86"/>
  <c r="S374" i="86"/>
  <c r="L375" i="86"/>
  <c r="N375" i="86"/>
  <c r="O375" i="86"/>
  <c r="P375" i="86"/>
  <c r="Q375" i="86"/>
  <c r="S375" i="86"/>
  <c r="L376" i="86"/>
  <c r="N376" i="86"/>
  <c r="O376" i="86"/>
  <c r="F376" i="86" s="1"/>
  <c r="P376" i="86"/>
  <c r="Q376" i="86"/>
  <c r="S376" i="86"/>
  <c r="F377" i="86"/>
  <c r="L377" i="86"/>
  <c r="N377" i="86"/>
  <c r="O377" i="86"/>
  <c r="P377" i="86"/>
  <c r="Q377" i="86"/>
  <c r="S377" i="86"/>
  <c r="L378" i="86"/>
  <c r="N378" i="86"/>
  <c r="O378" i="86"/>
  <c r="F378" i="86" s="1"/>
  <c r="P378" i="86"/>
  <c r="Q378" i="86"/>
  <c r="S378" i="86"/>
  <c r="L379" i="86"/>
  <c r="N379" i="86"/>
  <c r="O379" i="86"/>
  <c r="F379" i="86" s="1"/>
  <c r="P379" i="86"/>
  <c r="Q379" i="86"/>
  <c r="S379" i="86"/>
  <c r="L380" i="86"/>
  <c r="N380" i="86"/>
  <c r="O380" i="86"/>
  <c r="P380" i="86"/>
  <c r="Q380" i="86"/>
  <c r="S380" i="86"/>
  <c r="L381" i="86"/>
  <c r="N381" i="86"/>
  <c r="O381" i="86"/>
  <c r="P381" i="86"/>
  <c r="Q381" i="86"/>
  <c r="S381" i="86"/>
  <c r="L382" i="86"/>
  <c r="N382" i="86"/>
  <c r="O382" i="86"/>
  <c r="P382" i="86"/>
  <c r="Q382" i="86"/>
  <c r="S382" i="86"/>
  <c r="L383" i="86"/>
  <c r="N383" i="86"/>
  <c r="O383" i="86"/>
  <c r="F383" i="86" s="1"/>
  <c r="P383" i="86"/>
  <c r="Q383" i="86"/>
  <c r="S383" i="86"/>
  <c r="L384" i="86"/>
  <c r="N384" i="86"/>
  <c r="O384" i="86"/>
  <c r="P384" i="86"/>
  <c r="Q384" i="86"/>
  <c r="S384" i="86"/>
  <c r="L385" i="86"/>
  <c r="N385" i="86"/>
  <c r="O385" i="86"/>
  <c r="P385" i="86"/>
  <c r="F385" i="86" s="1"/>
  <c r="Q385" i="86"/>
  <c r="S385" i="86"/>
  <c r="F386" i="86"/>
  <c r="L386" i="86"/>
  <c r="N386" i="86"/>
  <c r="O386" i="86"/>
  <c r="P386" i="86"/>
  <c r="Q386" i="86"/>
  <c r="S386" i="86"/>
  <c r="L387" i="86"/>
  <c r="N387" i="86"/>
  <c r="O387" i="86"/>
  <c r="F387" i="86" s="1"/>
  <c r="P387" i="86"/>
  <c r="Q387" i="86"/>
  <c r="S387" i="86"/>
  <c r="L388" i="86"/>
  <c r="N388" i="86"/>
  <c r="O388" i="86"/>
  <c r="F388" i="86" s="1"/>
  <c r="P388" i="86"/>
  <c r="Q388" i="86"/>
  <c r="S388" i="86"/>
  <c r="L389" i="86"/>
  <c r="N389" i="86"/>
  <c r="O389" i="86"/>
  <c r="P389" i="86"/>
  <c r="F389" i="86" s="1"/>
  <c r="Q389" i="86"/>
  <c r="S389" i="86"/>
  <c r="L390" i="86"/>
  <c r="N390" i="86"/>
  <c r="O390" i="86"/>
  <c r="P390" i="86"/>
  <c r="Q390" i="86"/>
  <c r="S390" i="86"/>
  <c r="L391" i="86"/>
  <c r="N391" i="86"/>
  <c r="O391" i="86"/>
  <c r="F391" i="86" s="1"/>
  <c r="P391" i="86"/>
  <c r="Q391" i="86"/>
  <c r="S391" i="86"/>
  <c r="L392" i="86"/>
  <c r="N392" i="86"/>
  <c r="O392" i="86"/>
  <c r="F392" i="86" s="1"/>
  <c r="P392" i="86"/>
  <c r="Q392" i="86"/>
  <c r="S392" i="86"/>
  <c r="L393" i="86"/>
  <c r="N393" i="86"/>
  <c r="O393" i="86"/>
  <c r="P393" i="86"/>
  <c r="Q393" i="86"/>
  <c r="S393" i="86"/>
  <c r="L394" i="86"/>
  <c r="N394" i="86"/>
  <c r="O394" i="86"/>
  <c r="F394" i="86" s="1"/>
  <c r="P394" i="86"/>
  <c r="Q394" i="86"/>
  <c r="S394" i="86"/>
  <c r="F395" i="86"/>
  <c r="L395" i="86"/>
  <c r="N395" i="86"/>
  <c r="O395" i="86"/>
  <c r="P395" i="86"/>
  <c r="Q395" i="86"/>
  <c r="S395" i="86"/>
  <c r="L396" i="86"/>
  <c r="N396" i="86"/>
  <c r="O396" i="86"/>
  <c r="F396" i="86" s="1"/>
  <c r="P396" i="86"/>
  <c r="Q396" i="86"/>
  <c r="S396" i="86"/>
  <c r="L397" i="86"/>
  <c r="N397" i="86"/>
  <c r="O397" i="86"/>
  <c r="P397" i="86"/>
  <c r="F397" i="86" s="1"/>
  <c r="Q397" i="86"/>
  <c r="S397" i="86"/>
  <c r="L398" i="86"/>
  <c r="N398" i="86"/>
  <c r="O398" i="86"/>
  <c r="P398" i="86"/>
  <c r="Q398" i="86"/>
  <c r="S398" i="86"/>
  <c r="L399" i="86"/>
  <c r="N399" i="86"/>
  <c r="O399" i="86"/>
  <c r="P399" i="86"/>
  <c r="Q399" i="86"/>
  <c r="S399" i="86"/>
  <c r="L400" i="86"/>
  <c r="N400" i="86"/>
  <c r="O400" i="86"/>
  <c r="F400" i="86" s="1"/>
  <c r="P400" i="86"/>
  <c r="Q400" i="86"/>
  <c r="S400" i="86"/>
  <c r="L401" i="86"/>
  <c r="N401" i="86"/>
  <c r="O401" i="86"/>
  <c r="F401" i="86" s="1"/>
  <c r="P401" i="86"/>
  <c r="Q401" i="86"/>
  <c r="S401" i="86"/>
  <c r="L402" i="86"/>
  <c r="N402" i="86"/>
  <c r="O402" i="86"/>
  <c r="P402" i="86"/>
  <c r="F402" i="86" s="1"/>
  <c r="Q402" i="86"/>
  <c r="S402" i="86"/>
  <c r="L403" i="86"/>
  <c r="N403" i="86"/>
  <c r="O403" i="86"/>
  <c r="F403" i="86" s="1"/>
  <c r="P403" i="86"/>
  <c r="Q403" i="86"/>
  <c r="S403" i="86"/>
  <c r="L404" i="86"/>
  <c r="N404" i="86"/>
  <c r="O404" i="86"/>
  <c r="P404" i="86"/>
  <c r="Q404" i="86"/>
  <c r="S404" i="86"/>
  <c r="L405" i="86"/>
  <c r="N405" i="86"/>
  <c r="O405" i="86"/>
  <c r="P405" i="86"/>
  <c r="F405" i="86" s="1"/>
  <c r="Q405" i="86"/>
  <c r="S405" i="86"/>
  <c r="L406" i="86"/>
  <c r="N406" i="86"/>
  <c r="O406" i="86"/>
  <c r="F406" i="86" s="1"/>
  <c r="P406" i="86"/>
  <c r="Q406" i="86"/>
  <c r="S406" i="86"/>
  <c r="L407" i="86"/>
  <c r="N407" i="86"/>
  <c r="O407" i="86"/>
  <c r="F407" i="86" s="1"/>
  <c r="P407" i="86"/>
  <c r="Q407" i="86"/>
  <c r="S407" i="86"/>
  <c r="L408" i="86"/>
  <c r="N408" i="86"/>
  <c r="O408" i="86"/>
  <c r="P408" i="86"/>
  <c r="Q408" i="86"/>
  <c r="S408" i="86"/>
  <c r="F409" i="86"/>
  <c r="L409" i="86"/>
  <c r="N409" i="86"/>
  <c r="O409" i="86"/>
  <c r="P409" i="86"/>
  <c r="Q409" i="86"/>
  <c r="S409" i="86"/>
  <c r="L410" i="86"/>
  <c r="N410" i="86"/>
  <c r="O410" i="86"/>
  <c r="P410" i="86"/>
  <c r="F410" i="86" s="1"/>
  <c r="Q410" i="86"/>
  <c r="S410" i="86"/>
  <c r="F411" i="86"/>
  <c r="L411" i="86"/>
  <c r="N411" i="86"/>
  <c r="O411" i="86"/>
  <c r="P411" i="86"/>
  <c r="Q411" i="86"/>
  <c r="S411" i="86"/>
  <c r="L412" i="86"/>
  <c r="N412" i="86"/>
  <c r="O412" i="86"/>
  <c r="P412" i="86"/>
  <c r="Q412" i="86"/>
  <c r="S412" i="86"/>
  <c r="L413" i="86"/>
  <c r="N413" i="86"/>
  <c r="O413" i="86"/>
  <c r="P413" i="86"/>
  <c r="F413" i="86" s="1"/>
  <c r="Q413" i="86"/>
  <c r="S413" i="86"/>
  <c r="L414" i="86"/>
  <c r="N414" i="86"/>
  <c r="O414" i="86"/>
  <c r="P414" i="86"/>
  <c r="Q414" i="86"/>
  <c r="S414" i="86"/>
  <c r="L415" i="86"/>
  <c r="N415" i="86"/>
  <c r="O415" i="86"/>
  <c r="F415" i="86" s="1"/>
  <c r="P415" i="86"/>
  <c r="Q415" i="86"/>
  <c r="S415" i="86"/>
  <c r="L416" i="86"/>
  <c r="N416" i="86"/>
  <c r="O416" i="86"/>
  <c r="P416" i="86"/>
  <c r="Q416" i="86"/>
  <c r="S416" i="86"/>
  <c r="L417" i="86"/>
  <c r="N417" i="86"/>
  <c r="O417" i="86"/>
  <c r="F417" i="86" s="1"/>
  <c r="P417" i="86"/>
  <c r="Q417" i="86"/>
  <c r="S417" i="86"/>
  <c r="L418" i="86"/>
  <c r="N418" i="86"/>
  <c r="O418" i="86"/>
  <c r="P418" i="86"/>
  <c r="Q418" i="86"/>
  <c r="S418" i="86"/>
  <c r="L419" i="86"/>
  <c r="N419" i="86"/>
  <c r="O419" i="86"/>
  <c r="P419" i="86"/>
  <c r="Q419" i="86"/>
  <c r="S419" i="86"/>
  <c r="L420" i="86"/>
  <c r="N420" i="86"/>
  <c r="O420" i="86"/>
  <c r="P420" i="86"/>
  <c r="Q420" i="86"/>
  <c r="S420" i="86"/>
  <c r="L421" i="86"/>
  <c r="N421" i="86"/>
  <c r="O421" i="86"/>
  <c r="P421" i="86"/>
  <c r="Q421" i="86"/>
  <c r="S421" i="86"/>
  <c r="L422" i="86"/>
  <c r="N422" i="86"/>
  <c r="O422" i="86"/>
  <c r="F422" i="86" s="1"/>
  <c r="P422" i="86"/>
  <c r="Q422" i="86"/>
  <c r="S422" i="86"/>
  <c r="L423" i="86"/>
  <c r="N423" i="86"/>
  <c r="O423" i="86"/>
  <c r="F423" i="86" s="1"/>
  <c r="P423" i="86"/>
  <c r="Q423" i="86"/>
  <c r="S423" i="86"/>
  <c r="L424" i="86"/>
  <c r="N424" i="86"/>
  <c r="O424" i="86"/>
  <c r="P424" i="86"/>
  <c r="Q424" i="86"/>
  <c r="S424" i="86"/>
  <c r="F425" i="86"/>
  <c r="L425" i="86"/>
  <c r="N425" i="86"/>
  <c r="O425" i="86"/>
  <c r="P425" i="86"/>
  <c r="Q425" i="86"/>
  <c r="S425" i="86"/>
  <c r="L426" i="86"/>
  <c r="N426" i="86"/>
  <c r="O426" i="86"/>
  <c r="P426" i="86"/>
  <c r="F426" i="86" s="1"/>
  <c r="Q426" i="86"/>
  <c r="S426" i="86"/>
  <c r="L427" i="86"/>
  <c r="N427" i="86"/>
  <c r="O427" i="86"/>
  <c r="F427" i="86" s="1"/>
  <c r="P427" i="86"/>
  <c r="Q427" i="86"/>
  <c r="S427" i="86"/>
  <c r="L428" i="86"/>
  <c r="N428" i="86"/>
  <c r="O428" i="86"/>
  <c r="P428" i="86"/>
  <c r="Q428" i="86"/>
  <c r="S428" i="86"/>
  <c r="L429" i="86"/>
  <c r="N429" i="86"/>
  <c r="O429" i="86"/>
  <c r="P429" i="86"/>
  <c r="F429" i="86" s="1"/>
  <c r="Q429" i="86"/>
  <c r="S429" i="86"/>
  <c r="L430" i="86"/>
  <c r="N430" i="86"/>
  <c r="O430" i="86"/>
  <c r="F430" i="86" s="1"/>
  <c r="P430" i="86"/>
  <c r="Q430" i="86"/>
  <c r="S430" i="86"/>
  <c r="L431" i="86"/>
  <c r="N431" i="86"/>
  <c r="O431" i="86"/>
  <c r="F431" i="86" s="1"/>
  <c r="P431" i="86"/>
  <c r="Q431" i="86"/>
  <c r="S431" i="86"/>
  <c r="L432" i="86"/>
  <c r="N432" i="86"/>
  <c r="O432" i="86"/>
  <c r="P432" i="86"/>
  <c r="Q432" i="86"/>
  <c r="S432" i="86"/>
  <c r="F433" i="86"/>
  <c r="L433" i="86"/>
  <c r="N433" i="86"/>
  <c r="O433" i="86"/>
  <c r="P433" i="86"/>
  <c r="Q433" i="86"/>
  <c r="S433" i="86"/>
  <c r="L434" i="86"/>
  <c r="N434" i="86"/>
  <c r="O434" i="86"/>
  <c r="P434" i="86"/>
  <c r="Q434" i="86"/>
  <c r="S434" i="86"/>
  <c r="L435" i="86"/>
  <c r="N435" i="86"/>
  <c r="O435" i="86"/>
  <c r="F435" i="86" s="1"/>
  <c r="P435" i="86"/>
  <c r="Q435" i="86"/>
  <c r="S435" i="86"/>
  <c r="L436" i="86"/>
  <c r="N436" i="86"/>
  <c r="O436" i="86"/>
  <c r="F436" i="86" s="1"/>
  <c r="P436" i="86"/>
  <c r="Q436" i="86"/>
  <c r="S436" i="86"/>
  <c r="L437" i="86"/>
  <c r="N437" i="86"/>
  <c r="O437" i="86"/>
  <c r="P437" i="86"/>
  <c r="F437" i="86" s="1"/>
  <c r="Q437" i="86"/>
  <c r="S437" i="86"/>
  <c r="L438" i="86"/>
  <c r="N438" i="86"/>
  <c r="O438" i="86"/>
  <c r="P438" i="86"/>
  <c r="Q438" i="86"/>
  <c r="S438" i="86"/>
  <c r="L439" i="86"/>
  <c r="N439" i="86"/>
  <c r="O439" i="86"/>
  <c r="F439" i="86" s="1"/>
  <c r="P439" i="86"/>
  <c r="Q439" i="86"/>
  <c r="S439" i="86"/>
  <c r="L440" i="86"/>
  <c r="N440" i="86"/>
  <c r="O440" i="86"/>
  <c r="F440" i="86" s="1"/>
  <c r="P440" i="86"/>
  <c r="Q440" i="86"/>
  <c r="S440" i="86"/>
  <c r="L441" i="86"/>
  <c r="N441" i="86"/>
  <c r="O441" i="86"/>
  <c r="P441" i="86"/>
  <c r="Q441" i="86"/>
  <c r="S441" i="86"/>
  <c r="L442" i="86"/>
  <c r="N442" i="86"/>
  <c r="O442" i="86"/>
  <c r="P442" i="86"/>
  <c r="Q442" i="86"/>
  <c r="S442" i="86"/>
  <c r="L443" i="86"/>
  <c r="N443" i="86"/>
  <c r="O443" i="86"/>
  <c r="P443" i="86"/>
  <c r="F443" i="86" s="1"/>
  <c r="Q443" i="86"/>
  <c r="S443" i="86"/>
  <c r="L444" i="86"/>
  <c r="N444" i="86"/>
  <c r="O444" i="86"/>
  <c r="F444" i="86" s="1"/>
  <c r="P444" i="86"/>
  <c r="Q444" i="86"/>
  <c r="S444" i="86"/>
  <c r="L445" i="86"/>
  <c r="N445" i="86"/>
  <c r="O445" i="86"/>
  <c r="P445" i="86"/>
  <c r="Q445" i="86"/>
  <c r="S445" i="86"/>
  <c r="L446" i="86"/>
  <c r="N446" i="86"/>
  <c r="O446" i="86"/>
  <c r="F446" i="86" s="1"/>
  <c r="P446" i="86"/>
  <c r="Q446" i="86"/>
  <c r="S446" i="86"/>
  <c r="L447" i="86"/>
  <c r="N447" i="86"/>
  <c r="O447" i="86"/>
  <c r="P447" i="86"/>
  <c r="Q447" i="86"/>
  <c r="S447" i="86"/>
  <c r="L448" i="86"/>
  <c r="N448" i="86"/>
  <c r="O448" i="86"/>
  <c r="F448" i="86" s="1"/>
  <c r="P448" i="86"/>
  <c r="Q448" i="86"/>
  <c r="S448" i="86"/>
  <c r="L449" i="86"/>
  <c r="N449" i="86"/>
  <c r="O449" i="86"/>
  <c r="P449" i="86"/>
  <c r="F449" i="86" s="1"/>
  <c r="Q449" i="86"/>
  <c r="S449" i="86"/>
  <c r="L450" i="86"/>
  <c r="N450" i="86"/>
  <c r="O450" i="86"/>
  <c r="P450" i="86"/>
  <c r="Q450" i="86"/>
  <c r="S450" i="86"/>
  <c r="L451" i="86"/>
  <c r="N451" i="86"/>
  <c r="O451" i="86"/>
  <c r="P451" i="86"/>
  <c r="Q451" i="86"/>
  <c r="S451" i="86"/>
  <c r="L452" i="86"/>
  <c r="N452" i="86"/>
  <c r="O452" i="86"/>
  <c r="P452" i="86"/>
  <c r="Q452" i="86"/>
  <c r="S452" i="86"/>
  <c r="L453" i="86"/>
  <c r="N453" i="86"/>
  <c r="O453" i="86"/>
  <c r="P453" i="86"/>
  <c r="Q453" i="86"/>
  <c r="S453" i="86"/>
  <c r="L454" i="86"/>
  <c r="N454" i="86"/>
  <c r="O454" i="86"/>
  <c r="F454" i="86" s="1"/>
  <c r="P454" i="86"/>
  <c r="Q454" i="86"/>
  <c r="S454" i="86"/>
  <c r="L455" i="86"/>
  <c r="N455" i="86"/>
  <c r="O455" i="86"/>
  <c r="P455" i="86"/>
  <c r="Q455" i="86"/>
  <c r="S455" i="86"/>
  <c r="L456" i="86"/>
  <c r="N456" i="86"/>
  <c r="O456" i="86"/>
  <c r="P456" i="86"/>
  <c r="Q456" i="86"/>
  <c r="S456" i="86"/>
  <c r="F457" i="86"/>
  <c r="L457" i="86"/>
  <c r="N457" i="86"/>
  <c r="O457" i="86"/>
  <c r="P457" i="86"/>
  <c r="Q457" i="86"/>
  <c r="S457" i="86"/>
  <c r="L458" i="86"/>
  <c r="N458" i="86"/>
  <c r="O458" i="86"/>
  <c r="P458" i="86"/>
  <c r="Q458" i="86"/>
  <c r="S458" i="86"/>
  <c r="L459" i="86"/>
  <c r="N459" i="86"/>
  <c r="O459" i="86"/>
  <c r="F459" i="86" s="1"/>
  <c r="P459" i="86"/>
  <c r="Q459" i="86"/>
  <c r="S459" i="86"/>
  <c r="L460" i="86"/>
  <c r="N460" i="86"/>
  <c r="O460" i="86"/>
  <c r="F460" i="86" s="1"/>
  <c r="P460" i="86"/>
  <c r="Q460" i="86"/>
  <c r="S460" i="86"/>
  <c r="L461" i="86"/>
  <c r="N461" i="86"/>
  <c r="O461" i="86"/>
  <c r="P461" i="86"/>
  <c r="F461" i="86" s="1"/>
  <c r="Q461" i="86"/>
  <c r="S461" i="86"/>
  <c r="L462" i="86"/>
  <c r="N462" i="86"/>
  <c r="O462" i="86"/>
  <c r="F462" i="86" s="1"/>
  <c r="P462" i="86"/>
  <c r="Q462" i="86"/>
  <c r="S462" i="86"/>
  <c r="L463" i="86"/>
  <c r="N463" i="86"/>
  <c r="O463" i="86"/>
  <c r="F463" i="86" s="1"/>
  <c r="P463" i="86"/>
  <c r="Q463" i="86"/>
  <c r="S463" i="86"/>
  <c r="L464" i="86"/>
  <c r="N464" i="86"/>
  <c r="O464" i="86"/>
  <c r="F464" i="86" s="1"/>
  <c r="P464" i="86"/>
  <c r="Q464" i="86"/>
  <c r="S464" i="86"/>
  <c r="L465" i="86"/>
  <c r="N465" i="86"/>
  <c r="O465" i="86"/>
  <c r="P465" i="86"/>
  <c r="F465" i="86" s="1"/>
  <c r="Q465" i="86"/>
  <c r="S465" i="86"/>
  <c r="L466" i="86"/>
  <c r="N466" i="86"/>
  <c r="O466" i="86"/>
  <c r="F466" i="86" s="1"/>
  <c r="P466" i="86"/>
  <c r="Q466" i="86"/>
  <c r="S466" i="86"/>
  <c r="L467" i="86"/>
  <c r="N467" i="86"/>
  <c r="O467" i="86"/>
  <c r="F467" i="86" s="1"/>
  <c r="P467" i="86"/>
  <c r="Q467" i="86"/>
  <c r="S467" i="86"/>
  <c r="L468" i="86"/>
  <c r="N468" i="86"/>
  <c r="O468" i="86"/>
  <c r="F468" i="86" s="1"/>
  <c r="P468" i="86"/>
  <c r="Q468" i="86"/>
  <c r="S468" i="86"/>
  <c r="L469" i="86"/>
  <c r="N469" i="86"/>
  <c r="O469" i="86"/>
  <c r="P469" i="86"/>
  <c r="Q469" i="86"/>
  <c r="S469" i="86"/>
  <c r="L470" i="86"/>
  <c r="N470" i="86"/>
  <c r="O470" i="86"/>
  <c r="P470" i="86"/>
  <c r="Q470" i="86"/>
  <c r="S470" i="86"/>
  <c r="L471" i="86"/>
  <c r="N471" i="86"/>
  <c r="O471" i="86"/>
  <c r="F471" i="86" s="1"/>
  <c r="P471" i="86"/>
  <c r="Q471" i="86"/>
  <c r="S471" i="86"/>
  <c r="L472" i="86"/>
  <c r="N472" i="86"/>
  <c r="O472" i="86"/>
  <c r="F472" i="86" s="1"/>
  <c r="P472" i="86"/>
  <c r="Q472" i="86"/>
  <c r="S472" i="86"/>
  <c r="L473" i="86"/>
  <c r="N473" i="86"/>
  <c r="O473" i="86"/>
  <c r="F473" i="86" s="1"/>
  <c r="P473" i="86"/>
  <c r="Q473" i="86"/>
  <c r="S473" i="86"/>
  <c r="L474" i="86"/>
  <c r="N474" i="86"/>
  <c r="O474" i="86"/>
  <c r="P474" i="86"/>
  <c r="Q474" i="86"/>
  <c r="S474" i="86"/>
  <c r="L475" i="86"/>
  <c r="N475" i="86"/>
  <c r="O475" i="86"/>
  <c r="P475" i="86"/>
  <c r="F475" i="86" s="1"/>
  <c r="Q475" i="86"/>
  <c r="S475" i="86"/>
  <c r="L476" i="86"/>
  <c r="N476" i="86"/>
  <c r="O476" i="86"/>
  <c r="F476" i="86" s="1"/>
  <c r="P476" i="86"/>
  <c r="Q476" i="86"/>
  <c r="S476" i="86"/>
  <c r="L477" i="86"/>
  <c r="N477" i="86"/>
  <c r="O477" i="86"/>
  <c r="P477" i="86"/>
  <c r="Q477" i="86"/>
  <c r="S477" i="86"/>
  <c r="L478" i="86"/>
  <c r="N478" i="86"/>
  <c r="O478" i="86"/>
  <c r="P478" i="86"/>
  <c r="Q478" i="86"/>
  <c r="S478" i="86"/>
  <c r="L479" i="86"/>
  <c r="N479" i="86"/>
  <c r="O479" i="86"/>
  <c r="P479" i="86"/>
  <c r="Q479" i="86"/>
  <c r="S479" i="86"/>
  <c r="L480" i="86"/>
  <c r="N480" i="86"/>
  <c r="O480" i="86"/>
  <c r="F480" i="86" s="1"/>
  <c r="P480" i="86"/>
  <c r="Q480" i="86"/>
  <c r="S480" i="86"/>
  <c r="F481" i="86"/>
  <c r="L481" i="86"/>
  <c r="N481" i="86"/>
  <c r="O481" i="86"/>
  <c r="P481" i="86"/>
  <c r="Q481" i="86"/>
  <c r="S481" i="86"/>
  <c r="L482" i="86"/>
  <c r="N482" i="86"/>
  <c r="O482" i="86"/>
  <c r="P482" i="86"/>
  <c r="Q482" i="86"/>
  <c r="S482" i="86"/>
  <c r="L483" i="86"/>
  <c r="N483" i="86"/>
  <c r="O483" i="86"/>
  <c r="F483" i="86" s="1"/>
  <c r="P483" i="86"/>
  <c r="Q483" i="86"/>
  <c r="S483" i="86"/>
  <c r="L484" i="86"/>
  <c r="N484" i="86"/>
  <c r="O484" i="86"/>
  <c r="P484" i="86"/>
  <c r="Q484" i="86"/>
  <c r="S484" i="86"/>
  <c r="L485" i="86"/>
  <c r="N485" i="86"/>
  <c r="O485" i="86"/>
  <c r="P485" i="86"/>
  <c r="Q485" i="86"/>
  <c r="S485" i="86"/>
  <c r="L486" i="86"/>
  <c r="N486" i="86"/>
  <c r="O486" i="86"/>
  <c r="F486" i="86" s="1"/>
  <c r="P486" i="86"/>
  <c r="Q486" i="86"/>
  <c r="S486" i="86"/>
  <c r="L487" i="86"/>
  <c r="N487" i="86"/>
  <c r="O487" i="86"/>
  <c r="F487" i="86" s="1"/>
  <c r="P487" i="86"/>
  <c r="Q487" i="86"/>
  <c r="S487" i="86"/>
  <c r="L488" i="86"/>
  <c r="N488" i="86"/>
  <c r="O488" i="86"/>
  <c r="P488" i="86"/>
  <c r="Q488" i="86"/>
  <c r="S488" i="86"/>
  <c r="F489" i="86"/>
  <c r="L489" i="86"/>
  <c r="N489" i="86"/>
  <c r="O489" i="86"/>
  <c r="P489" i="86"/>
  <c r="Q489" i="86"/>
  <c r="S489" i="86"/>
  <c r="L490" i="86"/>
  <c r="N490" i="86"/>
  <c r="O490" i="86"/>
  <c r="P490" i="86"/>
  <c r="Q490" i="86"/>
  <c r="S490" i="86"/>
  <c r="L491" i="86"/>
  <c r="N491" i="86"/>
  <c r="O491" i="86"/>
  <c r="F491" i="86" s="1"/>
  <c r="P491" i="86"/>
  <c r="Q491" i="86"/>
  <c r="S491" i="86"/>
  <c r="L492" i="86"/>
  <c r="N492" i="86"/>
  <c r="O492" i="86"/>
  <c r="P492" i="86"/>
  <c r="Q492" i="86"/>
  <c r="S492" i="86"/>
  <c r="L493" i="86"/>
  <c r="N493" i="86"/>
  <c r="O493" i="86"/>
  <c r="P493" i="86"/>
  <c r="F493" i="86" s="1"/>
  <c r="Q493" i="86"/>
  <c r="S493" i="86"/>
  <c r="L494" i="86"/>
  <c r="N494" i="86"/>
  <c r="O494" i="86"/>
  <c r="F494" i="86" s="1"/>
  <c r="P494" i="86"/>
  <c r="Q494" i="86"/>
  <c r="S494" i="86"/>
  <c r="L495" i="86"/>
  <c r="N495" i="86"/>
  <c r="O495" i="86"/>
  <c r="F495" i="86" s="1"/>
  <c r="P495" i="86"/>
  <c r="Q495" i="86"/>
  <c r="S495" i="86"/>
  <c r="L496" i="86"/>
  <c r="N496" i="86"/>
  <c r="O496" i="86"/>
  <c r="P496" i="86"/>
  <c r="Q496" i="86"/>
  <c r="S496" i="86"/>
  <c r="F497" i="86"/>
  <c r="L497" i="86"/>
  <c r="N497" i="86"/>
  <c r="O497" i="86"/>
  <c r="P497" i="86"/>
  <c r="Q497" i="86"/>
  <c r="S497" i="86"/>
  <c r="L498" i="86"/>
  <c r="N498" i="86"/>
  <c r="O498" i="86"/>
  <c r="F498" i="86" s="1"/>
  <c r="P498" i="86"/>
  <c r="Q498" i="86"/>
  <c r="S498" i="86"/>
  <c r="F499" i="86"/>
  <c r="L499" i="86"/>
  <c r="N499" i="86"/>
  <c r="O499" i="86"/>
  <c r="P499" i="86"/>
  <c r="Q499" i="86"/>
  <c r="S499" i="86"/>
  <c r="L500" i="86"/>
  <c r="N500" i="86"/>
  <c r="O500" i="86"/>
  <c r="F500" i="86" s="1"/>
  <c r="P500" i="86"/>
  <c r="Q500" i="86"/>
  <c r="S500" i="86"/>
  <c r="L501" i="86"/>
  <c r="N501" i="86"/>
  <c r="O501" i="86"/>
  <c r="P501" i="86"/>
  <c r="F501" i="86" s="1"/>
  <c r="Q501" i="86"/>
  <c r="S501" i="86"/>
  <c r="L502" i="86"/>
  <c r="N502" i="86"/>
  <c r="O502" i="86"/>
  <c r="P502" i="86"/>
  <c r="Q502" i="86"/>
  <c r="S502" i="86"/>
  <c r="L503" i="86"/>
  <c r="N503" i="86"/>
  <c r="O503" i="86"/>
  <c r="F503" i="86" s="1"/>
  <c r="P503" i="86"/>
  <c r="Q503" i="86"/>
  <c r="S503" i="86"/>
  <c r="L504" i="86"/>
  <c r="N504" i="86"/>
  <c r="O504" i="86"/>
  <c r="F504" i="86" s="1"/>
  <c r="P504" i="86"/>
  <c r="Q504" i="86"/>
  <c r="S504" i="86"/>
  <c r="L505" i="86"/>
  <c r="N505" i="86"/>
  <c r="O505" i="86"/>
  <c r="P505" i="86"/>
  <c r="Q505" i="86"/>
  <c r="S505" i="86"/>
  <c r="L506" i="86"/>
  <c r="N506" i="86"/>
  <c r="O506" i="86"/>
  <c r="P506" i="86"/>
  <c r="Q506" i="86"/>
  <c r="S506" i="86"/>
  <c r="L507" i="86"/>
  <c r="N507" i="86"/>
  <c r="O507" i="86"/>
  <c r="P507" i="86"/>
  <c r="F507" i="86" s="1"/>
  <c r="Q507" i="86"/>
  <c r="S507" i="86"/>
  <c r="L508" i="86"/>
  <c r="N508" i="86"/>
  <c r="O508" i="86"/>
  <c r="F508" i="86" s="1"/>
  <c r="P508" i="86"/>
  <c r="Q508" i="86"/>
  <c r="S508" i="86"/>
  <c r="L509" i="86"/>
  <c r="N509" i="86"/>
  <c r="O509" i="86"/>
  <c r="P509" i="86"/>
  <c r="Q509" i="86"/>
  <c r="S509" i="86"/>
  <c r="L510" i="86"/>
  <c r="N510" i="86"/>
  <c r="O510" i="86"/>
  <c r="F510" i="86" s="1"/>
  <c r="P510" i="86"/>
  <c r="Q510" i="86"/>
  <c r="S510" i="86"/>
  <c r="L511" i="86"/>
  <c r="N511" i="86"/>
  <c r="O511" i="86"/>
  <c r="P511" i="86"/>
  <c r="Q511" i="86"/>
  <c r="S511" i="86"/>
  <c r="L512" i="86"/>
  <c r="N512" i="86"/>
  <c r="O512" i="86"/>
  <c r="F512" i="86" s="1"/>
  <c r="P512" i="86"/>
  <c r="Q512" i="86"/>
  <c r="S512" i="86"/>
  <c r="L513" i="86"/>
  <c r="N513" i="86"/>
  <c r="O513" i="86"/>
  <c r="P513" i="86"/>
  <c r="F513" i="86" s="1"/>
  <c r="Q513" i="86"/>
  <c r="S513" i="86"/>
  <c r="L514" i="86"/>
  <c r="N514" i="86"/>
  <c r="O514" i="86"/>
  <c r="P514" i="86"/>
  <c r="Q514" i="86"/>
  <c r="S514" i="86"/>
  <c r="L515" i="86"/>
  <c r="N515" i="86"/>
  <c r="O515" i="86"/>
  <c r="P515" i="86"/>
  <c r="Q515" i="86"/>
  <c r="S515" i="86"/>
  <c r="L516" i="86"/>
  <c r="N516" i="86"/>
  <c r="O516" i="86"/>
  <c r="P516" i="86"/>
  <c r="Q516" i="86"/>
  <c r="S516" i="86"/>
  <c r="L517" i="86"/>
  <c r="N517" i="86"/>
  <c r="O517" i="86"/>
  <c r="P517" i="86"/>
  <c r="Q517" i="86"/>
  <c r="S517" i="86"/>
  <c r="L518" i="86"/>
  <c r="N518" i="86"/>
  <c r="O518" i="86"/>
  <c r="F518" i="86" s="1"/>
  <c r="P518" i="86"/>
  <c r="Q518" i="86"/>
  <c r="S518" i="86"/>
  <c r="L519" i="86"/>
  <c r="N519" i="86"/>
  <c r="O519" i="86"/>
  <c r="P519" i="86"/>
  <c r="Q519" i="86"/>
  <c r="S519" i="86"/>
  <c r="L520" i="86"/>
  <c r="N520" i="86"/>
  <c r="O520" i="86"/>
  <c r="P520" i="86"/>
  <c r="Q520" i="86"/>
  <c r="S520" i="86"/>
  <c r="F521" i="86"/>
  <c r="L521" i="86"/>
  <c r="N521" i="86"/>
  <c r="O521" i="86"/>
  <c r="P521" i="86"/>
  <c r="Q521" i="86"/>
  <c r="S521" i="86"/>
  <c r="L522" i="86"/>
  <c r="N522" i="86"/>
  <c r="O522" i="86"/>
  <c r="P522" i="86"/>
  <c r="Q522" i="86"/>
  <c r="S522" i="86"/>
  <c r="L523" i="86"/>
  <c r="N523" i="86"/>
  <c r="O523" i="86"/>
  <c r="F523" i="86" s="1"/>
  <c r="P523" i="86"/>
  <c r="Q523" i="86"/>
  <c r="S523" i="86"/>
  <c r="L524" i="86"/>
  <c r="N524" i="86"/>
  <c r="O524" i="86"/>
  <c r="F524" i="86" s="1"/>
  <c r="P524" i="86"/>
  <c r="Q524" i="86"/>
  <c r="S524" i="86"/>
  <c r="L525" i="86"/>
  <c r="N525" i="86"/>
  <c r="O525" i="86"/>
  <c r="P525" i="86"/>
  <c r="F525" i="86" s="1"/>
  <c r="Q525" i="86"/>
  <c r="S525" i="86"/>
  <c r="L526" i="86"/>
  <c r="N526" i="86"/>
  <c r="O526" i="86"/>
  <c r="F526" i="86" s="1"/>
  <c r="P526" i="86"/>
  <c r="Q526" i="86"/>
  <c r="S526" i="86"/>
  <c r="L527" i="86"/>
  <c r="N527" i="86"/>
  <c r="O527" i="86"/>
  <c r="F527" i="86" s="1"/>
  <c r="P527" i="86"/>
  <c r="Q527" i="86"/>
  <c r="S527" i="86"/>
  <c r="L528" i="86"/>
  <c r="N528" i="86"/>
  <c r="O528" i="86"/>
  <c r="F528" i="86" s="1"/>
  <c r="P528" i="86"/>
  <c r="Q528" i="86"/>
  <c r="S528" i="86"/>
  <c r="L529" i="86"/>
  <c r="N529" i="86"/>
  <c r="O529" i="86"/>
  <c r="P529" i="86"/>
  <c r="F529" i="86" s="1"/>
  <c r="Q529" i="86"/>
  <c r="S529" i="86"/>
  <c r="L530" i="86"/>
  <c r="N530" i="86"/>
  <c r="O530" i="86"/>
  <c r="F530" i="86" s="1"/>
  <c r="P530" i="86"/>
  <c r="Q530" i="86"/>
  <c r="S530" i="86"/>
  <c r="L531" i="86"/>
  <c r="N531" i="86"/>
  <c r="O531" i="86"/>
  <c r="F531" i="86" s="1"/>
  <c r="P531" i="86"/>
  <c r="Q531" i="86"/>
  <c r="S531" i="86"/>
  <c r="L532" i="86"/>
  <c r="N532" i="86"/>
  <c r="O532" i="86"/>
  <c r="F532" i="86" s="1"/>
  <c r="P532" i="86"/>
  <c r="Q532" i="86"/>
  <c r="S532" i="86"/>
  <c r="L533" i="86"/>
  <c r="N533" i="86"/>
  <c r="O533" i="86"/>
  <c r="P533" i="86"/>
  <c r="Q533" i="86"/>
  <c r="S533" i="86"/>
  <c r="L534" i="86"/>
  <c r="N534" i="86"/>
  <c r="O534" i="86"/>
  <c r="P534" i="86"/>
  <c r="Q534" i="86"/>
  <c r="S534" i="86"/>
  <c r="L535" i="86"/>
  <c r="N535" i="86"/>
  <c r="O535" i="86"/>
  <c r="F535" i="86" s="1"/>
  <c r="P535" i="86"/>
  <c r="Q535" i="86"/>
  <c r="S535" i="86"/>
  <c r="L536" i="86"/>
  <c r="N536" i="86"/>
  <c r="O536" i="86"/>
  <c r="F536" i="86" s="1"/>
  <c r="P536" i="86"/>
  <c r="Q536" i="86"/>
  <c r="S536" i="86"/>
  <c r="L144" i="85"/>
  <c r="N144" i="85"/>
  <c r="O144" i="85"/>
  <c r="F144" i="85" s="1"/>
  <c r="P144" i="85"/>
  <c r="Q144" i="85"/>
  <c r="S144" i="85"/>
  <c r="L145" i="85"/>
  <c r="N145" i="85"/>
  <c r="O145" i="85"/>
  <c r="P145" i="85"/>
  <c r="Q145" i="85"/>
  <c r="S145" i="85"/>
  <c r="F146" i="85"/>
  <c r="L146" i="85"/>
  <c r="N146" i="85"/>
  <c r="O146" i="85"/>
  <c r="P146" i="85"/>
  <c r="Q146" i="85"/>
  <c r="S146" i="85"/>
  <c r="L147" i="85"/>
  <c r="N147" i="85"/>
  <c r="O147" i="85"/>
  <c r="F147" i="85" s="1"/>
  <c r="P147" i="85"/>
  <c r="Q147" i="85"/>
  <c r="S147" i="85"/>
  <c r="F148" i="85"/>
  <c r="L148" i="85"/>
  <c r="N148" i="85"/>
  <c r="O148" i="85"/>
  <c r="P148" i="85"/>
  <c r="Q148" i="85"/>
  <c r="S148" i="85"/>
  <c r="L149" i="85"/>
  <c r="N149" i="85"/>
  <c r="O149" i="85"/>
  <c r="P149" i="85"/>
  <c r="Q149" i="85"/>
  <c r="S149" i="85"/>
  <c r="L150" i="85"/>
  <c r="N150" i="85"/>
  <c r="O150" i="85"/>
  <c r="P150" i="85"/>
  <c r="Q150" i="85"/>
  <c r="S150" i="85"/>
  <c r="L151" i="85"/>
  <c r="N151" i="85"/>
  <c r="O151" i="85"/>
  <c r="F151" i="85" s="1"/>
  <c r="P151" i="85"/>
  <c r="Q151" i="85"/>
  <c r="S151" i="85"/>
  <c r="L152" i="85"/>
  <c r="N152" i="85"/>
  <c r="O152" i="85"/>
  <c r="P152" i="85"/>
  <c r="Q152" i="85"/>
  <c r="S152" i="85"/>
  <c r="L153" i="85"/>
  <c r="N153" i="85"/>
  <c r="O153" i="85"/>
  <c r="P153" i="85"/>
  <c r="Q153" i="85"/>
  <c r="S153" i="85"/>
  <c r="L154" i="85"/>
  <c r="N154" i="85"/>
  <c r="O154" i="85"/>
  <c r="F154" i="85" s="1"/>
  <c r="P154" i="85"/>
  <c r="Q154" i="85"/>
  <c r="S154" i="85"/>
  <c r="L155" i="85"/>
  <c r="N155" i="85"/>
  <c r="O155" i="85"/>
  <c r="P155" i="85"/>
  <c r="F155" i="85" s="1"/>
  <c r="Q155" i="85"/>
  <c r="S155" i="85"/>
  <c r="L156" i="85"/>
  <c r="N156" i="85"/>
  <c r="O156" i="85"/>
  <c r="P156" i="85"/>
  <c r="F156" i="85" s="1"/>
  <c r="Q156" i="85"/>
  <c r="S156" i="85"/>
  <c r="L157" i="85"/>
  <c r="N157" i="85"/>
  <c r="O157" i="85"/>
  <c r="P157" i="85"/>
  <c r="Q157" i="85"/>
  <c r="S157" i="85"/>
  <c r="L158" i="85"/>
  <c r="N158" i="85"/>
  <c r="O158" i="85"/>
  <c r="F158" i="85" s="1"/>
  <c r="P158" i="85"/>
  <c r="Q158" i="85"/>
  <c r="S158" i="85"/>
  <c r="L159" i="85"/>
  <c r="N159" i="85"/>
  <c r="O159" i="85"/>
  <c r="P159" i="85"/>
  <c r="Q159" i="85"/>
  <c r="S159" i="85"/>
  <c r="L160" i="85"/>
  <c r="N160" i="85"/>
  <c r="O160" i="85"/>
  <c r="P160" i="85"/>
  <c r="Q160" i="85"/>
  <c r="S160" i="85"/>
  <c r="L161" i="85"/>
  <c r="N161" i="85"/>
  <c r="O161" i="85"/>
  <c r="P161" i="85"/>
  <c r="F161" i="85" s="1"/>
  <c r="Q161" i="85"/>
  <c r="S161" i="85"/>
  <c r="F162" i="85"/>
  <c r="L162" i="85"/>
  <c r="N162" i="85"/>
  <c r="O162" i="85"/>
  <c r="P162" i="85"/>
  <c r="Q162" i="85"/>
  <c r="S162" i="85"/>
  <c r="L163" i="85"/>
  <c r="N163" i="85"/>
  <c r="O163" i="85"/>
  <c r="F163" i="85" s="1"/>
  <c r="P163" i="85"/>
  <c r="Q163" i="85"/>
  <c r="S163" i="85"/>
  <c r="L164" i="85"/>
  <c r="N164" i="85"/>
  <c r="O164" i="85"/>
  <c r="P164" i="85"/>
  <c r="Q164" i="85"/>
  <c r="S164" i="85"/>
  <c r="L165" i="85"/>
  <c r="N165" i="85"/>
  <c r="O165" i="85"/>
  <c r="P165" i="85"/>
  <c r="Q165" i="85"/>
  <c r="S165" i="85"/>
  <c r="L166" i="85"/>
  <c r="N166" i="85"/>
  <c r="O166" i="85"/>
  <c r="F166" i="85" s="1"/>
  <c r="P166" i="85"/>
  <c r="Q166" i="85"/>
  <c r="S166" i="85"/>
  <c r="L167" i="85"/>
  <c r="N167" i="85"/>
  <c r="O167" i="85"/>
  <c r="P167" i="85"/>
  <c r="Q167" i="85"/>
  <c r="S167" i="85"/>
  <c r="L168" i="85"/>
  <c r="N168" i="85"/>
  <c r="O168" i="85"/>
  <c r="P168" i="85"/>
  <c r="Q168" i="85"/>
  <c r="S168" i="85"/>
  <c r="L169" i="85"/>
  <c r="N169" i="85"/>
  <c r="O169" i="85"/>
  <c r="P169" i="85"/>
  <c r="Q169" i="85"/>
  <c r="S169" i="85"/>
  <c r="L170" i="85"/>
  <c r="N170" i="85"/>
  <c r="O170" i="85"/>
  <c r="P170" i="85"/>
  <c r="F170" i="85" s="1"/>
  <c r="Q170" i="85"/>
  <c r="S170" i="85"/>
  <c r="F171" i="85"/>
  <c r="L171" i="85"/>
  <c r="N171" i="85"/>
  <c r="O171" i="85"/>
  <c r="P171" i="85"/>
  <c r="Q171" i="85"/>
  <c r="S171" i="85"/>
  <c r="L172" i="85"/>
  <c r="N172" i="85"/>
  <c r="O172" i="85"/>
  <c r="F172" i="85" s="1"/>
  <c r="P172" i="85"/>
  <c r="Q172" i="85"/>
  <c r="S172" i="85"/>
  <c r="L173" i="85"/>
  <c r="N173" i="85"/>
  <c r="O173" i="85"/>
  <c r="F173" i="85" s="1"/>
  <c r="P173" i="85"/>
  <c r="Q173" i="85"/>
  <c r="S173" i="85"/>
  <c r="L174" i="85"/>
  <c r="N174" i="85"/>
  <c r="O174" i="85"/>
  <c r="P174" i="85"/>
  <c r="Q174" i="85"/>
  <c r="S174" i="85"/>
  <c r="L175" i="85"/>
  <c r="N175" i="85"/>
  <c r="O175" i="85"/>
  <c r="P175" i="85"/>
  <c r="Q175" i="85"/>
  <c r="S175" i="85"/>
  <c r="L176" i="85"/>
  <c r="N176" i="85"/>
  <c r="O176" i="85"/>
  <c r="F176" i="85" s="1"/>
  <c r="P176" i="85"/>
  <c r="Q176" i="85"/>
  <c r="S176" i="85"/>
  <c r="L177" i="85"/>
  <c r="N177" i="85"/>
  <c r="O177" i="85"/>
  <c r="F177" i="85" s="1"/>
  <c r="P177" i="85"/>
  <c r="Q177" i="85"/>
  <c r="S177" i="85"/>
  <c r="L178" i="85"/>
  <c r="N178" i="85"/>
  <c r="O178" i="85"/>
  <c r="P178" i="85"/>
  <c r="Q178" i="85"/>
  <c r="S178" i="85"/>
  <c r="F179" i="85"/>
  <c r="L179" i="85"/>
  <c r="N179" i="85"/>
  <c r="O179" i="85"/>
  <c r="P179" i="85"/>
  <c r="Q179" i="85"/>
  <c r="S179" i="85"/>
  <c r="F180" i="85"/>
  <c r="L180" i="85"/>
  <c r="N180" i="85"/>
  <c r="O180" i="85"/>
  <c r="P180" i="85"/>
  <c r="Q180" i="85"/>
  <c r="S180" i="85"/>
  <c r="L181" i="85"/>
  <c r="N181" i="85"/>
  <c r="O181" i="85"/>
  <c r="F181" i="85" s="1"/>
  <c r="P181" i="85"/>
  <c r="Q181" i="85"/>
  <c r="S181" i="85"/>
  <c r="L182" i="85"/>
  <c r="N182" i="85"/>
  <c r="O182" i="85"/>
  <c r="P182" i="85"/>
  <c r="Q182" i="85"/>
  <c r="S182" i="85"/>
  <c r="L183" i="85"/>
  <c r="N183" i="85"/>
  <c r="O183" i="85"/>
  <c r="P183" i="85"/>
  <c r="Q183" i="85"/>
  <c r="S183" i="85"/>
  <c r="L184" i="85"/>
  <c r="N184" i="85"/>
  <c r="O184" i="85"/>
  <c r="F184" i="85" s="1"/>
  <c r="P184" i="85"/>
  <c r="Q184" i="85"/>
  <c r="S184" i="85"/>
  <c r="L185" i="85"/>
  <c r="N185" i="85"/>
  <c r="O185" i="85"/>
  <c r="F185" i="85" s="1"/>
  <c r="P185" i="85"/>
  <c r="Q185" i="85"/>
  <c r="S185" i="85"/>
  <c r="L186" i="85"/>
  <c r="N186" i="85"/>
  <c r="O186" i="85"/>
  <c r="P186" i="85"/>
  <c r="Q186" i="85"/>
  <c r="S186" i="85"/>
  <c r="L187" i="85"/>
  <c r="N187" i="85"/>
  <c r="O187" i="85"/>
  <c r="P187" i="85"/>
  <c r="F187" i="85" s="1"/>
  <c r="Q187" i="85"/>
  <c r="S187" i="85"/>
  <c r="L188" i="85"/>
  <c r="N188" i="85"/>
  <c r="O188" i="85"/>
  <c r="F188" i="85" s="1"/>
  <c r="P188" i="85"/>
  <c r="Q188" i="85"/>
  <c r="S188" i="85"/>
  <c r="L189" i="85"/>
  <c r="N189" i="85"/>
  <c r="O189" i="85"/>
  <c r="P189" i="85"/>
  <c r="Q189" i="85"/>
  <c r="S189" i="85"/>
  <c r="L190" i="85"/>
  <c r="N190" i="85"/>
  <c r="O190" i="85"/>
  <c r="P190" i="85"/>
  <c r="Q190" i="85"/>
  <c r="S190" i="85"/>
  <c r="L191" i="85"/>
  <c r="N191" i="85"/>
  <c r="O191" i="85"/>
  <c r="P191" i="85"/>
  <c r="Q191" i="85"/>
  <c r="S191" i="85"/>
  <c r="L192" i="85"/>
  <c r="N192" i="85"/>
  <c r="O192" i="85"/>
  <c r="F192" i="85" s="1"/>
  <c r="P192" i="85"/>
  <c r="Q192" i="85"/>
  <c r="S192" i="85"/>
  <c r="L193" i="85"/>
  <c r="N193" i="85"/>
  <c r="O193" i="85"/>
  <c r="P193" i="85"/>
  <c r="Q193" i="85"/>
  <c r="S193" i="85"/>
  <c r="F194" i="85"/>
  <c r="L194" i="85"/>
  <c r="N194" i="85"/>
  <c r="O194" i="85"/>
  <c r="P194" i="85"/>
  <c r="Q194" i="85"/>
  <c r="S194" i="85"/>
  <c r="L195" i="85"/>
  <c r="N195" i="85"/>
  <c r="O195" i="85"/>
  <c r="P195" i="85"/>
  <c r="F195" i="85" s="1"/>
  <c r="Q195" i="85"/>
  <c r="S195" i="85"/>
  <c r="L196" i="85"/>
  <c r="N196" i="85"/>
  <c r="O196" i="85"/>
  <c r="F196" i="85" s="1"/>
  <c r="P196" i="85"/>
  <c r="Q196" i="85"/>
  <c r="S196" i="85"/>
  <c r="L197" i="85"/>
  <c r="N197" i="85"/>
  <c r="O197" i="85"/>
  <c r="P197" i="85"/>
  <c r="Q197" i="85"/>
  <c r="S197" i="85"/>
  <c r="L198" i="85"/>
  <c r="N198" i="85"/>
  <c r="O198" i="85"/>
  <c r="P198" i="85"/>
  <c r="Q198" i="85"/>
  <c r="S198" i="85"/>
  <c r="L199" i="85"/>
  <c r="N199" i="85"/>
  <c r="O199" i="85"/>
  <c r="P199" i="85"/>
  <c r="Q199" i="85"/>
  <c r="S199" i="85"/>
  <c r="L200" i="85"/>
  <c r="N200" i="85"/>
  <c r="O200" i="85"/>
  <c r="F200" i="85" s="1"/>
  <c r="P200" i="85"/>
  <c r="Q200" i="85"/>
  <c r="S200" i="85"/>
  <c r="L201" i="85"/>
  <c r="N201" i="85"/>
  <c r="O201" i="85"/>
  <c r="P201" i="85"/>
  <c r="Q201" i="85"/>
  <c r="S201" i="85"/>
  <c r="L202" i="85"/>
  <c r="N202" i="85"/>
  <c r="O202" i="85"/>
  <c r="F202" i="85" s="1"/>
  <c r="P202" i="85"/>
  <c r="Q202" i="85"/>
  <c r="S202" i="85"/>
  <c r="L203" i="85"/>
  <c r="N203" i="85"/>
  <c r="O203" i="85"/>
  <c r="F203" i="85" s="1"/>
  <c r="P203" i="85"/>
  <c r="Q203" i="85"/>
  <c r="S203" i="85"/>
  <c r="F204" i="85"/>
  <c r="L204" i="85"/>
  <c r="N204" i="85"/>
  <c r="O204" i="85"/>
  <c r="P204" i="85"/>
  <c r="Q204" i="85"/>
  <c r="S204" i="85"/>
  <c r="L205" i="85"/>
  <c r="N205" i="85"/>
  <c r="O205" i="85"/>
  <c r="P205" i="85"/>
  <c r="Q205" i="85"/>
  <c r="S205" i="85"/>
  <c r="L206" i="85"/>
  <c r="N206" i="85"/>
  <c r="O206" i="85"/>
  <c r="F206" i="85" s="1"/>
  <c r="P206" i="85"/>
  <c r="Q206" i="85"/>
  <c r="S206" i="85"/>
  <c r="L207" i="85"/>
  <c r="N207" i="85"/>
  <c r="O207" i="85"/>
  <c r="F207" i="85" s="1"/>
  <c r="P207" i="85"/>
  <c r="Q207" i="85"/>
  <c r="S207" i="85"/>
  <c r="L208" i="85"/>
  <c r="N208" i="85"/>
  <c r="O208" i="85"/>
  <c r="P208" i="85"/>
  <c r="Q208" i="85"/>
  <c r="S208" i="85"/>
  <c r="L209" i="85"/>
  <c r="N209" i="85"/>
  <c r="O209" i="85"/>
  <c r="P209" i="85"/>
  <c r="Q209" i="85"/>
  <c r="S209" i="85"/>
  <c r="L210" i="85"/>
  <c r="N210" i="85"/>
  <c r="O210" i="85"/>
  <c r="F210" i="85" s="1"/>
  <c r="P210" i="85"/>
  <c r="Q210" i="85"/>
  <c r="S210" i="85"/>
  <c r="L211" i="85"/>
  <c r="N211" i="85"/>
  <c r="O211" i="85"/>
  <c r="P211" i="85"/>
  <c r="Q211" i="85"/>
  <c r="S211" i="85"/>
  <c r="L212" i="85"/>
  <c r="N212" i="85"/>
  <c r="O212" i="85"/>
  <c r="P212" i="85"/>
  <c r="F212" i="85" s="1"/>
  <c r="Q212" i="85"/>
  <c r="S212" i="85"/>
  <c r="L213" i="85"/>
  <c r="N213" i="85"/>
  <c r="O213" i="85"/>
  <c r="F213" i="85" s="1"/>
  <c r="P213" i="85"/>
  <c r="Q213" i="85"/>
  <c r="S213" i="85"/>
  <c r="L214" i="85"/>
  <c r="N214" i="85"/>
  <c r="O214" i="85"/>
  <c r="F214" i="85" s="1"/>
  <c r="P214" i="85"/>
  <c r="Q214" i="85"/>
  <c r="S214" i="85"/>
  <c r="L215" i="85"/>
  <c r="N215" i="85"/>
  <c r="O215" i="85"/>
  <c r="F215" i="85" s="1"/>
  <c r="P215" i="85"/>
  <c r="Q215" i="85"/>
  <c r="S215" i="85"/>
  <c r="L216" i="85"/>
  <c r="N216" i="85"/>
  <c r="O216" i="85"/>
  <c r="P216" i="85"/>
  <c r="Q216" i="85"/>
  <c r="S216" i="85"/>
  <c r="L217" i="85"/>
  <c r="N217" i="85"/>
  <c r="O217" i="85"/>
  <c r="P217" i="85"/>
  <c r="Q217" i="85"/>
  <c r="S217" i="85"/>
  <c r="F218" i="85"/>
  <c r="L218" i="85"/>
  <c r="N218" i="85"/>
  <c r="O218" i="85"/>
  <c r="P218" i="85"/>
  <c r="Q218" i="85"/>
  <c r="S218" i="85"/>
  <c r="L219" i="85"/>
  <c r="N219" i="85"/>
  <c r="O219" i="85"/>
  <c r="F219" i="85" s="1"/>
  <c r="P219" i="85"/>
  <c r="Q219" i="85"/>
  <c r="S219" i="85"/>
  <c r="L220" i="85"/>
  <c r="N220" i="85"/>
  <c r="O220" i="85"/>
  <c r="P220" i="85"/>
  <c r="F220" i="85" s="1"/>
  <c r="Q220" i="85"/>
  <c r="S220" i="85"/>
  <c r="L221" i="85"/>
  <c r="N221" i="85"/>
  <c r="O221" i="85"/>
  <c r="P221" i="85"/>
  <c r="Q221" i="85"/>
  <c r="S221" i="85"/>
  <c r="L222" i="85"/>
  <c r="N222" i="85"/>
  <c r="O222" i="85"/>
  <c r="P222" i="85"/>
  <c r="Q222" i="85"/>
  <c r="S222" i="85"/>
  <c r="L223" i="85"/>
  <c r="N223" i="85"/>
  <c r="O223" i="85"/>
  <c r="P223" i="85"/>
  <c r="Q223" i="85"/>
  <c r="S223" i="85"/>
  <c r="L224" i="85"/>
  <c r="N224" i="85"/>
  <c r="O224" i="85"/>
  <c r="P224" i="85"/>
  <c r="Q224" i="85"/>
  <c r="S224" i="85"/>
  <c r="L225" i="85"/>
  <c r="N225" i="85"/>
  <c r="O225" i="85"/>
  <c r="P225" i="85"/>
  <c r="F225" i="85" s="1"/>
  <c r="Q225" i="85"/>
  <c r="S225" i="85"/>
  <c r="L226" i="85"/>
  <c r="N226" i="85"/>
  <c r="O226" i="85"/>
  <c r="F226" i="85" s="1"/>
  <c r="P226" i="85"/>
  <c r="Q226" i="85"/>
  <c r="S226" i="85"/>
  <c r="F227" i="85"/>
  <c r="L227" i="85"/>
  <c r="N227" i="85"/>
  <c r="O227" i="85"/>
  <c r="P227" i="85"/>
  <c r="Q227" i="85"/>
  <c r="S227" i="85"/>
  <c r="L228" i="85"/>
  <c r="N228" i="85"/>
  <c r="O228" i="85"/>
  <c r="P228" i="85"/>
  <c r="Q228" i="85"/>
  <c r="S228" i="85"/>
  <c r="L229" i="85"/>
  <c r="N229" i="85"/>
  <c r="O229" i="85"/>
  <c r="F229" i="85" s="1"/>
  <c r="P229" i="85"/>
  <c r="Q229" i="85"/>
  <c r="S229" i="85"/>
  <c r="L230" i="85"/>
  <c r="N230" i="85"/>
  <c r="O230" i="85"/>
  <c r="F230" i="85" s="1"/>
  <c r="P230" i="85"/>
  <c r="Q230" i="85"/>
  <c r="S230" i="85"/>
  <c r="L231" i="85"/>
  <c r="N231" i="85"/>
  <c r="O231" i="85"/>
  <c r="P231" i="85"/>
  <c r="Q231" i="85"/>
  <c r="S231" i="85"/>
  <c r="L232" i="85"/>
  <c r="N232" i="85"/>
  <c r="O232" i="85"/>
  <c r="P232" i="85"/>
  <c r="Q232" i="85"/>
  <c r="S232" i="85"/>
  <c r="L233" i="85"/>
  <c r="N233" i="85"/>
  <c r="O233" i="85"/>
  <c r="P233" i="85"/>
  <c r="Q233" i="85"/>
  <c r="S233" i="85"/>
  <c r="L234" i="85"/>
  <c r="N234" i="85"/>
  <c r="O234" i="85"/>
  <c r="P234" i="85"/>
  <c r="F234" i="85" s="1"/>
  <c r="Q234" i="85"/>
  <c r="S234" i="85"/>
  <c r="L235" i="85"/>
  <c r="N235" i="85"/>
  <c r="O235" i="85"/>
  <c r="F235" i="85" s="1"/>
  <c r="P235" i="85"/>
  <c r="Q235" i="85"/>
  <c r="S235" i="85"/>
  <c r="L236" i="85"/>
  <c r="N236" i="85"/>
  <c r="O236" i="85"/>
  <c r="P236" i="85"/>
  <c r="Q236" i="85"/>
  <c r="S236" i="85"/>
  <c r="L237" i="85"/>
  <c r="N237" i="85"/>
  <c r="O237" i="85"/>
  <c r="F237" i="85" s="1"/>
  <c r="P237" i="85"/>
  <c r="Q237" i="85"/>
  <c r="S237" i="85"/>
  <c r="L238" i="85"/>
  <c r="N238" i="85"/>
  <c r="O238" i="85"/>
  <c r="F238" i="85" s="1"/>
  <c r="P238" i="85"/>
  <c r="Q238" i="85"/>
  <c r="S238" i="85"/>
  <c r="L239" i="85"/>
  <c r="N239" i="85"/>
  <c r="O239" i="85"/>
  <c r="P239" i="85"/>
  <c r="Q239" i="85"/>
  <c r="S239" i="85"/>
  <c r="L240" i="85"/>
  <c r="N240" i="85"/>
  <c r="O240" i="85"/>
  <c r="P240" i="85"/>
  <c r="Q240" i="85"/>
  <c r="S240" i="85"/>
  <c r="L241" i="85"/>
  <c r="N241" i="85"/>
  <c r="O241" i="85"/>
  <c r="P241" i="85"/>
  <c r="Q241" i="85"/>
  <c r="S241" i="85"/>
  <c r="L242" i="85"/>
  <c r="N242" i="85"/>
  <c r="O242" i="85"/>
  <c r="F242" i="85" s="1"/>
  <c r="P242" i="85"/>
  <c r="Q242" i="85"/>
  <c r="S242" i="85"/>
  <c r="L243" i="85"/>
  <c r="N243" i="85"/>
  <c r="O243" i="85"/>
  <c r="P243" i="85"/>
  <c r="Q243" i="85"/>
  <c r="S243" i="85"/>
  <c r="L244" i="85"/>
  <c r="N244" i="85"/>
  <c r="O244" i="85"/>
  <c r="P244" i="85"/>
  <c r="Q244" i="85"/>
  <c r="S244" i="85"/>
  <c r="L245" i="85"/>
  <c r="N245" i="85"/>
  <c r="O245" i="85"/>
  <c r="F245" i="85" s="1"/>
  <c r="P245" i="85"/>
  <c r="Q245" i="85"/>
  <c r="S245" i="85"/>
  <c r="L246" i="85"/>
  <c r="N246" i="85"/>
  <c r="O246" i="85"/>
  <c r="F246" i="85" s="1"/>
  <c r="P246" i="85"/>
  <c r="Q246" i="85"/>
  <c r="S246" i="85"/>
  <c r="L247" i="85"/>
  <c r="N247" i="85"/>
  <c r="O247" i="85"/>
  <c r="F247" i="85" s="1"/>
  <c r="P247" i="85"/>
  <c r="Q247" i="85"/>
  <c r="S247" i="85"/>
  <c r="L248" i="85"/>
  <c r="N248" i="85"/>
  <c r="O248" i="85"/>
  <c r="P248" i="85"/>
  <c r="Q248" i="85"/>
  <c r="S248" i="85"/>
  <c r="L249" i="85"/>
  <c r="N249" i="85"/>
  <c r="O249" i="85"/>
  <c r="P249" i="85"/>
  <c r="Q249" i="85"/>
  <c r="S249" i="85"/>
  <c r="F250" i="85"/>
  <c r="L250" i="85"/>
  <c r="N250" i="85"/>
  <c r="O250" i="85"/>
  <c r="P250" i="85"/>
  <c r="Q250" i="85"/>
  <c r="S250" i="85"/>
  <c r="F251" i="85"/>
  <c r="L251" i="85"/>
  <c r="N251" i="85"/>
  <c r="O251" i="85"/>
  <c r="P251" i="85"/>
  <c r="Q251" i="85"/>
  <c r="S251" i="85"/>
  <c r="F252" i="85"/>
  <c r="L252" i="85"/>
  <c r="N252" i="85"/>
  <c r="O252" i="85"/>
  <c r="P252" i="85"/>
  <c r="Q252" i="85"/>
  <c r="S252" i="85"/>
  <c r="L253" i="85"/>
  <c r="N253" i="85"/>
  <c r="O253" i="85"/>
  <c r="F253" i="85" s="1"/>
  <c r="P253" i="85"/>
  <c r="Q253" i="85"/>
  <c r="S253" i="85"/>
  <c r="L254" i="85"/>
  <c r="N254" i="85"/>
  <c r="O254" i="85"/>
  <c r="P254" i="85"/>
  <c r="Q254" i="85"/>
  <c r="S254" i="85"/>
  <c r="L255" i="85"/>
  <c r="N255" i="85"/>
  <c r="O255" i="85"/>
  <c r="P255" i="85"/>
  <c r="Q255" i="85"/>
  <c r="S255" i="85"/>
  <c r="L256" i="85"/>
  <c r="N256" i="85"/>
  <c r="O256" i="85"/>
  <c r="P256" i="85"/>
  <c r="Q256" i="85"/>
  <c r="S256" i="85"/>
  <c r="L257" i="85"/>
  <c r="N257" i="85"/>
  <c r="O257" i="85"/>
  <c r="P257" i="85"/>
  <c r="Q257" i="85"/>
  <c r="S257" i="85"/>
  <c r="L258" i="85"/>
  <c r="N258" i="85"/>
  <c r="O258" i="85"/>
  <c r="P258" i="85"/>
  <c r="Q258" i="85"/>
  <c r="S258" i="85"/>
  <c r="L259" i="85"/>
  <c r="N259" i="85"/>
  <c r="O259" i="85"/>
  <c r="P259" i="85"/>
  <c r="F259" i="85" s="1"/>
  <c r="Q259" i="85"/>
  <c r="S259" i="85"/>
  <c r="L260" i="85"/>
  <c r="N260" i="85"/>
  <c r="O260" i="85"/>
  <c r="F260" i="85" s="1"/>
  <c r="P260" i="85"/>
  <c r="Q260" i="85"/>
  <c r="S260" i="85"/>
  <c r="L261" i="85"/>
  <c r="N261" i="85"/>
  <c r="O261" i="85"/>
  <c r="F261" i="85" s="1"/>
  <c r="P261" i="85"/>
  <c r="Q261" i="85"/>
  <c r="S261" i="85"/>
  <c r="L262" i="85"/>
  <c r="N262" i="85"/>
  <c r="O262" i="85"/>
  <c r="F262" i="85" s="1"/>
  <c r="P262" i="85"/>
  <c r="Q262" i="85"/>
  <c r="S262" i="85"/>
  <c r="L263" i="85"/>
  <c r="N263" i="85"/>
  <c r="O263" i="85"/>
  <c r="P263" i="85"/>
  <c r="Q263" i="85"/>
  <c r="S263" i="85"/>
  <c r="L264" i="85"/>
  <c r="N264" i="85"/>
  <c r="O264" i="85"/>
  <c r="F264" i="85" s="1"/>
  <c r="P264" i="85"/>
  <c r="Q264" i="85"/>
  <c r="S264" i="85"/>
  <c r="L265" i="85"/>
  <c r="N265" i="85"/>
  <c r="O265" i="85"/>
  <c r="P265" i="85"/>
  <c r="Q265" i="85"/>
  <c r="S265" i="85"/>
  <c r="F266" i="85"/>
  <c r="L266" i="85"/>
  <c r="N266" i="85"/>
  <c r="O266" i="85"/>
  <c r="P266" i="85"/>
  <c r="Q266" i="85"/>
  <c r="S266" i="85"/>
  <c r="L267" i="85"/>
  <c r="N267" i="85"/>
  <c r="O267" i="85"/>
  <c r="F267" i="85" s="1"/>
  <c r="P267" i="85"/>
  <c r="Q267" i="85"/>
  <c r="S267" i="85"/>
  <c r="L268" i="85"/>
  <c r="N268" i="85"/>
  <c r="O268" i="85"/>
  <c r="F268" i="85" s="1"/>
  <c r="P268" i="85"/>
  <c r="Q268" i="85"/>
  <c r="S268" i="85"/>
  <c r="L269" i="85"/>
  <c r="N269" i="85"/>
  <c r="O269" i="85"/>
  <c r="P269" i="85"/>
  <c r="Q269" i="85"/>
  <c r="S269" i="85"/>
  <c r="L270" i="85"/>
  <c r="N270" i="85"/>
  <c r="O270" i="85"/>
  <c r="F270" i="85" s="1"/>
  <c r="P270" i="85"/>
  <c r="Q270" i="85"/>
  <c r="S270" i="85"/>
  <c r="L271" i="85"/>
  <c r="N271" i="85"/>
  <c r="O271" i="85"/>
  <c r="F271" i="85" s="1"/>
  <c r="P271" i="85"/>
  <c r="Q271" i="85"/>
  <c r="S271" i="85"/>
  <c r="L272" i="85"/>
  <c r="N272" i="85"/>
  <c r="O272" i="85"/>
  <c r="F272" i="85" s="1"/>
  <c r="P272" i="85"/>
  <c r="Q272" i="85"/>
  <c r="S272" i="85"/>
  <c r="L273" i="85"/>
  <c r="N273" i="85"/>
  <c r="O273" i="85"/>
  <c r="P273" i="85"/>
  <c r="F273" i="85" s="1"/>
  <c r="Q273" i="85"/>
  <c r="S273" i="85"/>
  <c r="F274" i="85"/>
  <c r="L274" i="85"/>
  <c r="N274" i="85"/>
  <c r="O274" i="85"/>
  <c r="P274" i="85"/>
  <c r="Q274" i="85"/>
  <c r="S274" i="85"/>
  <c r="F275" i="85"/>
  <c r="L275" i="85"/>
  <c r="N275" i="85"/>
  <c r="O275" i="85"/>
  <c r="P275" i="85"/>
  <c r="Q275" i="85"/>
  <c r="S275" i="85"/>
  <c r="F276" i="85"/>
  <c r="L276" i="85"/>
  <c r="N276" i="85"/>
  <c r="O276" i="85"/>
  <c r="P276" i="85"/>
  <c r="Q276" i="85"/>
  <c r="S276" i="85"/>
  <c r="L277" i="85"/>
  <c r="N277" i="85"/>
  <c r="O277" i="85"/>
  <c r="P277" i="85"/>
  <c r="Q277" i="85"/>
  <c r="S277" i="85"/>
  <c r="L278" i="85"/>
  <c r="N278" i="85"/>
  <c r="O278" i="85"/>
  <c r="F278" i="85" s="1"/>
  <c r="P278" i="85"/>
  <c r="Q278" i="85"/>
  <c r="S278" i="85"/>
  <c r="L279" i="85"/>
  <c r="N279" i="85"/>
  <c r="O279" i="85"/>
  <c r="F279" i="85" s="1"/>
  <c r="P279" i="85"/>
  <c r="Q279" i="85"/>
  <c r="S279" i="85"/>
  <c r="L280" i="85"/>
  <c r="N280" i="85"/>
  <c r="O280" i="85"/>
  <c r="P280" i="85"/>
  <c r="Q280" i="85"/>
  <c r="S280" i="85"/>
  <c r="L281" i="85"/>
  <c r="N281" i="85"/>
  <c r="O281" i="85"/>
  <c r="P281" i="85"/>
  <c r="F281" i="85" s="1"/>
  <c r="Q281" i="85"/>
  <c r="S281" i="85"/>
  <c r="L282" i="85"/>
  <c r="N282" i="85"/>
  <c r="O282" i="85"/>
  <c r="F282" i="85" s="1"/>
  <c r="P282" i="85"/>
  <c r="Q282" i="85"/>
  <c r="S282" i="85"/>
  <c r="L283" i="85"/>
  <c r="N283" i="85"/>
  <c r="O283" i="85"/>
  <c r="F283" i="85" s="1"/>
  <c r="P283" i="85"/>
  <c r="Q283" i="85"/>
  <c r="S283" i="85"/>
  <c r="L284" i="85"/>
  <c r="N284" i="85"/>
  <c r="O284" i="85"/>
  <c r="P284" i="85"/>
  <c r="F284" i="85" s="1"/>
  <c r="Q284" i="85"/>
  <c r="S284" i="85"/>
  <c r="L285" i="85"/>
  <c r="N285" i="85"/>
  <c r="O285" i="85"/>
  <c r="F285" i="85" s="1"/>
  <c r="P285" i="85"/>
  <c r="Q285" i="85"/>
  <c r="S285" i="85"/>
  <c r="L286" i="85"/>
  <c r="N286" i="85"/>
  <c r="O286" i="85"/>
  <c r="F286" i="85" s="1"/>
  <c r="P286" i="85"/>
  <c r="Q286" i="85"/>
  <c r="S286" i="85"/>
  <c r="L287" i="85"/>
  <c r="N287" i="85"/>
  <c r="O287" i="85"/>
  <c r="F287" i="85" s="1"/>
  <c r="P287" i="85"/>
  <c r="Q287" i="85"/>
  <c r="S287" i="85"/>
  <c r="L288" i="85"/>
  <c r="N288" i="85"/>
  <c r="O288" i="85"/>
  <c r="P288" i="85"/>
  <c r="Q288" i="85"/>
  <c r="S288" i="85"/>
  <c r="L289" i="85"/>
  <c r="N289" i="85"/>
  <c r="O289" i="85"/>
  <c r="P289" i="85"/>
  <c r="Q289" i="85"/>
  <c r="S289" i="85"/>
  <c r="F290" i="85"/>
  <c r="L290" i="85"/>
  <c r="N290" i="85"/>
  <c r="O290" i="85"/>
  <c r="P290" i="85"/>
  <c r="Q290" i="85"/>
  <c r="S290" i="85"/>
  <c r="L291" i="85"/>
  <c r="N291" i="85"/>
  <c r="O291" i="85"/>
  <c r="F291" i="85" s="1"/>
  <c r="P291" i="85"/>
  <c r="Q291" i="85"/>
  <c r="S291" i="85"/>
  <c r="L292" i="85"/>
  <c r="N292" i="85"/>
  <c r="O292" i="85"/>
  <c r="F292" i="85" s="1"/>
  <c r="P292" i="85"/>
  <c r="Q292" i="85"/>
  <c r="S292" i="85"/>
  <c r="L293" i="85"/>
  <c r="N293" i="85"/>
  <c r="O293" i="85"/>
  <c r="P293" i="85"/>
  <c r="Q293" i="85"/>
  <c r="S293" i="85"/>
  <c r="L294" i="85"/>
  <c r="N294" i="85"/>
  <c r="O294" i="85"/>
  <c r="F294" i="85" s="1"/>
  <c r="P294" i="85"/>
  <c r="Q294" i="85"/>
  <c r="S294" i="85"/>
  <c r="L295" i="85"/>
  <c r="N295" i="85"/>
  <c r="O295" i="85"/>
  <c r="F295" i="85" s="1"/>
  <c r="P295" i="85"/>
  <c r="Q295" i="85"/>
  <c r="S295" i="85"/>
  <c r="L296" i="85"/>
  <c r="N296" i="85"/>
  <c r="O296" i="85"/>
  <c r="F296" i="85" s="1"/>
  <c r="P296" i="85"/>
  <c r="Q296" i="85"/>
  <c r="S296" i="85"/>
  <c r="L297" i="85"/>
  <c r="N297" i="85"/>
  <c r="O297" i="85"/>
  <c r="P297" i="85"/>
  <c r="F297" i="85" s="1"/>
  <c r="Q297" i="85"/>
  <c r="S297" i="85"/>
  <c r="F298" i="85"/>
  <c r="L298" i="85"/>
  <c r="N298" i="85"/>
  <c r="O298" i="85"/>
  <c r="P298" i="85"/>
  <c r="Q298" i="85"/>
  <c r="S298" i="85"/>
  <c r="F299" i="85"/>
  <c r="L299" i="85"/>
  <c r="N299" i="85"/>
  <c r="O299" i="85"/>
  <c r="P299" i="85"/>
  <c r="Q299" i="85"/>
  <c r="S299" i="85"/>
  <c r="F300" i="85"/>
  <c r="L300" i="85"/>
  <c r="N300" i="85"/>
  <c r="O300" i="85"/>
  <c r="P300" i="85"/>
  <c r="Q300" i="85"/>
  <c r="S300" i="85"/>
  <c r="L301" i="85"/>
  <c r="N301" i="85"/>
  <c r="O301" i="85"/>
  <c r="P301" i="85"/>
  <c r="Q301" i="85"/>
  <c r="S301" i="85"/>
  <c r="L302" i="85"/>
  <c r="N302" i="85"/>
  <c r="O302" i="85"/>
  <c r="P302" i="85"/>
  <c r="Q302" i="85"/>
  <c r="S302" i="85"/>
  <c r="L303" i="85"/>
  <c r="N303" i="85"/>
  <c r="O303" i="85"/>
  <c r="P303" i="85"/>
  <c r="Q303" i="85"/>
  <c r="S303" i="85"/>
  <c r="L304" i="85"/>
  <c r="N304" i="85"/>
  <c r="O304" i="85"/>
  <c r="P304" i="85"/>
  <c r="Q304" i="85"/>
  <c r="S304" i="85"/>
  <c r="L305" i="85"/>
  <c r="N305" i="85"/>
  <c r="O305" i="85"/>
  <c r="P305" i="85"/>
  <c r="F305" i="85" s="1"/>
  <c r="Q305" i="85"/>
  <c r="S305" i="85"/>
  <c r="L306" i="85"/>
  <c r="N306" i="85"/>
  <c r="O306" i="85"/>
  <c r="P306" i="85"/>
  <c r="Q306" i="85"/>
  <c r="S306" i="85"/>
  <c r="L307" i="85"/>
  <c r="N307" i="85"/>
  <c r="O307" i="85"/>
  <c r="F307" i="85" s="1"/>
  <c r="P307" i="85"/>
  <c r="Q307" i="85"/>
  <c r="S307" i="85"/>
  <c r="F308" i="85"/>
  <c r="L308" i="85"/>
  <c r="N308" i="85"/>
  <c r="O308" i="85"/>
  <c r="P308" i="85"/>
  <c r="Q308" i="85"/>
  <c r="S308" i="85"/>
  <c r="L309" i="85"/>
  <c r="N309" i="85"/>
  <c r="O309" i="85"/>
  <c r="F309" i="85" s="1"/>
  <c r="P309" i="85"/>
  <c r="Q309" i="85"/>
  <c r="S309" i="85"/>
  <c r="L310" i="85"/>
  <c r="N310" i="85"/>
  <c r="O310" i="85"/>
  <c r="F310" i="85" s="1"/>
  <c r="P310" i="85"/>
  <c r="Q310" i="85"/>
  <c r="S310" i="85"/>
  <c r="L311" i="85"/>
  <c r="N311" i="85"/>
  <c r="O311" i="85"/>
  <c r="P311" i="85"/>
  <c r="Q311" i="85"/>
  <c r="S311" i="85"/>
  <c r="L312" i="85"/>
  <c r="N312" i="85"/>
  <c r="O312" i="85"/>
  <c r="P312" i="85"/>
  <c r="Q312" i="85"/>
  <c r="S312" i="85"/>
  <c r="L313" i="85"/>
  <c r="N313" i="85"/>
  <c r="O313" i="85"/>
  <c r="P313" i="85"/>
  <c r="Q313" i="85"/>
  <c r="S313" i="85"/>
  <c r="L314" i="85"/>
  <c r="N314" i="85"/>
  <c r="O314" i="85"/>
  <c r="F314" i="85" s="1"/>
  <c r="P314" i="85"/>
  <c r="Q314" i="85"/>
  <c r="S314" i="85"/>
  <c r="L315" i="85"/>
  <c r="N315" i="85"/>
  <c r="O315" i="85"/>
  <c r="P315" i="85"/>
  <c r="Q315" i="85"/>
  <c r="S315" i="85"/>
  <c r="L316" i="85"/>
  <c r="N316" i="85"/>
  <c r="O316" i="85"/>
  <c r="F316" i="85" s="1"/>
  <c r="P316" i="85"/>
  <c r="Q316" i="85"/>
  <c r="S316" i="85"/>
  <c r="L317" i="85"/>
  <c r="N317" i="85"/>
  <c r="O317" i="85"/>
  <c r="P317" i="85"/>
  <c r="Q317" i="85"/>
  <c r="S317" i="85"/>
  <c r="L318" i="85"/>
  <c r="N318" i="85"/>
  <c r="O318" i="85"/>
  <c r="P318" i="85"/>
  <c r="Q318" i="85"/>
  <c r="S318" i="85"/>
  <c r="L319" i="85"/>
  <c r="N319" i="85"/>
  <c r="O319" i="85"/>
  <c r="F319" i="85" s="1"/>
  <c r="P319" i="85"/>
  <c r="Q319" i="85"/>
  <c r="S319" i="85"/>
  <c r="L320" i="85"/>
  <c r="N320" i="85"/>
  <c r="O320" i="85"/>
  <c r="F320" i="85" s="1"/>
  <c r="P320" i="85"/>
  <c r="Q320" i="85"/>
  <c r="S320" i="85"/>
  <c r="L321" i="85"/>
  <c r="N321" i="85"/>
  <c r="O321" i="85"/>
  <c r="P321" i="85"/>
  <c r="F321" i="85" s="1"/>
  <c r="Q321" i="85"/>
  <c r="S321" i="85"/>
  <c r="F322" i="85"/>
  <c r="L322" i="85"/>
  <c r="N322" i="85"/>
  <c r="O322" i="85"/>
  <c r="P322" i="85"/>
  <c r="Q322" i="85"/>
  <c r="S322" i="85"/>
  <c r="F323" i="85"/>
  <c r="L323" i="85"/>
  <c r="N323" i="85"/>
  <c r="O323" i="85"/>
  <c r="P323" i="85"/>
  <c r="Q323" i="85"/>
  <c r="S323" i="85"/>
  <c r="F324" i="85"/>
  <c r="L324" i="85"/>
  <c r="N324" i="85"/>
  <c r="O324" i="85"/>
  <c r="P324" i="85"/>
  <c r="Q324" i="85"/>
  <c r="S324" i="85"/>
  <c r="L325" i="85"/>
  <c r="N325" i="85"/>
  <c r="O325" i="85"/>
  <c r="P325" i="85"/>
  <c r="Q325" i="85"/>
  <c r="S325" i="85"/>
  <c r="L326" i="85"/>
  <c r="N326" i="85"/>
  <c r="O326" i="85"/>
  <c r="P326" i="85"/>
  <c r="Q326" i="85"/>
  <c r="S326" i="85"/>
  <c r="L327" i="85"/>
  <c r="N327" i="85"/>
  <c r="O327" i="85"/>
  <c r="P327" i="85"/>
  <c r="Q327" i="85"/>
  <c r="S327" i="85"/>
  <c r="L328" i="85"/>
  <c r="N328" i="85"/>
  <c r="O328" i="85"/>
  <c r="F328" i="85" s="1"/>
  <c r="P328" i="85"/>
  <c r="Q328" i="85"/>
  <c r="S328" i="85"/>
  <c r="L329" i="85"/>
  <c r="N329" i="85"/>
  <c r="O329" i="85"/>
  <c r="P329" i="85"/>
  <c r="F329" i="85" s="1"/>
  <c r="Q329" i="85"/>
  <c r="S329" i="85"/>
  <c r="L330" i="85"/>
  <c r="N330" i="85"/>
  <c r="O330" i="85"/>
  <c r="P330" i="85"/>
  <c r="Q330" i="85"/>
  <c r="S330" i="85"/>
  <c r="L331" i="85"/>
  <c r="N331" i="85"/>
  <c r="O331" i="85"/>
  <c r="P331" i="85"/>
  <c r="Q331" i="85"/>
  <c r="S331" i="85"/>
  <c r="F332" i="85"/>
  <c r="L332" i="85"/>
  <c r="N332" i="85"/>
  <c r="O332" i="85"/>
  <c r="P332" i="85"/>
  <c r="Q332" i="85"/>
  <c r="S332" i="85"/>
  <c r="L333" i="85"/>
  <c r="N333" i="85"/>
  <c r="O333" i="85"/>
  <c r="P333" i="85"/>
  <c r="Q333" i="85"/>
  <c r="S333" i="85"/>
  <c r="L334" i="85"/>
  <c r="N334" i="85"/>
  <c r="O334" i="85"/>
  <c r="F334" i="85" s="1"/>
  <c r="P334" i="85"/>
  <c r="Q334" i="85"/>
  <c r="S334" i="85"/>
  <c r="L335" i="85"/>
  <c r="N335" i="85"/>
  <c r="O335" i="85"/>
  <c r="P335" i="85"/>
  <c r="Q335" i="85"/>
  <c r="S335" i="85"/>
  <c r="L336" i="85"/>
  <c r="N336" i="85"/>
  <c r="O336" i="85"/>
  <c r="P336" i="85"/>
  <c r="Q336" i="85"/>
  <c r="S336" i="85"/>
  <c r="L337" i="85"/>
  <c r="N337" i="85"/>
  <c r="O337" i="85"/>
  <c r="P337" i="85"/>
  <c r="F337" i="85" s="1"/>
  <c r="Q337" i="85"/>
  <c r="S337" i="85"/>
  <c r="L338" i="85"/>
  <c r="N338" i="85"/>
  <c r="O338" i="85"/>
  <c r="F338" i="85" s="1"/>
  <c r="P338" i="85"/>
  <c r="Q338" i="85"/>
  <c r="S338" i="85"/>
  <c r="L339" i="85"/>
  <c r="N339" i="85"/>
  <c r="O339" i="85"/>
  <c r="P339" i="85"/>
  <c r="Q339" i="85"/>
  <c r="S339" i="85"/>
  <c r="L340" i="85"/>
  <c r="N340" i="85"/>
  <c r="O340" i="85"/>
  <c r="F340" i="85" s="1"/>
  <c r="P340" i="85"/>
  <c r="Q340" i="85"/>
  <c r="S340" i="85"/>
  <c r="L341" i="85"/>
  <c r="N341" i="85"/>
  <c r="O341" i="85"/>
  <c r="P341" i="85"/>
  <c r="Q341" i="85"/>
  <c r="S341" i="85"/>
  <c r="L342" i="85"/>
  <c r="N342" i="85"/>
  <c r="O342" i="85"/>
  <c r="F342" i="85" s="1"/>
  <c r="P342" i="85"/>
  <c r="Q342" i="85"/>
  <c r="S342" i="85"/>
  <c r="L343" i="85"/>
  <c r="N343" i="85"/>
  <c r="O343" i="85"/>
  <c r="F343" i="85" s="1"/>
  <c r="P343" i="85"/>
  <c r="Q343" i="85"/>
  <c r="S343" i="85"/>
  <c r="L344" i="85"/>
  <c r="N344" i="85"/>
  <c r="O344" i="85"/>
  <c r="F344" i="85" s="1"/>
  <c r="P344" i="85"/>
  <c r="Q344" i="85"/>
  <c r="S344" i="85"/>
  <c r="L345" i="85"/>
  <c r="N345" i="85"/>
  <c r="O345" i="85"/>
  <c r="P345" i="85"/>
  <c r="F345" i="85" s="1"/>
  <c r="Q345" i="85"/>
  <c r="S345" i="85"/>
  <c r="F346" i="85"/>
  <c r="L346" i="85"/>
  <c r="N346" i="85"/>
  <c r="O346" i="85"/>
  <c r="P346" i="85"/>
  <c r="Q346" i="85"/>
  <c r="S346" i="85"/>
  <c r="F347" i="85"/>
  <c r="L347" i="85"/>
  <c r="N347" i="85"/>
  <c r="O347" i="85"/>
  <c r="P347" i="85"/>
  <c r="Q347" i="85"/>
  <c r="S347" i="85"/>
  <c r="F348" i="85"/>
  <c r="L348" i="85"/>
  <c r="N348" i="85"/>
  <c r="O348" i="85"/>
  <c r="P348" i="85"/>
  <c r="Q348" i="85"/>
  <c r="S348" i="85"/>
  <c r="L349" i="85"/>
  <c r="N349" i="85"/>
  <c r="O349" i="85"/>
  <c r="P349" i="85"/>
  <c r="Q349" i="85"/>
  <c r="S349" i="85"/>
  <c r="L350" i="85"/>
  <c r="N350" i="85"/>
  <c r="O350" i="85"/>
  <c r="P350" i="85"/>
  <c r="Q350" i="85"/>
  <c r="S350" i="85"/>
  <c r="L351" i="85"/>
  <c r="N351" i="85"/>
  <c r="O351" i="85"/>
  <c r="P351" i="85"/>
  <c r="Q351" i="85"/>
  <c r="S351" i="85"/>
  <c r="L352" i="85"/>
  <c r="N352" i="85"/>
  <c r="O352" i="85"/>
  <c r="P352" i="85"/>
  <c r="Q352" i="85"/>
  <c r="S352" i="85"/>
  <c r="L353" i="85"/>
  <c r="N353" i="85"/>
  <c r="O353" i="85"/>
  <c r="P353" i="85"/>
  <c r="F353" i="85" s="1"/>
  <c r="Q353" i="85"/>
  <c r="S353" i="85"/>
  <c r="L354" i="85"/>
  <c r="N354" i="85"/>
  <c r="O354" i="85"/>
  <c r="P354" i="85"/>
  <c r="Q354" i="85"/>
  <c r="S354" i="85"/>
  <c r="L355" i="85"/>
  <c r="N355" i="85"/>
  <c r="O355" i="85"/>
  <c r="P355" i="85"/>
  <c r="Q355" i="85"/>
  <c r="S355" i="85"/>
  <c r="L356" i="85"/>
  <c r="N356" i="85"/>
  <c r="O356" i="85"/>
  <c r="P356" i="85"/>
  <c r="Q356" i="85"/>
  <c r="S356" i="85"/>
  <c r="L357" i="85"/>
  <c r="N357" i="85"/>
  <c r="O357" i="85"/>
  <c r="P357" i="85"/>
  <c r="Q357" i="85"/>
  <c r="S357" i="85"/>
  <c r="L358" i="85"/>
  <c r="N358" i="85"/>
  <c r="O358" i="85"/>
  <c r="F358" i="85" s="1"/>
  <c r="P358" i="85"/>
  <c r="Q358" i="85"/>
  <c r="S358" i="85"/>
  <c r="L359" i="85"/>
  <c r="N359" i="85"/>
  <c r="O359" i="85"/>
  <c r="P359" i="85"/>
  <c r="Q359" i="85"/>
  <c r="S359" i="85"/>
  <c r="L360" i="85"/>
  <c r="N360" i="85"/>
  <c r="O360" i="85"/>
  <c r="P360" i="85"/>
  <c r="Q360" i="85"/>
  <c r="S360" i="85"/>
  <c r="L361" i="85"/>
  <c r="N361" i="85"/>
  <c r="O361" i="85"/>
  <c r="P361" i="85"/>
  <c r="F361" i="85" s="1"/>
  <c r="Q361" i="85"/>
  <c r="S361" i="85"/>
  <c r="F362" i="85"/>
  <c r="L362" i="85"/>
  <c r="N362" i="85"/>
  <c r="O362" i="85"/>
  <c r="P362" i="85"/>
  <c r="Q362" i="85"/>
  <c r="S362" i="85"/>
  <c r="L363" i="85"/>
  <c r="N363" i="85"/>
  <c r="O363" i="85"/>
  <c r="F363" i="85" s="1"/>
  <c r="P363" i="85"/>
  <c r="Q363" i="85"/>
  <c r="S363" i="85"/>
  <c r="L364" i="85"/>
  <c r="N364" i="85"/>
  <c r="O364" i="85"/>
  <c r="P364" i="85"/>
  <c r="Q364" i="85"/>
  <c r="S364" i="85"/>
  <c r="L365" i="85"/>
  <c r="N365" i="85"/>
  <c r="O365" i="85"/>
  <c r="P365" i="85"/>
  <c r="Q365" i="85"/>
  <c r="S365" i="85"/>
  <c r="L366" i="85"/>
  <c r="N366" i="85"/>
  <c r="O366" i="85"/>
  <c r="F366" i="85" s="1"/>
  <c r="P366" i="85"/>
  <c r="Q366" i="85"/>
  <c r="S366" i="85"/>
  <c r="L367" i="85"/>
  <c r="N367" i="85"/>
  <c r="O367" i="85"/>
  <c r="P367" i="85"/>
  <c r="Q367" i="85"/>
  <c r="S367" i="85"/>
  <c r="L368" i="85"/>
  <c r="N368" i="85"/>
  <c r="O368" i="85"/>
  <c r="P368" i="85"/>
  <c r="Q368" i="85"/>
  <c r="S368" i="85"/>
  <c r="L369" i="85"/>
  <c r="N369" i="85"/>
  <c r="O369" i="85"/>
  <c r="P369" i="85"/>
  <c r="F369" i="85" s="1"/>
  <c r="Q369" i="85"/>
  <c r="S369" i="85"/>
  <c r="L370" i="85"/>
  <c r="N370" i="85"/>
  <c r="O370" i="85"/>
  <c r="F370" i="85" s="1"/>
  <c r="P370" i="85"/>
  <c r="Q370" i="85"/>
  <c r="S370" i="85"/>
  <c r="F371" i="85"/>
  <c r="L371" i="85"/>
  <c r="N371" i="85"/>
  <c r="O371" i="85"/>
  <c r="P371" i="85"/>
  <c r="Q371" i="85"/>
  <c r="S371" i="85"/>
  <c r="L372" i="85"/>
  <c r="N372" i="85"/>
  <c r="O372" i="85"/>
  <c r="F372" i="85" s="1"/>
  <c r="P372" i="85"/>
  <c r="Q372" i="85"/>
  <c r="S372" i="85"/>
  <c r="L373" i="85"/>
  <c r="N373" i="85"/>
  <c r="O373" i="85"/>
  <c r="F373" i="85" s="1"/>
  <c r="P373" i="85"/>
  <c r="Q373" i="85"/>
  <c r="S373" i="85"/>
  <c r="L374" i="85"/>
  <c r="N374" i="85"/>
  <c r="O374" i="85"/>
  <c r="P374" i="85"/>
  <c r="Q374" i="85"/>
  <c r="S374" i="85"/>
  <c r="L375" i="85"/>
  <c r="N375" i="85"/>
  <c r="O375" i="85"/>
  <c r="F375" i="85" s="1"/>
  <c r="P375" i="85"/>
  <c r="Q375" i="85"/>
  <c r="S375" i="85"/>
  <c r="L376" i="85"/>
  <c r="N376" i="85"/>
  <c r="O376" i="85"/>
  <c r="F376" i="85" s="1"/>
  <c r="P376" i="85"/>
  <c r="Q376" i="85"/>
  <c r="S376" i="85"/>
  <c r="L377" i="85"/>
  <c r="N377" i="85"/>
  <c r="O377" i="85"/>
  <c r="P377" i="85"/>
  <c r="Q377" i="85"/>
  <c r="S377" i="85"/>
  <c r="L378" i="85"/>
  <c r="N378" i="85"/>
  <c r="O378" i="85"/>
  <c r="P378" i="85"/>
  <c r="Q378" i="85"/>
  <c r="S378" i="85"/>
  <c r="L379" i="85"/>
  <c r="N379" i="85"/>
  <c r="O379" i="85"/>
  <c r="F379" i="85" s="1"/>
  <c r="P379" i="85"/>
  <c r="Q379" i="85"/>
  <c r="S379" i="85"/>
  <c r="F380" i="85"/>
  <c r="L380" i="85"/>
  <c r="N380" i="85"/>
  <c r="O380" i="85"/>
  <c r="P380" i="85"/>
  <c r="Q380" i="85"/>
  <c r="S380" i="85"/>
  <c r="L381" i="85"/>
  <c r="N381" i="85"/>
  <c r="O381" i="85"/>
  <c r="P381" i="85"/>
  <c r="Q381" i="85"/>
  <c r="S381" i="85"/>
  <c r="L382" i="85"/>
  <c r="N382" i="85"/>
  <c r="O382" i="85"/>
  <c r="P382" i="85"/>
  <c r="Q382" i="85"/>
  <c r="S382" i="85"/>
  <c r="L383" i="85"/>
  <c r="N383" i="85"/>
  <c r="O383" i="85"/>
  <c r="P383" i="85"/>
  <c r="Q383" i="85"/>
  <c r="S383" i="85"/>
  <c r="L384" i="85"/>
  <c r="N384" i="85"/>
  <c r="O384" i="85"/>
  <c r="P384" i="85"/>
  <c r="Q384" i="85"/>
  <c r="S384" i="85"/>
  <c r="L385" i="85"/>
  <c r="N385" i="85"/>
  <c r="O385" i="85"/>
  <c r="P385" i="85"/>
  <c r="F385" i="85" s="1"/>
  <c r="Q385" i="85"/>
  <c r="S385" i="85"/>
  <c r="L386" i="85"/>
  <c r="N386" i="85"/>
  <c r="O386" i="85"/>
  <c r="F386" i="85" s="1"/>
  <c r="P386" i="85"/>
  <c r="Q386" i="85"/>
  <c r="S386" i="85"/>
  <c r="L387" i="85"/>
  <c r="N387" i="85"/>
  <c r="O387" i="85"/>
  <c r="P387" i="85"/>
  <c r="F387" i="85" s="1"/>
  <c r="Q387" i="85"/>
  <c r="S387" i="85"/>
  <c r="L388" i="85"/>
  <c r="N388" i="85"/>
  <c r="O388" i="85"/>
  <c r="F388" i="85" s="1"/>
  <c r="P388" i="85"/>
  <c r="Q388" i="85"/>
  <c r="S388" i="85"/>
  <c r="L389" i="85"/>
  <c r="N389" i="85"/>
  <c r="O389" i="85"/>
  <c r="P389" i="85"/>
  <c r="Q389" i="85"/>
  <c r="S389" i="85"/>
  <c r="L390" i="85"/>
  <c r="N390" i="85"/>
  <c r="O390" i="85"/>
  <c r="F390" i="85" s="1"/>
  <c r="P390" i="85"/>
  <c r="Q390" i="85"/>
  <c r="S390" i="85"/>
  <c r="L391" i="85"/>
  <c r="N391" i="85"/>
  <c r="O391" i="85"/>
  <c r="F391" i="85" s="1"/>
  <c r="P391" i="85"/>
  <c r="Q391" i="85"/>
  <c r="S391" i="85"/>
  <c r="L392" i="85"/>
  <c r="N392" i="85"/>
  <c r="O392" i="85"/>
  <c r="F392" i="85" s="1"/>
  <c r="P392" i="85"/>
  <c r="Q392" i="85"/>
  <c r="S392" i="85"/>
  <c r="L393" i="85"/>
  <c r="N393" i="85"/>
  <c r="O393" i="85"/>
  <c r="P393" i="85"/>
  <c r="F393" i="85" s="1"/>
  <c r="Q393" i="85"/>
  <c r="S393" i="85"/>
  <c r="F394" i="85"/>
  <c r="L394" i="85"/>
  <c r="N394" i="85"/>
  <c r="O394" i="85"/>
  <c r="P394" i="85"/>
  <c r="Q394" i="85"/>
  <c r="S394" i="85"/>
  <c r="L395" i="85"/>
  <c r="N395" i="85"/>
  <c r="O395" i="85"/>
  <c r="P395" i="85"/>
  <c r="Q395" i="85"/>
  <c r="S395" i="85"/>
  <c r="F396" i="85"/>
  <c r="L396" i="85"/>
  <c r="N396" i="85"/>
  <c r="O396" i="85"/>
  <c r="P396" i="85"/>
  <c r="Q396" i="85"/>
  <c r="S396" i="85"/>
  <c r="L397" i="85"/>
  <c r="N397" i="85"/>
  <c r="O397" i="85"/>
  <c r="P397" i="85"/>
  <c r="Q397" i="85"/>
  <c r="S397" i="85"/>
  <c r="L398" i="85"/>
  <c r="N398" i="85"/>
  <c r="O398" i="85"/>
  <c r="P398" i="85"/>
  <c r="Q398" i="85"/>
  <c r="S398" i="85"/>
  <c r="L399" i="85"/>
  <c r="N399" i="85"/>
  <c r="O399" i="85"/>
  <c r="F399" i="85" s="1"/>
  <c r="P399" i="85"/>
  <c r="Q399" i="85"/>
  <c r="S399" i="85"/>
  <c r="L400" i="85"/>
  <c r="N400" i="85"/>
  <c r="O400" i="85"/>
  <c r="F400" i="85" s="1"/>
  <c r="P400" i="85"/>
  <c r="Q400" i="85"/>
  <c r="S400" i="85"/>
  <c r="L401" i="85"/>
  <c r="N401" i="85"/>
  <c r="O401" i="85"/>
  <c r="P401" i="85"/>
  <c r="F401" i="85" s="1"/>
  <c r="Q401" i="85"/>
  <c r="S401" i="85"/>
  <c r="L402" i="85"/>
  <c r="N402" i="85"/>
  <c r="O402" i="85"/>
  <c r="F402" i="85" s="1"/>
  <c r="P402" i="85"/>
  <c r="Q402" i="85"/>
  <c r="S402" i="85"/>
  <c r="L403" i="85"/>
  <c r="N403" i="85"/>
  <c r="O403" i="85"/>
  <c r="P403" i="85"/>
  <c r="Q403" i="85"/>
  <c r="S403" i="85"/>
  <c r="F404" i="85"/>
  <c r="L404" i="85"/>
  <c r="N404" i="85"/>
  <c r="O404" i="85"/>
  <c r="P404" i="85"/>
  <c r="Q404" i="85"/>
  <c r="S404" i="85"/>
  <c r="L405" i="85"/>
  <c r="N405" i="85"/>
  <c r="O405" i="85"/>
  <c r="P405" i="85"/>
  <c r="Q405" i="85"/>
  <c r="S405" i="85"/>
  <c r="L406" i="85"/>
  <c r="N406" i="85"/>
  <c r="O406" i="85"/>
  <c r="P406" i="85"/>
  <c r="Q406" i="85"/>
  <c r="S406" i="85"/>
  <c r="L407" i="85"/>
  <c r="N407" i="85"/>
  <c r="O407" i="85"/>
  <c r="F407" i="85" s="1"/>
  <c r="P407" i="85"/>
  <c r="Q407" i="85"/>
  <c r="S407" i="85"/>
  <c r="L408" i="85"/>
  <c r="N408" i="85"/>
  <c r="O408" i="85"/>
  <c r="P408" i="85"/>
  <c r="Q408" i="85"/>
  <c r="S408" i="85"/>
  <c r="L409" i="85"/>
  <c r="N409" i="85"/>
  <c r="O409" i="85"/>
  <c r="P409" i="85"/>
  <c r="F409" i="85" s="1"/>
  <c r="Q409" i="85"/>
  <c r="S409" i="85"/>
  <c r="L410" i="85"/>
  <c r="N410" i="85"/>
  <c r="O410" i="85"/>
  <c r="F410" i="85" s="1"/>
  <c r="P410" i="85"/>
  <c r="Q410" i="85"/>
  <c r="S410" i="85"/>
  <c r="L411" i="85"/>
  <c r="N411" i="85"/>
  <c r="O411" i="85"/>
  <c r="F411" i="85" s="1"/>
  <c r="P411" i="85"/>
  <c r="Q411" i="85"/>
  <c r="S411" i="85"/>
  <c r="L412" i="85"/>
  <c r="N412" i="85"/>
  <c r="O412" i="85"/>
  <c r="P412" i="85"/>
  <c r="F412" i="85" s="1"/>
  <c r="Q412" i="85"/>
  <c r="S412" i="85"/>
  <c r="L413" i="85"/>
  <c r="N413" i="85"/>
  <c r="O413" i="85"/>
  <c r="P413" i="85"/>
  <c r="Q413" i="85"/>
  <c r="S413" i="85"/>
  <c r="L414" i="85"/>
  <c r="N414" i="85"/>
  <c r="O414" i="85"/>
  <c r="F414" i="85" s="1"/>
  <c r="P414" i="85"/>
  <c r="Q414" i="85"/>
  <c r="S414" i="85"/>
  <c r="L415" i="85"/>
  <c r="N415" i="85"/>
  <c r="O415" i="85"/>
  <c r="F415" i="85" s="1"/>
  <c r="P415" i="85"/>
  <c r="Q415" i="85"/>
  <c r="S415" i="85"/>
  <c r="L416" i="85"/>
  <c r="N416" i="85"/>
  <c r="O416" i="85"/>
  <c r="P416" i="85"/>
  <c r="Q416" i="85"/>
  <c r="S416" i="85"/>
  <c r="L417" i="85"/>
  <c r="N417" i="85"/>
  <c r="O417" i="85"/>
  <c r="P417" i="85"/>
  <c r="F417" i="85" s="1"/>
  <c r="Q417" i="85"/>
  <c r="S417" i="85"/>
  <c r="F418" i="85"/>
  <c r="L418" i="85"/>
  <c r="N418" i="85"/>
  <c r="O418" i="85"/>
  <c r="P418" i="85"/>
  <c r="Q418" i="85"/>
  <c r="S418" i="85"/>
  <c r="F419" i="85"/>
  <c r="L419" i="85"/>
  <c r="N419" i="85"/>
  <c r="O419" i="85"/>
  <c r="P419" i="85"/>
  <c r="Q419" i="85"/>
  <c r="S419" i="85"/>
  <c r="L420" i="85"/>
  <c r="N420" i="85"/>
  <c r="O420" i="85"/>
  <c r="F420" i="85" s="1"/>
  <c r="P420" i="85"/>
  <c r="Q420" i="85"/>
  <c r="S420" i="85"/>
  <c r="L421" i="85"/>
  <c r="N421" i="85"/>
  <c r="O421" i="85"/>
  <c r="P421" i="85"/>
  <c r="Q421" i="85"/>
  <c r="S421" i="85"/>
  <c r="L422" i="85"/>
  <c r="N422" i="85"/>
  <c r="O422" i="85"/>
  <c r="F422" i="85" s="1"/>
  <c r="P422" i="85"/>
  <c r="Q422" i="85"/>
  <c r="S422" i="85"/>
  <c r="L423" i="85"/>
  <c r="N423" i="85"/>
  <c r="O423" i="85"/>
  <c r="F423" i="85" s="1"/>
  <c r="P423" i="85"/>
  <c r="Q423" i="85"/>
  <c r="S423" i="85"/>
  <c r="L424" i="85"/>
  <c r="N424" i="85"/>
  <c r="O424" i="85"/>
  <c r="F424" i="85" s="1"/>
  <c r="P424" i="85"/>
  <c r="Q424" i="85"/>
  <c r="S424" i="85"/>
  <c r="L425" i="85"/>
  <c r="N425" i="85"/>
  <c r="O425" i="85"/>
  <c r="P425" i="85"/>
  <c r="F425" i="85" s="1"/>
  <c r="Q425" i="85"/>
  <c r="S425" i="85"/>
  <c r="L426" i="85"/>
  <c r="N426" i="85"/>
  <c r="O426" i="85"/>
  <c r="P426" i="85"/>
  <c r="F426" i="85" s="1"/>
  <c r="Q426" i="85"/>
  <c r="S426" i="85"/>
  <c r="L427" i="85"/>
  <c r="N427" i="85"/>
  <c r="O427" i="85"/>
  <c r="F427" i="85" s="1"/>
  <c r="P427" i="85"/>
  <c r="Q427" i="85"/>
  <c r="S427" i="85"/>
  <c r="F428" i="85"/>
  <c r="L428" i="85"/>
  <c r="N428" i="85"/>
  <c r="O428" i="85"/>
  <c r="P428" i="85"/>
  <c r="Q428" i="85"/>
  <c r="S428" i="85"/>
  <c r="L429" i="85"/>
  <c r="N429" i="85"/>
  <c r="O429" i="85"/>
  <c r="P429" i="85"/>
  <c r="Q429" i="85"/>
  <c r="S429" i="85"/>
  <c r="L430" i="85"/>
  <c r="N430" i="85"/>
  <c r="O430" i="85"/>
  <c r="F430" i="85" s="1"/>
  <c r="P430" i="85"/>
  <c r="Q430" i="85"/>
  <c r="S430" i="85"/>
  <c r="L431" i="85"/>
  <c r="N431" i="85"/>
  <c r="O431" i="85"/>
  <c r="P431" i="85"/>
  <c r="Q431" i="85"/>
  <c r="S431" i="85"/>
  <c r="L432" i="85"/>
  <c r="N432" i="85"/>
  <c r="O432" i="85"/>
  <c r="P432" i="85"/>
  <c r="Q432" i="85"/>
  <c r="S432" i="85"/>
  <c r="L433" i="85"/>
  <c r="N433" i="85"/>
  <c r="O433" i="85"/>
  <c r="P433" i="85"/>
  <c r="F433" i="85" s="1"/>
  <c r="Q433" i="85"/>
  <c r="S433" i="85"/>
  <c r="L434" i="85"/>
  <c r="N434" i="85"/>
  <c r="O434" i="85"/>
  <c r="F434" i="85" s="1"/>
  <c r="P434" i="85"/>
  <c r="Q434" i="85"/>
  <c r="S434" i="85"/>
  <c r="L435" i="85"/>
  <c r="N435" i="85"/>
  <c r="O435" i="85"/>
  <c r="P435" i="85"/>
  <c r="Q435" i="85"/>
  <c r="S435" i="85"/>
  <c r="L436" i="85"/>
  <c r="N436" i="85"/>
  <c r="O436" i="85"/>
  <c r="P436" i="85"/>
  <c r="Q436" i="85"/>
  <c r="S436" i="85"/>
  <c r="L437" i="85"/>
  <c r="N437" i="85"/>
  <c r="O437" i="85"/>
  <c r="F437" i="85" s="1"/>
  <c r="P437" i="85"/>
  <c r="Q437" i="85"/>
  <c r="S437" i="85"/>
  <c r="L438" i="85"/>
  <c r="N438" i="85"/>
  <c r="O438" i="85"/>
  <c r="P438" i="85"/>
  <c r="Q438" i="85"/>
  <c r="S438" i="85"/>
  <c r="L439" i="85"/>
  <c r="N439" i="85"/>
  <c r="O439" i="85"/>
  <c r="P439" i="85"/>
  <c r="Q439" i="85"/>
  <c r="S439" i="85"/>
  <c r="L440" i="85"/>
  <c r="N440" i="85"/>
  <c r="O440" i="85"/>
  <c r="P440" i="85"/>
  <c r="Q440" i="85"/>
  <c r="S440" i="85"/>
  <c r="L441" i="85"/>
  <c r="N441" i="85"/>
  <c r="O441" i="85"/>
  <c r="P441" i="85"/>
  <c r="Q441" i="85"/>
  <c r="S441" i="85"/>
  <c r="F442" i="85"/>
  <c r="L442" i="85"/>
  <c r="N442" i="85"/>
  <c r="O442" i="85"/>
  <c r="P442" i="85"/>
  <c r="Q442" i="85"/>
  <c r="S442" i="85"/>
  <c r="F443" i="85"/>
  <c r="L443" i="85"/>
  <c r="N443" i="85"/>
  <c r="O443" i="85"/>
  <c r="P443" i="85"/>
  <c r="Q443" i="85"/>
  <c r="S443" i="85"/>
  <c r="F444" i="85"/>
  <c r="L444" i="85"/>
  <c r="N444" i="85"/>
  <c r="O444" i="85"/>
  <c r="P444" i="85"/>
  <c r="Q444" i="85"/>
  <c r="S444" i="85"/>
  <c r="L445" i="85"/>
  <c r="N445" i="85"/>
  <c r="O445" i="85"/>
  <c r="F445" i="85" s="1"/>
  <c r="P445" i="85"/>
  <c r="Q445" i="85"/>
  <c r="S445" i="85"/>
  <c r="L446" i="85"/>
  <c r="N446" i="85"/>
  <c r="O446" i="85"/>
  <c r="P446" i="85"/>
  <c r="Q446" i="85"/>
  <c r="S446" i="85"/>
  <c r="L447" i="85"/>
  <c r="N447" i="85"/>
  <c r="O447" i="85"/>
  <c r="F447" i="85" s="1"/>
  <c r="P447" i="85"/>
  <c r="Q447" i="85"/>
  <c r="S447" i="85"/>
  <c r="L448" i="85"/>
  <c r="N448" i="85"/>
  <c r="O448" i="85"/>
  <c r="F448" i="85" s="1"/>
  <c r="P448" i="85"/>
  <c r="Q448" i="85"/>
  <c r="S448" i="85"/>
  <c r="L449" i="85"/>
  <c r="N449" i="85"/>
  <c r="O449" i="85"/>
  <c r="P449" i="85"/>
  <c r="Q449" i="85"/>
  <c r="S449" i="85"/>
  <c r="L450" i="85"/>
  <c r="N450" i="85"/>
  <c r="O450" i="85"/>
  <c r="F450" i="85" s="1"/>
  <c r="P450" i="85"/>
  <c r="Q450" i="85"/>
  <c r="S450" i="85"/>
  <c r="L451" i="85"/>
  <c r="N451" i="85"/>
  <c r="O451" i="85"/>
  <c r="P451" i="85"/>
  <c r="F451" i="85" s="1"/>
  <c r="Q451" i="85"/>
  <c r="S451" i="85"/>
  <c r="F452" i="85"/>
  <c r="L452" i="85"/>
  <c r="N452" i="85"/>
  <c r="O452" i="85"/>
  <c r="P452" i="85"/>
  <c r="Q452" i="85"/>
  <c r="S452" i="85"/>
  <c r="L453" i="85"/>
  <c r="N453" i="85"/>
  <c r="O453" i="85"/>
  <c r="P453" i="85"/>
  <c r="Q453" i="85"/>
  <c r="S453" i="85"/>
  <c r="L454" i="85"/>
  <c r="N454" i="85"/>
  <c r="O454" i="85"/>
  <c r="P454" i="85"/>
  <c r="Q454" i="85"/>
  <c r="S454" i="85"/>
  <c r="L455" i="85"/>
  <c r="N455" i="85"/>
  <c r="O455" i="85"/>
  <c r="F455" i="85" s="1"/>
  <c r="P455" i="85"/>
  <c r="Q455" i="85"/>
  <c r="S455" i="85"/>
  <c r="L456" i="85"/>
  <c r="N456" i="85"/>
  <c r="O456" i="85"/>
  <c r="F456" i="85" s="1"/>
  <c r="P456" i="85"/>
  <c r="Q456" i="85"/>
  <c r="S456" i="85"/>
  <c r="L457" i="85"/>
  <c r="N457" i="85"/>
  <c r="O457" i="85"/>
  <c r="P457" i="85"/>
  <c r="F457" i="85" s="1"/>
  <c r="Q457" i="85"/>
  <c r="S457" i="85"/>
  <c r="L458" i="85"/>
  <c r="N458" i="85"/>
  <c r="O458" i="85"/>
  <c r="F458" i="85" s="1"/>
  <c r="P458" i="85"/>
  <c r="Q458" i="85"/>
  <c r="S458" i="85"/>
  <c r="L459" i="85"/>
  <c r="N459" i="85"/>
  <c r="O459" i="85"/>
  <c r="F459" i="85" s="1"/>
  <c r="P459" i="85"/>
  <c r="Q459" i="85"/>
  <c r="S459" i="85"/>
  <c r="L460" i="85"/>
  <c r="N460" i="85"/>
  <c r="O460" i="85"/>
  <c r="P460" i="85"/>
  <c r="Q460" i="85"/>
  <c r="S460" i="85"/>
  <c r="L461" i="85"/>
  <c r="N461" i="85"/>
  <c r="O461" i="85"/>
  <c r="P461" i="85"/>
  <c r="Q461" i="85"/>
  <c r="S461" i="85"/>
  <c r="L462" i="85"/>
  <c r="N462" i="85"/>
  <c r="O462" i="85"/>
  <c r="P462" i="85"/>
  <c r="Q462" i="85"/>
  <c r="S462" i="85"/>
  <c r="L463" i="85"/>
  <c r="N463" i="85"/>
  <c r="O463" i="85"/>
  <c r="F463" i="85" s="1"/>
  <c r="P463" i="85"/>
  <c r="Q463" i="85"/>
  <c r="S463" i="85"/>
  <c r="L464" i="85"/>
  <c r="N464" i="85"/>
  <c r="O464" i="85"/>
  <c r="P464" i="85"/>
  <c r="Q464" i="85"/>
  <c r="S464" i="85"/>
  <c r="L465" i="85"/>
  <c r="N465" i="85"/>
  <c r="O465" i="85"/>
  <c r="P465" i="85"/>
  <c r="F465" i="85" s="1"/>
  <c r="Q465" i="85"/>
  <c r="S465" i="85"/>
  <c r="F466" i="85"/>
  <c r="L466" i="85"/>
  <c r="N466" i="85"/>
  <c r="O466" i="85"/>
  <c r="P466" i="85"/>
  <c r="Q466" i="85"/>
  <c r="S466" i="85"/>
  <c r="F467" i="85"/>
  <c r="L467" i="85"/>
  <c r="N467" i="85"/>
  <c r="O467" i="85"/>
  <c r="P467" i="85"/>
  <c r="Q467" i="85"/>
  <c r="S467" i="85"/>
  <c r="L468" i="85"/>
  <c r="N468" i="85"/>
  <c r="O468" i="85"/>
  <c r="F468" i="85" s="1"/>
  <c r="P468" i="85"/>
  <c r="Q468" i="85"/>
  <c r="S468" i="85"/>
  <c r="L469" i="85"/>
  <c r="N469" i="85"/>
  <c r="O469" i="85"/>
  <c r="F469" i="85" s="1"/>
  <c r="P469" i="85"/>
  <c r="Q469" i="85"/>
  <c r="S469" i="85"/>
  <c r="L470" i="85"/>
  <c r="N470" i="85"/>
  <c r="O470" i="85"/>
  <c r="P470" i="85"/>
  <c r="Q470" i="85"/>
  <c r="S470" i="85"/>
  <c r="L471" i="85"/>
  <c r="N471" i="85"/>
  <c r="O471" i="85"/>
  <c r="F471" i="85" s="1"/>
  <c r="P471" i="85"/>
  <c r="Q471" i="85"/>
  <c r="S471" i="85"/>
  <c r="L472" i="85"/>
  <c r="N472" i="85"/>
  <c r="O472" i="85"/>
  <c r="F472" i="85" s="1"/>
  <c r="P472" i="85"/>
  <c r="Q472" i="85"/>
  <c r="S472" i="85"/>
  <c r="L473" i="85"/>
  <c r="N473" i="85"/>
  <c r="O473" i="85"/>
  <c r="P473" i="85"/>
  <c r="Q473" i="85"/>
  <c r="S473" i="85"/>
  <c r="L474" i="85"/>
  <c r="N474" i="85"/>
  <c r="O474" i="85"/>
  <c r="P474" i="85"/>
  <c r="Q474" i="85"/>
  <c r="S474" i="85"/>
  <c r="L475" i="85"/>
  <c r="N475" i="85"/>
  <c r="O475" i="85"/>
  <c r="P475" i="85"/>
  <c r="Q475" i="85"/>
  <c r="S475" i="85"/>
  <c r="F476" i="85"/>
  <c r="L476" i="85"/>
  <c r="N476" i="85"/>
  <c r="O476" i="85"/>
  <c r="P476" i="85"/>
  <c r="Q476" i="85"/>
  <c r="S476" i="85"/>
  <c r="L477" i="85"/>
  <c r="N477" i="85"/>
  <c r="O477" i="85"/>
  <c r="P477" i="85"/>
  <c r="Q477" i="85"/>
  <c r="S477" i="85"/>
  <c r="L478" i="85"/>
  <c r="N478" i="85"/>
  <c r="O478" i="85"/>
  <c r="P478" i="85"/>
  <c r="Q478" i="85"/>
  <c r="S478" i="85"/>
  <c r="L479" i="85"/>
  <c r="N479" i="85"/>
  <c r="O479" i="85"/>
  <c r="P479" i="85"/>
  <c r="Q479" i="85"/>
  <c r="S479" i="85"/>
  <c r="L480" i="85"/>
  <c r="N480" i="85"/>
  <c r="O480" i="85"/>
  <c r="P480" i="85"/>
  <c r="Q480" i="85"/>
  <c r="S480" i="85"/>
  <c r="L481" i="85"/>
  <c r="N481" i="85"/>
  <c r="O481" i="85"/>
  <c r="P481" i="85"/>
  <c r="F481" i="85" s="1"/>
  <c r="Q481" i="85"/>
  <c r="S481" i="85"/>
  <c r="L482" i="85"/>
  <c r="N482" i="85"/>
  <c r="O482" i="85"/>
  <c r="F482" i="85" s="1"/>
  <c r="P482" i="85"/>
  <c r="Q482" i="85"/>
  <c r="S482" i="85"/>
  <c r="L483" i="85"/>
  <c r="N483" i="85"/>
  <c r="O483" i="85"/>
  <c r="P483" i="85"/>
  <c r="Q483" i="85"/>
  <c r="S483" i="85"/>
  <c r="L484" i="85"/>
  <c r="N484" i="85"/>
  <c r="O484" i="85"/>
  <c r="P484" i="85"/>
  <c r="Q484" i="85"/>
  <c r="S484" i="85"/>
  <c r="L485" i="85"/>
  <c r="N485" i="85"/>
  <c r="O485" i="85"/>
  <c r="P485" i="85"/>
  <c r="Q485" i="85"/>
  <c r="S485" i="85"/>
  <c r="L486" i="85"/>
  <c r="N486" i="85"/>
  <c r="O486" i="85"/>
  <c r="F486" i="85" s="1"/>
  <c r="P486" i="85"/>
  <c r="Q486" i="85"/>
  <c r="S486" i="85"/>
  <c r="L487" i="85"/>
  <c r="N487" i="85"/>
  <c r="O487" i="85"/>
  <c r="F487" i="85" s="1"/>
  <c r="P487" i="85"/>
  <c r="Q487" i="85"/>
  <c r="S487" i="85"/>
  <c r="L488" i="85"/>
  <c r="N488" i="85"/>
  <c r="O488" i="85"/>
  <c r="P488" i="85"/>
  <c r="Q488" i="85"/>
  <c r="S488" i="85"/>
  <c r="L489" i="85"/>
  <c r="N489" i="85"/>
  <c r="O489" i="85"/>
  <c r="P489" i="85"/>
  <c r="F489" i="85" s="1"/>
  <c r="Q489" i="85"/>
  <c r="S489" i="85"/>
  <c r="F490" i="85"/>
  <c r="L490" i="85"/>
  <c r="N490" i="85"/>
  <c r="O490" i="85"/>
  <c r="P490" i="85"/>
  <c r="Q490" i="85"/>
  <c r="S490" i="85"/>
  <c r="F491" i="85"/>
  <c r="L491" i="85"/>
  <c r="N491" i="85"/>
  <c r="O491" i="85"/>
  <c r="P491" i="85"/>
  <c r="Q491" i="85"/>
  <c r="S491" i="85"/>
  <c r="F492" i="85"/>
  <c r="L492" i="85"/>
  <c r="N492" i="85"/>
  <c r="O492" i="85"/>
  <c r="P492" i="85"/>
  <c r="Q492" i="85"/>
  <c r="S492" i="85"/>
  <c r="L493" i="85"/>
  <c r="N493" i="85"/>
  <c r="O493" i="85"/>
  <c r="P493" i="85"/>
  <c r="Q493" i="85"/>
  <c r="S493" i="85"/>
  <c r="L494" i="85"/>
  <c r="N494" i="85"/>
  <c r="O494" i="85"/>
  <c r="F494" i="85" s="1"/>
  <c r="P494" i="85"/>
  <c r="Q494" i="85"/>
  <c r="S494" i="85"/>
  <c r="L495" i="85"/>
  <c r="N495" i="85"/>
  <c r="O495" i="85"/>
  <c r="P495" i="85"/>
  <c r="Q495" i="85"/>
  <c r="S495" i="85"/>
  <c r="L496" i="85"/>
  <c r="N496" i="85"/>
  <c r="O496" i="85"/>
  <c r="P496" i="85"/>
  <c r="Q496" i="85"/>
  <c r="S496" i="85"/>
  <c r="L497" i="85"/>
  <c r="N497" i="85"/>
  <c r="O497" i="85"/>
  <c r="P497" i="85"/>
  <c r="F497" i="85" s="1"/>
  <c r="Q497" i="85"/>
  <c r="S497" i="85"/>
  <c r="L498" i="85"/>
  <c r="N498" i="85"/>
  <c r="O498" i="85"/>
  <c r="F498" i="85" s="1"/>
  <c r="P498" i="85"/>
  <c r="Q498" i="85"/>
  <c r="S498" i="85"/>
  <c r="L499" i="85"/>
  <c r="N499" i="85"/>
  <c r="O499" i="85"/>
  <c r="F499" i="85" s="1"/>
  <c r="P499" i="85"/>
  <c r="Q499" i="85"/>
  <c r="S499" i="85"/>
  <c r="L144" i="84"/>
  <c r="N144" i="84"/>
  <c r="O144" i="84"/>
  <c r="P144" i="84"/>
  <c r="Q144" i="84"/>
  <c r="S144" i="84"/>
  <c r="L145" i="84"/>
  <c r="N145" i="84"/>
  <c r="O145" i="84"/>
  <c r="P145" i="84"/>
  <c r="F145" i="84" s="1"/>
  <c r="Q145" i="84"/>
  <c r="S145" i="84"/>
  <c r="F146" i="84"/>
  <c r="L146" i="84"/>
  <c r="N146" i="84"/>
  <c r="O146" i="84"/>
  <c r="P146" i="84"/>
  <c r="Q146" i="84"/>
  <c r="S146" i="84"/>
  <c r="L147" i="84"/>
  <c r="N147" i="84"/>
  <c r="O147" i="84"/>
  <c r="P147" i="84"/>
  <c r="Q147" i="84"/>
  <c r="S147" i="84"/>
  <c r="L148" i="84"/>
  <c r="N148" i="84"/>
  <c r="O148" i="84"/>
  <c r="P148" i="84"/>
  <c r="Q148" i="84"/>
  <c r="S148" i="84"/>
  <c r="L149" i="84"/>
  <c r="N149" i="84"/>
  <c r="O149" i="84"/>
  <c r="F149" i="84" s="1"/>
  <c r="P149" i="84"/>
  <c r="Q149" i="84"/>
  <c r="S149" i="84"/>
  <c r="L150" i="84"/>
  <c r="N150" i="84"/>
  <c r="O150" i="84"/>
  <c r="F150" i="84" s="1"/>
  <c r="P150" i="84"/>
  <c r="Q150" i="84"/>
  <c r="S150" i="84"/>
  <c r="L151" i="84"/>
  <c r="N151" i="84"/>
  <c r="O151" i="84"/>
  <c r="F151" i="84" s="1"/>
  <c r="P151" i="84"/>
  <c r="Q151" i="84"/>
  <c r="S151" i="84"/>
  <c r="L152" i="84"/>
  <c r="N152" i="84"/>
  <c r="O152" i="84"/>
  <c r="P152" i="84"/>
  <c r="Q152" i="84"/>
  <c r="S152" i="84"/>
  <c r="L153" i="84"/>
  <c r="N153" i="84"/>
  <c r="O153" i="84"/>
  <c r="P153" i="84"/>
  <c r="Q153" i="84"/>
  <c r="S153" i="84"/>
  <c r="F154" i="84"/>
  <c r="L154" i="84"/>
  <c r="N154" i="84"/>
  <c r="O154" i="84"/>
  <c r="P154" i="84"/>
  <c r="Q154" i="84"/>
  <c r="S154" i="84"/>
  <c r="F155" i="84"/>
  <c r="L155" i="84"/>
  <c r="N155" i="84"/>
  <c r="O155" i="84"/>
  <c r="P155" i="84"/>
  <c r="Q155" i="84"/>
  <c r="S155" i="84"/>
  <c r="F156" i="84"/>
  <c r="L156" i="84"/>
  <c r="N156" i="84"/>
  <c r="O156" i="84"/>
  <c r="P156" i="84"/>
  <c r="Q156" i="84"/>
  <c r="S156" i="84"/>
  <c r="L157" i="84"/>
  <c r="N157" i="84"/>
  <c r="O157" i="84"/>
  <c r="F157" i="84" s="1"/>
  <c r="P157" i="84"/>
  <c r="Q157" i="84"/>
  <c r="S157" i="84"/>
  <c r="L158" i="84"/>
  <c r="N158" i="84"/>
  <c r="O158" i="84"/>
  <c r="P158" i="84"/>
  <c r="Q158" i="84"/>
  <c r="S158" i="84"/>
  <c r="L159" i="84"/>
  <c r="N159" i="84"/>
  <c r="O159" i="84"/>
  <c r="P159" i="84"/>
  <c r="Q159" i="84"/>
  <c r="S159" i="84"/>
  <c r="L160" i="84"/>
  <c r="N160" i="84"/>
  <c r="O160" i="84"/>
  <c r="P160" i="84"/>
  <c r="Q160" i="84"/>
  <c r="S160" i="84"/>
  <c r="L161" i="84"/>
  <c r="N161" i="84"/>
  <c r="O161" i="84"/>
  <c r="P161" i="84"/>
  <c r="Q161" i="84"/>
  <c r="S161" i="84"/>
  <c r="L162" i="84"/>
  <c r="N162" i="84"/>
  <c r="O162" i="84"/>
  <c r="P162" i="84"/>
  <c r="Q162" i="84"/>
  <c r="S162" i="84"/>
  <c r="L163" i="84"/>
  <c r="N163" i="84"/>
  <c r="O163" i="84"/>
  <c r="P163" i="84"/>
  <c r="Q163" i="84"/>
  <c r="S163" i="84"/>
  <c r="L164" i="84"/>
  <c r="N164" i="84"/>
  <c r="O164" i="84"/>
  <c r="F164" i="84" s="1"/>
  <c r="P164" i="84"/>
  <c r="Q164" i="84"/>
  <c r="S164" i="84"/>
  <c r="L165" i="84"/>
  <c r="N165" i="84"/>
  <c r="O165" i="84"/>
  <c r="F165" i="84" s="1"/>
  <c r="P165" i="84"/>
  <c r="Q165" i="84"/>
  <c r="S165" i="84"/>
  <c r="L166" i="84"/>
  <c r="N166" i="84"/>
  <c r="O166" i="84"/>
  <c r="F166" i="84" s="1"/>
  <c r="P166" i="84"/>
  <c r="Q166" i="84"/>
  <c r="S166" i="84"/>
  <c r="L167" i="84"/>
  <c r="N167" i="84"/>
  <c r="O167" i="84"/>
  <c r="P167" i="84"/>
  <c r="Q167" i="84"/>
  <c r="S167" i="84"/>
  <c r="L168" i="84"/>
  <c r="N168" i="84"/>
  <c r="O168" i="84"/>
  <c r="F168" i="84" s="1"/>
  <c r="P168" i="84"/>
  <c r="Q168" i="84"/>
  <c r="S168" i="84"/>
  <c r="L169" i="84"/>
  <c r="N169" i="84"/>
  <c r="O169" i="84"/>
  <c r="P169" i="84"/>
  <c r="Q169" i="84"/>
  <c r="S169" i="84"/>
  <c r="F170" i="84"/>
  <c r="L170" i="84"/>
  <c r="N170" i="84"/>
  <c r="O170" i="84"/>
  <c r="P170" i="84"/>
  <c r="Q170" i="84"/>
  <c r="S170" i="84"/>
  <c r="L171" i="84"/>
  <c r="N171" i="84"/>
  <c r="O171" i="84"/>
  <c r="F171" i="84" s="1"/>
  <c r="P171" i="84"/>
  <c r="Q171" i="84"/>
  <c r="S171" i="84"/>
  <c r="F172" i="84"/>
  <c r="L172" i="84"/>
  <c r="N172" i="84"/>
  <c r="O172" i="84"/>
  <c r="P172" i="84"/>
  <c r="Q172" i="84"/>
  <c r="S172" i="84"/>
  <c r="L173" i="84"/>
  <c r="N173" i="84"/>
  <c r="O173" i="84"/>
  <c r="P173" i="84"/>
  <c r="Q173" i="84"/>
  <c r="S173" i="84"/>
  <c r="L174" i="84"/>
  <c r="N174" i="84"/>
  <c r="O174" i="84"/>
  <c r="P174" i="84"/>
  <c r="Q174" i="84"/>
  <c r="S174" i="84"/>
  <c r="L175" i="84"/>
  <c r="N175" i="84"/>
  <c r="O175" i="84"/>
  <c r="P175" i="84"/>
  <c r="Q175" i="84"/>
  <c r="S175" i="84"/>
  <c r="L176" i="84"/>
  <c r="N176" i="84"/>
  <c r="O176" i="84"/>
  <c r="F176" i="84" s="1"/>
  <c r="P176" i="84"/>
  <c r="Q176" i="84"/>
  <c r="S176" i="84"/>
  <c r="L177" i="84"/>
  <c r="N177" i="84"/>
  <c r="O177" i="84"/>
  <c r="P177" i="84"/>
  <c r="F177" i="84" s="1"/>
  <c r="Q177" i="84"/>
  <c r="S177" i="84"/>
  <c r="L178" i="84"/>
  <c r="N178" i="84"/>
  <c r="O178" i="84"/>
  <c r="F178" i="84" s="1"/>
  <c r="P178" i="84"/>
  <c r="Q178" i="84"/>
  <c r="S178" i="84"/>
  <c r="L179" i="84"/>
  <c r="N179" i="84"/>
  <c r="O179" i="84"/>
  <c r="P179" i="84"/>
  <c r="F179" i="84" s="1"/>
  <c r="Q179" i="84"/>
  <c r="S179" i="84"/>
  <c r="F180" i="84"/>
  <c r="L180" i="84"/>
  <c r="N180" i="84"/>
  <c r="O180" i="84"/>
  <c r="P180" i="84"/>
  <c r="Q180" i="84"/>
  <c r="S180" i="84"/>
  <c r="L181" i="84"/>
  <c r="N181" i="84"/>
  <c r="O181" i="84"/>
  <c r="F181" i="84" s="1"/>
  <c r="P181" i="84"/>
  <c r="Q181" i="84"/>
  <c r="S181" i="84"/>
  <c r="L182" i="84"/>
  <c r="N182" i="84"/>
  <c r="O182" i="84"/>
  <c r="P182" i="84"/>
  <c r="Q182" i="84"/>
  <c r="S182" i="84"/>
  <c r="L183" i="84"/>
  <c r="N183" i="84"/>
  <c r="O183" i="84"/>
  <c r="P183" i="84"/>
  <c r="Q183" i="84"/>
  <c r="S183" i="84"/>
  <c r="L184" i="84"/>
  <c r="N184" i="84"/>
  <c r="O184" i="84"/>
  <c r="F184" i="84" s="1"/>
  <c r="P184" i="84"/>
  <c r="Q184" i="84"/>
  <c r="S184" i="84"/>
  <c r="L185" i="84"/>
  <c r="N185" i="84"/>
  <c r="O185" i="84"/>
  <c r="P185" i="84"/>
  <c r="Q185" i="84"/>
  <c r="S185" i="84"/>
  <c r="F186" i="84"/>
  <c r="L186" i="84"/>
  <c r="N186" i="84"/>
  <c r="O186" i="84"/>
  <c r="P186" i="84"/>
  <c r="Q186" i="84"/>
  <c r="S186" i="84"/>
  <c r="L187" i="84"/>
  <c r="N187" i="84"/>
  <c r="O187" i="84"/>
  <c r="F187" i="84" s="1"/>
  <c r="P187" i="84"/>
  <c r="Q187" i="84"/>
  <c r="S187" i="84"/>
  <c r="L188" i="84"/>
  <c r="N188" i="84"/>
  <c r="O188" i="84"/>
  <c r="P188" i="84"/>
  <c r="Q188" i="84"/>
  <c r="S188" i="84"/>
  <c r="L189" i="84"/>
  <c r="N189" i="84"/>
  <c r="O189" i="84"/>
  <c r="P189" i="84"/>
  <c r="Q189" i="84"/>
  <c r="S189" i="84"/>
  <c r="L190" i="84"/>
  <c r="N190" i="84"/>
  <c r="O190" i="84"/>
  <c r="P190" i="84"/>
  <c r="Q190" i="84"/>
  <c r="S190" i="84"/>
  <c r="L191" i="84"/>
  <c r="N191" i="84"/>
  <c r="O191" i="84"/>
  <c r="F191" i="84" s="1"/>
  <c r="P191" i="84"/>
  <c r="Q191" i="84"/>
  <c r="S191" i="84"/>
  <c r="L192" i="84"/>
  <c r="N192" i="84"/>
  <c r="O192" i="84"/>
  <c r="P192" i="84"/>
  <c r="Q192" i="84"/>
  <c r="S192" i="84"/>
  <c r="L193" i="84"/>
  <c r="N193" i="84"/>
  <c r="O193" i="84"/>
  <c r="P193" i="84"/>
  <c r="F193" i="84" s="1"/>
  <c r="Q193" i="84"/>
  <c r="S193" i="84"/>
  <c r="F194" i="84"/>
  <c r="L194" i="84"/>
  <c r="N194" i="84"/>
  <c r="O194" i="84"/>
  <c r="P194" i="84"/>
  <c r="Q194" i="84"/>
  <c r="S194" i="84"/>
  <c r="F195" i="84"/>
  <c r="L195" i="84"/>
  <c r="N195" i="84"/>
  <c r="O195" i="84"/>
  <c r="P195" i="84"/>
  <c r="Q195" i="84"/>
  <c r="S195" i="84"/>
  <c r="F196" i="84"/>
  <c r="L196" i="84"/>
  <c r="N196" i="84"/>
  <c r="O196" i="84"/>
  <c r="P196" i="84"/>
  <c r="Q196" i="84"/>
  <c r="S196" i="84"/>
  <c r="L197" i="84"/>
  <c r="N197" i="84"/>
  <c r="O197" i="84"/>
  <c r="P197" i="84"/>
  <c r="Q197" i="84"/>
  <c r="S197" i="84"/>
  <c r="L198" i="84"/>
  <c r="N198" i="84"/>
  <c r="O198" i="84"/>
  <c r="F198" i="84" s="1"/>
  <c r="P198" i="84"/>
  <c r="Q198" i="84"/>
  <c r="S198" i="84"/>
  <c r="L199" i="84"/>
  <c r="N199" i="84"/>
  <c r="O199" i="84"/>
  <c r="F199" i="84" s="1"/>
  <c r="P199" i="84"/>
  <c r="Q199" i="84"/>
  <c r="S199" i="84"/>
  <c r="L200" i="84"/>
  <c r="N200" i="84"/>
  <c r="O200" i="84"/>
  <c r="F200" i="84" s="1"/>
  <c r="P200" i="84"/>
  <c r="Q200" i="84"/>
  <c r="S200" i="84"/>
  <c r="L201" i="84"/>
  <c r="N201" i="84"/>
  <c r="O201" i="84"/>
  <c r="P201" i="84"/>
  <c r="F201" i="84" s="1"/>
  <c r="Q201" i="84"/>
  <c r="S201" i="84"/>
  <c r="L202" i="84"/>
  <c r="N202" i="84"/>
  <c r="O202" i="84"/>
  <c r="F202" i="84" s="1"/>
  <c r="P202" i="84"/>
  <c r="Q202" i="84"/>
  <c r="S202" i="84"/>
  <c r="L203" i="84"/>
  <c r="N203" i="84"/>
  <c r="O203" i="84"/>
  <c r="F203" i="84" s="1"/>
  <c r="P203" i="84"/>
  <c r="Q203" i="84"/>
  <c r="S203" i="84"/>
  <c r="F204" i="84"/>
  <c r="L204" i="84"/>
  <c r="N204" i="84"/>
  <c r="O204" i="84"/>
  <c r="P204" i="84"/>
  <c r="Q204" i="84"/>
  <c r="S204" i="84"/>
  <c r="L205" i="84"/>
  <c r="N205" i="84"/>
  <c r="O205" i="84"/>
  <c r="P205" i="84"/>
  <c r="Q205" i="84"/>
  <c r="S205" i="84"/>
  <c r="L206" i="84"/>
  <c r="N206" i="84"/>
  <c r="O206" i="84"/>
  <c r="P206" i="84"/>
  <c r="Q206" i="84"/>
  <c r="S206" i="84"/>
  <c r="L207" i="84"/>
  <c r="N207" i="84"/>
  <c r="O207" i="84"/>
  <c r="P207" i="84"/>
  <c r="Q207" i="84"/>
  <c r="S207" i="84"/>
  <c r="L208" i="84"/>
  <c r="N208" i="84"/>
  <c r="O208" i="84"/>
  <c r="P208" i="84"/>
  <c r="Q208" i="84"/>
  <c r="S208" i="84"/>
  <c r="L209" i="84"/>
  <c r="N209" i="84"/>
  <c r="O209" i="84"/>
  <c r="P209" i="84"/>
  <c r="F209" i="84" s="1"/>
  <c r="Q209" i="84"/>
  <c r="S209" i="84"/>
  <c r="L210" i="84"/>
  <c r="N210" i="84"/>
  <c r="O210" i="84"/>
  <c r="F210" i="84" s="1"/>
  <c r="P210" i="84"/>
  <c r="Q210" i="84"/>
  <c r="S210" i="84"/>
  <c r="L211" i="84"/>
  <c r="N211" i="84"/>
  <c r="O211" i="84"/>
  <c r="P211" i="84"/>
  <c r="Q211" i="84"/>
  <c r="S211" i="84"/>
  <c r="L212" i="84"/>
  <c r="N212" i="84"/>
  <c r="O212" i="84"/>
  <c r="P212" i="84"/>
  <c r="Q212" i="84"/>
  <c r="S212" i="84"/>
  <c r="L213" i="84"/>
  <c r="N213" i="84"/>
  <c r="O213" i="84"/>
  <c r="P213" i="84"/>
  <c r="Q213" i="84"/>
  <c r="S213" i="84"/>
  <c r="L214" i="84"/>
  <c r="N214" i="84"/>
  <c r="O214" i="84"/>
  <c r="F214" i="84" s="1"/>
  <c r="P214" i="84"/>
  <c r="Q214" i="84"/>
  <c r="S214" i="84"/>
  <c r="L215" i="84"/>
  <c r="N215" i="84"/>
  <c r="O215" i="84"/>
  <c r="F215" i="84" s="1"/>
  <c r="P215" i="84"/>
  <c r="Q215" i="84"/>
  <c r="S215" i="84"/>
  <c r="L216" i="84"/>
  <c r="N216" i="84"/>
  <c r="O216" i="84"/>
  <c r="P216" i="84"/>
  <c r="Q216" i="84"/>
  <c r="S216" i="84"/>
  <c r="L217" i="84"/>
  <c r="N217" i="84"/>
  <c r="O217" i="84"/>
  <c r="P217" i="84"/>
  <c r="F217" i="84" s="1"/>
  <c r="Q217" i="84"/>
  <c r="S217" i="84"/>
  <c r="F218" i="84"/>
  <c r="L218" i="84"/>
  <c r="N218" i="84"/>
  <c r="O218" i="84"/>
  <c r="P218" i="84"/>
  <c r="Q218" i="84"/>
  <c r="S218" i="84"/>
  <c r="L219" i="84"/>
  <c r="N219" i="84"/>
  <c r="O219" i="84"/>
  <c r="F219" i="84" s="1"/>
  <c r="P219" i="84"/>
  <c r="Q219" i="84"/>
  <c r="S219" i="84"/>
  <c r="L220" i="84"/>
  <c r="N220" i="84"/>
  <c r="O220" i="84"/>
  <c r="P220" i="84"/>
  <c r="F220" i="84" s="1"/>
  <c r="Q220" i="84"/>
  <c r="S220" i="84"/>
  <c r="L221" i="84"/>
  <c r="N221" i="84"/>
  <c r="O221" i="84"/>
  <c r="F221" i="84" s="1"/>
  <c r="P221" i="84"/>
  <c r="Q221" i="84"/>
  <c r="S221" i="84"/>
  <c r="L222" i="84"/>
  <c r="N222" i="84"/>
  <c r="O222" i="84"/>
  <c r="F222" i="84" s="1"/>
  <c r="P222" i="84"/>
  <c r="Q222" i="84"/>
  <c r="S222" i="84"/>
  <c r="L223" i="84"/>
  <c r="N223" i="84"/>
  <c r="O223" i="84"/>
  <c r="P223" i="84"/>
  <c r="Q223" i="84"/>
  <c r="S223" i="84"/>
  <c r="L224" i="84"/>
  <c r="N224" i="84"/>
  <c r="O224" i="84"/>
  <c r="P224" i="84"/>
  <c r="Q224" i="84"/>
  <c r="S224" i="84"/>
  <c r="L225" i="84"/>
  <c r="N225" i="84"/>
  <c r="O225" i="84"/>
  <c r="P225" i="84"/>
  <c r="Q225" i="84"/>
  <c r="S225" i="84"/>
  <c r="L226" i="84"/>
  <c r="N226" i="84"/>
  <c r="O226" i="84"/>
  <c r="F226" i="84" s="1"/>
  <c r="P226" i="84"/>
  <c r="Q226" i="84"/>
  <c r="S226" i="84"/>
  <c r="F227" i="84"/>
  <c r="L227" i="84"/>
  <c r="N227" i="84"/>
  <c r="O227" i="84"/>
  <c r="P227" i="84"/>
  <c r="Q227" i="84"/>
  <c r="S227" i="84"/>
  <c r="L228" i="84"/>
  <c r="N228" i="84"/>
  <c r="O228" i="84"/>
  <c r="F228" i="84" s="1"/>
  <c r="P228" i="84"/>
  <c r="Q228" i="84"/>
  <c r="S228" i="84"/>
  <c r="L229" i="84"/>
  <c r="N229" i="84"/>
  <c r="O229" i="84"/>
  <c r="F229" i="84" s="1"/>
  <c r="P229" i="84"/>
  <c r="Q229" i="84"/>
  <c r="S229" i="84"/>
  <c r="L230" i="84"/>
  <c r="N230" i="84"/>
  <c r="O230" i="84"/>
  <c r="F230" i="84" s="1"/>
  <c r="P230" i="84"/>
  <c r="Q230" i="84"/>
  <c r="S230" i="84"/>
  <c r="L231" i="84"/>
  <c r="N231" i="84"/>
  <c r="O231" i="84"/>
  <c r="P231" i="84"/>
  <c r="Q231" i="84"/>
  <c r="S231" i="84"/>
  <c r="L232" i="84"/>
  <c r="N232" i="84"/>
  <c r="O232" i="84"/>
  <c r="F232" i="84" s="1"/>
  <c r="P232" i="84"/>
  <c r="Q232" i="84"/>
  <c r="S232" i="84"/>
  <c r="L233" i="84"/>
  <c r="N233" i="84"/>
  <c r="O233" i="84"/>
  <c r="P233" i="84"/>
  <c r="Q233" i="84"/>
  <c r="S233" i="84"/>
  <c r="L234" i="84"/>
  <c r="N234" i="84"/>
  <c r="O234" i="84"/>
  <c r="P234" i="84"/>
  <c r="F234" i="84" s="1"/>
  <c r="Q234" i="84"/>
  <c r="S234" i="84"/>
  <c r="L235" i="84"/>
  <c r="N235" i="84"/>
  <c r="O235" i="84"/>
  <c r="F235" i="84" s="1"/>
  <c r="P235" i="84"/>
  <c r="Q235" i="84"/>
  <c r="S235" i="84"/>
  <c r="F236" i="84"/>
  <c r="L236" i="84"/>
  <c r="N236" i="84"/>
  <c r="O236" i="84"/>
  <c r="P236" i="84"/>
  <c r="Q236" i="84"/>
  <c r="S236" i="84"/>
  <c r="L237" i="84"/>
  <c r="N237" i="84"/>
  <c r="O237" i="84"/>
  <c r="P237" i="84"/>
  <c r="Q237" i="84"/>
  <c r="S237" i="84"/>
  <c r="L238" i="84"/>
  <c r="N238" i="84"/>
  <c r="O238" i="84"/>
  <c r="P238" i="84"/>
  <c r="Q238" i="84"/>
  <c r="S238" i="84"/>
  <c r="L239" i="84"/>
  <c r="N239" i="84"/>
  <c r="O239" i="84"/>
  <c r="P239" i="84"/>
  <c r="Q239" i="84"/>
  <c r="S239" i="84"/>
  <c r="L240" i="84"/>
  <c r="N240" i="84"/>
  <c r="O240" i="84"/>
  <c r="F240" i="84" s="1"/>
  <c r="P240" i="84"/>
  <c r="Q240" i="84"/>
  <c r="S240" i="84"/>
  <c r="L241" i="84"/>
  <c r="N241" i="84"/>
  <c r="O241" i="84"/>
  <c r="P241" i="84"/>
  <c r="F241" i="84" s="1"/>
  <c r="Q241" i="84"/>
  <c r="S241" i="84"/>
  <c r="F242" i="84"/>
  <c r="L242" i="84"/>
  <c r="N242" i="84"/>
  <c r="O242" i="84"/>
  <c r="P242" i="84"/>
  <c r="Q242" i="84"/>
  <c r="S242" i="84"/>
  <c r="L243" i="84"/>
  <c r="N243" i="84"/>
  <c r="O243" i="84"/>
  <c r="P243" i="84"/>
  <c r="F243" i="84" s="1"/>
  <c r="Q243" i="84"/>
  <c r="S243" i="84"/>
  <c r="L244" i="84"/>
  <c r="N244" i="84"/>
  <c r="O244" i="84"/>
  <c r="F244" i="84" s="1"/>
  <c r="P244" i="84"/>
  <c r="Q244" i="84"/>
  <c r="S244" i="84"/>
  <c r="L245" i="84"/>
  <c r="N245" i="84"/>
  <c r="O245" i="84"/>
  <c r="P245" i="84"/>
  <c r="Q245" i="84"/>
  <c r="S245" i="84"/>
  <c r="L246" i="84"/>
  <c r="N246" i="84"/>
  <c r="O246" i="84"/>
  <c r="P246" i="84"/>
  <c r="Q246" i="84"/>
  <c r="S246" i="84"/>
  <c r="L247" i="84"/>
  <c r="N247" i="84"/>
  <c r="O247" i="84"/>
  <c r="F247" i="84" s="1"/>
  <c r="P247" i="84"/>
  <c r="Q247" i="84"/>
  <c r="S247" i="84"/>
  <c r="L248" i="84"/>
  <c r="N248" i="84"/>
  <c r="O248" i="84"/>
  <c r="F248" i="84" s="1"/>
  <c r="P248" i="84"/>
  <c r="Q248" i="84"/>
  <c r="S248" i="84"/>
  <c r="L249" i="84"/>
  <c r="N249" i="84"/>
  <c r="O249" i="84"/>
  <c r="P249" i="84"/>
  <c r="F249" i="84" s="1"/>
  <c r="Q249" i="84"/>
  <c r="S249" i="84"/>
  <c r="F250" i="84"/>
  <c r="L250" i="84"/>
  <c r="N250" i="84"/>
  <c r="O250" i="84"/>
  <c r="P250" i="84"/>
  <c r="Q250" i="84"/>
  <c r="S250" i="84"/>
  <c r="L251" i="84"/>
  <c r="N251" i="84"/>
  <c r="O251" i="84"/>
  <c r="P251" i="84"/>
  <c r="Q251" i="84"/>
  <c r="S251" i="84"/>
  <c r="F252" i="84"/>
  <c r="L252" i="84"/>
  <c r="N252" i="84"/>
  <c r="O252" i="84"/>
  <c r="P252" i="84"/>
  <c r="Q252" i="84"/>
  <c r="S252" i="84"/>
  <c r="L253" i="84"/>
  <c r="N253" i="84"/>
  <c r="O253" i="84"/>
  <c r="P253" i="84"/>
  <c r="Q253" i="84"/>
  <c r="S253" i="84"/>
  <c r="L254" i="84"/>
  <c r="N254" i="84"/>
  <c r="O254" i="84"/>
  <c r="P254" i="84"/>
  <c r="Q254" i="84"/>
  <c r="S254" i="84"/>
  <c r="L255" i="84"/>
  <c r="N255" i="84"/>
  <c r="O255" i="84"/>
  <c r="P255" i="84"/>
  <c r="Q255" i="84"/>
  <c r="S255" i="84"/>
  <c r="L256" i="84"/>
  <c r="N256" i="84"/>
  <c r="O256" i="84"/>
  <c r="F256" i="84" s="1"/>
  <c r="P256" i="84"/>
  <c r="Q256" i="84"/>
  <c r="S256" i="84"/>
  <c r="L257" i="84"/>
  <c r="N257" i="84"/>
  <c r="O257" i="84"/>
  <c r="P257" i="84"/>
  <c r="F257" i="84" s="1"/>
  <c r="Q257" i="84"/>
  <c r="S257" i="84"/>
  <c r="L258" i="84"/>
  <c r="N258" i="84"/>
  <c r="O258" i="84"/>
  <c r="F258" i="84" s="1"/>
  <c r="P258" i="84"/>
  <c r="Q258" i="84"/>
  <c r="S258" i="84"/>
  <c r="L259" i="84"/>
  <c r="N259" i="84"/>
  <c r="O259" i="84"/>
  <c r="P259" i="84"/>
  <c r="Q259" i="84"/>
  <c r="S259" i="84"/>
  <c r="F260" i="84"/>
  <c r="L260" i="84"/>
  <c r="N260" i="84"/>
  <c r="O260" i="84"/>
  <c r="P260" i="84"/>
  <c r="Q260" i="84"/>
  <c r="S260" i="84"/>
  <c r="L261" i="84"/>
  <c r="N261" i="84"/>
  <c r="O261" i="84"/>
  <c r="P261" i="84"/>
  <c r="Q261" i="84"/>
  <c r="S261" i="84"/>
  <c r="L262" i="84"/>
  <c r="N262" i="84"/>
  <c r="O262" i="84"/>
  <c r="P262" i="84"/>
  <c r="Q262" i="84"/>
  <c r="S262" i="84"/>
  <c r="L263" i="84"/>
  <c r="N263" i="84"/>
  <c r="O263" i="84"/>
  <c r="F263" i="84" s="1"/>
  <c r="P263" i="84"/>
  <c r="Q263" i="84"/>
  <c r="S263" i="84"/>
  <c r="L264" i="84"/>
  <c r="N264" i="84"/>
  <c r="O264" i="84"/>
  <c r="F264" i="84" s="1"/>
  <c r="P264" i="84"/>
  <c r="Q264" i="84"/>
  <c r="S264" i="84"/>
  <c r="L265" i="84"/>
  <c r="N265" i="84"/>
  <c r="O265" i="84"/>
  <c r="P265" i="84"/>
  <c r="F265" i="84" s="1"/>
  <c r="Q265" i="84"/>
  <c r="S265" i="84"/>
  <c r="L266" i="84"/>
  <c r="N266" i="84"/>
  <c r="O266" i="84"/>
  <c r="F266" i="84" s="1"/>
  <c r="P266" i="84"/>
  <c r="Q266" i="84"/>
  <c r="S266" i="84"/>
  <c r="L267" i="84"/>
  <c r="N267" i="84"/>
  <c r="O267" i="84"/>
  <c r="F267" i="84" s="1"/>
  <c r="P267" i="84"/>
  <c r="Q267" i="84"/>
  <c r="S267" i="84"/>
  <c r="L268" i="84"/>
  <c r="N268" i="84"/>
  <c r="O268" i="84"/>
  <c r="P268" i="84"/>
  <c r="F268" i="84" s="1"/>
  <c r="Q268" i="84"/>
  <c r="S268" i="84"/>
  <c r="L269" i="84"/>
  <c r="N269" i="84"/>
  <c r="O269" i="84"/>
  <c r="P269" i="84"/>
  <c r="Q269" i="84"/>
  <c r="S269" i="84"/>
  <c r="L270" i="84"/>
  <c r="N270" i="84"/>
  <c r="O270" i="84"/>
  <c r="P270" i="84"/>
  <c r="Q270" i="84"/>
  <c r="S270" i="84"/>
  <c r="L271" i="84"/>
  <c r="N271" i="84"/>
  <c r="O271" i="84"/>
  <c r="F271" i="84" s="1"/>
  <c r="P271" i="84"/>
  <c r="Q271" i="84"/>
  <c r="S271" i="84"/>
  <c r="L272" i="84"/>
  <c r="N272" i="84"/>
  <c r="O272" i="84"/>
  <c r="P272" i="84"/>
  <c r="Q272" i="84"/>
  <c r="S272" i="84"/>
  <c r="L273" i="84"/>
  <c r="N273" i="84"/>
  <c r="O273" i="84"/>
  <c r="P273" i="84"/>
  <c r="F273" i="84" s="1"/>
  <c r="Q273" i="84"/>
  <c r="S273" i="84"/>
  <c r="F274" i="84"/>
  <c r="L274" i="84"/>
  <c r="N274" i="84"/>
  <c r="O274" i="84"/>
  <c r="P274" i="84"/>
  <c r="Q274" i="84"/>
  <c r="S274" i="84"/>
  <c r="F275" i="84"/>
  <c r="L275" i="84"/>
  <c r="N275" i="84"/>
  <c r="O275" i="84"/>
  <c r="P275" i="84"/>
  <c r="Q275" i="84"/>
  <c r="S275" i="84"/>
  <c r="L276" i="84"/>
  <c r="N276" i="84"/>
  <c r="O276" i="84"/>
  <c r="F276" i="84" s="1"/>
  <c r="P276" i="84"/>
  <c r="Q276" i="84"/>
  <c r="S276" i="84"/>
  <c r="L277" i="84"/>
  <c r="N277" i="84"/>
  <c r="O277" i="84"/>
  <c r="P277" i="84"/>
  <c r="Q277" i="84"/>
  <c r="S277" i="84"/>
  <c r="L278" i="84"/>
  <c r="N278" i="84"/>
  <c r="O278" i="84"/>
  <c r="F278" i="84" s="1"/>
  <c r="P278" i="84"/>
  <c r="Q278" i="84"/>
  <c r="S278" i="84"/>
  <c r="L279" i="84"/>
  <c r="N279" i="84"/>
  <c r="O279" i="84"/>
  <c r="P279" i="84"/>
  <c r="Q279" i="84"/>
  <c r="S279" i="84"/>
  <c r="L280" i="84"/>
  <c r="N280" i="84"/>
  <c r="O280" i="84"/>
  <c r="F280" i="84" s="1"/>
  <c r="P280" i="84"/>
  <c r="Q280" i="84"/>
  <c r="S280" i="84"/>
  <c r="L281" i="84"/>
  <c r="N281" i="84"/>
  <c r="O281" i="84"/>
  <c r="P281" i="84"/>
  <c r="F281" i="84" s="1"/>
  <c r="Q281" i="84"/>
  <c r="S281" i="84"/>
  <c r="L282" i="84"/>
  <c r="N282" i="84"/>
  <c r="O282" i="84"/>
  <c r="P282" i="84"/>
  <c r="F282" i="84" s="1"/>
  <c r="Q282" i="84"/>
  <c r="S282" i="84"/>
  <c r="L283" i="84"/>
  <c r="N283" i="84"/>
  <c r="O283" i="84"/>
  <c r="F283" i="84" s="1"/>
  <c r="P283" i="84"/>
  <c r="Q283" i="84"/>
  <c r="S283" i="84"/>
  <c r="F284" i="84"/>
  <c r="L284" i="84"/>
  <c r="N284" i="84"/>
  <c r="O284" i="84"/>
  <c r="P284" i="84"/>
  <c r="Q284" i="84"/>
  <c r="S284" i="84"/>
  <c r="L285" i="84"/>
  <c r="N285" i="84"/>
  <c r="O285" i="84"/>
  <c r="P285" i="84"/>
  <c r="Q285" i="84"/>
  <c r="S285" i="84"/>
  <c r="L286" i="84"/>
  <c r="N286" i="84"/>
  <c r="O286" i="84"/>
  <c r="F286" i="84" s="1"/>
  <c r="P286" i="84"/>
  <c r="Q286" i="84"/>
  <c r="S286" i="84"/>
  <c r="L287" i="84"/>
  <c r="N287" i="84"/>
  <c r="O287" i="84"/>
  <c r="P287" i="84"/>
  <c r="Q287" i="84"/>
  <c r="S287" i="84"/>
  <c r="L288" i="84"/>
  <c r="N288" i="84"/>
  <c r="O288" i="84"/>
  <c r="F288" i="84" s="1"/>
  <c r="P288" i="84"/>
  <c r="Q288" i="84"/>
  <c r="S288" i="84"/>
  <c r="L289" i="84"/>
  <c r="N289" i="84"/>
  <c r="O289" i="84"/>
  <c r="P289" i="84"/>
  <c r="F289" i="84" s="1"/>
  <c r="Q289" i="84"/>
  <c r="S289" i="84"/>
  <c r="L290" i="84"/>
  <c r="N290" i="84"/>
  <c r="O290" i="84"/>
  <c r="F290" i="84" s="1"/>
  <c r="P290" i="84"/>
  <c r="Q290" i="84"/>
  <c r="S290" i="84"/>
  <c r="L291" i="84"/>
  <c r="N291" i="84"/>
  <c r="O291" i="84"/>
  <c r="F291" i="84" s="1"/>
  <c r="P291" i="84"/>
  <c r="Q291" i="84"/>
  <c r="S291" i="84"/>
  <c r="L292" i="84"/>
  <c r="N292" i="84"/>
  <c r="O292" i="84"/>
  <c r="P292" i="84"/>
  <c r="Q292" i="84"/>
  <c r="S292" i="84"/>
  <c r="L293" i="84"/>
  <c r="N293" i="84"/>
  <c r="O293" i="84"/>
  <c r="F293" i="84" s="1"/>
  <c r="P293" i="84"/>
  <c r="Q293" i="84"/>
  <c r="S293" i="84"/>
  <c r="L294" i="84"/>
  <c r="N294" i="84"/>
  <c r="O294" i="84"/>
  <c r="P294" i="84"/>
  <c r="Q294" i="84"/>
  <c r="S294" i="84"/>
  <c r="L295" i="84"/>
  <c r="N295" i="84"/>
  <c r="O295" i="84"/>
  <c r="F295" i="84" s="1"/>
  <c r="P295" i="84"/>
  <c r="Q295" i="84"/>
  <c r="S295" i="84"/>
  <c r="L296" i="84"/>
  <c r="N296" i="84"/>
  <c r="O296" i="84"/>
  <c r="P296" i="84"/>
  <c r="Q296" i="84"/>
  <c r="S296" i="84"/>
  <c r="L297" i="84"/>
  <c r="N297" i="84"/>
  <c r="O297" i="84"/>
  <c r="P297" i="84"/>
  <c r="Q297" i="84"/>
  <c r="S297" i="84"/>
  <c r="F298" i="84"/>
  <c r="L298" i="84"/>
  <c r="N298" i="84"/>
  <c r="O298" i="84"/>
  <c r="P298" i="84"/>
  <c r="Q298" i="84"/>
  <c r="S298" i="84"/>
  <c r="F299" i="84"/>
  <c r="L299" i="84"/>
  <c r="N299" i="84"/>
  <c r="O299" i="84"/>
  <c r="P299" i="84"/>
  <c r="Q299" i="84"/>
  <c r="S299" i="84"/>
  <c r="F300" i="84"/>
  <c r="L300" i="84"/>
  <c r="N300" i="84"/>
  <c r="O300" i="84"/>
  <c r="P300" i="84"/>
  <c r="Q300" i="84"/>
  <c r="S300" i="84"/>
  <c r="L301" i="84"/>
  <c r="N301" i="84"/>
  <c r="O301" i="84"/>
  <c r="F301" i="84" s="1"/>
  <c r="P301" i="84"/>
  <c r="Q301" i="84"/>
  <c r="S301" i="84"/>
  <c r="L302" i="84"/>
  <c r="N302" i="84"/>
  <c r="O302" i="84"/>
  <c r="P302" i="84"/>
  <c r="Q302" i="84"/>
  <c r="S302" i="84"/>
  <c r="L303" i="84"/>
  <c r="N303" i="84"/>
  <c r="O303" i="84"/>
  <c r="P303" i="84"/>
  <c r="Q303" i="84"/>
  <c r="S303" i="84"/>
  <c r="L304" i="84"/>
  <c r="N304" i="84"/>
  <c r="O304" i="84"/>
  <c r="F304" i="84" s="1"/>
  <c r="P304" i="84"/>
  <c r="Q304" i="84"/>
  <c r="S304" i="84"/>
  <c r="L305" i="84"/>
  <c r="N305" i="84"/>
  <c r="O305" i="84"/>
  <c r="P305" i="84"/>
  <c r="Q305" i="84"/>
  <c r="S305" i="84"/>
  <c r="L306" i="84"/>
  <c r="N306" i="84"/>
  <c r="O306" i="84"/>
  <c r="F306" i="84" s="1"/>
  <c r="P306" i="84"/>
  <c r="Q306" i="84"/>
  <c r="S306" i="84"/>
  <c r="L307" i="84"/>
  <c r="N307" i="84"/>
  <c r="O307" i="84"/>
  <c r="P307" i="84"/>
  <c r="F307" i="84" s="1"/>
  <c r="Q307" i="84"/>
  <c r="S307" i="84"/>
  <c r="F308" i="84"/>
  <c r="L308" i="84"/>
  <c r="N308" i="84"/>
  <c r="O308" i="84"/>
  <c r="P308" i="84"/>
  <c r="Q308" i="84"/>
  <c r="S308" i="84"/>
  <c r="L309" i="84"/>
  <c r="N309" i="84"/>
  <c r="O309" i="84"/>
  <c r="P309" i="84"/>
  <c r="Q309" i="84"/>
  <c r="S309" i="84"/>
  <c r="L310" i="84"/>
  <c r="N310" i="84"/>
  <c r="O310" i="84"/>
  <c r="P310" i="84"/>
  <c r="Q310" i="84"/>
  <c r="S310" i="84"/>
  <c r="L311" i="84"/>
  <c r="N311" i="84"/>
  <c r="O311" i="84"/>
  <c r="P311" i="84"/>
  <c r="Q311" i="84"/>
  <c r="S311" i="84"/>
  <c r="L312" i="84"/>
  <c r="N312" i="84"/>
  <c r="O312" i="84"/>
  <c r="F312" i="84" s="1"/>
  <c r="P312" i="84"/>
  <c r="Q312" i="84"/>
  <c r="S312" i="84"/>
  <c r="L313" i="84"/>
  <c r="N313" i="84"/>
  <c r="O313" i="84"/>
  <c r="P313" i="84"/>
  <c r="F313" i="84" s="1"/>
  <c r="Q313" i="84"/>
  <c r="S313" i="84"/>
  <c r="L314" i="84"/>
  <c r="N314" i="84"/>
  <c r="O314" i="84"/>
  <c r="F314" i="84" s="1"/>
  <c r="P314" i="84"/>
  <c r="Q314" i="84"/>
  <c r="S314" i="84"/>
  <c r="L315" i="84"/>
  <c r="N315" i="84"/>
  <c r="O315" i="84"/>
  <c r="F315" i="84" s="1"/>
  <c r="P315" i="84"/>
  <c r="Q315" i="84"/>
  <c r="S315" i="84"/>
  <c r="L316" i="84"/>
  <c r="N316" i="84"/>
  <c r="O316" i="84"/>
  <c r="P316" i="84"/>
  <c r="Q316" i="84"/>
  <c r="S316" i="84"/>
  <c r="L317" i="84"/>
  <c r="N317" i="84"/>
  <c r="O317" i="84"/>
  <c r="P317" i="84"/>
  <c r="Q317" i="84"/>
  <c r="S317" i="84"/>
  <c r="L318" i="84"/>
  <c r="N318" i="84"/>
  <c r="O318" i="84"/>
  <c r="P318" i="84"/>
  <c r="Q318" i="84"/>
  <c r="S318" i="84"/>
  <c r="L319" i="84"/>
  <c r="N319" i="84"/>
  <c r="O319" i="84"/>
  <c r="F319" i="84" s="1"/>
  <c r="P319" i="84"/>
  <c r="Q319" i="84"/>
  <c r="S319" i="84"/>
  <c r="L320" i="84"/>
  <c r="N320" i="84"/>
  <c r="O320" i="84"/>
  <c r="P320" i="84"/>
  <c r="Q320" i="84"/>
  <c r="S320" i="84"/>
  <c r="L321" i="84"/>
  <c r="N321" i="84"/>
  <c r="O321" i="84"/>
  <c r="P321" i="84"/>
  <c r="Q321" i="84"/>
  <c r="S321" i="84"/>
  <c r="F322" i="84"/>
  <c r="L322" i="84"/>
  <c r="N322" i="84"/>
  <c r="O322" i="84"/>
  <c r="P322" i="84"/>
  <c r="Q322" i="84"/>
  <c r="S322" i="84"/>
  <c r="F323" i="84"/>
  <c r="L323" i="84"/>
  <c r="N323" i="84"/>
  <c r="O323" i="84"/>
  <c r="P323" i="84"/>
  <c r="Q323" i="84"/>
  <c r="S323" i="84"/>
  <c r="L324" i="84"/>
  <c r="N324" i="84"/>
  <c r="O324" i="84"/>
  <c r="F324" i="84" s="1"/>
  <c r="P324" i="84"/>
  <c r="Q324" i="84"/>
  <c r="S324" i="84"/>
  <c r="L325" i="84"/>
  <c r="N325" i="84"/>
  <c r="O325" i="84"/>
  <c r="P325" i="84"/>
  <c r="Q325" i="84"/>
  <c r="S325" i="84"/>
  <c r="L326" i="84"/>
  <c r="N326" i="84"/>
  <c r="O326" i="84"/>
  <c r="P326" i="84"/>
  <c r="Q326" i="84"/>
  <c r="S326" i="84"/>
  <c r="L327" i="84"/>
  <c r="N327" i="84"/>
  <c r="O327" i="84"/>
  <c r="P327" i="84"/>
  <c r="Q327" i="84"/>
  <c r="S327" i="84"/>
  <c r="L328" i="84"/>
  <c r="N328" i="84"/>
  <c r="O328" i="84"/>
  <c r="F328" i="84" s="1"/>
  <c r="P328" i="84"/>
  <c r="Q328" i="84"/>
  <c r="S328" i="84"/>
  <c r="L329" i="84"/>
  <c r="N329" i="84"/>
  <c r="O329" i="84"/>
  <c r="P329" i="84"/>
  <c r="F329" i="84" s="1"/>
  <c r="Q329" i="84"/>
  <c r="S329" i="84"/>
  <c r="L330" i="84"/>
  <c r="N330" i="84"/>
  <c r="O330" i="84"/>
  <c r="F330" i="84" s="1"/>
  <c r="P330" i="84"/>
  <c r="Q330" i="84"/>
  <c r="S330" i="84"/>
  <c r="L331" i="84"/>
  <c r="N331" i="84"/>
  <c r="O331" i="84"/>
  <c r="F331" i="84" s="1"/>
  <c r="P331" i="84"/>
  <c r="Q331" i="84"/>
  <c r="S331" i="84"/>
  <c r="F332" i="84"/>
  <c r="L332" i="84"/>
  <c r="N332" i="84"/>
  <c r="O332" i="84"/>
  <c r="P332" i="84"/>
  <c r="Q332" i="84"/>
  <c r="S332" i="84"/>
  <c r="L333" i="84"/>
  <c r="N333" i="84"/>
  <c r="O333" i="84"/>
  <c r="P333" i="84"/>
  <c r="Q333" i="84"/>
  <c r="S333" i="84"/>
  <c r="L334" i="84"/>
  <c r="N334" i="84"/>
  <c r="O334" i="84"/>
  <c r="P334" i="84"/>
  <c r="Q334" i="84"/>
  <c r="S334" i="84"/>
  <c r="L335" i="84"/>
  <c r="N335" i="84"/>
  <c r="O335" i="84"/>
  <c r="P335" i="84"/>
  <c r="Q335" i="84"/>
  <c r="S335" i="84"/>
  <c r="L336" i="84"/>
  <c r="N336" i="84"/>
  <c r="O336" i="84"/>
  <c r="F336" i="84" s="1"/>
  <c r="P336" i="84"/>
  <c r="Q336" i="84"/>
  <c r="S336" i="84"/>
  <c r="L337" i="84"/>
  <c r="N337" i="84"/>
  <c r="O337" i="84"/>
  <c r="P337" i="84"/>
  <c r="F337" i="84" s="1"/>
  <c r="Q337" i="84"/>
  <c r="S337" i="84"/>
  <c r="L338" i="84"/>
  <c r="N338" i="84"/>
  <c r="O338" i="84"/>
  <c r="F338" i="84" s="1"/>
  <c r="P338" i="84"/>
  <c r="Q338" i="84"/>
  <c r="S338" i="84"/>
  <c r="L339" i="84"/>
  <c r="N339" i="84"/>
  <c r="O339" i="84"/>
  <c r="F339" i="84" s="1"/>
  <c r="P339" i="84"/>
  <c r="Q339" i="84"/>
  <c r="S339" i="84"/>
  <c r="L340" i="84"/>
  <c r="N340" i="84"/>
  <c r="O340" i="84"/>
  <c r="F340" i="84" s="1"/>
  <c r="P340" i="84"/>
  <c r="Q340" i="84"/>
  <c r="S340" i="84"/>
  <c r="L341" i="84"/>
  <c r="N341" i="84"/>
  <c r="O341" i="84"/>
  <c r="P341" i="84"/>
  <c r="Q341" i="84"/>
  <c r="S341" i="84"/>
  <c r="L342" i="84"/>
  <c r="N342" i="84"/>
  <c r="O342" i="84"/>
  <c r="P342" i="84"/>
  <c r="Q342" i="84"/>
  <c r="S342" i="84"/>
  <c r="L343" i="84"/>
  <c r="N343" i="84"/>
  <c r="O343" i="84"/>
  <c r="F343" i="84" s="1"/>
  <c r="P343" i="84"/>
  <c r="Q343" i="84"/>
  <c r="S343" i="84"/>
  <c r="L344" i="84"/>
  <c r="N344" i="84"/>
  <c r="O344" i="84"/>
  <c r="F344" i="84" s="1"/>
  <c r="P344" i="84"/>
  <c r="Q344" i="84"/>
  <c r="S344" i="84"/>
  <c r="L345" i="84"/>
  <c r="N345" i="84"/>
  <c r="O345" i="84"/>
  <c r="P345" i="84"/>
  <c r="F345" i="84" s="1"/>
  <c r="Q345" i="84"/>
  <c r="S345" i="84"/>
  <c r="F346" i="84"/>
  <c r="L346" i="84"/>
  <c r="N346" i="84"/>
  <c r="O346" i="84"/>
  <c r="P346" i="84"/>
  <c r="Q346" i="84"/>
  <c r="S346" i="84"/>
  <c r="F347" i="84"/>
  <c r="L347" i="84"/>
  <c r="N347" i="84"/>
  <c r="O347" i="84"/>
  <c r="P347" i="84"/>
  <c r="Q347" i="84"/>
  <c r="S347" i="84"/>
  <c r="F348" i="84"/>
  <c r="L348" i="84"/>
  <c r="N348" i="84"/>
  <c r="O348" i="84"/>
  <c r="P348" i="84"/>
  <c r="Q348" i="84"/>
  <c r="S348" i="84"/>
  <c r="L349" i="84"/>
  <c r="N349" i="84"/>
  <c r="O349" i="84"/>
  <c r="P349" i="84"/>
  <c r="Q349" i="84"/>
  <c r="S349" i="84"/>
  <c r="L350" i="84"/>
  <c r="N350" i="84"/>
  <c r="O350" i="84"/>
  <c r="F350" i="84" s="1"/>
  <c r="P350" i="84"/>
  <c r="Q350" i="84"/>
  <c r="S350" i="84"/>
  <c r="L351" i="84"/>
  <c r="N351" i="84"/>
  <c r="O351" i="84"/>
  <c r="F351" i="84" s="1"/>
  <c r="P351" i="84"/>
  <c r="Q351" i="84"/>
  <c r="S351" i="84"/>
  <c r="L352" i="84"/>
  <c r="N352" i="84"/>
  <c r="O352" i="84"/>
  <c r="P352" i="84"/>
  <c r="Q352" i="84"/>
  <c r="S352" i="84"/>
  <c r="L353" i="84"/>
  <c r="N353" i="84"/>
  <c r="O353" i="84"/>
  <c r="P353" i="84"/>
  <c r="F353" i="84" s="1"/>
  <c r="Q353" i="84"/>
  <c r="S353" i="84"/>
  <c r="L354" i="84"/>
  <c r="N354" i="84"/>
  <c r="O354" i="84"/>
  <c r="F354" i="84" s="1"/>
  <c r="P354" i="84"/>
  <c r="Q354" i="84"/>
  <c r="S354" i="84"/>
  <c r="L355" i="84"/>
  <c r="N355" i="84"/>
  <c r="O355" i="84"/>
  <c r="F355" i="84" s="1"/>
  <c r="P355" i="84"/>
  <c r="Q355" i="84"/>
  <c r="S355" i="84"/>
  <c r="L356" i="84"/>
  <c r="N356" i="84"/>
  <c r="O356" i="84"/>
  <c r="P356" i="84"/>
  <c r="Q356" i="84"/>
  <c r="S356" i="84"/>
  <c r="L357" i="84"/>
  <c r="N357" i="84"/>
  <c r="O357" i="84"/>
  <c r="P357" i="84"/>
  <c r="Q357" i="84"/>
  <c r="S357" i="84"/>
  <c r="L358" i="84"/>
  <c r="N358" i="84"/>
  <c r="O358" i="84"/>
  <c r="F358" i="84" s="1"/>
  <c r="P358" i="84"/>
  <c r="Q358" i="84"/>
  <c r="S358" i="84"/>
  <c r="L359" i="84"/>
  <c r="N359" i="84"/>
  <c r="O359" i="84"/>
  <c r="F359" i="84" s="1"/>
  <c r="P359" i="84"/>
  <c r="Q359" i="84"/>
  <c r="S359" i="84"/>
  <c r="L360" i="84"/>
  <c r="N360" i="84"/>
  <c r="O360" i="84"/>
  <c r="P360" i="84"/>
  <c r="Q360" i="84"/>
  <c r="S360" i="84"/>
  <c r="L361" i="84"/>
  <c r="N361" i="84"/>
  <c r="O361" i="84"/>
  <c r="P361" i="84"/>
  <c r="F361" i="84" s="1"/>
  <c r="Q361" i="84"/>
  <c r="S361" i="84"/>
  <c r="F362" i="84"/>
  <c r="L362" i="84"/>
  <c r="N362" i="84"/>
  <c r="O362" i="84"/>
  <c r="P362" i="84"/>
  <c r="Q362" i="84"/>
  <c r="S362" i="84"/>
  <c r="L363" i="84"/>
  <c r="N363" i="84"/>
  <c r="O363" i="84"/>
  <c r="F363" i="84" s="1"/>
  <c r="P363" i="84"/>
  <c r="Q363" i="84"/>
  <c r="S363" i="84"/>
  <c r="L364" i="84"/>
  <c r="N364" i="84"/>
  <c r="O364" i="84"/>
  <c r="F364" i="84" s="1"/>
  <c r="P364" i="84"/>
  <c r="Q364" i="84"/>
  <c r="S364" i="84"/>
  <c r="L365" i="84"/>
  <c r="N365" i="84"/>
  <c r="O365" i="84"/>
  <c r="P365" i="84"/>
  <c r="Q365" i="84"/>
  <c r="S365" i="84"/>
  <c r="L366" i="84"/>
  <c r="N366" i="84"/>
  <c r="O366" i="84"/>
  <c r="F366" i="84" s="1"/>
  <c r="P366" i="84"/>
  <c r="Q366" i="84"/>
  <c r="S366" i="84"/>
  <c r="L367" i="84"/>
  <c r="N367" i="84"/>
  <c r="O367" i="84"/>
  <c r="P367" i="84"/>
  <c r="Q367" i="84"/>
  <c r="S367" i="84"/>
  <c r="L368" i="84"/>
  <c r="N368" i="84"/>
  <c r="O368" i="84"/>
  <c r="F368" i="84" s="1"/>
  <c r="P368" i="84"/>
  <c r="Q368" i="84"/>
  <c r="S368" i="84"/>
  <c r="L369" i="84"/>
  <c r="N369" i="84"/>
  <c r="O369" i="84"/>
  <c r="P369" i="84"/>
  <c r="F369" i="84" s="1"/>
  <c r="Q369" i="84"/>
  <c r="S369" i="84"/>
  <c r="L370" i="84"/>
  <c r="N370" i="84"/>
  <c r="O370" i="84"/>
  <c r="P370" i="84"/>
  <c r="Q370" i="84"/>
  <c r="S370" i="84"/>
  <c r="F371" i="84"/>
  <c r="L371" i="84"/>
  <c r="N371" i="84"/>
  <c r="O371" i="84"/>
  <c r="P371" i="84"/>
  <c r="Q371" i="84"/>
  <c r="S371" i="84"/>
  <c r="F372" i="84"/>
  <c r="L372" i="84"/>
  <c r="N372" i="84"/>
  <c r="O372" i="84"/>
  <c r="P372" i="84"/>
  <c r="Q372" i="84"/>
  <c r="S372" i="84"/>
  <c r="L373" i="84"/>
  <c r="N373" i="84"/>
  <c r="O373" i="84"/>
  <c r="F373" i="84" s="1"/>
  <c r="P373" i="84"/>
  <c r="Q373" i="84"/>
  <c r="S373" i="84"/>
  <c r="L374" i="84"/>
  <c r="N374" i="84"/>
  <c r="O374" i="84"/>
  <c r="P374" i="84"/>
  <c r="Q374" i="84"/>
  <c r="S374" i="84"/>
  <c r="L375" i="84"/>
  <c r="N375" i="84"/>
  <c r="O375" i="84"/>
  <c r="P375" i="84"/>
  <c r="Q375" i="84"/>
  <c r="S375" i="84"/>
  <c r="L376" i="84"/>
  <c r="N376" i="84"/>
  <c r="O376" i="84"/>
  <c r="P376" i="84"/>
  <c r="Q376" i="84"/>
  <c r="S376" i="84"/>
  <c r="L377" i="84"/>
  <c r="N377" i="84"/>
  <c r="O377" i="84"/>
  <c r="P377" i="84"/>
  <c r="Q377" i="84"/>
  <c r="S377" i="84"/>
  <c r="L378" i="84"/>
  <c r="N378" i="84"/>
  <c r="O378" i="84"/>
  <c r="P378" i="84"/>
  <c r="Q378" i="84"/>
  <c r="S378" i="84"/>
  <c r="L379" i="84"/>
  <c r="N379" i="84"/>
  <c r="O379" i="84"/>
  <c r="P379" i="84"/>
  <c r="Q379" i="84"/>
  <c r="S379" i="84"/>
  <c r="L380" i="84"/>
  <c r="N380" i="84"/>
  <c r="O380" i="84"/>
  <c r="F380" i="84" s="1"/>
  <c r="P380" i="84"/>
  <c r="Q380" i="84"/>
  <c r="S380" i="84"/>
  <c r="L381" i="84"/>
  <c r="N381" i="84"/>
  <c r="O381" i="84"/>
  <c r="F381" i="84" s="1"/>
  <c r="P381" i="84"/>
  <c r="Q381" i="84"/>
  <c r="S381" i="84"/>
  <c r="L382" i="84"/>
  <c r="N382" i="84"/>
  <c r="O382" i="84"/>
  <c r="P382" i="84"/>
  <c r="Q382" i="84"/>
  <c r="S382" i="84"/>
  <c r="L383" i="84"/>
  <c r="N383" i="84"/>
  <c r="O383" i="84"/>
  <c r="P383" i="84"/>
  <c r="Q383" i="84"/>
  <c r="S383" i="84"/>
  <c r="L384" i="84"/>
  <c r="N384" i="84"/>
  <c r="O384" i="84"/>
  <c r="F384" i="84" s="1"/>
  <c r="P384" i="84"/>
  <c r="Q384" i="84"/>
  <c r="S384" i="84"/>
  <c r="L385" i="84"/>
  <c r="N385" i="84"/>
  <c r="O385" i="84"/>
  <c r="P385" i="84"/>
  <c r="Q385" i="84"/>
  <c r="S385" i="84"/>
  <c r="F386" i="84"/>
  <c r="L386" i="84"/>
  <c r="N386" i="84"/>
  <c r="O386" i="84"/>
  <c r="P386" i="84"/>
  <c r="Q386" i="84"/>
  <c r="S386" i="84"/>
  <c r="F387" i="84"/>
  <c r="L387" i="84"/>
  <c r="N387" i="84"/>
  <c r="O387" i="84"/>
  <c r="P387" i="84"/>
  <c r="Q387" i="84"/>
  <c r="S387" i="84"/>
  <c r="F388" i="84"/>
  <c r="L388" i="84"/>
  <c r="N388" i="84"/>
  <c r="O388" i="84"/>
  <c r="P388" i="84"/>
  <c r="Q388" i="84"/>
  <c r="S388" i="84"/>
  <c r="L389" i="84"/>
  <c r="N389" i="84"/>
  <c r="O389" i="84"/>
  <c r="F389" i="84" s="1"/>
  <c r="P389" i="84"/>
  <c r="Q389" i="84"/>
  <c r="S389" i="84"/>
  <c r="L390" i="84"/>
  <c r="N390" i="84"/>
  <c r="O390" i="84"/>
  <c r="P390" i="84"/>
  <c r="Q390" i="84"/>
  <c r="S390" i="84"/>
  <c r="L391" i="84"/>
  <c r="N391" i="84"/>
  <c r="O391" i="84"/>
  <c r="P391" i="84"/>
  <c r="Q391" i="84"/>
  <c r="S391" i="84"/>
  <c r="L392" i="84"/>
  <c r="N392" i="84"/>
  <c r="O392" i="84"/>
  <c r="F392" i="84" s="1"/>
  <c r="P392" i="84"/>
  <c r="Q392" i="84"/>
  <c r="S392" i="84"/>
  <c r="L393" i="84"/>
  <c r="N393" i="84"/>
  <c r="O393" i="84"/>
  <c r="P393" i="84"/>
  <c r="Q393" i="84"/>
  <c r="S393" i="84"/>
  <c r="L394" i="84"/>
  <c r="N394" i="84"/>
  <c r="O394" i="84"/>
  <c r="P394" i="84"/>
  <c r="Q394" i="84"/>
  <c r="S394" i="84"/>
  <c r="L395" i="84"/>
  <c r="N395" i="84"/>
  <c r="O395" i="84"/>
  <c r="P395" i="84"/>
  <c r="Q395" i="84"/>
  <c r="S395" i="84"/>
  <c r="F396" i="84"/>
  <c r="L396" i="84"/>
  <c r="N396" i="84"/>
  <c r="O396" i="84"/>
  <c r="P396" i="84"/>
  <c r="Q396" i="84"/>
  <c r="S396" i="84"/>
  <c r="L397" i="84"/>
  <c r="N397" i="84"/>
  <c r="O397" i="84"/>
  <c r="P397" i="84"/>
  <c r="Q397" i="84"/>
  <c r="S397" i="84"/>
  <c r="L398" i="84"/>
  <c r="N398" i="84"/>
  <c r="O398" i="84"/>
  <c r="F398" i="84" s="1"/>
  <c r="P398" i="84"/>
  <c r="Q398" i="84"/>
  <c r="S398" i="84"/>
  <c r="L399" i="84"/>
  <c r="N399" i="84"/>
  <c r="O399" i="84"/>
  <c r="F399" i="84" s="1"/>
  <c r="P399" i="84"/>
  <c r="Q399" i="84"/>
  <c r="S399" i="84"/>
  <c r="L400" i="84"/>
  <c r="N400" i="84"/>
  <c r="O400" i="84"/>
  <c r="F400" i="84" s="1"/>
  <c r="P400" i="84"/>
  <c r="Q400" i="84"/>
  <c r="S400" i="84"/>
  <c r="L401" i="84"/>
  <c r="N401" i="84"/>
  <c r="O401" i="84"/>
  <c r="P401" i="84"/>
  <c r="F401" i="84" s="1"/>
  <c r="Q401" i="84"/>
  <c r="S401" i="84"/>
  <c r="F402" i="84"/>
  <c r="L402" i="84"/>
  <c r="N402" i="84"/>
  <c r="O402" i="84"/>
  <c r="P402" i="84"/>
  <c r="Q402" i="84"/>
  <c r="S402" i="84"/>
  <c r="L403" i="84"/>
  <c r="N403" i="84"/>
  <c r="O403" i="84"/>
  <c r="P403" i="84"/>
  <c r="Q403" i="84"/>
  <c r="S403" i="84"/>
  <c r="L404" i="84"/>
  <c r="N404" i="84"/>
  <c r="O404" i="84"/>
  <c r="P404" i="84"/>
  <c r="Q404" i="84"/>
  <c r="S404" i="84"/>
  <c r="L405" i="84"/>
  <c r="N405" i="84"/>
  <c r="O405" i="84"/>
  <c r="P405" i="84"/>
  <c r="Q405" i="84"/>
  <c r="S405" i="84"/>
  <c r="L406" i="84"/>
  <c r="N406" i="84"/>
  <c r="O406" i="84"/>
  <c r="P406" i="84"/>
  <c r="Q406" i="84"/>
  <c r="S406" i="84"/>
  <c r="L407" i="84"/>
  <c r="N407" i="84"/>
  <c r="O407" i="84"/>
  <c r="F407" i="84" s="1"/>
  <c r="P407" i="84"/>
  <c r="Q407" i="84"/>
  <c r="S407" i="84"/>
  <c r="L408" i="84"/>
  <c r="N408" i="84"/>
  <c r="O408" i="84"/>
  <c r="P408" i="84"/>
  <c r="Q408" i="84"/>
  <c r="S408" i="84"/>
  <c r="L409" i="84"/>
  <c r="N409" i="84"/>
  <c r="O409" i="84"/>
  <c r="P409" i="84"/>
  <c r="F409" i="84" s="1"/>
  <c r="Q409" i="84"/>
  <c r="S409" i="84"/>
  <c r="F410" i="84"/>
  <c r="L410" i="84"/>
  <c r="N410" i="84"/>
  <c r="O410" i="84"/>
  <c r="P410" i="84"/>
  <c r="Q410" i="84"/>
  <c r="S410" i="84"/>
  <c r="F411" i="84"/>
  <c r="L411" i="84"/>
  <c r="N411" i="84"/>
  <c r="O411" i="84"/>
  <c r="P411" i="84"/>
  <c r="Q411" i="84"/>
  <c r="S411" i="84"/>
  <c r="F412" i="84"/>
  <c r="L412" i="84"/>
  <c r="N412" i="84"/>
  <c r="O412" i="84"/>
  <c r="P412" i="84"/>
  <c r="Q412" i="84"/>
  <c r="S412" i="84"/>
  <c r="L413" i="84"/>
  <c r="N413" i="84"/>
  <c r="O413" i="84"/>
  <c r="F413" i="84" s="1"/>
  <c r="P413" i="84"/>
  <c r="Q413" i="84"/>
  <c r="S413" i="84"/>
  <c r="L414" i="84"/>
  <c r="N414" i="84"/>
  <c r="O414" i="84"/>
  <c r="P414" i="84"/>
  <c r="Q414" i="84"/>
  <c r="S414" i="84"/>
  <c r="L415" i="84"/>
  <c r="N415" i="84"/>
  <c r="O415" i="84"/>
  <c r="F415" i="84" s="1"/>
  <c r="P415" i="84"/>
  <c r="Q415" i="84"/>
  <c r="S415" i="84"/>
  <c r="L416" i="84"/>
  <c r="N416" i="84"/>
  <c r="O416" i="84"/>
  <c r="P416" i="84"/>
  <c r="Q416" i="84"/>
  <c r="S416" i="84"/>
  <c r="L417" i="84"/>
  <c r="N417" i="84"/>
  <c r="O417" i="84"/>
  <c r="P417" i="84"/>
  <c r="Q417" i="84"/>
  <c r="S417" i="84"/>
  <c r="L418" i="84"/>
  <c r="N418" i="84"/>
  <c r="O418" i="84"/>
  <c r="P418" i="84"/>
  <c r="Q418" i="84"/>
  <c r="S418" i="84"/>
  <c r="L419" i="84"/>
  <c r="N419" i="84"/>
  <c r="O419" i="84"/>
  <c r="P419" i="84"/>
  <c r="Q419" i="84"/>
  <c r="S419" i="84"/>
  <c r="L420" i="84"/>
  <c r="N420" i="84"/>
  <c r="O420" i="84"/>
  <c r="F420" i="84" s="1"/>
  <c r="P420" i="84"/>
  <c r="Q420" i="84"/>
  <c r="S420" i="84"/>
  <c r="L421" i="84"/>
  <c r="N421" i="84"/>
  <c r="O421" i="84"/>
  <c r="P421" i="84"/>
  <c r="Q421" i="84"/>
  <c r="S421" i="84"/>
  <c r="L422" i="84"/>
  <c r="N422" i="84"/>
  <c r="O422" i="84"/>
  <c r="F422" i="84" s="1"/>
  <c r="P422" i="84"/>
  <c r="Q422" i="84"/>
  <c r="S422" i="84"/>
  <c r="L423" i="84"/>
  <c r="N423" i="84"/>
  <c r="O423" i="84"/>
  <c r="P423" i="84"/>
  <c r="Q423" i="84"/>
  <c r="S423" i="84"/>
  <c r="L424" i="84"/>
  <c r="N424" i="84"/>
  <c r="O424" i="84"/>
  <c r="P424" i="84"/>
  <c r="Q424" i="84"/>
  <c r="S424" i="84"/>
  <c r="L425" i="84"/>
  <c r="N425" i="84"/>
  <c r="O425" i="84"/>
  <c r="P425" i="84"/>
  <c r="F425" i="84" s="1"/>
  <c r="Q425" i="84"/>
  <c r="S425" i="84"/>
  <c r="F426" i="84"/>
  <c r="L426" i="84"/>
  <c r="N426" i="84"/>
  <c r="O426" i="84"/>
  <c r="P426" i="84"/>
  <c r="Q426" i="84"/>
  <c r="S426" i="84"/>
  <c r="F427" i="84"/>
  <c r="L427" i="84"/>
  <c r="N427" i="84"/>
  <c r="O427" i="84"/>
  <c r="P427" i="84"/>
  <c r="Q427" i="84"/>
  <c r="S427" i="84"/>
  <c r="L428" i="84"/>
  <c r="N428" i="84"/>
  <c r="O428" i="84"/>
  <c r="P428" i="84"/>
  <c r="Q428" i="84"/>
  <c r="S428" i="84"/>
  <c r="L429" i="84"/>
  <c r="N429" i="84"/>
  <c r="O429" i="84"/>
  <c r="F429" i="84" s="1"/>
  <c r="P429" i="84"/>
  <c r="Q429" i="84"/>
  <c r="S429" i="84"/>
  <c r="L430" i="84"/>
  <c r="N430" i="84"/>
  <c r="O430" i="84"/>
  <c r="F430" i="84" s="1"/>
  <c r="P430" i="84"/>
  <c r="Q430" i="84"/>
  <c r="S430" i="84"/>
  <c r="L431" i="84"/>
  <c r="N431" i="84"/>
  <c r="O431" i="84"/>
  <c r="P431" i="84"/>
  <c r="Q431" i="84"/>
  <c r="S431" i="84"/>
  <c r="L432" i="84"/>
  <c r="N432" i="84"/>
  <c r="O432" i="84"/>
  <c r="P432" i="84"/>
  <c r="Q432" i="84"/>
  <c r="S432" i="84"/>
  <c r="L433" i="84"/>
  <c r="N433" i="84"/>
  <c r="O433" i="84"/>
  <c r="P433" i="84"/>
  <c r="Q433" i="84"/>
  <c r="S433" i="84"/>
  <c r="L434" i="84"/>
  <c r="N434" i="84"/>
  <c r="O434" i="84"/>
  <c r="F434" i="84" s="1"/>
  <c r="P434" i="84"/>
  <c r="Q434" i="84"/>
  <c r="S434" i="84"/>
  <c r="F435" i="84"/>
  <c r="L435" i="84"/>
  <c r="N435" i="84"/>
  <c r="O435" i="84"/>
  <c r="P435" i="84"/>
  <c r="Q435" i="84"/>
  <c r="S435" i="84"/>
  <c r="F436" i="84"/>
  <c r="L436" i="84"/>
  <c r="N436" i="84"/>
  <c r="O436" i="84"/>
  <c r="P436" i="84"/>
  <c r="Q436" i="84"/>
  <c r="S436" i="84"/>
  <c r="L437" i="84"/>
  <c r="N437" i="84"/>
  <c r="O437" i="84"/>
  <c r="F437" i="84" s="1"/>
  <c r="P437" i="84"/>
  <c r="Q437" i="84"/>
  <c r="S437" i="84"/>
  <c r="L438" i="84"/>
  <c r="N438" i="84"/>
  <c r="O438" i="84"/>
  <c r="F438" i="84" s="1"/>
  <c r="P438" i="84"/>
  <c r="Q438" i="84"/>
  <c r="S438" i="84"/>
  <c r="L439" i="84"/>
  <c r="N439" i="84"/>
  <c r="O439" i="84"/>
  <c r="P439" i="84"/>
  <c r="Q439" i="84"/>
  <c r="S439" i="84"/>
  <c r="L440" i="84"/>
  <c r="N440" i="84"/>
  <c r="O440" i="84"/>
  <c r="P440" i="84"/>
  <c r="Q440" i="84"/>
  <c r="S440" i="84"/>
  <c r="L441" i="84"/>
  <c r="N441" i="84"/>
  <c r="O441" i="84"/>
  <c r="P441" i="84"/>
  <c r="Q441" i="84"/>
  <c r="S441" i="84"/>
  <c r="L442" i="84"/>
  <c r="N442" i="84"/>
  <c r="O442" i="84"/>
  <c r="F442" i="84" s="1"/>
  <c r="P442" i="84"/>
  <c r="Q442" i="84"/>
  <c r="S442" i="84"/>
  <c r="L443" i="84"/>
  <c r="N443" i="84"/>
  <c r="O443" i="84"/>
  <c r="F443" i="84" s="1"/>
  <c r="P443" i="84"/>
  <c r="Q443" i="84"/>
  <c r="S443" i="84"/>
  <c r="L444" i="84"/>
  <c r="N444" i="84"/>
  <c r="O444" i="84"/>
  <c r="P444" i="84"/>
  <c r="Q444" i="84"/>
  <c r="S444" i="84"/>
  <c r="L445" i="84"/>
  <c r="N445" i="84"/>
  <c r="O445" i="84"/>
  <c r="F445" i="84" s="1"/>
  <c r="P445" i="84"/>
  <c r="Q445" i="84"/>
  <c r="S445" i="84"/>
  <c r="L446" i="84"/>
  <c r="N446" i="84"/>
  <c r="O446" i="84"/>
  <c r="P446" i="84"/>
  <c r="Q446" i="84"/>
  <c r="S446" i="84"/>
  <c r="L447" i="84"/>
  <c r="N447" i="84"/>
  <c r="O447" i="84"/>
  <c r="F447" i="84" s="1"/>
  <c r="P447" i="84"/>
  <c r="Q447" i="84"/>
  <c r="S447" i="84"/>
  <c r="L448" i="84"/>
  <c r="N448" i="84"/>
  <c r="O448" i="84"/>
  <c r="P448" i="84"/>
  <c r="Q448" i="84"/>
  <c r="S448" i="84"/>
  <c r="L449" i="84"/>
  <c r="N449" i="84"/>
  <c r="O449" i="84"/>
  <c r="P449" i="84"/>
  <c r="Q449" i="84"/>
  <c r="S449" i="84"/>
  <c r="F450" i="84"/>
  <c r="L450" i="84"/>
  <c r="N450" i="84"/>
  <c r="O450" i="84"/>
  <c r="P450" i="84"/>
  <c r="Q450" i="84"/>
  <c r="S450" i="84"/>
  <c r="F451" i="84"/>
  <c r="L451" i="84"/>
  <c r="N451" i="84"/>
  <c r="O451" i="84"/>
  <c r="P451" i="84"/>
  <c r="Q451" i="84"/>
  <c r="S451" i="84"/>
  <c r="L452" i="84"/>
  <c r="N452" i="84"/>
  <c r="O452" i="84"/>
  <c r="F452" i="84" s="1"/>
  <c r="P452" i="84"/>
  <c r="Q452" i="84"/>
  <c r="S452" i="84"/>
  <c r="L453" i="84"/>
  <c r="N453" i="84"/>
  <c r="O453" i="84"/>
  <c r="P453" i="84"/>
  <c r="Q453" i="84"/>
  <c r="S453" i="84"/>
  <c r="L454" i="84"/>
  <c r="N454" i="84"/>
  <c r="O454" i="84"/>
  <c r="P454" i="84"/>
  <c r="Q454" i="84"/>
  <c r="S454" i="84"/>
  <c r="L455" i="84"/>
  <c r="N455" i="84"/>
  <c r="O455" i="84"/>
  <c r="P455" i="84"/>
  <c r="Q455" i="84"/>
  <c r="S455" i="84"/>
  <c r="L456" i="84"/>
  <c r="N456" i="84"/>
  <c r="O456" i="84"/>
  <c r="F456" i="84" s="1"/>
  <c r="P456" i="84"/>
  <c r="Q456" i="84"/>
  <c r="S456" i="84"/>
  <c r="L457" i="84"/>
  <c r="N457" i="84"/>
  <c r="O457" i="84"/>
  <c r="P457" i="84"/>
  <c r="F457" i="84" s="1"/>
  <c r="Q457" i="84"/>
  <c r="S457" i="84"/>
  <c r="L458" i="84"/>
  <c r="N458" i="84"/>
  <c r="O458" i="84"/>
  <c r="F458" i="84" s="1"/>
  <c r="P458" i="84"/>
  <c r="Q458" i="84"/>
  <c r="S458" i="84"/>
  <c r="L459" i="84"/>
  <c r="N459" i="84"/>
  <c r="O459" i="84"/>
  <c r="F459" i="84" s="1"/>
  <c r="P459" i="84"/>
  <c r="Q459" i="84"/>
  <c r="S459" i="84"/>
  <c r="F460" i="84"/>
  <c r="L460" i="84"/>
  <c r="N460" i="84"/>
  <c r="O460" i="84"/>
  <c r="P460" i="84"/>
  <c r="Q460" i="84"/>
  <c r="S460" i="84"/>
  <c r="L461" i="84"/>
  <c r="N461" i="84"/>
  <c r="O461" i="84"/>
  <c r="P461" i="84"/>
  <c r="Q461" i="84"/>
  <c r="S461" i="84"/>
  <c r="L462" i="84"/>
  <c r="N462" i="84"/>
  <c r="O462" i="84"/>
  <c r="P462" i="84"/>
  <c r="Q462" i="84"/>
  <c r="S462" i="84"/>
  <c r="L463" i="84"/>
  <c r="N463" i="84"/>
  <c r="O463" i="84"/>
  <c r="P463" i="84"/>
  <c r="Q463" i="84"/>
  <c r="S463" i="84"/>
  <c r="L464" i="84"/>
  <c r="N464" i="84"/>
  <c r="O464" i="84"/>
  <c r="F464" i="84" s="1"/>
  <c r="P464" i="84"/>
  <c r="Q464" i="84"/>
  <c r="S464" i="84"/>
  <c r="L465" i="84"/>
  <c r="N465" i="84"/>
  <c r="O465" i="84"/>
  <c r="P465" i="84"/>
  <c r="F465" i="84" s="1"/>
  <c r="Q465" i="84"/>
  <c r="S465" i="84"/>
  <c r="F466" i="84"/>
  <c r="L466" i="84"/>
  <c r="N466" i="84"/>
  <c r="O466" i="84"/>
  <c r="P466" i="84"/>
  <c r="Q466" i="84"/>
  <c r="S466" i="84"/>
  <c r="L467" i="84"/>
  <c r="N467" i="84"/>
  <c r="O467" i="84"/>
  <c r="F467" i="84" s="1"/>
  <c r="P467" i="84"/>
  <c r="Q467" i="84"/>
  <c r="S467" i="84"/>
  <c r="L468" i="84"/>
  <c r="N468" i="84"/>
  <c r="O468" i="84"/>
  <c r="F468" i="84" s="1"/>
  <c r="P468" i="84"/>
  <c r="Q468" i="84"/>
  <c r="S468" i="84"/>
  <c r="L469" i="84"/>
  <c r="N469" i="84"/>
  <c r="O469" i="84"/>
  <c r="P469" i="84"/>
  <c r="Q469" i="84"/>
  <c r="S469" i="84"/>
  <c r="L470" i="84"/>
  <c r="N470" i="84"/>
  <c r="O470" i="84"/>
  <c r="P470" i="84"/>
  <c r="Q470" i="84"/>
  <c r="S470" i="84"/>
  <c r="L471" i="84"/>
  <c r="N471" i="84"/>
  <c r="O471" i="84"/>
  <c r="F471" i="84" s="1"/>
  <c r="P471" i="84"/>
  <c r="Q471" i="84"/>
  <c r="S471" i="84"/>
  <c r="L472" i="84"/>
  <c r="N472" i="84"/>
  <c r="O472" i="84"/>
  <c r="F472" i="84" s="1"/>
  <c r="P472" i="84"/>
  <c r="Q472" i="84"/>
  <c r="S472" i="84"/>
  <c r="L473" i="84"/>
  <c r="N473" i="84"/>
  <c r="O473" i="84"/>
  <c r="P473" i="84"/>
  <c r="F473" i="84" s="1"/>
  <c r="Q473" i="84"/>
  <c r="S473" i="84"/>
  <c r="F474" i="84"/>
  <c r="L474" i="84"/>
  <c r="N474" i="84"/>
  <c r="O474" i="84"/>
  <c r="P474" i="84"/>
  <c r="Q474" i="84"/>
  <c r="S474" i="84"/>
  <c r="F475" i="84"/>
  <c r="L475" i="84"/>
  <c r="N475" i="84"/>
  <c r="O475" i="84"/>
  <c r="P475" i="84"/>
  <c r="Q475" i="84"/>
  <c r="S475" i="84"/>
  <c r="F476" i="84"/>
  <c r="L476" i="84"/>
  <c r="N476" i="84"/>
  <c r="O476" i="84"/>
  <c r="P476" i="84"/>
  <c r="Q476" i="84"/>
  <c r="S476" i="84"/>
  <c r="L477" i="84"/>
  <c r="N477" i="84"/>
  <c r="O477" i="84"/>
  <c r="P477" i="84"/>
  <c r="Q477" i="84"/>
  <c r="S477" i="84"/>
  <c r="L478" i="84"/>
  <c r="N478" i="84"/>
  <c r="O478" i="84"/>
  <c r="F478" i="84" s="1"/>
  <c r="P478" i="84"/>
  <c r="Q478" i="84"/>
  <c r="S478" i="84"/>
  <c r="L479" i="84"/>
  <c r="N479" i="84"/>
  <c r="O479" i="84"/>
  <c r="F479" i="84" s="1"/>
  <c r="P479" i="84"/>
  <c r="Q479" i="84"/>
  <c r="S479" i="84"/>
  <c r="L480" i="84"/>
  <c r="N480" i="84"/>
  <c r="O480" i="84"/>
  <c r="P480" i="84"/>
  <c r="Q480" i="84"/>
  <c r="S480" i="84"/>
  <c r="L481" i="84"/>
  <c r="N481" i="84"/>
  <c r="O481" i="84"/>
  <c r="P481" i="84"/>
  <c r="F481" i="84" s="1"/>
  <c r="Q481" i="84"/>
  <c r="S481" i="84"/>
  <c r="L482" i="84"/>
  <c r="N482" i="84"/>
  <c r="O482" i="84"/>
  <c r="F482" i="84" s="1"/>
  <c r="P482" i="84"/>
  <c r="Q482" i="84"/>
  <c r="S482" i="84"/>
  <c r="L483" i="84"/>
  <c r="N483" i="84"/>
  <c r="O483" i="84"/>
  <c r="F483" i="84" s="1"/>
  <c r="P483" i="84"/>
  <c r="Q483" i="84"/>
  <c r="S483" i="84"/>
  <c r="L484" i="84"/>
  <c r="N484" i="84"/>
  <c r="O484" i="84"/>
  <c r="P484" i="84"/>
  <c r="Q484" i="84"/>
  <c r="S484" i="84"/>
  <c r="L485" i="84"/>
  <c r="N485" i="84"/>
  <c r="O485" i="84"/>
  <c r="P485" i="84"/>
  <c r="Q485" i="84"/>
  <c r="S485" i="84"/>
  <c r="L486" i="84"/>
  <c r="N486" i="84"/>
  <c r="O486" i="84"/>
  <c r="F486" i="84" s="1"/>
  <c r="P486" i="84"/>
  <c r="Q486" i="84"/>
  <c r="S486" i="84"/>
  <c r="L487" i="84"/>
  <c r="N487" i="84"/>
  <c r="O487" i="84"/>
  <c r="F487" i="84" s="1"/>
  <c r="P487" i="84"/>
  <c r="Q487" i="84"/>
  <c r="S487" i="84"/>
  <c r="L488" i="84"/>
  <c r="N488" i="84"/>
  <c r="O488" i="84"/>
  <c r="P488" i="84"/>
  <c r="Q488" i="84"/>
  <c r="S488" i="84"/>
  <c r="L489" i="84"/>
  <c r="N489" i="84"/>
  <c r="O489" i="84"/>
  <c r="P489" i="84"/>
  <c r="F489" i="84" s="1"/>
  <c r="Q489" i="84"/>
  <c r="S489" i="84"/>
  <c r="F490" i="84"/>
  <c r="L490" i="84"/>
  <c r="N490" i="84"/>
  <c r="O490" i="84"/>
  <c r="P490" i="84"/>
  <c r="Q490" i="84"/>
  <c r="S490" i="84"/>
  <c r="L491" i="84"/>
  <c r="N491" i="84"/>
  <c r="O491" i="84"/>
  <c r="F491" i="84" s="1"/>
  <c r="P491" i="84"/>
  <c r="Q491" i="84"/>
  <c r="S491" i="84"/>
  <c r="L492" i="84"/>
  <c r="N492" i="84"/>
  <c r="O492" i="84"/>
  <c r="F492" i="84" s="1"/>
  <c r="P492" i="84"/>
  <c r="Q492" i="84"/>
  <c r="S492" i="84"/>
  <c r="L493" i="84"/>
  <c r="N493" i="84"/>
  <c r="O493" i="84"/>
  <c r="P493" i="84"/>
  <c r="Q493" i="84"/>
  <c r="S493" i="84"/>
  <c r="L494" i="84"/>
  <c r="N494" i="84"/>
  <c r="O494" i="84"/>
  <c r="F494" i="84" s="1"/>
  <c r="P494" i="84"/>
  <c r="Q494" i="84"/>
  <c r="S494" i="84"/>
  <c r="L495" i="84"/>
  <c r="N495" i="84"/>
  <c r="O495" i="84"/>
  <c r="P495" i="84"/>
  <c r="Q495" i="84"/>
  <c r="S495" i="84"/>
  <c r="L496" i="84"/>
  <c r="N496" i="84"/>
  <c r="O496" i="84"/>
  <c r="F496" i="84" s="1"/>
  <c r="P496" i="84"/>
  <c r="Q496" i="84"/>
  <c r="S496" i="84"/>
  <c r="L497" i="84"/>
  <c r="N497" i="84"/>
  <c r="O497" i="84"/>
  <c r="P497" i="84"/>
  <c r="F497" i="84" s="1"/>
  <c r="Q497" i="84"/>
  <c r="S497" i="84"/>
  <c r="L498" i="84"/>
  <c r="N498" i="84"/>
  <c r="O498" i="84"/>
  <c r="P498" i="84"/>
  <c r="Q498" i="84"/>
  <c r="S498" i="84"/>
  <c r="F499" i="84"/>
  <c r="L499" i="84"/>
  <c r="N499" i="84"/>
  <c r="O499" i="84"/>
  <c r="P499" i="84"/>
  <c r="Q499" i="84"/>
  <c r="S499" i="84"/>
  <c r="L144" i="83"/>
  <c r="N144" i="83"/>
  <c r="O144" i="83"/>
  <c r="P144" i="83"/>
  <c r="Q144" i="83"/>
  <c r="S144" i="83"/>
  <c r="L145" i="83"/>
  <c r="N145" i="83"/>
  <c r="O145" i="83"/>
  <c r="P145" i="83"/>
  <c r="Q145" i="83"/>
  <c r="S145" i="83"/>
  <c r="L146" i="83"/>
  <c r="N146" i="83"/>
  <c r="O146" i="83"/>
  <c r="F146" i="83" s="1"/>
  <c r="P146" i="83"/>
  <c r="Q146" i="83"/>
  <c r="S146" i="83"/>
  <c r="L147" i="83"/>
  <c r="N147" i="83"/>
  <c r="O147" i="83"/>
  <c r="F147" i="83" s="1"/>
  <c r="P147" i="83"/>
  <c r="Q147" i="83"/>
  <c r="S147" i="83"/>
  <c r="F148" i="83"/>
  <c r="L148" i="83"/>
  <c r="N148" i="83"/>
  <c r="O148" i="83"/>
  <c r="P148" i="83"/>
  <c r="Q148" i="83"/>
  <c r="S148" i="83"/>
  <c r="F149" i="83"/>
  <c r="L149" i="83"/>
  <c r="N149" i="83"/>
  <c r="O149" i="83"/>
  <c r="P149" i="83"/>
  <c r="Q149" i="83"/>
  <c r="S149" i="83"/>
  <c r="L150" i="83"/>
  <c r="N150" i="83"/>
  <c r="O150" i="83"/>
  <c r="F150" i="83" s="1"/>
  <c r="P150" i="83"/>
  <c r="Q150" i="83"/>
  <c r="S150" i="83"/>
  <c r="L151" i="83"/>
  <c r="N151" i="83"/>
  <c r="O151" i="83"/>
  <c r="F151" i="83" s="1"/>
  <c r="P151" i="83"/>
  <c r="Q151" i="83"/>
  <c r="S151" i="83"/>
  <c r="L152" i="83"/>
  <c r="N152" i="83"/>
  <c r="O152" i="83"/>
  <c r="P152" i="83"/>
  <c r="Q152" i="83"/>
  <c r="S152" i="83"/>
  <c r="L153" i="83"/>
  <c r="N153" i="83"/>
  <c r="O153" i="83"/>
  <c r="P153" i="83"/>
  <c r="Q153" i="83"/>
  <c r="S153" i="83"/>
  <c r="L154" i="83"/>
  <c r="N154" i="83"/>
  <c r="O154" i="83"/>
  <c r="F154" i="83" s="1"/>
  <c r="P154" i="83"/>
  <c r="Q154" i="83"/>
  <c r="S154" i="83"/>
  <c r="L155" i="83"/>
  <c r="N155" i="83"/>
  <c r="O155" i="83"/>
  <c r="F155" i="83" s="1"/>
  <c r="P155" i="83"/>
  <c r="Q155" i="83"/>
  <c r="S155" i="83"/>
  <c r="L156" i="83"/>
  <c r="N156" i="83"/>
  <c r="O156" i="83"/>
  <c r="F156" i="83" s="1"/>
  <c r="P156" i="83"/>
  <c r="Q156" i="83"/>
  <c r="S156" i="83"/>
  <c r="L157" i="83"/>
  <c r="N157" i="83"/>
  <c r="O157" i="83"/>
  <c r="P157" i="83"/>
  <c r="Q157" i="83"/>
  <c r="S157" i="83"/>
  <c r="L158" i="83"/>
  <c r="N158" i="83"/>
  <c r="O158" i="83"/>
  <c r="F158" i="83" s="1"/>
  <c r="P158" i="83"/>
  <c r="Q158" i="83"/>
  <c r="S158" i="83"/>
  <c r="L159" i="83"/>
  <c r="N159" i="83"/>
  <c r="O159" i="83"/>
  <c r="P159" i="83"/>
  <c r="Q159" i="83"/>
  <c r="S159" i="83"/>
  <c r="L160" i="83"/>
  <c r="N160" i="83"/>
  <c r="O160" i="83"/>
  <c r="F160" i="83" s="1"/>
  <c r="P160" i="83"/>
  <c r="Q160" i="83"/>
  <c r="S160" i="83"/>
  <c r="L161" i="83"/>
  <c r="N161" i="83"/>
  <c r="O161" i="83"/>
  <c r="P161" i="83"/>
  <c r="Q161" i="83"/>
  <c r="S161" i="83"/>
  <c r="L162" i="83"/>
  <c r="N162" i="83"/>
  <c r="O162" i="83"/>
  <c r="F162" i="83" s="1"/>
  <c r="P162" i="83"/>
  <c r="Q162" i="83"/>
  <c r="S162" i="83"/>
  <c r="F163" i="83"/>
  <c r="L163" i="83"/>
  <c r="N163" i="83"/>
  <c r="O163" i="83"/>
  <c r="P163" i="83"/>
  <c r="Q163" i="83"/>
  <c r="S163" i="83"/>
  <c r="F164" i="83"/>
  <c r="L164" i="83"/>
  <c r="N164" i="83"/>
  <c r="O164" i="83"/>
  <c r="P164" i="83"/>
  <c r="Q164" i="83"/>
  <c r="S164" i="83"/>
  <c r="F165" i="83"/>
  <c r="L165" i="83"/>
  <c r="N165" i="83"/>
  <c r="O165" i="83"/>
  <c r="P165" i="83"/>
  <c r="Q165" i="83"/>
  <c r="S165" i="83"/>
  <c r="L166" i="83"/>
  <c r="N166" i="83"/>
  <c r="O166" i="83"/>
  <c r="F166" i="83" s="1"/>
  <c r="P166" i="83"/>
  <c r="Q166" i="83"/>
  <c r="S166" i="83"/>
  <c r="L167" i="83"/>
  <c r="N167" i="83"/>
  <c r="O167" i="83"/>
  <c r="P167" i="83"/>
  <c r="Q167" i="83"/>
  <c r="S167" i="83"/>
  <c r="L168" i="83"/>
  <c r="N168" i="83"/>
  <c r="O168" i="83"/>
  <c r="P168" i="83"/>
  <c r="Q168" i="83"/>
  <c r="S168" i="83"/>
  <c r="L169" i="83"/>
  <c r="N169" i="83"/>
  <c r="O169" i="83"/>
  <c r="F169" i="83" s="1"/>
  <c r="P169" i="83"/>
  <c r="Q169" i="83"/>
  <c r="S169" i="83"/>
  <c r="L170" i="83"/>
  <c r="N170" i="83"/>
  <c r="O170" i="83"/>
  <c r="F170" i="83" s="1"/>
  <c r="P170" i="83"/>
  <c r="Q170" i="83"/>
  <c r="S170" i="83"/>
  <c r="L171" i="83"/>
  <c r="N171" i="83"/>
  <c r="O171" i="83"/>
  <c r="F171" i="83" s="1"/>
  <c r="P171" i="83"/>
  <c r="Q171" i="83"/>
  <c r="S171" i="83"/>
  <c r="L172" i="83"/>
  <c r="N172" i="83"/>
  <c r="O172" i="83"/>
  <c r="P172" i="83"/>
  <c r="Q172" i="83"/>
  <c r="S172" i="83"/>
  <c r="F173" i="83"/>
  <c r="L173" i="83"/>
  <c r="N173" i="83"/>
  <c r="O173" i="83"/>
  <c r="P173" i="83"/>
  <c r="Q173" i="83"/>
  <c r="S173" i="83"/>
  <c r="F174" i="83"/>
  <c r="L174" i="83"/>
  <c r="N174" i="83"/>
  <c r="O174" i="83"/>
  <c r="P174" i="83"/>
  <c r="Q174" i="83"/>
  <c r="S174" i="83"/>
  <c r="L175" i="83"/>
  <c r="N175" i="83"/>
  <c r="O175" i="83"/>
  <c r="F175" i="83" s="1"/>
  <c r="P175" i="83"/>
  <c r="Q175" i="83"/>
  <c r="S175" i="83"/>
  <c r="L176" i="83"/>
  <c r="N176" i="83"/>
  <c r="O176" i="83"/>
  <c r="F176" i="83" s="1"/>
  <c r="P176" i="83"/>
  <c r="Q176" i="83"/>
  <c r="S176" i="83"/>
  <c r="L177" i="83"/>
  <c r="N177" i="83"/>
  <c r="O177" i="83"/>
  <c r="P177" i="83"/>
  <c r="Q177" i="83"/>
  <c r="S177" i="83"/>
  <c r="L178" i="83"/>
  <c r="N178" i="83"/>
  <c r="O178" i="83"/>
  <c r="P178" i="83"/>
  <c r="Q178" i="83"/>
  <c r="S178" i="83"/>
  <c r="F179" i="83"/>
  <c r="L179" i="83"/>
  <c r="N179" i="83"/>
  <c r="O179" i="83"/>
  <c r="P179" i="83"/>
  <c r="Q179" i="83"/>
  <c r="S179" i="83"/>
  <c r="L180" i="83"/>
  <c r="N180" i="83"/>
  <c r="O180" i="83"/>
  <c r="F180" i="83" s="1"/>
  <c r="P180" i="83"/>
  <c r="Q180" i="83"/>
  <c r="S180" i="83"/>
  <c r="L181" i="83"/>
  <c r="N181" i="83"/>
  <c r="O181" i="83"/>
  <c r="F181" i="83" s="1"/>
  <c r="P181" i="83"/>
  <c r="Q181" i="83"/>
  <c r="S181" i="83"/>
  <c r="L182" i="83"/>
  <c r="N182" i="83"/>
  <c r="O182" i="83"/>
  <c r="P182" i="83"/>
  <c r="Q182" i="83"/>
  <c r="S182" i="83"/>
  <c r="L183" i="83"/>
  <c r="N183" i="83"/>
  <c r="O183" i="83"/>
  <c r="P183" i="83"/>
  <c r="Q183" i="83"/>
  <c r="S183" i="83"/>
  <c r="L184" i="83"/>
  <c r="N184" i="83"/>
  <c r="O184" i="83"/>
  <c r="P184" i="83"/>
  <c r="Q184" i="83"/>
  <c r="S184" i="83"/>
  <c r="L185" i="83"/>
  <c r="N185" i="83"/>
  <c r="O185" i="83"/>
  <c r="F185" i="83" s="1"/>
  <c r="P185" i="83"/>
  <c r="Q185" i="83"/>
  <c r="S185" i="83"/>
  <c r="L186" i="83"/>
  <c r="N186" i="83"/>
  <c r="O186" i="83"/>
  <c r="P186" i="83"/>
  <c r="Q186" i="83"/>
  <c r="S186" i="83"/>
  <c r="L187" i="83"/>
  <c r="N187" i="83"/>
  <c r="O187" i="83"/>
  <c r="P187" i="83"/>
  <c r="Q187" i="83"/>
  <c r="S187" i="83"/>
  <c r="L188" i="83"/>
  <c r="N188" i="83"/>
  <c r="O188" i="83"/>
  <c r="F188" i="83" s="1"/>
  <c r="P188" i="83"/>
  <c r="Q188" i="83"/>
  <c r="S188" i="83"/>
  <c r="F189" i="83"/>
  <c r="L189" i="83"/>
  <c r="N189" i="83"/>
  <c r="O189" i="83"/>
  <c r="P189" i="83"/>
  <c r="Q189" i="83"/>
  <c r="S189" i="83"/>
  <c r="F190" i="83"/>
  <c r="L190" i="83"/>
  <c r="N190" i="83"/>
  <c r="O190" i="83"/>
  <c r="P190" i="83"/>
  <c r="Q190" i="83"/>
  <c r="S190" i="83"/>
  <c r="L191" i="83"/>
  <c r="N191" i="83"/>
  <c r="O191" i="83"/>
  <c r="F191" i="83" s="1"/>
  <c r="P191" i="83"/>
  <c r="Q191" i="83"/>
  <c r="S191" i="83"/>
  <c r="L192" i="83"/>
  <c r="N192" i="83"/>
  <c r="O192" i="83"/>
  <c r="P192" i="83"/>
  <c r="Q192" i="83"/>
  <c r="S192" i="83"/>
  <c r="L193" i="83"/>
  <c r="N193" i="83"/>
  <c r="O193" i="83"/>
  <c r="P193" i="83"/>
  <c r="Q193" i="83"/>
  <c r="S193" i="83"/>
  <c r="L194" i="83"/>
  <c r="N194" i="83"/>
  <c r="O194" i="83"/>
  <c r="P194" i="83"/>
  <c r="Q194" i="83"/>
  <c r="S194" i="83"/>
  <c r="F195" i="83"/>
  <c r="L195" i="83"/>
  <c r="N195" i="83"/>
  <c r="O195" i="83"/>
  <c r="P195" i="83"/>
  <c r="Q195" i="83"/>
  <c r="S195" i="83"/>
  <c r="F196" i="83"/>
  <c r="L196" i="83"/>
  <c r="N196" i="83"/>
  <c r="O196" i="83"/>
  <c r="P196" i="83"/>
  <c r="Q196" i="83"/>
  <c r="S196" i="83"/>
  <c r="L197" i="83"/>
  <c r="N197" i="83"/>
  <c r="O197" i="83"/>
  <c r="P197" i="83"/>
  <c r="Q197" i="83"/>
  <c r="S197" i="83"/>
  <c r="L198" i="83"/>
  <c r="N198" i="83"/>
  <c r="O198" i="83"/>
  <c r="F198" i="83" s="1"/>
  <c r="P198" i="83"/>
  <c r="Q198" i="83"/>
  <c r="S198" i="83"/>
  <c r="L199" i="83"/>
  <c r="N199" i="83"/>
  <c r="O199" i="83"/>
  <c r="P199" i="83"/>
  <c r="Q199" i="83"/>
  <c r="S199" i="83"/>
  <c r="L200" i="83"/>
  <c r="N200" i="83"/>
  <c r="O200" i="83"/>
  <c r="P200" i="83"/>
  <c r="Q200" i="83"/>
  <c r="S200" i="83"/>
  <c r="L201" i="83"/>
  <c r="N201" i="83"/>
  <c r="O201" i="83"/>
  <c r="F201" i="83" s="1"/>
  <c r="P201" i="83"/>
  <c r="Q201" i="83"/>
  <c r="S201" i="83"/>
  <c r="L202" i="83"/>
  <c r="N202" i="83"/>
  <c r="O202" i="83"/>
  <c r="F202" i="83" s="1"/>
  <c r="P202" i="83"/>
  <c r="Q202" i="83"/>
  <c r="S202" i="83"/>
  <c r="L203" i="83"/>
  <c r="N203" i="83"/>
  <c r="O203" i="83"/>
  <c r="F203" i="83" s="1"/>
  <c r="P203" i="83"/>
  <c r="Q203" i="83"/>
  <c r="S203" i="83"/>
  <c r="L204" i="83"/>
  <c r="N204" i="83"/>
  <c r="O204" i="83"/>
  <c r="P204" i="83"/>
  <c r="Q204" i="83"/>
  <c r="S204" i="83"/>
  <c r="F205" i="83"/>
  <c r="L205" i="83"/>
  <c r="N205" i="83"/>
  <c r="O205" i="83"/>
  <c r="P205" i="83"/>
  <c r="Q205" i="83"/>
  <c r="S205" i="83"/>
  <c r="F206" i="83"/>
  <c r="L206" i="83"/>
  <c r="N206" i="83"/>
  <c r="O206" i="83"/>
  <c r="P206" i="83"/>
  <c r="Q206" i="83"/>
  <c r="S206" i="83"/>
  <c r="L207" i="83"/>
  <c r="N207" i="83"/>
  <c r="O207" i="83"/>
  <c r="F207" i="83" s="1"/>
  <c r="P207" i="83"/>
  <c r="Q207" i="83"/>
  <c r="S207" i="83"/>
  <c r="L208" i="83"/>
  <c r="N208" i="83"/>
  <c r="O208" i="83"/>
  <c r="F208" i="83" s="1"/>
  <c r="P208" i="83"/>
  <c r="Q208" i="83"/>
  <c r="S208" i="83"/>
  <c r="L209" i="83"/>
  <c r="N209" i="83"/>
  <c r="O209" i="83"/>
  <c r="P209" i="83"/>
  <c r="Q209" i="83"/>
  <c r="S209" i="83"/>
  <c r="L210" i="83"/>
  <c r="N210" i="83"/>
  <c r="O210" i="83"/>
  <c r="P210" i="83"/>
  <c r="Q210" i="83"/>
  <c r="S210" i="83"/>
  <c r="F211" i="83"/>
  <c r="L211" i="83"/>
  <c r="N211" i="83"/>
  <c r="O211" i="83"/>
  <c r="P211" i="83"/>
  <c r="Q211" i="83"/>
  <c r="S211" i="83"/>
  <c r="L212" i="83"/>
  <c r="N212" i="83"/>
  <c r="O212" i="83"/>
  <c r="F212" i="83" s="1"/>
  <c r="P212" i="83"/>
  <c r="Q212" i="83"/>
  <c r="S212" i="83"/>
  <c r="L213" i="83"/>
  <c r="N213" i="83"/>
  <c r="O213" i="83"/>
  <c r="F213" i="83" s="1"/>
  <c r="P213" i="83"/>
  <c r="Q213" i="83"/>
  <c r="S213" i="83"/>
  <c r="L214" i="83"/>
  <c r="N214" i="83"/>
  <c r="O214" i="83"/>
  <c r="P214" i="83"/>
  <c r="Q214" i="83"/>
  <c r="S214" i="83"/>
  <c r="L215" i="83"/>
  <c r="N215" i="83"/>
  <c r="O215" i="83"/>
  <c r="P215" i="83"/>
  <c r="Q215" i="83"/>
  <c r="S215" i="83"/>
  <c r="L216" i="83"/>
  <c r="N216" i="83"/>
  <c r="O216" i="83"/>
  <c r="P216" i="83"/>
  <c r="Q216" i="83"/>
  <c r="S216" i="83"/>
  <c r="L217" i="83"/>
  <c r="N217" i="83"/>
  <c r="O217" i="83"/>
  <c r="F217" i="83" s="1"/>
  <c r="P217" i="83"/>
  <c r="Q217" i="83"/>
  <c r="S217" i="83"/>
  <c r="L218" i="83"/>
  <c r="N218" i="83"/>
  <c r="O218" i="83"/>
  <c r="P218" i="83"/>
  <c r="Q218" i="83"/>
  <c r="S218" i="83"/>
  <c r="L219" i="83"/>
  <c r="N219" i="83"/>
  <c r="O219" i="83"/>
  <c r="P219" i="83"/>
  <c r="Q219" i="83"/>
  <c r="S219" i="83"/>
  <c r="L220" i="83"/>
  <c r="N220" i="83"/>
  <c r="O220" i="83"/>
  <c r="F220" i="83" s="1"/>
  <c r="P220" i="83"/>
  <c r="Q220" i="83"/>
  <c r="S220" i="83"/>
  <c r="F221" i="83"/>
  <c r="L221" i="83"/>
  <c r="N221" i="83"/>
  <c r="O221" i="83"/>
  <c r="P221" i="83"/>
  <c r="Q221" i="83"/>
  <c r="S221" i="83"/>
  <c r="F222" i="83"/>
  <c r="L222" i="83"/>
  <c r="N222" i="83"/>
  <c r="O222" i="83"/>
  <c r="P222" i="83"/>
  <c r="Q222" i="83"/>
  <c r="S222" i="83"/>
  <c r="L223" i="83"/>
  <c r="N223" i="83"/>
  <c r="O223" i="83"/>
  <c r="F223" i="83" s="1"/>
  <c r="P223" i="83"/>
  <c r="Q223" i="83"/>
  <c r="S223" i="83"/>
  <c r="L224" i="83"/>
  <c r="N224" i="83"/>
  <c r="O224" i="83"/>
  <c r="P224" i="83"/>
  <c r="Q224" i="83"/>
  <c r="S224" i="83"/>
  <c r="L225" i="83"/>
  <c r="N225" i="83"/>
  <c r="O225" i="83"/>
  <c r="P225" i="83"/>
  <c r="Q225" i="83"/>
  <c r="S225" i="83"/>
  <c r="L226" i="83"/>
  <c r="N226" i="83"/>
  <c r="O226" i="83"/>
  <c r="P226" i="83"/>
  <c r="Q226" i="83"/>
  <c r="S226" i="83"/>
  <c r="F227" i="83"/>
  <c r="L227" i="83"/>
  <c r="N227" i="83"/>
  <c r="O227" i="83"/>
  <c r="P227" i="83"/>
  <c r="Q227" i="83"/>
  <c r="S227" i="83"/>
  <c r="F228" i="83"/>
  <c r="L228" i="83"/>
  <c r="N228" i="83"/>
  <c r="O228" i="83"/>
  <c r="P228" i="83"/>
  <c r="Q228" i="83"/>
  <c r="S228" i="83"/>
  <c r="L229" i="83"/>
  <c r="N229" i="83"/>
  <c r="O229" i="83"/>
  <c r="P229" i="83"/>
  <c r="Q229" i="83"/>
  <c r="S229" i="83"/>
  <c r="L230" i="83"/>
  <c r="N230" i="83"/>
  <c r="O230" i="83"/>
  <c r="F230" i="83" s="1"/>
  <c r="P230" i="83"/>
  <c r="Q230" i="83"/>
  <c r="S230" i="83"/>
  <c r="L231" i="83"/>
  <c r="N231" i="83"/>
  <c r="O231" i="83"/>
  <c r="P231" i="83"/>
  <c r="Q231" i="83"/>
  <c r="S231" i="83"/>
  <c r="L232" i="83"/>
  <c r="N232" i="83"/>
  <c r="O232" i="83"/>
  <c r="P232" i="83"/>
  <c r="Q232" i="83"/>
  <c r="S232" i="83"/>
  <c r="L233" i="83"/>
  <c r="N233" i="83"/>
  <c r="O233" i="83"/>
  <c r="F233" i="83" s="1"/>
  <c r="P233" i="83"/>
  <c r="Q233" i="83"/>
  <c r="S233" i="83"/>
  <c r="L234" i="83"/>
  <c r="N234" i="83"/>
  <c r="O234" i="83"/>
  <c r="F234" i="83" s="1"/>
  <c r="P234" i="83"/>
  <c r="Q234" i="83"/>
  <c r="S234" i="83"/>
  <c r="L235" i="83"/>
  <c r="N235" i="83"/>
  <c r="O235" i="83"/>
  <c r="F235" i="83" s="1"/>
  <c r="P235" i="83"/>
  <c r="Q235" i="83"/>
  <c r="S235" i="83"/>
  <c r="L236" i="83"/>
  <c r="N236" i="83"/>
  <c r="O236" i="83"/>
  <c r="P236" i="83"/>
  <c r="Q236" i="83"/>
  <c r="S236" i="83"/>
  <c r="F237" i="83"/>
  <c r="L237" i="83"/>
  <c r="N237" i="83"/>
  <c r="O237" i="83"/>
  <c r="P237" i="83"/>
  <c r="Q237" i="83"/>
  <c r="S237" i="83"/>
  <c r="F238" i="83"/>
  <c r="L238" i="83"/>
  <c r="N238" i="83"/>
  <c r="O238" i="83"/>
  <c r="P238" i="83"/>
  <c r="Q238" i="83"/>
  <c r="S238" i="83"/>
  <c r="L239" i="83"/>
  <c r="N239" i="83"/>
  <c r="O239" i="83"/>
  <c r="F239" i="83" s="1"/>
  <c r="P239" i="83"/>
  <c r="Q239" i="83"/>
  <c r="S239" i="83"/>
  <c r="L240" i="83"/>
  <c r="N240" i="83"/>
  <c r="O240" i="83"/>
  <c r="F240" i="83" s="1"/>
  <c r="P240" i="83"/>
  <c r="Q240" i="83"/>
  <c r="S240" i="83"/>
  <c r="L241" i="83"/>
  <c r="N241" i="83"/>
  <c r="O241" i="83"/>
  <c r="P241" i="83"/>
  <c r="Q241" i="83"/>
  <c r="S241" i="83"/>
  <c r="L242" i="83"/>
  <c r="N242" i="83"/>
  <c r="O242" i="83"/>
  <c r="P242" i="83"/>
  <c r="Q242" i="83"/>
  <c r="S242" i="83"/>
  <c r="F243" i="83"/>
  <c r="L243" i="83"/>
  <c r="N243" i="83"/>
  <c r="O243" i="83"/>
  <c r="P243" i="83"/>
  <c r="Q243" i="83"/>
  <c r="S243" i="83"/>
  <c r="L244" i="83"/>
  <c r="N244" i="83"/>
  <c r="O244" i="83"/>
  <c r="F244" i="83" s="1"/>
  <c r="P244" i="83"/>
  <c r="Q244" i="83"/>
  <c r="S244" i="83"/>
  <c r="L245" i="83"/>
  <c r="N245" i="83"/>
  <c r="O245" i="83"/>
  <c r="F245" i="83" s="1"/>
  <c r="P245" i="83"/>
  <c r="Q245" i="83"/>
  <c r="S245" i="83"/>
  <c r="L246" i="83"/>
  <c r="N246" i="83"/>
  <c r="O246" i="83"/>
  <c r="P246" i="83"/>
  <c r="Q246" i="83"/>
  <c r="S246" i="83"/>
  <c r="L247" i="83"/>
  <c r="N247" i="83"/>
  <c r="O247" i="83"/>
  <c r="P247" i="83"/>
  <c r="Q247" i="83"/>
  <c r="S247" i="83"/>
  <c r="L248" i="83"/>
  <c r="N248" i="83"/>
  <c r="O248" i="83"/>
  <c r="P248" i="83"/>
  <c r="Q248" i="83"/>
  <c r="S248" i="83"/>
  <c r="L249" i="83"/>
  <c r="N249" i="83"/>
  <c r="O249" i="83"/>
  <c r="F249" i="83" s="1"/>
  <c r="P249" i="83"/>
  <c r="Q249" i="83"/>
  <c r="S249" i="83"/>
  <c r="L250" i="83"/>
  <c r="N250" i="83"/>
  <c r="O250" i="83"/>
  <c r="P250" i="83"/>
  <c r="Q250" i="83"/>
  <c r="S250" i="83"/>
  <c r="L251" i="83"/>
  <c r="N251" i="83"/>
  <c r="O251" i="83"/>
  <c r="P251" i="83"/>
  <c r="Q251" i="83"/>
  <c r="S251" i="83"/>
  <c r="L252" i="83"/>
  <c r="N252" i="83"/>
  <c r="O252" i="83"/>
  <c r="F252" i="83" s="1"/>
  <c r="P252" i="83"/>
  <c r="Q252" i="83"/>
  <c r="S252" i="83"/>
  <c r="F253" i="83"/>
  <c r="L253" i="83"/>
  <c r="N253" i="83"/>
  <c r="O253" i="83"/>
  <c r="P253" i="83"/>
  <c r="Q253" i="83"/>
  <c r="S253" i="83"/>
  <c r="F254" i="83"/>
  <c r="L254" i="83"/>
  <c r="N254" i="83"/>
  <c r="O254" i="83"/>
  <c r="P254" i="83"/>
  <c r="Q254" i="83"/>
  <c r="S254" i="83"/>
  <c r="L255" i="83"/>
  <c r="N255" i="83"/>
  <c r="O255" i="83"/>
  <c r="F255" i="83" s="1"/>
  <c r="P255" i="83"/>
  <c r="Q255" i="83"/>
  <c r="S255" i="83"/>
  <c r="L256" i="83"/>
  <c r="N256" i="83"/>
  <c r="O256" i="83"/>
  <c r="P256" i="83"/>
  <c r="Q256" i="83"/>
  <c r="S256" i="83"/>
  <c r="L257" i="83"/>
  <c r="N257" i="83"/>
  <c r="O257" i="83"/>
  <c r="P257" i="83"/>
  <c r="Q257" i="83"/>
  <c r="S257" i="83"/>
  <c r="L258" i="83"/>
  <c r="N258" i="83"/>
  <c r="O258" i="83"/>
  <c r="F258" i="83" s="1"/>
  <c r="P258" i="83"/>
  <c r="Q258" i="83"/>
  <c r="S258" i="83"/>
  <c r="F259" i="83"/>
  <c r="L259" i="83"/>
  <c r="N259" i="83"/>
  <c r="O259" i="83"/>
  <c r="P259" i="83"/>
  <c r="Q259" i="83"/>
  <c r="S259" i="83"/>
  <c r="F260" i="83"/>
  <c r="L260" i="83"/>
  <c r="N260" i="83"/>
  <c r="O260" i="83"/>
  <c r="P260" i="83"/>
  <c r="Q260" i="83"/>
  <c r="S260" i="83"/>
  <c r="L261" i="83"/>
  <c r="N261" i="83"/>
  <c r="O261" i="83"/>
  <c r="P261" i="83"/>
  <c r="Q261" i="83"/>
  <c r="S261" i="83"/>
  <c r="L262" i="83"/>
  <c r="N262" i="83"/>
  <c r="O262" i="83"/>
  <c r="F262" i="83" s="1"/>
  <c r="P262" i="83"/>
  <c r="Q262" i="83"/>
  <c r="S262" i="83"/>
  <c r="L263" i="83"/>
  <c r="N263" i="83"/>
  <c r="O263" i="83"/>
  <c r="P263" i="83"/>
  <c r="Q263" i="83"/>
  <c r="S263" i="83"/>
  <c r="L264" i="83"/>
  <c r="N264" i="83"/>
  <c r="O264" i="83"/>
  <c r="F264" i="83" s="1"/>
  <c r="P264" i="83"/>
  <c r="Q264" i="83"/>
  <c r="S264" i="83"/>
  <c r="L265" i="83"/>
  <c r="N265" i="83"/>
  <c r="O265" i="83"/>
  <c r="F265" i="83" s="1"/>
  <c r="P265" i="83"/>
  <c r="Q265" i="83"/>
  <c r="S265" i="83"/>
  <c r="L266" i="83"/>
  <c r="N266" i="83"/>
  <c r="O266" i="83"/>
  <c r="F266" i="83" s="1"/>
  <c r="P266" i="83"/>
  <c r="Q266" i="83"/>
  <c r="S266" i="83"/>
  <c r="L267" i="83"/>
  <c r="N267" i="83"/>
  <c r="O267" i="83"/>
  <c r="F267" i="83" s="1"/>
  <c r="P267" i="83"/>
  <c r="Q267" i="83"/>
  <c r="S267" i="83"/>
  <c r="L268" i="83"/>
  <c r="N268" i="83"/>
  <c r="O268" i="83"/>
  <c r="P268" i="83"/>
  <c r="Q268" i="83"/>
  <c r="S268" i="83"/>
  <c r="F269" i="83"/>
  <c r="L269" i="83"/>
  <c r="N269" i="83"/>
  <c r="O269" i="83"/>
  <c r="P269" i="83"/>
  <c r="Q269" i="83"/>
  <c r="S269" i="83"/>
  <c r="F270" i="83"/>
  <c r="L270" i="83"/>
  <c r="N270" i="83"/>
  <c r="O270" i="83"/>
  <c r="P270" i="83"/>
  <c r="Q270" i="83"/>
  <c r="S270" i="83"/>
  <c r="L271" i="83"/>
  <c r="N271" i="83"/>
  <c r="O271" i="83"/>
  <c r="F271" i="83" s="1"/>
  <c r="P271" i="83"/>
  <c r="Q271" i="83"/>
  <c r="S271" i="83"/>
  <c r="L272" i="83"/>
  <c r="N272" i="83"/>
  <c r="O272" i="83"/>
  <c r="F272" i="83" s="1"/>
  <c r="P272" i="83"/>
  <c r="Q272" i="83"/>
  <c r="S272" i="83"/>
  <c r="L273" i="83"/>
  <c r="N273" i="83"/>
  <c r="O273" i="83"/>
  <c r="P273" i="83"/>
  <c r="Q273" i="83"/>
  <c r="S273" i="83"/>
  <c r="L274" i="83"/>
  <c r="N274" i="83"/>
  <c r="O274" i="83"/>
  <c r="F274" i="83" s="1"/>
  <c r="P274" i="83"/>
  <c r="Q274" i="83"/>
  <c r="S274" i="83"/>
  <c r="F275" i="83"/>
  <c r="L275" i="83"/>
  <c r="N275" i="83"/>
  <c r="O275" i="83"/>
  <c r="P275" i="83"/>
  <c r="Q275" i="83"/>
  <c r="S275" i="83"/>
  <c r="L276" i="83"/>
  <c r="N276" i="83"/>
  <c r="O276" i="83"/>
  <c r="F276" i="83" s="1"/>
  <c r="P276" i="83"/>
  <c r="Q276" i="83"/>
  <c r="S276" i="83"/>
  <c r="L277" i="83"/>
  <c r="N277" i="83"/>
  <c r="O277" i="83"/>
  <c r="F277" i="83" s="1"/>
  <c r="P277" i="83"/>
  <c r="Q277" i="83"/>
  <c r="S277" i="83"/>
  <c r="L278" i="83"/>
  <c r="N278" i="83"/>
  <c r="O278" i="83"/>
  <c r="P278" i="83"/>
  <c r="Q278" i="83"/>
  <c r="S278" i="83"/>
  <c r="L279" i="83"/>
  <c r="N279" i="83"/>
  <c r="O279" i="83"/>
  <c r="P279" i="83"/>
  <c r="Q279" i="83"/>
  <c r="S279" i="83"/>
  <c r="L280" i="83"/>
  <c r="N280" i="83"/>
  <c r="O280" i="83"/>
  <c r="F280" i="83" s="1"/>
  <c r="P280" i="83"/>
  <c r="Q280" i="83"/>
  <c r="S280" i="83"/>
  <c r="L281" i="83"/>
  <c r="N281" i="83"/>
  <c r="O281" i="83"/>
  <c r="F281" i="83" s="1"/>
  <c r="P281" i="83"/>
  <c r="Q281" i="83"/>
  <c r="S281" i="83"/>
  <c r="L282" i="83"/>
  <c r="N282" i="83"/>
  <c r="O282" i="83"/>
  <c r="P282" i="83"/>
  <c r="Q282" i="83"/>
  <c r="S282" i="83"/>
  <c r="L283" i="83"/>
  <c r="N283" i="83"/>
  <c r="O283" i="83"/>
  <c r="P283" i="83"/>
  <c r="Q283" i="83"/>
  <c r="S283" i="83"/>
  <c r="L284" i="83"/>
  <c r="N284" i="83"/>
  <c r="O284" i="83"/>
  <c r="F284" i="83" s="1"/>
  <c r="P284" i="83"/>
  <c r="Q284" i="83"/>
  <c r="S284" i="83"/>
  <c r="F285" i="83"/>
  <c r="L285" i="83"/>
  <c r="N285" i="83"/>
  <c r="O285" i="83"/>
  <c r="P285" i="83"/>
  <c r="Q285" i="83"/>
  <c r="S285" i="83"/>
  <c r="F286" i="83"/>
  <c r="L286" i="83"/>
  <c r="N286" i="83"/>
  <c r="O286" i="83"/>
  <c r="P286" i="83"/>
  <c r="Q286" i="83"/>
  <c r="S286" i="83"/>
  <c r="L287" i="83"/>
  <c r="N287" i="83"/>
  <c r="O287" i="83"/>
  <c r="F287" i="83" s="1"/>
  <c r="P287" i="83"/>
  <c r="Q287" i="83"/>
  <c r="S287" i="83"/>
  <c r="L288" i="83"/>
  <c r="N288" i="83"/>
  <c r="O288" i="83"/>
  <c r="P288" i="83"/>
  <c r="Q288" i="83"/>
  <c r="S288" i="83"/>
  <c r="L289" i="83"/>
  <c r="N289" i="83"/>
  <c r="O289" i="83"/>
  <c r="P289" i="83"/>
  <c r="Q289" i="83"/>
  <c r="S289" i="83"/>
  <c r="L290" i="83"/>
  <c r="N290" i="83"/>
  <c r="O290" i="83"/>
  <c r="F290" i="83" s="1"/>
  <c r="P290" i="83"/>
  <c r="Q290" i="83"/>
  <c r="S290" i="83"/>
  <c r="F291" i="83"/>
  <c r="L291" i="83"/>
  <c r="N291" i="83"/>
  <c r="O291" i="83"/>
  <c r="P291" i="83"/>
  <c r="Q291" i="83"/>
  <c r="S291" i="83"/>
  <c r="F292" i="83"/>
  <c r="L292" i="83"/>
  <c r="N292" i="83"/>
  <c r="O292" i="83"/>
  <c r="P292" i="83"/>
  <c r="Q292" i="83"/>
  <c r="S292" i="83"/>
  <c r="L293" i="83"/>
  <c r="N293" i="83"/>
  <c r="O293" i="83"/>
  <c r="P293" i="83"/>
  <c r="Q293" i="83"/>
  <c r="S293" i="83"/>
  <c r="L294" i="83"/>
  <c r="N294" i="83"/>
  <c r="O294" i="83"/>
  <c r="F294" i="83" s="1"/>
  <c r="P294" i="83"/>
  <c r="Q294" i="83"/>
  <c r="S294" i="83"/>
  <c r="L295" i="83"/>
  <c r="N295" i="83"/>
  <c r="O295" i="83"/>
  <c r="P295" i="83"/>
  <c r="Q295" i="83"/>
  <c r="S295" i="83"/>
  <c r="L296" i="83"/>
  <c r="N296" i="83"/>
  <c r="O296" i="83"/>
  <c r="F296" i="83" s="1"/>
  <c r="P296" i="83"/>
  <c r="Q296" i="83"/>
  <c r="S296" i="83"/>
  <c r="L297" i="83"/>
  <c r="N297" i="83"/>
  <c r="O297" i="83"/>
  <c r="F297" i="83" s="1"/>
  <c r="P297" i="83"/>
  <c r="Q297" i="83"/>
  <c r="S297" i="83"/>
  <c r="L298" i="83"/>
  <c r="N298" i="83"/>
  <c r="O298" i="83"/>
  <c r="F298" i="83" s="1"/>
  <c r="P298" i="83"/>
  <c r="Q298" i="83"/>
  <c r="S298" i="83"/>
  <c r="L299" i="83"/>
  <c r="N299" i="83"/>
  <c r="O299" i="83"/>
  <c r="F299" i="83" s="1"/>
  <c r="P299" i="83"/>
  <c r="Q299" i="83"/>
  <c r="S299" i="83"/>
  <c r="L300" i="83"/>
  <c r="N300" i="83"/>
  <c r="O300" i="83"/>
  <c r="P300" i="83"/>
  <c r="Q300" i="83"/>
  <c r="S300" i="83"/>
  <c r="F301" i="83"/>
  <c r="L301" i="83"/>
  <c r="N301" i="83"/>
  <c r="O301" i="83"/>
  <c r="P301" i="83"/>
  <c r="Q301" i="83"/>
  <c r="S301" i="83"/>
  <c r="F302" i="83"/>
  <c r="L302" i="83"/>
  <c r="N302" i="83"/>
  <c r="O302" i="83"/>
  <c r="P302" i="83"/>
  <c r="Q302" i="83"/>
  <c r="S302" i="83"/>
  <c r="L303" i="83"/>
  <c r="N303" i="83"/>
  <c r="O303" i="83"/>
  <c r="F303" i="83" s="1"/>
  <c r="P303" i="83"/>
  <c r="Q303" i="83"/>
  <c r="S303" i="83"/>
  <c r="L304" i="83"/>
  <c r="N304" i="83"/>
  <c r="O304" i="83"/>
  <c r="F304" i="83" s="1"/>
  <c r="P304" i="83"/>
  <c r="Q304" i="83"/>
  <c r="S304" i="83"/>
  <c r="L305" i="83"/>
  <c r="N305" i="83"/>
  <c r="O305" i="83"/>
  <c r="P305" i="83"/>
  <c r="Q305" i="83"/>
  <c r="S305" i="83"/>
  <c r="L306" i="83"/>
  <c r="N306" i="83"/>
  <c r="O306" i="83"/>
  <c r="F306" i="83" s="1"/>
  <c r="P306" i="83"/>
  <c r="Q306" i="83"/>
  <c r="S306" i="83"/>
  <c r="F307" i="83"/>
  <c r="L307" i="83"/>
  <c r="N307" i="83"/>
  <c r="O307" i="83"/>
  <c r="P307" i="83"/>
  <c r="Q307" i="83"/>
  <c r="S307" i="83"/>
  <c r="L308" i="83"/>
  <c r="N308" i="83"/>
  <c r="O308" i="83"/>
  <c r="F308" i="83" s="1"/>
  <c r="P308" i="83"/>
  <c r="Q308" i="83"/>
  <c r="S308" i="83"/>
  <c r="L309" i="83"/>
  <c r="N309" i="83"/>
  <c r="O309" i="83"/>
  <c r="F309" i="83" s="1"/>
  <c r="P309" i="83"/>
  <c r="Q309" i="83"/>
  <c r="S309" i="83"/>
  <c r="L310" i="83"/>
  <c r="N310" i="83"/>
  <c r="O310" i="83"/>
  <c r="P310" i="83"/>
  <c r="Q310" i="83"/>
  <c r="S310" i="83"/>
  <c r="L311" i="83"/>
  <c r="N311" i="83"/>
  <c r="O311" i="83"/>
  <c r="P311" i="83"/>
  <c r="Q311" i="83"/>
  <c r="S311" i="83"/>
  <c r="L312" i="83"/>
  <c r="N312" i="83"/>
  <c r="O312" i="83"/>
  <c r="F312" i="83" s="1"/>
  <c r="P312" i="83"/>
  <c r="Q312" i="83"/>
  <c r="S312" i="83"/>
  <c r="L313" i="83"/>
  <c r="N313" i="83"/>
  <c r="O313" i="83"/>
  <c r="F313" i="83" s="1"/>
  <c r="P313" i="83"/>
  <c r="Q313" i="83"/>
  <c r="S313" i="83"/>
  <c r="L314" i="83"/>
  <c r="N314" i="83"/>
  <c r="O314" i="83"/>
  <c r="P314" i="83"/>
  <c r="Q314" i="83"/>
  <c r="S314" i="83"/>
  <c r="L315" i="83"/>
  <c r="N315" i="83"/>
  <c r="O315" i="83"/>
  <c r="P315" i="83"/>
  <c r="Q315" i="83"/>
  <c r="S315" i="83"/>
  <c r="L316" i="83"/>
  <c r="N316" i="83"/>
  <c r="O316" i="83"/>
  <c r="F316" i="83" s="1"/>
  <c r="P316" i="83"/>
  <c r="Q316" i="83"/>
  <c r="S316" i="83"/>
  <c r="F317" i="83"/>
  <c r="L317" i="83"/>
  <c r="N317" i="83"/>
  <c r="O317" i="83"/>
  <c r="P317" i="83"/>
  <c r="Q317" i="83"/>
  <c r="S317" i="83"/>
  <c r="F318" i="83"/>
  <c r="L318" i="83"/>
  <c r="N318" i="83"/>
  <c r="O318" i="83"/>
  <c r="P318" i="83"/>
  <c r="Q318" i="83"/>
  <c r="S318" i="83"/>
  <c r="L319" i="83"/>
  <c r="N319" i="83"/>
  <c r="O319" i="83"/>
  <c r="F319" i="83" s="1"/>
  <c r="P319" i="83"/>
  <c r="Q319" i="83"/>
  <c r="S319" i="83"/>
  <c r="L320" i="83"/>
  <c r="N320" i="83"/>
  <c r="O320" i="83"/>
  <c r="P320" i="83"/>
  <c r="Q320" i="83"/>
  <c r="S320" i="83"/>
  <c r="L321" i="83"/>
  <c r="N321" i="83"/>
  <c r="O321" i="83"/>
  <c r="P321" i="83"/>
  <c r="Q321" i="83"/>
  <c r="S321" i="83"/>
  <c r="L322" i="83"/>
  <c r="N322" i="83"/>
  <c r="O322" i="83"/>
  <c r="F322" i="83" s="1"/>
  <c r="P322" i="83"/>
  <c r="Q322" i="83"/>
  <c r="S322" i="83"/>
  <c r="F323" i="83"/>
  <c r="L323" i="83"/>
  <c r="N323" i="83"/>
  <c r="O323" i="83"/>
  <c r="P323" i="83"/>
  <c r="Q323" i="83"/>
  <c r="S323" i="83"/>
  <c r="F324" i="83"/>
  <c r="L324" i="83"/>
  <c r="N324" i="83"/>
  <c r="O324" i="83"/>
  <c r="P324" i="83"/>
  <c r="Q324" i="83"/>
  <c r="S324" i="83"/>
  <c r="L325" i="83"/>
  <c r="N325" i="83"/>
  <c r="O325" i="83"/>
  <c r="P325" i="83"/>
  <c r="Q325" i="83"/>
  <c r="S325" i="83"/>
  <c r="L326" i="83"/>
  <c r="N326" i="83"/>
  <c r="O326" i="83"/>
  <c r="F326" i="83" s="1"/>
  <c r="P326" i="83"/>
  <c r="Q326" i="83"/>
  <c r="S326" i="83"/>
  <c r="L327" i="83"/>
  <c r="N327" i="83"/>
  <c r="O327" i="83"/>
  <c r="P327" i="83"/>
  <c r="Q327" i="83"/>
  <c r="S327" i="83"/>
  <c r="L328" i="83"/>
  <c r="N328" i="83"/>
  <c r="O328" i="83"/>
  <c r="F328" i="83" s="1"/>
  <c r="P328" i="83"/>
  <c r="Q328" i="83"/>
  <c r="S328" i="83"/>
  <c r="L329" i="83"/>
  <c r="N329" i="83"/>
  <c r="O329" i="83"/>
  <c r="F329" i="83" s="1"/>
  <c r="P329" i="83"/>
  <c r="Q329" i="83"/>
  <c r="S329" i="83"/>
  <c r="L330" i="83"/>
  <c r="N330" i="83"/>
  <c r="O330" i="83"/>
  <c r="F330" i="83" s="1"/>
  <c r="P330" i="83"/>
  <c r="Q330" i="83"/>
  <c r="S330" i="83"/>
  <c r="L331" i="83"/>
  <c r="N331" i="83"/>
  <c r="O331" i="83"/>
  <c r="F331" i="83" s="1"/>
  <c r="P331" i="83"/>
  <c r="Q331" i="83"/>
  <c r="S331" i="83"/>
  <c r="L332" i="83"/>
  <c r="N332" i="83"/>
  <c r="O332" i="83"/>
  <c r="P332" i="83"/>
  <c r="Q332" i="83"/>
  <c r="S332" i="83"/>
  <c r="F333" i="83"/>
  <c r="L333" i="83"/>
  <c r="N333" i="83"/>
  <c r="O333" i="83"/>
  <c r="P333" i="83"/>
  <c r="Q333" i="83"/>
  <c r="S333" i="83"/>
  <c r="F334" i="83"/>
  <c r="L334" i="83"/>
  <c r="N334" i="83"/>
  <c r="O334" i="83"/>
  <c r="P334" i="83"/>
  <c r="Q334" i="83"/>
  <c r="S334" i="83"/>
  <c r="L335" i="83"/>
  <c r="N335" i="83"/>
  <c r="O335" i="83"/>
  <c r="F335" i="83" s="1"/>
  <c r="P335" i="83"/>
  <c r="Q335" i="83"/>
  <c r="S335" i="83"/>
  <c r="L336" i="83"/>
  <c r="N336" i="83"/>
  <c r="O336" i="83"/>
  <c r="F336" i="83" s="1"/>
  <c r="P336" i="83"/>
  <c r="Q336" i="83"/>
  <c r="S336" i="83"/>
  <c r="L337" i="83"/>
  <c r="N337" i="83"/>
  <c r="O337" i="83"/>
  <c r="P337" i="83"/>
  <c r="Q337" i="83"/>
  <c r="S337" i="83"/>
  <c r="L338" i="83"/>
  <c r="N338" i="83"/>
  <c r="O338" i="83"/>
  <c r="F338" i="83" s="1"/>
  <c r="P338" i="83"/>
  <c r="Q338" i="83"/>
  <c r="S338" i="83"/>
  <c r="F339" i="83"/>
  <c r="L339" i="83"/>
  <c r="N339" i="83"/>
  <c r="O339" i="83"/>
  <c r="P339" i="83"/>
  <c r="Q339" i="83"/>
  <c r="S339" i="83"/>
  <c r="L340" i="83"/>
  <c r="N340" i="83"/>
  <c r="O340" i="83"/>
  <c r="F340" i="83" s="1"/>
  <c r="P340" i="83"/>
  <c r="Q340" i="83"/>
  <c r="S340" i="83"/>
  <c r="L341" i="83"/>
  <c r="N341" i="83"/>
  <c r="O341" i="83"/>
  <c r="F341" i="83" s="1"/>
  <c r="P341" i="83"/>
  <c r="Q341" i="83"/>
  <c r="S341" i="83"/>
  <c r="L342" i="83"/>
  <c r="N342" i="83"/>
  <c r="O342" i="83"/>
  <c r="P342" i="83"/>
  <c r="Q342" i="83"/>
  <c r="S342" i="83"/>
  <c r="L343" i="83"/>
  <c r="N343" i="83"/>
  <c r="O343" i="83"/>
  <c r="P343" i="83"/>
  <c r="Q343" i="83"/>
  <c r="S343" i="83"/>
  <c r="L344" i="83"/>
  <c r="N344" i="83"/>
  <c r="O344" i="83"/>
  <c r="F344" i="83" s="1"/>
  <c r="P344" i="83"/>
  <c r="Q344" i="83"/>
  <c r="S344" i="83"/>
  <c r="L345" i="83"/>
  <c r="N345" i="83"/>
  <c r="O345" i="83"/>
  <c r="F345" i="83" s="1"/>
  <c r="P345" i="83"/>
  <c r="Q345" i="83"/>
  <c r="S345" i="83"/>
  <c r="L346" i="83"/>
  <c r="N346" i="83"/>
  <c r="O346" i="83"/>
  <c r="P346" i="83"/>
  <c r="Q346" i="83"/>
  <c r="S346" i="83"/>
  <c r="L347" i="83"/>
  <c r="N347" i="83"/>
  <c r="O347" i="83"/>
  <c r="F347" i="83" s="1"/>
  <c r="P347" i="83"/>
  <c r="Q347" i="83"/>
  <c r="S347" i="83"/>
  <c r="L348" i="83"/>
  <c r="N348" i="83"/>
  <c r="O348" i="83"/>
  <c r="F348" i="83" s="1"/>
  <c r="P348" i="83"/>
  <c r="Q348" i="83"/>
  <c r="S348" i="83"/>
  <c r="F349" i="83"/>
  <c r="L349" i="83"/>
  <c r="N349" i="83"/>
  <c r="O349" i="83"/>
  <c r="P349" i="83"/>
  <c r="Q349" i="83"/>
  <c r="S349" i="83"/>
  <c r="F350" i="83"/>
  <c r="L350" i="83"/>
  <c r="N350" i="83"/>
  <c r="O350" i="83"/>
  <c r="P350" i="83"/>
  <c r="Q350" i="83"/>
  <c r="S350" i="83"/>
  <c r="L351" i="83"/>
  <c r="N351" i="83"/>
  <c r="O351" i="83"/>
  <c r="F351" i="83" s="1"/>
  <c r="P351" i="83"/>
  <c r="Q351" i="83"/>
  <c r="S351" i="83"/>
  <c r="L352" i="83"/>
  <c r="N352" i="83"/>
  <c r="O352" i="83"/>
  <c r="F352" i="83" s="1"/>
  <c r="P352" i="83"/>
  <c r="Q352" i="83"/>
  <c r="S352" i="83"/>
  <c r="L353" i="83"/>
  <c r="N353" i="83"/>
  <c r="O353" i="83"/>
  <c r="P353" i="83"/>
  <c r="Q353" i="83"/>
  <c r="S353" i="83"/>
  <c r="L354" i="83"/>
  <c r="N354" i="83"/>
  <c r="O354" i="83"/>
  <c r="F354" i="83" s="1"/>
  <c r="P354" i="83"/>
  <c r="Q354" i="83"/>
  <c r="S354" i="83"/>
  <c r="F355" i="83"/>
  <c r="L355" i="83"/>
  <c r="N355" i="83"/>
  <c r="O355" i="83"/>
  <c r="P355" i="83"/>
  <c r="Q355" i="83"/>
  <c r="S355" i="83"/>
  <c r="F356" i="83"/>
  <c r="L356" i="83"/>
  <c r="N356" i="83"/>
  <c r="O356" i="83"/>
  <c r="P356" i="83"/>
  <c r="Q356" i="83"/>
  <c r="S356" i="83"/>
  <c r="L357" i="83"/>
  <c r="N357" i="83"/>
  <c r="O357" i="83"/>
  <c r="F357" i="83" s="1"/>
  <c r="P357" i="83"/>
  <c r="Q357" i="83"/>
  <c r="S357" i="83"/>
  <c r="L358" i="83"/>
  <c r="N358" i="83"/>
  <c r="O358" i="83"/>
  <c r="F358" i="83" s="1"/>
  <c r="P358" i="83"/>
  <c r="Q358" i="83"/>
  <c r="S358" i="83"/>
  <c r="L359" i="83"/>
  <c r="N359" i="83"/>
  <c r="O359" i="83"/>
  <c r="P359" i="83"/>
  <c r="Q359" i="83"/>
  <c r="S359" i="83"/>
  <c r="L360" i="83"/>
  <c r="N360" i="83"/>
  <c r="O360" i="83"/>
  <c r="F360" i="83" s="1"/>
  <c r="P360" i="83"/>
  <c r="Q360" i="83"/>
  <c r="S360" i="83"/>
  <c r="L361" i="83"/>
  <c r="N361" i="83"/>
  <c r="O361" i="83"/>
  <c r="F361" i="83" s="1"/>
  <c r="P361" i="83"/>
  <c r="Q361" i="83"/>
  <c r="S361" i="83"/>
  <c r="L362" i="83"/>
  <c r="N362" i="83"/>
  <c r="O362" i="83"/>
  <c r="F362" i="83" s="1"/>
  <c r="P362" i="83"/>
  <c r="Q362" i="83"/>
  <c r="S362" i="83"/>
  <c r="L363" i="83"/>
  <c r="N363" i="83"/>
  <c r="O363" i="83"/>
  <c r="F363" i="83" s="1"/>
  <c r="P363" i="83"/>
  <c r="Q363" i="83"/>
  <c r="S363" i="83"/>
  <c r="L364" i="83"/>
  <c r="N364" i="83"/>
  <c r="O364" i="83"/>
  <c r="P364" i="83"/>
  <c r="Q364" i="83"/>
  <c r="S364" i="83"/>
  <c r="F365" i="83"/>
  <c r="L365" i="83"/>
  <c r="N365" i="83"/>
  <c r="O365" i="83"/>
  <c r="P365" i="83"/>
  <c r="Q365" i="83"/>
  <c r="S365" i="83"/>
  <c r="F366" i="83"/>
  <c r="L366" i="83"/>
  <c r="N366" i="83"/>
  <c r="O366" i="83"/>
  <c r="P366" i="83"/>
  <c r="Q366" i="83"/>
  <c r="S366" i="83"/>
  <c r="L367" i="83"/>
  <c r="N367" i="83"/>
  <c r="O367" i="83"/>
  <c r="F367" i="83" s="1"/>
  <c r="P367" i="83"/>
  <c r="Q367" i="83"/>
  <c r="S367" i="83"/>
  <c r="L368" i="83"/>
  <c r="N368" i="83"/>
  <c r="O368" i="83"/>
  <c r="F368" i="83" s="1"/>
  <c r="P368" i="83"/>
  <c r="Q368" i="83"/>
  <c r="S368" i="83"/>
  <c r="L369" i="83"/>
  <c r="N369" i="83"/>
  <c r="O369" i="83"/>
  <c r="P369" i="83"/>
  <c r="Q369" i="83"/>
  <c r="S369" i="83"/>
  <c r="L370" i="83"/>
  <c r="N370" i="83"/>
  <c r="O370" i="83"/>
  <c r="F370" i="83" s="1"/>
  <c r="P370" i="83"/>
  <c r="Q370" i="83"/>
  <c r="S370" i="83"/>
  <c r="F371" i="83"/>
  <c r="L371" i="83"/>
  <c r="N371" i="83"/>
  <c r="O371" i="83"/>
  <c r="P371" i="83"/>
  <c r="Q371" i="83"/>
  <c r="S371" i="83"/>
  <c r="L372" i="83"/>
  <c r="N372" i="83"/>
  <c r="O372" i="83"/>
  <c r="F372" i="83" s="1"/>
  <c r="P372" i="83"/>
  <c r="Q372" i="83"/>
  <c r="S372" i="83"/>
  <c r="L373" i="83"/>
  <c r="N373" i="83"/>
  <c r="O373" i="83"/>
  <c r="F373" i="83" s="1"/>
  <c r="P373" i="83"/>
  <c r="Q373" i="83"/>
  <c r="S373" i="83"/>
  <c r="L374" i="83"/>
  <c r="N374" i="83"/>
  <c r="O374" i="83"/>
  <c r="P374" i="83"/>
  <c r="Q374" i="83"/>
  <c r="S374" i="83"/>
  <c r="L375" i="83"/>
  <c r="N375" i="83"/>
  <c r="O375" i="83"/>
  <c r="P375" i="83"/>
  <c r="Q375" i="83"/>
  <c r="S375" i="83"/>
  <c r="L376" i="83"/>
  <c r="N376" i="83"/>
  <c r="O376" i="83"/>
  <c r="F376" i="83" s="1"/>
  <c r="P376" i="83"/>
  <c r="Q376" i="83"/>
  <c r="S376" i="83"/>
  <c r="L377" i="83"/>
  <c r="N377" i="83"/>
  <c r="O377" i="83"/>
  <c r="F377" i="83" s="1"/>
  <c r="P377" i="83"/>
  <c r="Q377" i="83"/>
  <c r="S377" i="83"/>
  <c r="L378" i="83"/>
  <c r="N378" i="83"/>
  <c r="O378" i="83"/>
  <c r="P378" i="83"/>
  <c r="Q378" i="83"/>
  <c r="S378" i="83"/>
  <c r="L379" i="83"/>
  <c r="N379" i="83"/>
  <c r="O379" i="83"/>
  <c r="F379" i="83" s="1"/>
  <c r="P379" i="83"/>
  <c r="Q379" i="83"/>
  <c r="S379" i="83"/>
  <c r="L380" i="83"/>
  <c r="N380" i="83"/>
  <c r="O380" i="83"/>
  <c r="F380" i="83" s="1"/>
  <c r="P380" i="83"/>
  <c r="Q380" i="83"/>
  <c r="S380" i="83"/>
  <c r="F381" i="83"/>
  <c r="L381" i="83"/>
  <c r="N381" i="83"/>
  <c r="O381" i="83"/>
  <c r="P381" i="83"/>
  <c r="Q381" i="83"/>
  <c r="S381" i="83"/>
  <c r="F382" i="83"/>
  <c r="L382" i="83"/>
  <c r="N382" i="83"/>
  <c r="O382" i="83"/>
  <c r="P382" i="83"/>
  <c r="Q382" i="83"/>
  <c r="S382" i="83"/>
  <c r="L383" i="83"/>
  <c r="N383" i="83"/>
  <c r="O383" i="83"/>
  <c r="F383" i="83" s="1"/>
  <c r="P383" i="83"/>
  <c r="Q383" i="83"/>
  <c r="S383" i="83"/>
  <c r="L384" i="83"/>
  <c r="N384" i="83"/>
  <c r="O384" i="83"/>
  <c r="F384" i="83" s="1"/>
  <c r="P384" i="83"/>
  <c r="Q384" i="83"/>
  <c r="S384" i="83"/>
  <c r="L385" i="83"/>
  <c r="N385" i="83"/>
  <c r="O385" i="83"/>
  <c r="P385" i="83"/>
  <c r="Q385" i="83"/>
  <c r="S385" i="83"/>
  <c r="L386" i="83"/>
  <c r="N386" i="83"/>
  <c r="O386" i="83"/>
  <c r="F386" i="83" s="1"/>
  <c r="P386" i="83"/>
  <c r="Q386" i="83"/>
  <c r="S386" i="83"/>
  <c r="F387" i="83"/>
  <c r="L387" i="83"/>
  <c r="N387" i="83"/>
  <c r="O387" i="83"/>
  <c r="P387" i="83"/>
  <c r="Q387" i="83"/>
  <c r="S387" i="83"/>
  <c r="F388" i="83"/>
  <c r="L388" i="83"/>
  <c r="N388" i="83"/>
  <c r="O388" i="83"/>
  <c r="P388" i="83"/>
  <c r="Q388" i="83"/>
  <c r="S388" i="83"/>
  <c r="L389" i="83"/>
  <c r="N389" i="83"/>
  <c r="O389" i="83"/>
  <c r="F389" i="83" s="1"/>
  <c r="P389" i="83"/>
  <c r="Q389" i="83"/>
  <c r="S389" i="83"/>
  <c r="L390" i="83"/>
  <c r="N390" i="83"/>
  <c r="O390" i="83"/>
  <c r="F390" i="83" s="1"/>
  <c r="P390" i="83"/>
  <c r="Q390" i="83"/>
  <c r="S390" i="83"/>
  <c r="L391" i="83"/>
  <c r="N391" i="83"/>
  <c r="O391" i="83"/>
  <c r="P391" i="83"/>
  <c r="Q391" i="83"/>
  <c r="S391" i="83"/>
  <c r="L392" i="83"/>
  <c r="N392" i="83"/>
  <c r="O392" i="83"/>
  <c r="F392" i="83" s="1"/>
  <c r="P392" i="83"/>
  <c r="Q392" i="83"/>
  <c r="S392" i="83"/>
  <c r="L393" i="83"/>
  <c r="N393" i="83"/>
  <c r="O393" i="83"/>
  <c r="F393" i="83" s="1"/>
  <c r="P393" i="83"/>
  <c r="Q393" i="83"/>
  <c r="S393" i="83"/>
  <c r="L394" i="83"/>
  <c r="N394" i="83"/>
  <c r="O394" i="83"/>
  <c r="F394" i="83" s="1"/>
  <c r="P394" i="83"/>
  <c r="Q394" i="83"/>
  <c r="S394" i="83"/>
  <c r="L395" i="83"/>
  <c r="N395" i="83"/>
  <c r="O395" i="83"/>
  <c r="F395" i="83" s="1"/>
  <c r="P395" i="83"/>
  <c r="Q395" i="83"/>
  <c r="S395" i="83"/>
  <c r="L396" i="83"/>
  <c r="N396" i="83"/>
  <c r="O396" i="83"/>
  <c r="P396" i="83"/>
  <c r="Q396" i="83"/>
  <c r="S396" i="83"/>
  <c r="F397" i="83"/>
  <c r="L397" i="83"/>
  <c r="N397" i="83"/>
  <c r="O397" i="83"/>
  <c r="P397" i="83"/>
  <c r="Q397" i="83"/>
  <c r="S397" i="83"/>
  <c r="F398" i="83"/>
  <c r="L398" i="83"/>
  <c r="N398" i="83"/>
  <c r="O398" i="83"/>
  <c r="P398" i="83"/>
  <c r="Q398" i="83"/>
  <c r="S398" i="83"/>
  <c r="L399" i="83"/>
  <c r="N399" i="83"/>
  <c r="O399" i="83"/>
  <c r="F399" i="83" s="1"/>
  <c r="P399" i="83"/>
  <c r="Q399" i="83"/>
  <c r="S399" i="83"/>
  <c r="L400" i="83"/>
  <c r="N400" i="83"/>
  <c r="O400" i="83"/>
  <c r="F400" i="83" s="1"/>
  <c r="P400" i="83"/>
  <c r="Q400" i="83"/>
  <c r="S400" i="83"/>
  <c r="L401" i="83"/>
  <c r="N401" i="83"/>
  <c r="O401" i="83"/>
  <c r="P401" i="83"/>
  <c r="Q401" i="83"/>
  <c r="S401" i="83"/>
  <c r="L402" i="83"/>
  <c r="N402" i="83"/>
  <c r="O402" i="83"/>
  <c r="F402" i="83" s="1"/>
  <c r="P402" i="83"/>
  <c r="Q402" i="83"/>
  <c r="S402" i="83"/>
  <c r="F403" i="83"/>
  <c r="L403" i="83"/>
  <c r="N403" i="83"/>
  <c r="O403" i="83"/>
  <c r="P403" i="83"/>
  <c r="Q403" i="83"/>
  <c r="S403" i="83"/>
  <c r="L404" i="83"/>
  <c r="N404" i="83"/>
  <c r="O404" i="83"/>
  <c r="F404" i="83" s="1"/>
  <c r="P404" i="83"/>
  <c r="Q404" i="83"/>
  <c r="S404" i="83"/>
  <c r="L405" i="83"/>
  <c r="N405" i="83"/>
  <c r="O405" i="83"/>
  <c r="F405" i="83" s="1"/>
  <c r="P405" i="83"/>
  <c r="Q405" i="83"/>
  <c r="S405" i="83"/>
  <c r="L406" i="83"/>
  <c r="N406" i="83"/>
  <c r="O406" i="83"/>
  <c r="P406" i="83"/>
  <c r="Q406" i="83"/>
  <c r="S406" i="83"/>
  <c r="L407" i="83"/>
  <c r="N407" i="83"/>
  <c r="O407" i="83"/>
  <c r="P407" i="83"/>
  <c r="Q407" i="83"/>
  <c r="S407" i="83"/>
  <c r="L408" i="83"/>
  <c r="N408" i="83"/>
  <c r="O408" i="83"/>
  <c r="F408" i="83" s="1"/>
  <c r="P408" i="83"/>
  <c r="Q408" i="83"/>
  <c r="S408" i="83"/>
  <c r="L409" i="83"/>
  <c r="N409" i="83"/>
  <c r="O409" i="83"/>
  <c r="F409" i="83" s="1"/>
  <c r="P409" i="83"/>
  <c r="Q409" i="83"/>
  <c r="S409" i="83"/>
  <c r="L410" i="83"/>
  <c r="N410" i="83"/>
  <c r="O410" i="83"/>
  <c r="P410" i="83"/>
  <c r="Q410" i="83"/>
  <c r="S410" i="83"/>
  <c r="L411" i="83"/>
  <c r="N411" i="83"/>
  <c r="O411" i="83"/>
  <c r="F411" i="83" s="1"/>
  <c r="P411" i="83"/>
  <c r="Q411" i="83"/>
  <c r="S411" i="83"/>
  <c r="L412" i="83"/>
  <c r="N412" i="83"/>
  <c r="O412" i="83"/>
  <c r="F412" i="83" s="1"/>
  <c r="P412" i="83"/>
  <c r="Q412" i="83"/>
  <c r="S412" i="83"/>
  <c r="F413" i="83"/>
  <c r="L413" i="83"/>
  <c r="N413" i="83"/>
  <c r="O413" i="83"/>
  <c r="P413" i="83"/>
  <c r="Q413" i="83"/>
  <c r="S413" i="83"/>
  <c r="F414" i="83"/>
  <c r="L414" i="83"/>
  <c r="N414" i="83"/>
  <c r="O414" i="83"/>
  <c r="P414" i="83"/>
  <c r="Q414" i="83"/>
  <c r="S414" i="83"/>
  <c r="L415" i="83"/>
  <c r="N415" i="83"/>
  <c r="O415" i="83"/>
  <c r="F415" i="83" s="1"/>
  <c r="P415" i="83"/>
  <c r="Q415" i="83"/>
  <c r="S415" i="83"/>
  <c r="L416" i="83"/>
  <c r="N416" i="83"/>
  <c r="O416" i="83"/>
  <c r="F416" i="83" s="1"/>
  <c r="P416" i="83"/>
  <c r="Q416" i="83"/>
  <c r="S416" i="83"/>
  <c r="L417" i="83"/>
  <c r="N417" i="83"/>
  <c r="O417" i="83"/>
  <c r="P417" i="83"/>
  <c r="Q417" i="83"/>
  <c r="S417" i="83"/>
  <c r="L418" i="83"/>
  <c r="N418" i="83"/>
  <c r="O418" i="83"/>
  <c r="F418" i="83" s="1"/>
  <c r="P418" i="83"/>
  <c r="Q418" i="83"/>
  <c r="S418" i="83"/>
  <c r="F419" i="83"/>
  <c r="L419" i="83"/>
  <c r="N419" i="83"/>
  <c r="O419" i="83"/>
  <c r="P419" i="83"/>
  <c r="Q419" i="83"/>
  <c r="S419" i="83"/>
  <c r="F420" i="83"/>
  <c r="L420" i="83"/>
  <c r="N420" i="83"/>
  <c r="O420" i="83"/>
  <c r="P420" i="83"/>
  <c r="Q420" i="83"/>
  <c r="S420" i="83"/>
  <c r="L421" i="83"/>
  <c r="N421" i="83"/>
  <c r="O421" i="83"/>
  <c r="F421" i="83" s="1"/>
  <c r="P421" i="83"/>
  <c r="Q421" i="83"/>
  <c r="S421" i="83"/>
  <c r="L422" i="83"/>
  <c r="N422" i="83"/>
  <c r="O422" i="83"/>
  <c r="F422" i="83" s="1"/>
  <c r="P422" i="83"/>
  <c r="Q422" i="83"/>
  <c r="S422" i="83"/>
  <c r="L423" i="83"/>
  <c r="N423" i="83"/>
  <c r="O423" i="83"/>
  <c r="P423" i="83"/>
  <c r="Q423" i="83"/>
  <c r="S423" i="83"/>
  <c r="L424" i="83"/>
  <c r="N424" i="83"/>
  <c r="O424" i="83"/>
  <c r="F424" i="83" s="1"/>
  <c r="P424" i="83"/>
  <c r="Q424" i="83"/>
  <c r="S424" i="83"/>
  <c r="L425" i="83"/>
  <c r="N425" i="83"/>
  <c r="O425" i="83"/>
  <c r="F425" i="83" s="1"/>
  <c r="P425" i="83"/>
  <c r="Q425" i="83"/>
  <c r="S425" i="83"/>
  <c r="L426" i="83"/>
  <c r="N426" i="83"/>
  <c r="O426" i="83"/>
  <c r="F426" i="83" s="1"/>
  <c r="P426" i="83"/>
  <c r="Q426" i="83"/>
  <c r="S426" i="83"/>
  <c r="L427" i="83"/>
  <c r="N427" i="83"/>
  <c r="O427" i="83"/>
  <c r="F427" i="83" s="1"/>
  <c r="P427" i="83"/>
  <c r="Q427" i="83"/>
  <c r="S427" i="83"/>
  <c r="L428" i="83"/>
  <c r="N428" i="83"/>
  <c r="O428" i="83"/>
  <c r="P428" i="83"/>
  <c r="Q428" i="83"/>
  <c r="S428" i="83"/>
  <c r="F429" i="83"/>
  <c r="L429" i="83"/>
  <c r="N429" i="83"/>
  <c r="O429" i="83"/>
  <c r="P429" i="83"/>
  <c r="Q429" i="83"/>
  <c r="S429" i="83"/>
  <c r="F430" i="83"/>
  <c r="L430" i="83"/>
  <c r="N430" i="83"/>
  <c r="O430" i="83"/>
  <c r="P430" i="83"/>
  <c r="Q430" i="83"/>
  <c r="S430" i="83"/>
  <c r="L431" i="83"/>
  <c r="N431" i="83"/>
  <c r="O431" i="83"/>
  <c r="F431" i="83" s="1"/>
  <c r="P431" i="83"/>
  <c r="Q431" i="83"/>
  <c r="S431" i="83"/>
  <c r="L432" i="83"/>
  <c r="N432" i="83"/>
  <c r="O432" i="83"/>
  <c r="F432" i="83" s="1"/>
  <c r="P432" i="83"/>
  <c r="Q432" i="83"/>
  <c r="S432" i="83"/>
  <c r="L433" i="83"/>
  <c r="N433" i="83"/>
  <c r="O433" i="83"/>
  <c r="P433" i="83"/>
  <c r="Q433" i="83"/>
  <c r="S433" i="83"/>
  <c r="L434" i="83"/>
  <c r="N434" i="83"/>
  <c r="O434" i="83"/>
  <c r="F434" i="83" s="1"/>
  <c r="P434" i="83"/>
  <c r="Q434" i="83"/>
  <c r="S434" i="83"/>
  <c r="F435" i="83"/>
  <c r="L435" i="83"/>
  <c r="N435" i="83"/>
  <c r="O435" i="83"/>
  <c r="P435" i="83"/>
  <c r="Q435" i="83"/>
  <c r="S435" i="83"/>
  <c r="L436" i="83"/>
  <c r="N436" i="83"/>
  <c r="O436" i="83"/>
  <c r="F436" i="83" s="1"/>
  <c r="P436" i="83"/>
  <c r="Q436" i="83"/>
  <c r="S436" i="83"/>
  <c r="L437" i="83"/>
  <c r="N437" i="83"/>
  <c r="O437" i="83"/>
  <c r="F437" i="83" s="1"/>
  <c r="P437" i="83"/>
  <c r="Q437" i="83"/>
  <c r="S437" i="83"/>
  <c r="L438" i="83"/>
  <c r="N438" i="83"/>
  <c r="O438" i="83"/>
  <c r="P438" i="83"/>
  <c r="Q438" i="83"/>
  <c r="S438" i="83"/>
  <c r="L439" i="83"/>
  <c r="N439" i="83"/>
  <c r="O439" i="83"/>
  <c r="P439" i="83"/>
  <c r="Q439" i="83"/>
  <c r="S439" i="83"/>
  <c r="L440" i="83"/>
  <c r="N440" i="83"/>
  <c r="O440" i="83"/>
  <c r="F440" i="83" s="1"/>
  <c r="P440" i="83"/>
  <c r="Q440" i="83"/>
  <c r="S440" i="83"/>
  <c r="L441" i="83"/>
  <c r="N441" i="83"/>
  <c r="O441" i="83"/>
  <c r="F441" i="83" s="1"/>
  <c r="P441" i="83"/>
  <c r="Q441" i="83"/>
  <c r="S441" i="83"/>
  <c r="L442" i="83"/>
  <c r="N442" i="83"/>
  <c r="O442" i="83"/>
  <c r="P442" i="83"/>
  <c r="Q442" i="83"/>
  <c r="S442" i="83"/>
  <c r="L443" i="83"/>
  <c r="N443" i="83"/>
  <c r="O443" i="83"/>
  <c r="F443" i="83" s="1"/>
  <c r="P443" i="83"/>
  <c r="Q443" i="83"/>
  <c r="S443" i="83"/>
  <c r="L444" i="83"/>
  <c r="N444" i="83"/>
  <c r="O444" i="83"/>
  <c r="F444" i="83" s="1"/>
  <c r="P444" i="83"/>
  <c r="Q444" i="83"/>
  <c r="S444" i="83"/>
  <c r="F445" i="83"/>
  <c r="L445" i="83"/>
  <c r="N445" i="83"/>
  <c r="O445" i="83"/>
  <c r="P445" i="83"/>
  <c r="Q445" i="83"/>
  <c r="S445" i="83"/>
  <c r="F446" i="83"/>
  <c r="L446" i="83"/>
  <c r="N446" i="83"/>
  <c r="O446" i="83"/>
  <c r="P446" i="83"/>
  <c r="Q446" i="83"/>
  <c r="S446" i="83"/>
  <c r="L447" i="83"/>
  <c r="N447" i="83"/>
  <c r="O447" i="83"/>
  <c r="F447" i="83" s="1"/>
  <c r="P447" i="83"/>
  <c r="Q447" i="83"/>
  <c r="S447" i="83"/>
  <c r="L448" i="83"/>
  <c r="N448" i="83"/>
  <c r="O448" i="83"/>
  <c r="F448" i="83" s="1"/>
  <c r="P448" i="83"/>
  <c r="Q448" i="83"/>
  <c r="S448" i="83"/>
  <c r="L449" i="83"/>
  <c r="N449" i="83"/>
  <c r="O449" i="83"/>
  <c r="P449" i="83"/>
  <c r="Q449" i="83"/>
  <c r="S449" i="83"/>
  <c r="L450" i="83"/>
  <c r="N450" i="83"/>
  <c r="O450" i="83"/>
  <c r="F450" i="83" s="1"/>
  <c r="P450" i="83"/>
  <c r="Q450" i="83"/>
  <c r="S450" i="83"/>
  <c r="F451" i="83"/>
  <c r="L451" i="83"/>
  <c r="N451" i="83"/>
  <c r="O451" i="83"/>
  <c r="P451" i="83"/>
  <c r="Q451" i="83"/>
  <c r="S451" i="83"/>
  <c r="F452" i="83"/>
  <c r="L452" i="83"/>
  <c r="N452" i="83"/>
  <c r="O452" i="83"/>
  <c r="P452" i="83"/>
  <c r="Q452" i="83"/>
  <c r="S452" i="83"/>
  <c r="L453" i="83"/>
  <c r="N453" i="83"/>
  <c r="O453" i="83"/>
  <c r="F453" i="83" s="1"/>
  <c r="P453" i="83"/>
  <c r="Q453" i="83"/>
  <c r="S453" i="83"/>
  <c r="L454" i="83"/>
  <c r="N454" i="83"/>
  <c r="O454" i="83"/>
  <c r="F454" i="83" s="1"/>
  <c r="P454" i="83"/>
  <c r="Q454" i="83"/>
  <c r="S454" i="83"/>
  <c r="L455" i="83"/>
  <c r="N455" i="83"/>
  <c r="O455" i="83"/>
  <c r="P455" i="83"/>
  <c r="Q455" i="83"/>
  <c r="S455" i="83"/>
  <c r="L456" i="83"/>
  <c r="N456" i="83"/>
  <c r="O456" i="83"/>
  <c r="F456" i="83" s="1"/>
  <c r="P456" i="83"/>
  <c r="Q456" i="83"/>
  <c r="S456" i="83"/>
  <c r="L457" i="83"/>
  <c r="N457" i="83"/>
  <c r="O457" i="83"/>
  <c r="F457" i="83" s="1"/>
  <c r="P457" i="83"/>
  <c r="Q457" i="83"/>
  <c r="S457" i="83"/>
  <c r="L458" i="83"/>
  <c r="N458" i="83"/>
  <c r="O458" i="83"/>
  <c r="F458" i="83" s="1"/>
  <c r="P458" i="83"/>
  <c r="Q458" i="83"/>
  <c r="S458" i="83"/>
  <c r="L459" i="83"/>
  <c r="N459" i="83"/>
  <c r="O459" i="83"/>
  <c r="F459" i="83" s="1"/>
  <c r="P459" i="83"/>
  <c r="Q459" i="83"/>
  <c r="S459" i="83"/>
  <c r="L460" i="83"/>
  <c r="N460" i="83"/>
  <c r="O460" i="83"/>
  <c r="F460" i="83" s="1"/>
  <c r="P460" i="83"/>
  <c r="Q460" i="83"/>
  <c r="S460" i="83"/>
  <c r="F461" i="83"/>
  <c r="L461" i="83"/>
  <c r="N461" i="83"/>
  <c r="O461" i="83"/>
  <c r="P461" i="83"/>
  <c r="Q461" i="83"/>
  <c r="S461" i="83"/>
  <c r="F462" i="83"/>
  <c r="L462" i="83"/>
  <c r="N462" i="83"/>
  <c r="O462" i="83"/>
  <c r="P462" i="83"/>
  <c r="Q462" i="83"/>
  <c r="S462" i="83"/>
  <c r="L463" i="83"/>
  <c r="N463" i="83"/>
  <c r="O463" i="83"/>
  <c r="F463" i="83" s="1"/>
  <c r="P463" i="83"/>
  <c r="Q463" i="83"/>
  <c r="S463" i="83"/>
  <c r="L464" i="83"/>
  <c r="N464" i="83"/>
  <c r="O464" i="83"/>
  <c r="F464" i="83" s="1"/>
  <c r="P464" i="83"/>
  <c r="Q464" i="83"/>
  <c r="S464" i="83"/>
  <c r="L465" i="83"/>
  <c r="N465" i="83"/>
  <c r="O465" i="83"/>
  <c r="P465" i="83"/>
  <c r="Q465" i="83"/>
  <c r="S465" i="83"/>
  <c r="L466" i="83"/>
  <c r="N466" i="83"/>
  <c r="O466" i="83"/>
  <c r="F466" i="83" s="1"/>
  <c r="P466" i="83"/>
  <c r="Q466" i="83"/>
  <c r="S466" i="83"/>
  <c r="F467" i="83"/>
  <c r="L467" i="83"/>
  <c r="N467" i="83"/>
  <c r="O467" i="83"/>
  <c r="P467" i="83"/>
  <c r="Q467" i="83"/>
  <c r="S467" i="83"/>
  <c r="L468" i="83"/>
  <c r="N468" i="83"/>
  <c r="O468" i="83"/>
  <c r="F468" i="83" s="1"/>
  <c r="P468" i="83"/>
  <c r="Q468" i="83"/>
  <c r="S468" i="83"/>
  <c r="L469" i="83"/>
  <c r="N469" i="83"/>
  <c r="O469" i="83"/>
  <c r="F469" i="83" s="1"/>
  <c r="P469" i="83"/>
  <c r="Q469" i="83"/>
  <c r="S469" i="83"/>
  <c r="L470" i="83"/>
  <c r="N470" i="83"/>
  <c r="O470" i="83"/>
  <c r="F470" i="83" s="1"/>
  <c r="P470" i="83"/>
  <c r="Q470" i="83"/>
  <c r="S470" i="83"/>
  <c r="L471" i="83"/>
  <c r="N471" i="83"/>
  <c r="O471" i="83"/>
  <c r="P471" i="83"/>
  <c r="Q471" i="83"/>
  <c r="S471" i="83"/>
  <c r="L472" i="83"/>
  <c r="N472" i="83"/>
  <c r="O472" i="83"/>
  <c r="F472" i="83" s="1"/>
  <c r="P472" i="83"/>
  <c r="Q472" i="83"/>
  <c r="S472" i="83"/>
  <c r="L473" i="83"/>
  <c r="N473" i="83"/>
  <c r="O473" i="83"/>
  <c r="F473" i="83" s="1"/>
  <c r="P473" i="83"/>
  <c r="Q473" i="83"/>
  <c r="S473" i="83"/>
  <c r="L474" i="83"/>
  <c r="N474" i="83"/>
  <c r="O474" i="83"/>
  <c r="F474" i="83" s="1"/>
  <c r="P474" i="83"/>
  <c r="Q474" i="83"/>
  <c r="S474" i="83"/>
  <c r="L475" i="83"/>
  <c r="N475" i="83"/>
  <c r="O475" i="83"/>
  <c r="F475" i="83" s="1"/>
  <c r="P475" i="83"/>
  <c r="Q475" i="83"/>
  <c r="S475" i="83"/>
  <c r="L476" i="83"/>
  <c r="N476" i="83"/>
  <c r="O476" i="83"/>
  <c r="F476" i="83" s="1"/>
  <c r="P476" i="83"/>
  <c r="Q476" i="83"/>
  <c r="S476" i="83"/>
  <c r="F477" i="83"/>
  <c r="L477" i="83"/>
  <c r="N477" i="83"/>
  <c r="O477" i="83"/>
  <c r="P477" i="83"/>
  <c r="Q477" i="83"/>
  <c r="S477" i="83"/>
  <c r="F478" i="83"/>
  <c r="L478" i="83"/>
  <c r="N478" i="83"/>
  <c r="O478" i="83"/>
  <c r="P478" i="83"/>
  <c r="Q478" i="83"/>
  <c r="S478" i="83"/>
  <c r="L479" i="83"/>
  <c r="N479" i="83"/>
  <c r="O479" i="83"/>
  <c r="F479" i="83" s="1"/>
  <c r="P479" i="83"/>
  <c r="Q479" i="83"/>
  <c r="S479" i="83"/>
  <c r="L480" i="83"/>
  <c r="N480" i="83"/>
  <c r="O480" i="83"/>
  <c r="F480" i="83" s="1"/>
  <c r="P480" i="83"/>
  <c r="Q480" i="83"/>
  <c r="S480" i="83"/>
  <c r="L481" i="83"/>
  <c r="N481" i="83"/>
  <c r="O481" i="83"/>
  <c r="P481" i="83"/>
  <c r="Q481" i="83"/>
  <c r="S481" i="83"/>
  <c r="L482" i="83"/>
  <c r="N482" i="83"/>
  <c r="O482" i="83"/>
  <c r="F482" i="83" s="1"/>
  <c r="P482" i="83"/>
  <c r="Q482" i="83"/>
  <c r="S482" i="83"/>
  <c r="F483" i="83"/>
  <c r="L483" i="83"/>
  <c r="N483" i="83"/>
  <c r="O483" i="83"/>
  <c r="P483" i="83"/>
  <c r="Q483" i="83"/>
  <c r="S483" i="83"/>
  <c r="F484" i="83"/>
  <c r="L484" i="83"/>
  <c r="N484" i="83"/>
  <c r="O484" i="83"/>
  <c r="P484" i="83"/>
  <c r="Q484" i="83"/>
  <c r="S484" i="83"/>
  <c r="L485" i="83"/>
  <c r="N485" i="83"/>
  <c r="O485" i="83"/>
  <c r="F485" i="83" s="1"/>
  <c r="P485" i="83"/>
  <c r="Q485" i="83"/>
  <c r="S485" i="83"/>
  <c r="L486" i="83"/>
  <c r="N486" i="83"/>
  <c r="O486" i="83"/>
  <c r="P486" i="83"/>
  <c r="Q486" i="83"/>
  <c r="S486" i="83"/>
  <c r="L487" i="83"/>
  <c r="N487" i="83"/>
  <c r="O487" i="83"/>
  <c r="P487" i="83"/>
  <c r="Q487" i="83"/>
  <c r="S487" i="83"/>
  <c r="L488" i="83"/>
  <c r="N488" i="83"/>
  <c r="O488" i="83"/>
  <c r="F488" i="83" s="1"/>
  <c r="P488" i="83"/>
  <c r="Q488" i="83"/>
  <c r="S488" i="83"/>
  <c r="L489" i="83"/>
  <c r="N489" i="83"/>
  <c r="O489" i="83"/>
  <c r="F489" i="83" s="1"/>
  <c r="P489" i="83"/>
  <c r="Q489" i="83"/>
  <c r="S489" i="83"/>
  <c r="L490" i="83"/>
  <c r="N490" i="83"/>
  <c r="O490" i="83"/>
  <c r="P490" i="83"/>
  <c r="Q490" i="83"/>
  <c r="S490" i="83"/>
  <c r="L491" i="83"/>
  <c r="N491" i="83"/>
  <c r="O491" i="83"/>
  <c r="F491" i="83" s="1"/>
  <c r="P491" i="83"/>
  <c r="Q491" i="83"/>
  <c r="S491" i="83"/>
  <c r="L492" i="83"/>
  <c r="N492" i="83"/>
  <c r="O492" i="83"/>
  <c r="F492" i="83" s="1"/>
  <c r="P492" i="83"/>
  <c r="Q492" i="83"/>
  <c r="S492" i="83"/>
  <c r="F493" i="83"/>
  <c r="L493" i="83"/>
  <c r="N493" i="83"/>
  <c r="O493" i="83"/>
  <c r="P493" i="83"/>
  <c r="Q493" i="83"/>
  <c r="S493" i="83"/>
  <c r="F494" i="83"/>
  <c r="L494" i="83"/>
  <c r="N494" i="83"/>
  <c r="O494" i="83"/>
  <c r="P494" i="83"/>
  <c r="Q494" i="83"/>
  <c r="S494" i="83"/>
  <c r="L495" i="83"/>
  <c r="N495" i="83"/>
  <c r="O495" i="83"/>
  <c r="F495" i="83" s="1"/>
  <c r="P495" i="83"/>
  <c r="Q495" i="83"/>
  <c r="S495" i="83"/>
  <c r="L496" i="83"/>
  <c r="N496" i="83"/>
  <c r="O496" i="83"/>
  <c r="F496" i="83" s="1"/>
  <c r="P496" i="83"/>
  <c r="Q496" i="83"/>
  <c r="S496" i="83"/>
  <c r="L497" i="83"/>
  <c r="N497" i="83"/>
  <c r="O497" i="83"/>
  <c r="P497" i="83"/>
  <c r="Q497" i="83"/>
  <c r="S497" i="83"/>
  <c r="L498" i="83"/>
  <c r="N498" i="83"/>
  <c r="O498" i="83"/>
  <c r="F498" i="83" s="1"/>
  <c r="P498" i="83"/>
  <c r="Q498" i="83"/>
  <c r="S498" i="83"/>
  <c r="F499" i="83"/>
  <c r="L499" i="83"/>
  <c r="N499" i="83"/>
  <c r="O499" i="83"/>
  <c r="P499" i="83"/>
  <c r="Q499" i="83"/>
  <c r="S499" i="83"/>
  <c r="L500" i="83"/>
  <c r="N500" i="83"/>
  <c r="O500" i="83"/>
  <c r="F500" i="83" s="1"/>
  <c r="P500" i="83"/>
  <c r="Q500" i="83"/>
  <c r="S500" i="83"/>
  <c r="L501" i="83"/>
  <c r="N501" i="83"/>
  <c r="O501" i="83"/>
  <c r="F501" i="83" s="1"/>
  <c r="P501" i="83"/>
  <c r="Q501" i="83"/>
  <c r="S501" i="83"/>
  <c r="L502" i="83"/>
  <c r="N502" i="83"/>
  <c r="O502" i="83"/>
  <c r="F502" i="83" s="1"/>
  <c r="P502" i="83"/>
  <c r="Q502" i="83"/>
  <c r="S502" i="83"/>
  <c r="L503" i="83"/>
  <c r="N503" i="83"/>
  <c r="O503" i="83"/>
  <c r="P503" i="83"/>
  <c r="Q503" i="83"/>
  <c r="S503" i="83"/>
  <c r="L504" i="83"/>
  <c r="N504" i="83"/>
  <c r="O504" i="83"/>
  <c r="F504" i="83" s="1"/>
  <c r="P504" i="83"/>
  <c r="Q504" i="83"/>
  <c r="S504" i="83"/>
  <c r="L505" i="83"/>
  <c r="N505" i="83"/>
  <c r="O505" i="83"/>
  <c r="F505" i="83" s="1"/>
  <c r="P505" i="83"/>
  <c r="Q505" i="83"/>
  <c r="S505" i="83"/>
  <c r="L506" i="83"/>
  <c r="N506" i="83"/>
  <c r="O506" i="83"/>
  <c r="F506" i="83" s="1"/>
  <c r="P506" i="83"/>
  <c r="Q506" i="83"/>
  <c r="S506" i="83"/>
  <c r="L507" i="83"/>
  <c r="N507" i="83"/>
  <c r="O507" i="83"/>
  <c r="F507" i="83" s="1"/>
  <c r="P507" i="83"/>
  <c r="Q507" i="83"/>
  <c r="S507" i="83"/>
  <c r="L508" i="83"/>
  <c r="N508" i="83"/>
  <c r="O508" i="83"/>
  <c r="P508" i="83"/>
  <c r="Q508" i="83"/>
  <c r="S508" i="83"/>
  <c r="F509" i="83"/>
  <c r="L509" i="83"/>
  <c r="N509" i="83"/>
  <c r="O509" i="83"/>
  <c r="P509" i="83"/>
  <c r="Q509" i="83"/>
  <c r="S509" i="83"/>
  <c r="L510" i="83"/>
  <c r="N510" i="83"/>
  <c r="O510" i="83"/>
  <c r="F510" i="83" s="1"/>
  <c r="P510" i="83"/>
  <c r="Q510" i="83"/>
  <c r="S510" i="83"/>
  <c r="L511" i="83"/>
  <c r="N511" i="83"/>
  <c r="O511" i="83"/>
  <c r="F511" i="83" s="1"/>
  <c r="P511" i="83"/>
  <c r="Q511" i="83"/>
  <c r="S511" i="83"/>
  <c r="L512" i="83"/>
  <c r="N512" i="83"/>
  <c r="O512" i="83"/>
  <c r="F512" i="83" s="1"/>
  <c r="P512" i="83"/>
  <c r="Q512" i="83"/>
  <c r="S512" i="83"/>
  <c r="L513" i="83"/>
  <c r="N513" i="83"/>
  <c r="O513" i="83"/>
  <c r="P513" i="83"/>
  <c r="Q513" i="83"/>
  <c r="S513" i="83"/>
  <c r="L514" i="83"/>
  <c r="N514" i="83"/>
  <c r="O514" i="83"/>
  <c r="F514" i="83" s="1"/>
  <c r="P514" i="83"/>
  <c r="Q514" i="83"/>
  <c r="S514" i="83"/>
  <c r="L515" i="83"/>
  <c r="N515" i="83"/>
  <c r="O515" i="83"/>
  <c r="P515" i="83"/>
  <c r="F515" i="83" s="1"/>
  <c r="Q515" i="83"/>
  <c r="S515" i="83"/>
  <c r="F516" i="83"/>
  <c r="L516" i="83"/>
  <c r="N516" i="83"/>
  <c r="O516" i="83"/>
  <c r="P516" i="83"/>
  <c r="Q516" i="83"/>
  <c r="S516" i="83"/>
  <c r="L517" i="83"/>
  <c r="N517" i="83"/>
  <c r="O517" i="83"/>
  <c r="F517" i="83" s="1"/>
  <c r="P517" i="83"/>
  <c r="Q517" i="83"/>
  <c r="S517" i="83"/>
  <c r="L518" i="83"/>
  <c r="N518" i="83"/>
  <c r="O518" i="83"/>
  <c r="F518" i="83" s="1"/>
  <c r="P518" i="83"/>
  <c r="Q518" i="83"/>
  <c r="S518" i="83"/>
  <c r="L519" i="83"/>
  <c r="N519" i="83"/>
  <c r="O519" i="83"/>
  <c r="P519" i="83"/>
  <c r="Q519" i="83"/>
  <c r="S519" i="83"/>
  <c r="L144" i="82"/>
  <c r="N144" i="82"/>
  <c r="O144" i="82"/>
  <c r="F144" i="82" s="1"/>
  <c r="P144" i="82"/>
  <c r="Q144" i="82"/>
  <c r="S144" i="82"/>
  <c r="F145" i="82"/>
  <c r="L145" i="82"/>
  <c r="N145" i="82"/>
  <c r="O145" i="82"/>
  <c r="P145" i="82"/>
  <c r="Q145" i="82"/>
  <c r="S145" i="82"/>
  <c r="F146" i="82"/>
  <c r="L146" i="82"/>
  <c r="N146" i="82"/>
  <c r="O146" i="82"/>
  <c r="P146" i="82"/>
  <c r="Q146" i="82"/>
  <c r="S146" i="82"/>
  <c r="L147" i="82"/>
  <c r="N147" i="82"/>
  <c r="O147" i="82"/>
  <c r="F147" i="82" s="1"/>
  <c r="P147" i="82"/>
  <c r="Q147" i="82"/>
  <c r="S147" i="82"/>
  <c r="L148" i="82"/>
  <c r="N148" i="82"/>
  <c r="O148" i="82"/>
  <c r="F148" i="82" s="1"/>
  <c r="P148" i="82"/>
  <c r="Q148" i="82"/>
  <c r="S148" i="82"/>
  <c r="L149" i="82"/>
  <c r="N149" i="82"/>
  <c r="O149" i="82"/>
  <c r="P149" i="82"/>
  <c r="Q149" i="82"/>
  <c r="S149" i="82"/>
  <c r="L150" i="82"/>
  <c r="N150" i="82"/>
  <c r="O150" i="82"/>
  <c r="P150" i="82"/>
  <c r="Q150" i="82"/>
  <c r="S150" i="82"/>
  <c r="L151" i="82"/>
  <c r="N151" i="82"/>
  <c r="O151" i="82"/>
  <c r="F151" i="82" s="1"/>
  <c r="P151" i="82"/>
  <c r="Q151" i="82"/>
  <c r="S151" i="82"/>
  <c r="L152" i="82"/>
  <c r="N152" i="82"/>
  <c r="O152" i="82"/>
  <c r="F152" i="82" s="1"/>
  <c r="P152" i="82"/>
  <c r="Q152" i="82"/>
  <c r="S152" i="82"/>
  <c r="L153" i="82"/>
  <c r="N153" i="82"/>
  <c r="O153" i="82"/>
  <c r="F153" i="82" s="1"/>
  <c r="P153" i="82"/>
  <c r="Q153" i="82"/>
  <c r="S153" i="82"/>
  <c r="F154" i="82"/>
  <c r="L154" i="82"/>
  <c r="N154" i="82"/>
  <c r="O154" i="82"/>
  <c r="P154" i="82"/>
  <c r="Q154" i="82"/>
  <c r="S154" i="82"/>
  <c r="F155" i="82"/>
  <c r="L155" i="82"/>
  <c r="N155" i="82"/>
  <c r="O155" i="82"/>
  <c r="P155" i="82"/>
  <c r="Q155" i="82"/>
  <c r="S155" i="82"/>
  <c r="L156" i="82"/>
  <c r="N156" i="82"/>
  <c r="O156" i="82"/>
  <c r="F156" i="82" s="1"/>
  <c r="P156" i="82"/>
  <c r="Q156" i="82"/>
  <c r="S156" i="82"/>
  <c r="L157" i="82"/>
  <c r="N157" i="82"/>
  <c r="O157" i="82"/>
  <c r="F157" i="82" s="1"/>
  <c r="P157" i="82"/>
  <c r="Q157" i="82"/>
  <c r="S157" i="82"/>
  <c r="L158" i="82"/>
  <c r="N158" i="82"/>
  <c r="O158" i="82"/>
  <c r="P158" i="82"/>
  <c r="Q158" i="82"/>
  <c r="S158" i="82"/>
  <c r="L159" i="82"/>
  <c r="N159" i="82"/>
  <c r="O159" i="82"/>
  <c r="F159" i="82" s="1"/>
  <c r="P159" i="82"/>
  <c r="Q159" i="82"/>
  <c r="S159" i="82"/>
  <c r="L160" i="82"/>
  <c r="N160" i="82"/>
  <c r="O160" i="82"/>
  <c r="F160" i="82" s="1"/>
  <c r="P160" i="82"/>
  <c r="Q160" i="82"/>
  <c r="S160" i="82"/>
  <c r="L161" i="82"/>
  <c r="N161" i="82"/>
  <c r="O161" i="82"/>
  <c r="F161" i="82" s="1"/>
  <c r="P161" i="82"/>
  <c r="Q161" i="82"/>
  <c r="S161" i="82"/>
  <c r="L162" i="82"/>
  <c r="N162" i="82"/>
  <c r="O162" i="82"/>
  <c r="F162" i="82" s="1"/>
  <c r="P162" i="82"/>
  <c r="Q162" i="82"/>
  <c r="S162" i="82"/>
  <c r="F163" i="82"/>
  <c r="L163" i="82"/>
  <c r="N163" i="82"/>
  <c r="O163" i="82"/>
  <c r="P163" i="82"/>
  <c r="Q163" i="82"/>
  <c r="S163" i="82"/>
  <c r="L164" i="82"/>
  <c r="N164" i="82"/>
  <c r="O164" i="82"/>
  <c r="P164" i="82"/>
  <c r="Q164" i="82"/>
  <c r="S164" i="82"/>
  <c r="L165" i="82"/>
  <c r="N165" i="82"/>
  <c r="O165" i="82"/>
  <c r="P165" i="82"/>
  <c r="Q165" i="82"/>
  <c r="S165" i="82"/>
  <c r="L166" i="82"/>
  <c r="N166" i="82"/>
  <c r="O166" i="82"/>
  <c r="P166" i="82"/>
  <c r="Q166" i="82"/>
  <c r="S166" i="82"/>
  <c r="L167" i="82"/>
  <c r="N167" i="82"/>
  <c r="O167" i="82"/>
  <c r="F167" i="82" s="1"/>
  <c r="P167" i="82"/>
  <c r="Q167" i="82"/>
  <c r="S167" i="82"/>
  <c r="L168" i="82"/>
  <c r="N168" i="82"/>
  <c r="O168" i="82"/>
  <c r="P168" i="82"/>
  <c r="Q168" i="82"/>
  <c r="S168" i="82"/>
  <c r="L169" i="82"/>
  <c r="N169" i="82"/>
  <c r="O169" i="82"/>
  <c r="F169" i="82" s="1"/>
  <c r="P169" i="82"/>
  <c r="Q169" i="82"/>
  <c r="S169" i="82"/>
  <c r="L170" i="82"/>
  <c r="N170" i="82"/>
  <c r="O170" i="82"/>
  <c r="P170" i="82"/>
  <c r="F170" i="82" s="1"/>
  <c r="Q170" i="82"/>
  <c r="S170" i="82"/>
  <c r="L171" i="82"/>
  <c r="N171" i="82"/>
  <c r="O171" i="82"/>
  <c r="F171" i="82" s="1"/>
  <c r="P171" i="82"/>
  <c r="Q171" i="82"/>
  <c r="S171" i="82"/>
  <c r="L172" i="82"/>
  <c r="N172" i="82"/>
  <c r="O172" i="82"/>
  <c r="F172" i="82" s="1"/>
  <c r="P172" i="82"/>
  <c r="Q172" i="82"/>
  <c r="S172" i="82"/>
  <c r="L173" i="82"/>
  <c r="N173" i="82"/>
  <c r="O173" i="82"/>
  <c r="P173" i="82"/>
  <c r="Q173" i="82"/>
  <c r="S173" i="82"/>
  <c r="L174" i="82"/>
  <c r="N174" i="82"/>
  <c r="O174" i="82"/>
  <c r="F174" i="82" s="1"/>
  <c r="P174" i="82"/>
  <c r="Q174" i="82"/>
  <c r="S174" i="82"/>
  <c r="L175" i="82"/>
  <c r="N175" i="82"/>
  <c r="O175" i="82"/>
  <c r="F175" i="82" s="1"/>
  <c r="P175" i="82"/>
  <c r="Q175" i="82"/>
  <c r="S175" i="82"/>
  <c r="L176" i="82"/>
  <c r="N176" i="82"/>
  <c r="O176" i="82"/>
  <c r="F176" i="82" s="1"/>
  <c r="P176" i="82"/>
  <c r="Q176" i="82"/>
  <c r="S176" i="82"/>
  <c r="F177" i="82"/>
  <c r="L177" i="82"/>
  <c r="N177" i="82"/>
  <c r="O177" i="82"/>
  <c r="P177" i="82"/>
  <c r="Q177" i="82"/>
  <c r="S177" i="82"/>
  <c r="L178" i="82"/>
  <c r="N178" i="82"/>
  <c r="O178" i="82"/>
  <c r="F178" i="82" s="1"/>
  <c r="P178" i="82"/>
  <c r="Q178" i="82"/>
  <c r="S178" i="82"/>
  <c r="F179" i="82"/>
  <c r="L179" i="82"/>
  <c r="N179" i="82"/>
  <c r="O179" i="82"/>
  <c r="P179" i="82"/>
  <c r="Q179" i="82"/>
  <c r="S179" i="82"/>
  <c r="L180" i="82"/>
  <c r="N180" i="82"/>
  <c r="O180" i="82"/>
  <c r="P180" i="82"/>
  <c r="Q180" i="82"/>
  <c r="S180" i="82"/>
  <c r="L181" i="82"/>
  <c r="N181" i="82"/>
  <c r="O181" i="82"/>
  <c r="F181" i="82" s="1"/>
  <c r="P181" i="82"/>
  <c r="Q181" i="82"/>
  <c r="S181" i="82"/>
  <c r="L182" i="82"/>
  <c r="N182" i="82"/>
  <c r="O182" i="82"/>
  <c r="F182" i="82" s="1"/>
  <c r="P182" i="82"/>
  <c r="Q182" i="82"/>
  <c r="S182" i="82"/>
  <c r="L183" i="82"/>
  <c r="N183" i="82"/>
  <c r="O183" i="82"/>
  <c r="P183" i="82"/>
  <c r="Q183" i="82"/>
  <c r="S183" i="82"/>
  <c r="L184" i="82"/>
  <c r="N184" i="82"/>
  <c r="O184" i="82"/>
  <c r="P184" i="82"/>
  <c r="Q184" i="82"/>
  <c r="S184" i="82"/>
  <c r="F185" i="82"/>
  <c r="L185" i="82"/>
  <c r="N185" i="82"/>
  <c r="O185" i="82"/>
  <c r="P185" i="82"/>
  <c r="Q185" i="82"/>
  <c r="S185" i="82"/>
  <c r="L186" i="82"/>
  <c r="N186" i="82"/>
  <c r="O186" i="82"/>
  <c r="F186" i="82" s="1"/>
  <c r="P186" i="82"/>
  <c r="Q186" i="82"/>
  <c r="S186" i="82"/>
  <c r="L187" i="82"/>
  <c r="N187" i="82"/>
  <c r="O187" i="82"/>
  <c r="F187" i="82" s="1"/>
  <c r="P187" i="82"/>
  <c r="Q187" i="82"/>
  <c r="S187" i="82"/>
  <c r="L188" i="82"/>
  <c r="N188" i="82"/>
  <c r="O188" i="82"/>
  <c r="P188" i="82"/>
  <c r="Q188" i="82"/>
  <c r="S188" i="82"/>
  <c r="L189" i="82"/>
  <c r="N189" i="82"/>
  <c r="O189" i="82"/>
  <c r="F189" i="82" s="1"/>
  <c r="P189" i="82"/>
  <c r="Q189" i="82"/>
  <c r="S189" i="82"/>
  <c r="L190" i="82"/>
  <c r="N190" i="82"/>
  <c r="O190" i="82"/>
  <c r="F190" i="82" s="1"/>
  <c r="P190" i="82"/>
  <c r="Q190" i="82"/>
  <c r="S190" i="82"/>
  <c r="L191" i="82"/>
  <c r="N191" i="82"/>
  <c r="O191" i="82"/>
  <c r="F191" i="82" s="1"/>
  <c r="P191" i="82"/>
  <c r="Q191" i="82"/>
  <c r="S191" i="82"/>
  <c r="L192" i="82"/>
  <c r="N192" i="82"/>
  <c r="O192" i="82"/>
  <c r="P192" i="82"/>
  <c r="Q192" i="82"/>
  <c r="S192" i="82"/>
  <c r="F193" i="82"/>
  <c r="L193" i="82"/>
  <c r="N193" i="82"/>
  <c r="O193" i="82"/>
  <c r="P193" i="82"/>
  <c r="Q193" i="82"/>
  <c r="S193" i="82"/>
  <c r="F194" i="82"/>
  <c r="L194" i="82"/>
  <c r="N194" i="82"/>
  <c r="O194" i="82"/>
  <c r="P194" i="82"/>
  <c r="Q194" i="82"/>
  <c r="S194" i="82"/>
  <c r="F195" i="82"/>
  <c r="L195" i="82"/>
  <c r="N195" i="82"/>
  <c r="O195" i="82"/>
  <c r="P195" i="82"/>
  <c r="Q195" i="82"/>
  <c r="S195" i="82"/>
  <c r="L196" i="82"/>
  <c r="N196" i="82"/>
  <c r="O196" i="82"/>
  <c r="F196" i="82" s="1"/>
  <c r="P196" i="82"/>
  <c r="Q196" i="82"/>
  <c r="S196" i="82"/>
  <c r="L197" i="82"/>
  <c r="N197" i="82"/>
  <c r="O197" i="82"/>
  <c r="P197" i="82"/>
  <c r="Q197" i="82"/>
  <c r="S197" i="82"/>
  <c r="L198" i="82"/>
  <c r="N198" i="82"/>
  <c r="O198" i="82"/>
  <c r="P198" i="82"/>
  <c r="Q198" i="82"/>
  <c r="S198" i="82"/>
  <c r="L199" i="82"/>
  <c r="N199" i="82"/>
  <c r="O199" i="82"/>
  <c r="P199" i="82"/>
  <c r="Q199" i="82"/>
  <c r="S199" i="82"/>
  <c r="L200" i="82"/>
  <c r="N200" i="82"/>
  <c r="O200" i="82"/>
  <c r="F200" i="82" s="1"/>
  <c r="P200" i="82"/>
  <c r="Q200" i="82"/>
  <c r="S200" i="82"/>
  <c r="L201" i="82"/>
  <c r="N201" i="82"/>
  <c r="O201" i="82"/>
  <c r="P201" i="82"/>
  <c r="Q201" i="82"/>
  <c r="S201" i="82"/>
  <c r="L202" i="82"/>
  <c r="N202" i="82"/>
  <c r="O202" i="82"/>
  <c r="P202" i="82"/>
  <c r="Q202" i="82"/>
  <c r="S202" i="82"/>
  <c r="L203" i="82"/>
  <c r="N203" i="82"/>
  <c r="O203" i="82"/>
  <c r="P203" i="82"/>
  <c r="Q203" i="82"/>
  <c r="S203" i="82"/>
  <c r="L204" i="82"/>
  <c r="N204" i="82"/>
  <c r="O204" i="82"/>
  <c r="F204" i="82" s="1"/>
  <c r="P204" i="82"/>
  <c r="Q204" i="82"/>
  <c r="S204" i="82"/>
  <c r="L205" i="82"/>
  <c r="N205" i="82"/>
  <c r="O205" i="82"/>
  <c r="F205" i="82" s="1"/>
  <c r="P205" i="82"/>
  <c r="Q205" i="82"/>
  <c r="S205" i="82"/>
  <c r="L206" i="82"/>
  <c r="N206" i="82"/>
  <c r="O206" i="82"/>
  <c r="P206" i="82"/>
  <c r="Q206" i="82"/>
  <c r="S206" i="82"/>
  <c r="L207" i="82"/>
  <c r="N207" i="82"/>
  <c r="O207" i="82"/>
  <c r="P207" i="82"/>
  <c r="Q207" i="82"/>
  <c r="S207" i="82"/>
  <c r="L208" i="82"/>
  <c r="N208" i="82"/>
  <c r="O208" i="82"/>
  <c r="F208" i="82" s="1"/>
  <c r="P208" i="82"/>
  <c r="Q208" i="82"/>
  <c r="S208" i="82"/>
  <c r="F209" i="82"/>
  <c r="L209" i="82"/>
  <c r="N209" i="82"/>
  <c r="O209" i="82"/>
  <c r="P209" i="82"/>
  <c r="Q209" i="82"/>
  <c r="S209" i="82"/>
  <c r="L210" i="82"/>
  <c r="N210" i="82"/>
  <c r="O210" i="82"/>
  <c r="F210" i="82" s="1"/>
  <c r="P210" i="82"/>
  <c r="Q210" i="82"/>
  <c r="S210" i="82"/>
  <c r="L211" i="82"/>
  <c r="N211" i="82"/>
  <c r="O211" i="82"/>
  <c r="P211" i="82"/>
  <c r="Q211" i="82"/>
  <c r="S211" i="82"/>
  <c r="L212" i="82"/>
  <c r="N212" i="82"/>
  <c r="O212" i="82"/>
  <c r="P212" i="82"/>
  <c r="Q212" i="82"/>
  <c r="S212" i="82"/>
  <c r="L213" i="82"/>
  <c r="N213" i="82"/>
  <c r="O213" i="82"/>
  <c r="P213" i="82"/>
  <c r="Q213" i="82"/>
  <c r="S213" i="82"/>
  <c r="L214" i="82"/>
  <c r="N214" i="82"/>
  <c r="O214" i="82"/>
  <c r="P214" i="82"/>
  <c r="Q214" i="82"/>
  <c r="S214" i="82"/>
  <c r="L215" i="82"/>
  <c r="N215" i="82"/>
  <c r="O215" i="82"/>
  <c r="P215" i="82"/>
  <c r="Q215" i="82"/>
  <c r="S215" i="82"/>
  <c r="L216" i="82"/>
  <c r="N216" i="82"/>
  <c r="O216" i="82"/>
  <c r="P216" i="82"/>
  <c r="Q216" i="82"/>
  <c r="S216" i="82"/>
  <c r="L217" i="82"/>
  <c r="N217" i="82"/>
  <c r="O217" i="82"/>
  <c r="F217" i="82" s="1"/>
  <c r="P217" i="82"/>
  <c r="Q217" i="82"/>
  <c r="S217" i="82"/>
  <c r="F218" i="82"/>
  <c r="L218" i="82"/>
  <c r="N218" i="82"/>
  <c r="O218" i="82"/>
  <c r="P218" i="82"/>
  <c r="Q218" i="82"/>
  <c r="S218" i="82"/>
  <c r="L219" i="82"/>
  <c r="N219" i="82"/>
  <c r="O219" i="82"/>
  <c r="F219" i="82" s="1"/>
  <c r="P219" i="82"/>
  <c r="Q219" i="82"/>
  <c r="S219" i="82"/>
  <c r="L220" i="82"/>
  <c r="N220" i="82"/>
  <c r="O220" i="82"/>
  <c r="F220" i="82" s="1"/>
  <c r="P220" i="82"/>
  <c r="Q220" i="82"/>
  <c r="S220" i="82"/>
  <c r="L221" i="82"/>
  <c r="N221" i="82"/>
  <c r="O221" i="82"/>
  <c r="P221" i="82"/>
  <c r="Q221" i="82"/>
  <c r="S221" i="82"/>
  <c r="L222" i="82"/>
  <c r="N222" i="82"/>
  <c r="O222" i="82"/>
  <c r="P222" i="82"/>
  <c r="Q222" i="82"/>
  <c r="S222" i="82"/>
  <c r="L223" i="82"/>
  <c r="N223" i="82"/>
  <c r="O223" i="82"/>
  <c r="F223" i="82" s="1"/>
  <c r="P223" i="82"/>
  <c r="Q223" i="82"/>
  <c r="S223" i="82"/>
  <c r="L224" i="82"/>
  <c r="N224" i="82"/>
  <c r="O224" i="82"/>
  <c r="F224" i="82" s="1"/>
  <c r="P224" i="82"/>
  <c r="Q224" i="82"/>
  <c r="S224" i="82"/>
  <c r="L225" i="82"/>
  <c r="N225" i="82"/>
  <c r="O225" i="82"/>
  <c r="P225" i="82"/>
  <c r="Q225" i="82"/>
  <c r="S225" i="82"/>
  <c r="L226" i="82"/>
  <c r="N226" i="82"/>
  <c r="O226" i="82"/>
  <c r="F226" i="82" s="1"/>
  <c r="P226" i="82"/>
  <c r="Q226" i="82"/>
  <c r="S226" i="82"/>
  <c r="F227" i="82"/>
  <c r="L227" i="82"/>
  <c r="N227" i="82"/>
  <c r="O227" i="82"/>
  <c r="P227" i="82"/>
  <c r="Q227" i="82"/>
  <c r="S227" i="82"/>
  <c r="L228" i="82"/>
  <c r="N228" i="82"/>
  <c r="O228" i="82"/>
  <c r="P228" i="82"/>
  <c r="Q228" i="82"/>
  <c r="S228" i="82"/>
  <c r="L229" i="82"/>
  <c r="N229" i="82"/>
  <c r="O229" i="82"/>
  <c r="P229" i="82"/>
  <c r="Q229" i="82"/>
  <c r="S229" i="82"/>
  <c r="L230" i="82"/>
  <c r="N230" i="82"/>
  <c r="O230" i="82"/>
  <c r="F230" i="82" s="1"/>
  <c r="P230" i="82"/>
  <c r="Q230" i="82"/>
  <c r="S230" i="82"/>
  <c r="L231" i="82"/>
  <c r="N231" i="82"/>
  <c r="O231" i="82"/>
  <c r="F231" i="82" s="1"/>
  <c r="P231" i="82"/>
  <c r="Q231" i="82"/>
  <c r="S231" i="82"/>
  <c r="L232" i="82"/>
  <c r="N232" i="82"/>
  <c r="O232" i="82"/>
  <c r="P232" i="82"/>
  <c r="Q232" i="82"/>
  <c r="S232" i="82"/>
  <c r="L233" i="82"/>
  <c r="N233" i="82"/>
  <c r="O233" i="82"/>
  <c r="F233" i="82" s="1"/>
  <c r="P233" i="82"/>
  <c r="Q233" i="82"/>
  <c r="S233" i="82"/>
  <c r="L234" i="82"/>
  <c r="N234" i="82"/>
  <c r="O234" i="82"/>
  <c r="P234" i="82"/>
  <c r="F234" i="82" s="1"/>
  <c r="Q234" i="82"/>
  <c r="S234" i="82"/>
  <c r="F235" i="82"/>
  <c r="L235" i="82"/>
  <c r="N235" i="82"/>
  <c r="O235" i="82"/>
  <c r="P235" i="82"/>
  <c r="Q235" i="82"/>
  <c r="S235" i="82"/>
  <c r="L236" i="82"/>
  <c r="N236" i="82"/>
  <c r="O236" i="82"/>
  <c r="F236" i="82" s="1"/>
  <c r="P236" i="82"/>
  <c r="Q236" i="82"/>
  <c r="S236" i="82"/>
  <c r="L237" i="82"/>
  <c r="N237" i="82"/>
  <c r="O237" i="82"/>
  <c r="F237" i="82" s="1"/>
  <c r="P237" i="82"/>
  <c r="Q237" i="82"/>
  <c r="S237" i="82"/>
  <c r="L238" i="82"/>
  <c r="N238" i="82"/>
  <c r="O238" i="82"/>
  <c r="F238" i="82" s="1"/>
  <c r="P238" i="82"/>
  <c r="Q238" i="82"/>
  <c r="S238" i="82"/>
  <c r="L239" i="82"/>
  <c r="N239" i="82"/>
  <c r="O239" i="82"/>
  <c r="F239" i="82" s="1"/>
  <c r="P239" i="82"/>
  <c r="Q239" i="82"/>
  <c r="S239" i="82"/>
  <c r="L240" i="82"/>
  <c r="N240" i="82"/>
  <c r="O240" i="82"/>
  <c r="F240" i="82" s="1"/>
  <c r="P240" i="82"/>
  <c r="Q240" i="82"/>
  <c r="S240" i="82"/>
  <c r="F241" i="82"/>
  <c r="L241" i="82"/>
  <c r="N241" i="82"/>
  <c r="O241" i="82"/>
  <c r="P241" i="82"/>
  <c r="Q241" i="82"/>
  <c r="S241" i="82"/>
  <c r="L242" i="82"/>
  <c r="N242" i="82"/>
  <c r="O242" i="82"/>
  <c r="P242" i="82"/>
  <c r="Q242" i="82"/>
  <c r="S242" i="82"/>
  <c r="L243" i="82"/>
  <c r="N243" i="82"/>
  <c r="O243" i="82"/>
  <c r="P243" i="82"/>
  <c r="F243" i="82" s="1"/>
  <c r="Q243" i="82"/>
  <c r="S243" i="82"/>
  <c r="L244" i="82"/>
  <c r="N244" i="82"/>
  <c r="O244" i="82"/>
  <c r="P244" i="82"/>
  <c r="Q244" i="82"/>
  <c r="S244" i="82"/>
  <c r="L245" i="82"/>
  <c r="N245" i="82"/>
  <c r="O245" i="82"/>
  <c r="F245" i="82" s="1"/>
  <c r="P245" i="82"/>
  <c r="Q245" i="82"/>
  <c r="S245" i="82"/>
  <c r="L246" i="82"/>
  <c r="N246" i="82"/>
  <c r="O246" i="82"/>
  <c r="F246" i="82" s="1"/>
  <c r="P246" i="82"/>
  <c r="Q246" i="82"/>
  <c r="S246" i="82"/>
  <c r="L247" i="82"/>
  <c r="N247" i="82"/>
  <c r="O247" i="82"/>
  <c r="P247" i="82"/>
  <c r="Q247" i="82"/>
  <c r="S247" i="82"/>
  <c r="L248" i="82"/>
  <c r="N248" i="82"/>
  <c r="O248" i="82"/>
  <c r="P248" i="82"/>
  <c r="Q248" i="82"/>
  <c r="S248" i="82"/>
  <c r="F249" i="82"/>
  <c r="L249" i="82"/>
  <c r="N249" i="82"/>
  <c r="O249" i="82"/>
  <c r="P249" i="82"/>
  <c r="Q249" i="82"/>
  <c r="S249" i="82"/>
  <c r="F250" i="82"/>
  <c r="L250" i="82"/>
  <c r="N250" i="82"/>
  <c r="O250" i="82"/>
  <c r="P250" i="82"/>
  <c r="Q250" i="82"/>
  <c r="S250" i="82"/>
  <c r="F251" i="82"/>
  <c r="L251" i="82"/>
  <c r="N251" i="82"/>
  <c r="O251" i="82"/>
  <c r="P251" i="82"/>
  <c r="Q251" i="82"/>
  <c r="S251" i="82"/>
  <c r="L252" i="82"/>
  <c r="N252" i="82"/>
  <c r="O252" i="82"/>
  <c r="P252" i="82"/>
  <c r="Q252" i="82"/>
  <c r="S252" i="82"/>
  <c r="L253" i="82"/>
  <c r="N253" i="82"/>
  <c r="O253" i="82"/>
  <c r="F253" i="82" s="1"/>
  <c r="P253" i="82"/>
  <c r="Q253" i="82"/>
  <c r="S253" i="82"/>
  <c r="L254" i="82"/>
  <c r="N254" i="82"/>
  <c r="O254" i="82"/>
  <c r="F254" i="82" s="1"/>
  <c r="P254" i="82"/>
  <c r="Q254" i="82"/>
  <c r="S254" i="82"/>
  <c r="L255" i="82"/>
  <c r="N255" i="82"/>
  <c r="O255" i="82"/>
  <c r="F255" i="82" s="1"/>
  <c r="P255" i="82"/>
  <c r="Q255" i="82"/>
  <c r="S255" i="82"/>
  <c r="L256" i="82"/>
  <c r="N256" i="82"/>
  <c r="O256" i="82"/>
  <c r="P256" i="82"/>
  <c r="Q256" i="82"/>
  <c r="S256" i="82"/>
  <c r="L257" i="82"/>
  <c r="N257" i="82"/>
  <c r="O257" i="82"/>
  <c r="F257" i="82" s="1"/>
  <c r="P257" i="82"/>
  <c r="Q257" i="82"/>
  <c r="S257" i="82"/>
  <c r="L258" i="82"/>
  <c r="N258" i="82"/>
  <c r="O258" i="82"/>
  <c r="P258" i="82"/>
  <c r="Q258" i="82"/>
  <c r="S258" i="82"/>
  <c r="L259" i="82"/>
  <c r="N259" i="82"/>
  <c r="O259" i="82"/>
  <c r="P259" i="82"/>
  <c r="F259" i="82" s="1"/>
  <c r="Q259" i="82"/>
  <c r="S259" i="82"/>
  <c r="L260" i="82"/>
  <c r="N260" i="82"/>
  <c r="O260" i="82"/>
  <c r="F260" i="82" s="1"/>
  <c r="P260" i="82"/>
  <c r="Q260" i="82"/>
  <c r="S260" i="82"/>
  <c r="L261" i="82"/>
  <c r="N261" i="82"/>
  <c r="O261" i="82"/>
  <c r="F261" i="82" s="1"/>
  <c r="P261" i="82"/>
  <c r="Q261" i="82"/>
  <c r="S261" i="82"/>
  <c r="L262" i="82"/>
  <c r="N262" i="82"/>
  <c r="O262" i="82"/>
  <c r="P262" i="82"/>
  <c r="Q262" i="82"/>
  <c r="S262" i="82"/>
  <c r="L263" i="82"/>
  <c r="N263" i="82"/>
  <c r="O263" i="82"/>
  <c r="P263" i="82"/>
  <c r="Q263" i="82"/>
  <c r="S263" i="82"/>
  <c r="L264" i="82"/>
  <c r="N264" i="82"/>
  <c r="O264" i="82"/>
  <c r="F264" i="82" s="1"/>
  <c r="P264" i="82"/>
  <c r="Q264" i="82"/>
  <c r="S264" i="82"/>
  <c r="F265" i="82"/>
  <c r="L265" i="82"/>
  <c r="N265" i="82"/>
  <c r="O265" i="82"/>
  <c r="P265" i="82"/>
  <c r="Q265" i="82"/>
  <c r="S265" i="82"/>
  <c r="L266" i="82"/>
  <c r="N266" i="82"/>
  <c r="O266" i="82"/>
  <c r="F266" i="82" s="1"/>
  <c r="P266" i="82"/>
  <c r="Q266" i="82"/>
  <c r="S266" i="82"/>
  <c r="L267" i="82"/>
  <c r="N267" i="82"/>
  <c r="O267" i="82"/>
  <c r="P267" i="82"/>
  <c r="Q267" i="82"/>
  <c r="S267" i="82"/>
  <c r="L268" i="82"/>
  <c r="N268" i="82"/>
  <c r="O268" i="82"/>
  <c r="P268" i="82"/>
  <c r="Q268" i="82"/>
  <c r="S268" i="82"/>
  <c r="L269" i="82"/>
  <c r="N269" i="82"/>
  <c r="O269" i="82"/>
  <c r="F269" i="82" s="1"/>
  <c r="P269" i="82"/>
  <c r="Q269" i="82"/>
  <c r="S269" i="82"/>
  <c r="L270" i="82"/>
  <c r="N270" i="82"/>
  <c r="O270" i="82"/>
  <c r="F270" i="82" s="1"/>
  <c r="P270" i="82"/>
  <c r="Q270" i="82"/>
  <c r="S270" i="82"/>
  <c r="L271" i="82"/>
  <c r="N271" i="82"/>
  <c r="O271" i="82"/>
  <c r="P271" i="82"/>
  <c r="Q271" i="82"/>
  <c r="S271" i="82"/>
  <c r="L272" i="82"/>
  <c r="N272" i="82"/>
  <c r="O272" i="82"/>
  <c r="P272" i="82"/>
  <c r="Q272" i="82"/>
  <c r="S272" i="82"/>
  <c r="F273" i="82"/>
  <c r="L273" i="82"/>
  <c r="N273" i="82"/>
  <c r="O273" i="82"/>
  <c r="P273" i="82"/>
  <c r="Q273" i="82"/>
  <c r="S273" i="82"/>
  <c r="F274" i="82"/>
  <c r="L274" i="82"/>
  <c r="N274" i="82"/>
  <c r="O274" i="82"/>
  <c r="P274" i="82"/>
  <c r="Q274" i="82"/>
  <c r="S274" i="82"/>
  <c r="F275" i="82"/>
  <c r="L275" i="82"/>
  <c r="N275" i="82"/>
  <c r="O275" i="82"/>
  <c r="P275" i="82"/>
  <c r="Q275" i="82"/>
  <c r="S275" i="82"/>
  <c r="L276" i="82"/>
  <c r="N276" i="82"/>
  <c r="O276" i="82"/>
  <c r="F276" i="82" s="1"/>
  <c r="P276" i="82"/>
  <c r="Q276" i="82"/>
  <c r="S276" i="82"/>
  <c r="L277" i="82"/>
  <c r="N277" i="82"/>
  <c r="O277" i="82"/>
  <c r="P277" i="82"/>
  <c r="Q277" i="82"/>
  <c r="S277" i="82"/>
  <c r="L278" i="82"/>
  <c r="N278" i="82"/>
  <c r="O278" i="82"/>
  <c r="P278" i="82"/>
  <c r="Q278" i="82"/>
  <c r="S278" i="82"/>
  <c r="L279" i="82"/>
  <c r="N279" i="82"/>
  <c r="O279" i="82"/>
  <c r="F279" i="82" s="1"/>
  <c r="P279" i="82"/>
  <c r="Q279" i="82"/>
  <c r="S279" i="82"/>
  <c r="L280" i="82"/>
  <c r="N280" i="82"/>
  <c r="O280" i="82"/>
  <c r="F280" i="82" s="1"/>
  <c r="P280" i="82"/>
  <c r="Q280" i="82"/>
  <c r="S280" i="82"/>
  <c r="L281" i="82"/>
  <c r="N281" i="82"/>
  <c r="O281" i="82"/>
  <c r="P281" i="82"/>
  <c r="Q281" i="82"/>
  <c r="S281" i="82"/>
  <c r="L282" i="82"/>
  <c r="N282" i="82"/>
  <c r="O282" i="82"/>
  <c r="P282" i="82"/>
  <c r="F282" i="82" s="1"/>
  <c r="Q282" i="82"/>
  <c r="S282" i="82"/>
  <c r="F283" i="82"/>
  <c r="L283" i="82"/>
  <c r="N283" i="82"/>
  <c r="O283" i="82"/>
  <c r="P283" i="82"/>
  <c r="Q283" i="82"/>
  <c r="S283" i="82"/>
  <c r="L284" i="82"/>
  <c r="N284" i="82"/>
  <c r="O284" i="82"/>
  <c r="F284" i="82" s="1"/>
  <c r="P284" i="82"/>
  <c r="Q284" i="82"/>
  <c r="S284" i="82"/>
  <c r="L285" i="82"/>
  <c r="N285" i="82"/>
  <c r="O285" i="82"/>
  <c r="P285" i="82"/>
  <c r="Q285" i="82"/>
  <c r="S285" i="82"/>
  <c r="L286" i="82"/>
  <c r="N286" i="82"/>
  <c r="O286" i="82"/>
  <c r="P286" i="82"/>
  <c r="Q286" i="82"/>
  <c r="S286" i="82"/>
  <c r="L287" i="82"/>
  <c r="N287" i="82"/>
  <c r="O287" i="82"/>
  <c r="F287" i="82" s="1"/>
  <c r="P287" i="82"/>
  <c r="Q287" i="82"/>
  <c r="S287" i="82"/>
  <c r="L288" i="82"/>
  <c r="N288" i="82"/>
  <c r="O288" i="82"/>
  <c r="F288" i="82" s="1"/>
  <c r="P288" i="82"/>
  <c r="Q288" i="82"/>
  <c r="S288" i="82"/>
  <c r="L289" i="82"/>
  <c r="N289" i="82"/>
  <c r="O289" i="82"/>
  <c r="F289" i="82" s="1"/>
  <c r="P289" i="82"/>
  <c r="Q289" i="82"/>
  <c r="S289" i="82"/>
  <c r="L290" i="82"/>
  <c r="N290" i="82"/>
  <c r="O290" i="82"/>
  <c r="P290" i="82"/>
  <c r="Q290" i="82"/>
  <c r="S290" i="82"/>
  <c r="L291" i="82"/>
  <c r="N291" i="82"/>
  <c r="O291" i="82"/>
  <c r="P291" i="82"/>
  <c r="Q291" i="82"/>
  <c r="S291" i="82"/>
  <c r="L292" i="82"/>
  <c r="N292" i="82"/>
  <c r="O292" i="82"/>
  <c r="P292" i="82"/>
  <c r="Q292" i="82"/>
  <c r="S292" i="82"/>
  <c r="L293" i="82"/>
  <c r="N293" i="82"/>
  <c r="O293" i="82"/>
  <c r="F293" i="82" s="1"/>
  <c r="P293" i="82"/>
  <c r="Q293" i="82"/>
  <c r="S293" i="82"/>
  <c r="L294" i="82"/>
  <c r="N294" i="82"/>
  <c r="O294" i="82"/>
  <c r="F294" i="82" s="1"/>
  <c r="P294" i="82"/>
  <c r="Q294" i="82"/>
  <c r="S294" i="82"/>
  <c r="L295" i="82"/>
  <c r="N295" i="82"/>
  <c r="O295" i="82"/>
  <c r="P295" i="82"/>
  <c r="Q295" i="82"/>
  <c r="S295" i="82"/>
  <c r="L296" i="82"/>
  <c r="N296" i="82"/>
  <c r="O296" i="82"/>
  <c r="P296" i="82"/>
  <c r="Q296" i="82"/>
  <c r="S296" i="82"/>
  <c r="F297" i="82"/>
  <c r="L297" i="82"/>
  <c r="N297" i="82"/>
  <c r="O297" i="82"/>
  <c r="P297" i="82"/>
  <c r="Q297" i="82"/>
  <c r="S297" i="82"/>
  <c r="F298" i="82"/>
  <c r="L298" i="82"/>
  <c r="N298" i="82"/>
  <c r="O298" i="82"/>
  <c r="P298" i="82"/>
  <c r="Q298" i="82"/>
  <c r="S298" i="82"/>
  <c r="F299" i="82"/>
  <c r="L299" i="82"/>
  <c r="N299" i="82"/>
  <c r="O299" i="82"/>
  <c r="P299" i="82"/>
  <c r="Q299" i="82"/>
  <c r="S299" i="82"/>
  <c r="L300" i="82"/>
  <c r="N300" i="82"/>
  <c r="O300" i="82"/>
  <c r="P300" i="82"/>
  <c r="Q300" i="82"/>
  <c r="S300" i="82"/>
  <c r="L301" i="82"/>
  <c r="N301" i="82"/>
  <c r="O301" i="82"/>
  <c r="P301" i="82"/>
  <c r="Q301" i="82"/>
  <c r="S301" i="82"/>
  <c r="L302" i="82"/>
  <c r="N302" i="82"/>
  <c r="O302" i="82"/>
  <c r="F302" i="82" s="1"/>
  <c r="P302" i="82"/>
  <c r="Q302" i="82"/>
  <c r="S302" i="82"/>
  <c r="L303" i="82"/>
  <c r="N303" i="82"/>
  <c r="O303" i="82"/>
  <c r="F303" i="82" s="1"/>
  <c r="P303" i="82"/>
  <c r="Q303" i="82"/>
  <c r="S303" i="82"/>
  <c r="L304" i="82"/>
  <c r="N304" i="82"/>
  <c r="O304" i="82"/>
  <c r="P304" i="82"/>
  <c r="Q304" i="82"/>
  <c r="S304" i="82"/>
  <c r="L305" i="82"/>
  <c r="N305" i="82"/>
  <c r="O305" i="82"/>
  <c r="P305" i="82"/>
  <c r="Q305" i="82"/>
  <c r="S305" i="82"/>
  <c r="L306" i="82"/>
  <c r="N306" i="82"/>
  <c r="O306" i="82"/>
  <c r="F306" i="82" s="1"/>
  <c r="P306" i="82"/>
  <c r="Q306" i="82"/>
  <c r="S306" i="82"/>
  <c r="L307" i="82"/>
  <c r="N307" i="82"/>
  <c r="O307" i="82"/>
  <c r="P307" i="82"/>
  <c r="F307" i="82" s="1"/>
  <c r="Q307" i="82"/>
  <c r="S307" i="82"/>
  <c r="L308" i="82"/>
  <c r="N308" i="82"/>
  <c r="O308" i="82"/>
  <c r="F308" i="82" s="1"/>
  <c r="P308" i="82"/>
  <c r="Q308" i="82"/>
  <c r="S308" i="82"/>
  <c r="L309" i="82"/>
  <c r="N309" i="82"/>
  <c r="O309" i="82"/>
  <c r="F309" i="82" s="1"/>
  <c r="P309" i="82"/>
  <c r="Q309" i="82"/>
  <c r="S309" i="82"/>
  <c r="L310" i="82"/>
  <c r="N310" i="82"/>
  <c r="O310" i="82"/>
  <c r="F310" i="82" s="1"/>
  <c r="P310" i="82"/>
  <c r="Q310" i="82"/>
  <c r="S310" i="82"/>
  <c r="L311" i="82"/>
  <c r="N311" i="82"/>
  <c r="O311" i="82"/>
  <c r="P311" i="82"/>
  <c r="Q311" i="82"/>
  <c r="S311" i="82"/>
  <c r="L312" i="82"/>
  <c r="N312" i="82"/>
  <c r="O312" i="82"/>
  <c r="F312" i="82" s="1"/>
  <c r="P312" i="82"/>
  <c r="Q312" i="82"/>
  <c r="S312" i="82"/>
  <c r="F313" i="82"/>
  <c r="L313" i="82"/>
  <c r="N313" i="82"/>
  <c r="O313" i="82"/>
  <c r="P313" i="82"/>
  <c r="Q313" i="82"/>
  <c r="S313" i="82"/>
  <c r="F314" i="82"/>
  <c r="L314" i="82"/>
  <c r="N314" i="82"/>
  <c r="O314" i="82"/>
  <c r="P314" i="82"/>
  <c r="Q314" i="82"/>
  <c r="S314" i="82"/>
  <c r="L315" i="82"/>
  <c r="N315" i="82"/>
  <c r="O315" i="82"/>
  <c r="F315" i="82" s="1"/>
  <c r="P315" i="82"/>
  <c r="Q315" i="82"/>
  <c r="S315" i="82"/>
  <c r="L316" i="82"/>
  <c r="N316" i="82"/>
  <c r="O316" i="82"/>
  <c r="P316" i="82"/>
  <c r="Q316" i="82"/>
  <c r="S316" i="82"/>
  <c r="L317" i="82"/>
  <c r="N317" i="82"/>
  <c r="O317" i="82"/>
  <c r="F317" i="82" s="1"/>
  <c r="P317" i="82"/>
  <c r="Q317" i="82"/>
  <c r="S317" i="82"/>
  <c r="L318" i="82"/>
  <c r="N318" i="82"/>
  <c r="O318" i="82"/>
  <c r="F318" i="82" s="1"/>
  <c r="P318" i="82"/>
  <c r="Q318" i="82"/>
  <c r="S318" i="82"/>
  <c r="L319" i="82"/>
  <c r="N319" i="82"/>
  <c r="O319" i="82"/>
  <c r="F319" i="82" s="1"/>
  <c r="P319" i="82"/>
  <c r="Q319" i="82"/>
  <c r="S319" i="82"/>
  <c r="L320" i="82"/>
  <c r="N320" i="82"/>
  <c r="O320" i="82"/>
  <c r="P320" i="82"/>
  <c r="Q320" i="82"/>
  <c r="S320" i="82"/>
  <c r="L321" i="82"/>
  <c r="N321" i="82"/>
  <c r="O321" i="82"/>
  <c r="P321" i="82"/>
  <c r="F321" i="82" s="1"/>
  <c r="Q321" i="82"/>
  <c r="S321" i="82"/>
  <c r="F322" i="82"/>
  <c r="L322" i="82"/>
  <c r="N322" i="82"/>
  <c r="O322" i="82"/>
  <c r="P322" i="82"/>
  <c r="Q322" i="82"/>
  <c r="S322" i="82"/>
  <c r="F323" i="82"/>
  <c r="L323" i="82"/>
  <c r="N323" i="82"/>
  <c r="O323" i="82"/>
  <c r="P323" i="82"/>
  <c r="Q323" i="82"/>
  <c r="S323" i="82"/>
  <c r="L324" i="82"/>
  <c r="N324" i="82"/>
  <c r="O324" i="82"/>
  <c r="F324" i="82" s="1"/>
  <c r="P324" i="82"/>
  <c r="Q324" i="82"/>
  <c r="S324" i="82"/>
  <c r="L325" i="82"/>
  <c r="N325" i="82"/>
  <c r="O325" i="82"/>
  <c r="P325" i="82"/>
  <c r="Q325" i="82"/>
  <c r="S325" i="82"/>
  <c r="L326" i="82"/>
  <c r="N326" i="82"/>
  <c r="O326" i="82"/>
  <c r="P326" i="82"/>
  <c r="Q326" i="82"/>
  <c r="S326" i="82"/>
  <c r="L327" i="82"/>
  <c r="N327" i="82"/>
  <c r="O327" i="82"/>
  <c r="F327" i="82" s="1"/>
  <c r="P327" i="82"/>
  <c r="Q327" i="82"/>
  <c r="S327" i="82"/>
  <c r="L328" i="82"/>
  <c r="N328" i="82"/>
  <c r="O328" i="82"/>
  <c r="F328" i="82" s="1"/>
  <c r="P328" i="82"/>
  <c r="Q328" i="82"/>
  <c r="S328" i="82"/>
  <c r="L329" i="82"/>
  <c r="N329" i="82"/>
  <c r="O329" i="82"/>
  <c r="P329" i="82"/>
  <c r="Q329" i="82"/>
  <c r="S329" i="82"/>
  <c r="L330" i="82"/>
  <c r="N330" i="82"/>
  <c r="O330" i="82"/>
  <c r="P330" i="82"/>
  <c r="Q330" i="82"/>
  <c r="S330" i="82"/>
  <c r="L331" i="82"/>
  <c r="N331" i="82"/>
  <c r="O331" i="82"/>
  <c r="P331" i="82"/>
  <c r="Q331" i="82"/>
  <c r="S331" i="82"/>
  <c r="L332" i="82"/>
  <c r="N332" i="82"/>
  <c r="O332" i="82"/>
  <c r="F332" i="82" s="1"/>
  <c r="P332" i="82"/>
  <c r="Q332" i="82"/>
  <c r="S332" i="82"/>
  <c r="L333" i="82"/>
  <c r="N333" i="82"/>
  <c r="O333" i="82"/>
  <c r="F333" i="82" s="1"/>
  <c r="P333" i="82"/>
  <c r="Q333" i="82"/>
  <c r="S333" i="82"/>
  <c r="L334" i="82"/>
  <c r="N334" i="82"/>
  <c r="O334" i="82"/>
  <c r="P334" i="82"/>
  <c r="Q334" i="82"/>
  <c r="S334" i="82"/>
  <c r="L335" i="82"/>
  <c r="N335" i="82"/>
  <c r="O335" i="82"/>
  <c r="P335" i="82"/>
  <c r="Q335" i="82"/>
  <c r="S335" i="82"/>
  <c r="L336" i="82"/>
  <c r="N336" i="82"/>
  <c r="O336" i="82"/>
  <c r="F336" i="82" s="1"/>
  <c r="P336" i="82"/>
  <c r="Q336" i="82"/>
  <c r="S336" i="82"/>
  <c r="F337" i="82"/>
  <c r="L337" i="82"/>
  <c r="N337" i="82"/>
  <c r="O337" i="82"/>
  <c r="P337" i="82"/>
  <c r="Q337" i="82"/>
  <c r="S337" i="82"/>
  <c r="F338" i="82"/>
  <c r="L338" i="82"/>
  <c r="N338" i="82"/>
  <c r="O338" i="82"/>
  <c r="P338" i="82"/>
  <c r="Q338" i="82"/>
  <c r="S338" i="82"/>
  <c r="L339" i="82"/>
  <c r="N339" i="82"/>
  <c r="O339" i="82"/>
  <c r="F339" i="82" s="1"/>
  <c r="P339" i="82"/>
  <c r="Q339" i="82"/>
  <c r="S339" i="82"/>
  <c r="L340" i="82"/>
  <c r="N340" i="82"/>
  <c r="O340" i="82"/>
  <c r="P340" i="82"/>
  <c r="Q340" i="82"/>
  <c r="S340" i="82"/>
  <c r="L341" i="82"/>
  <c r="N341" i="82"/>
  <c r="O341" i="82"/>
  <c r="P341" i="82"/>
  <c r="Q341" i="82"/>
  <c r="S341" i="82"/>
  <c r="L342" i="82"/>
  <c r="N342" i="82"/>
  <c r="O342" i="82"/>
  <c r="F342" i="82" s="1"/>
  <c r="P342" i="82"/>
  <c r="Q342" i="82"/>
  <c r="S342" i="82"/>
  <c r="L343" i="82"/>
  <c r="N343" i="82"/>
  <c r="O343" i="82"/>
  <c r="F343" i="82" s="1"/>
  <c r="P343" i="82"/>
  <c r="Q343" i="82"/>
  <c r="S343" i="82"/>
  <c r="L344" i="82"/>
  <c r="N344" i="82"/>
  <c r="O344" i="82"/>
  <c r="P344" i="82"/>
  <c r="Q344" i="82"/>
  <c r="S344" i="82"/>
  <c r="L345" i="82"/>
  <c r="N345" i="82"/>
  <c r="O345" i="82"/>
  <c r="P345" i="82"/>
  <c r="Q345" i="82"/>
  <c r="S345" i="82"/>
  <c r="L346" i="82"/>
  <c r="N346" i="82"/>
  <c r="O346" i="82"/>
  <c r="P346" i="82"/>
  <c r="F346" i="82" s="1"/>
  <c r="Q346" i="82"/>
  <c r="S346" i="82"/>
  <c r="F347" i="82"/>
  <c r="L347" i="82"/>
  <c r="N347" i="82"/>
  <c r="O347" i="82"/>
  <c r="P347" i="82"/>
  <c r="Q347" i="82"/>
  <c r="S347" i="82"/>
  <c r="L348" i="82"/>
  <c r="N348" i="82"/>
  <c r="O348" i="82"/>
  <c r="F348" i="82" s="1"/>
  <c r="P348" i="82"/>
  <c r="Q348" i="82"/>
  <c r="S348" i="82"/>
  <c r="L349" i="82"/>
  <c r="N349" i="82"/>
  <c r="O349" i="82"/>
  <c r="P349" i="82"/>
  <c r="Q349" i="82"/>
  <c r="S349" i="82"/>
  <c r="L350" i="82"/>
  <c r="N350" i="82"/>
  <c r="O350" i="82"/>
  <c r="F350" i="82" s="1"/>
  <c r="P350" i="82"/>
  <c r="Q350" i="82"/>
  <c r="S350" i="82"/>
  <c r="L351" i="82"/>
  <c r="N351" i="82"/>
  <c r="O351" i="82"/>
  <c r="F351" i="82" s="1"/>
  <c r="P351" i="82"/>
  <c r="Q351" i="82"/>
  <c r="S351" i="82"/>
  <c r="L352" i="82"/>
  <c r="N352" i="82"/>
  <c r="O352" i="82"/>
  <c r="F352" i="82" s="1"/>
  <c r="P352" i="82"/>
  <c r="Q352" i="82"/>
  <c r="S352" i="82"/>
  <c r="F353" i="82"/>
  <c r="L353" i="82"/>
  <c r="N353" i="82"/>
  <c r="O353" i="82"/>
  <c r="P353" i="82"/>
  <c r="Q353" i="82"/>
  <c r="S353" i="82"/>
  <c r="L354" i="82"/>
  <c r="N354" i="82"/>
  <c r="O354" i="82"/>
  <c r="P354" i="82"/>
  <c r="Q354" i="82"/>
  <c r="S354" i="82"/>
  <c r="L355" i="82"/>
  <c r="N355" i="82"/>
  <c r="O355" i="82"/>
  <c r="F355" i="82" s="1"/>
  <c r="P355" i="82"/>
  <c r="Q355" i="82"/>
  <c r="S355" i="82"/>
  <c r="L356" i="82"/>
  <c r="N356" i="82"/>
  <c r="O356" i="82"/>
  <c r="P356" i="82"/>
  <c r="Q356" i="82"/>
  <c r="S356" i="82"/>
  <c r="L357" i="82"/>
  <c r="N357" i="82"/>
  <c r="O357" i="82"/>
  <c r="F357" i="82" s="1"/>
  <c r="P357" i="82"/>
  <c r="Q357" i="82"/>
  <c r="S357" i="82"/>
  <c r="L358" i="82"/>
  <c r="N358" i="82"/>
  <c r="O358" i="82"/>
  <c r="F358" i="82" s="1"/>
  <c r="P358" i="82"/>
  <c r="Q358" i="82"/>
  <c r="S358" i="82"/>
  <c r="L359" i="82"/>
  <c r="N359" i="82"/>
  <c r="O359" i="82"/>
  <c r="F359" i="82" s="1"/>
  <c r="P359" i="82"/>
  <c r="Q359" i="82"/>
  <c r="S359" i="82"/>
  <c r="L360" i="82"/>
  <c r="N360" i="82"/>
  <c r="O360" i="82"/>
  <c r="P360" i="82"/>
  <c r="Q360" i="82"/>
  <c r="S360" i="82"/>
  <c r="F361" i="82"/>
  <c r="L361" i="82"/>
  <c r="N361" i="82"/>
  <c r="O361" i="82"/>
  <c r="P361" i="82"/>
  <c r="Q361" i="82"/>
  <c r="S361" i="82"/>
  <c r="F362" i="82"/>
  <c r="L362" i="82"/>
  <c r="N362" i="82"/>
  <c r="O362" i="82"/>
  <c r="P362" i="82"/>
  <c r="Q362" i="82"/>
  <c r="S362" i="82"/>
  <c r="F363" i="82"/>
  <c r="L363" i="82"/>
  <c r="N363" i="82"/>
  <c r="O363" i="82"/>
  <c r="P363" i="82"/>
  <c r="Q363" i="82"/>
  <c r="S363" i="82"/>
  <c r="L364" i="82"/>
  <c r="N364" i="82"/>
  <c r="O364" i="82"/>
  <c r="F364" i="82" s="1"/>
  <c r="P364" i="82"/>
  <c r="Q364" i="82"/>
  <c r="S364" i="82"/>
  <c r="L365" i="82"/>
  <c r="N365" i="82"/>
  <c r="O365" i="82"/>
  <c r="P365" i="82"/>
  <c r="Q365" i="82"/>
  <c r="S365" i="82"/>
  <c r="L366" i="82"/>
  <c r="N366" i="82"/>
  <c r="O366" i="82"/>
  <c r="F366" i="82" s="1"/>
  <c r="P366" i="82"/>
  <c r="Q366" i="82"/>
  <c r="S366" i="82"/>
  <c r="L367" i="82"/>
  <c r="N367" i="82"/>
  <c r="O367" i="82"/>
  <c r="F367" i="82" s="1"/>
  <c r="P367" i="82"/>
  <c r="Q367" i="82"/>
  <c r="S367" i="82"/>
  <c r="L368" i="82"/>
  <c r="N368" i="82"/>
  <c r="O368" i="82"/>
  <c r="F368" i="82" s="1"/>
  <c r="P368" i="82"/>
  <c r="Q368" i="82"/>
  <c r="S368" i="82"/>
  <c r="L369" i="82"/>
  <c r="N369" i="82"/>
  <c r="O369" i="82"/>
  <c r="P369" i="82"/>
  <c r="Q369" i="82"/>
  <c r="S369" i="82"/>
  <c r="L370" i="82"/>
  <c r="N370" i="82"/>
  <c r="O370" i="82"/>
  <c r="P370" i="82"/>
  <c r="Q370" i="82"/>
  <c r="S370" i="82"/>
  <c r="L371" i="82"/>
  <c r="N371" i="82"/>
  <c r="O371" i="82"/>
  <c r="P371" i="82"/>
  <c r="F371" i="82" s="1"/>
  <c r="Q371" i="82"/>
  <c r="S371" i="82"/>
  <c r="L372" i="82"/>
  <c r="N372" i="82"/>
  <c r="O372" i="82"/>
  <c r="F372" i="82" s="1"/>
  <c r="P372" i="82"/>
  <c r="Q372" i="82"/>
  <c r="S372" i="82"/>
  <c r="L373" i="82"/>
  <c r="N373" i="82"/>
  <c r="O373" i="82"/>
  <c r="F373" i="82" s="1"/>
  <c r="P373" i="82"/>
  <c r="Q373" i="82"/>
  <c r="S373" i="82"/>
  <c r="L374" i="82"/>
  <c r="N374" i="82"/>
  <c r="O374" i="82"/>
  <c r="P374" i="82"/>
  <c r="Q374" i="82"/>
  <c r="S374" i="82"/>
  <c r="L375" i="82"/>
  <c r="N375" i="82"/>
  <c r="O375" i="82"/>
  <c r="P375" i="82"/>
  <c r="Q375" i="82"/>
  <c r="S375" i="82"/>
  <c r="L376" i="82"/>
  <c r="N376" i="82"/>
  <c r="O376" i="82"/>
  <c r="F376" i="82" s="1"/>
  <c r="P376" i="82"/>
  <c r="Q376" i="82"/>
  <c r="S376" i="82"/>
  <c r="F377" i="82"/>
  <c r="L377" i="82"/>
  <c r="N377" i="82"/>
  <c r="O377" i="82"/>
  <c r="P377" i="82"/>
  <c r="Q377" i="82"/>
  <c r="S377" i="82"/>
  <c r="L378" i="82"/>
  <c r="N378" i="82"/>
  <c r="O378" i="82"/>
  <c r="F378" i="82" s="1"/>
  <c r="P378" i="82"/>
  <c r="Q378" i="82"/>
  <c r="S378" i="82"/>
  <c r="L379" i="82"/>
  <c r="N379" i="82"/>
  <c r="O379" i="82"/>
  <c r="P379" i="82"/>
  <c r="Q379" i="82"/>
  <c r="S379" i="82"/>
  <c r="L380" i="82"/>
  <c r="N380" i="82"/>
  <c r="O380" i="82"/>
  <c r="P380" i="82"/>
  <c r="Q380" i="82"/>
  <c r="S380" i="82"/>
  <c r="L381" i="82"/>
  <c r="N381" i="82"/>
  <c r="O381" i="82"/>
  <c r="F381" i="82" s="1"/>
  <c r="P381" i="82"/>
  <c r="Q381" i="82"/>
  <c r="S381" i="82"/>
  <c r="L382" i="82"/>
  <c r="N382" i="82"/>
  <c r="O382" i="82"/>
  <c r="F382" i="82" s="1"/>
  <c r="P382" i="82"/>
  <c r="Q382" i="82"/>
  <c r="S382" i="82"/>
  <c r="L383" i="82"/>
  <c r="N383" i="82"/>
  <c r="O383" i="82"/>
  <c r="P383" i="82"/>
  <c r="Q383" i="82"/>
  <c r="S383" i="82"/>
  <c r="L384" i="82"/>
  <c r="N384" i="82"/>
  <c r="O384" i="82"/>
  <c r="P384" i="82"/>
  <c r="Q384" i="82"/>
  <c r="S384" i="82"/>
  <c r="L385" i="82"/>
  <c r="N385" i="82"/>
  <c r="O385" i="82"/>
  <c r="P385" i="82"/>
  <c r="F385" i="82" s="1"/>
  <c r="Q385" i="82"/>
  <c r="S385" i="82"/>
  <c r="F386" i="82"/>
  <c r="L386" i="82"/>
  <c r="N386" i="82"/>
  <c r="O386" i="82"/>
  <c r="P386" i="82"/>
  <c r="Q386" i="82"/>
  <c r="S386" i="82"/>
  <c r="F387" i="82"/>
  <c r="L387" i="82"/>
  <c r="N387" i="82"/>
  <c r="O387" i="82"/>
  <c r="P387" i="82"/>
  <c r="Q387" i="82"/>
  <c r="S387" i="82"/>
  <c r="L388" i="82"/>
  <c r="N388" i="82"/>
  <c r="O388" i="82"/>
  <c r="F388" i="82" s="1"/>
  <c r="P388" i="82"/>
  <c r="Q388" i="82"/>
  <c r="S388" i="82"/>
  <c r="L389" i="82"/>
  <c r="N389" i="82"/>
  <c r="O389" i="82"/>
  <c r="P389" i="82"/>
  <c r="Q389" i="82"/>
  <c r="S389" i="82"/>
  <c r="L390" i="82"/>
  <c r="N390" i="82"/>
  <c r="O390" i="82"/>
  <c r="P390" i="82"/>
  <c r="Q390" i="82"/>
  <c r="S390" i="82"/>
  <c r="L391" i="82"/>
  <c r="N391" i="82"/>
  <c r="O391" i="82"/>
  <c r="F391" i="82" s="1"/>
  <c r="P391" i="82"/>
  <c r="Q391" i="82"/>
  <c r="S391" i="82"/>
  <c r="L392" i="82"/>
  <c r="N392" i="82"/>
  <c r="O392" i="82"/>
  <c r="F392" i="82" s="1"/>
  <c r="P392" i="82"/>
  <c r="Q392" i="82"/>
  <c r="S392" i="82"/>
  <c r="L393" i="82"/>
  <c r="N393" i="82"/>
  <c r="O393" i="82"/>
  <c r="P393" i="82"/>
  <c r="Q393" i="82"/>
  <c r="S393" i="82"/>
  <c r="L394" i="82"/>
  <c r="N394" i="82"/>
  <c r="O394" i="82"/>
  <c r="F394" i="82" s="1"/>
  <c r="P394" i="82"/>
  <c r="Q394" i="82"/>
  <c r="S394" i="82"/>
  <c r="L395" i="82"/>
  <c r="N395" i="82"/>
  <c r="O395" i="82"/>
  <c r="P395" i="82"/>
  <c r="Q395" i="82"/>
  <c r="S395" i="82"/>
  <c r="L396" i="82"/>
  <c r="N396" i="82"/>
  <c r="O396" i="82"/>
  <c r="F396" i="82" s="1"/>
  <c r="P396" i="82"/>
  <c r="Q396" i="82"/>
  <c r="S396" i="82"/>
  <c r="L397" i="82"/>
  <c r="N397" i="82"/>
  <c r="O397" i="82"/>
  <c r="F397" i="82" s="1"/>
  <c r="P397" i="82"/>
  <c r="Q397" i="82"/>
  <c r="S397" i="82"/>
  <c r="L398" i="82"/>
  <c r="N398" i="82"/>
  <c r="O398" i="82"/>
  <c r="F398" i="82" s="1"/>
  <c r="P398" i="82"/>
  <c r="Q398" i="82"/>
  <c r="S398" i="82"/>
  <c r="L399" i="82"/>
  <c r="N399" i="82"/>
  <c r="O399" i="82"/>
  <c r="P399" i="82"/>
  <c r="Q399" i="82"/>
  <c r="S399" i="82"/>
  <c r="L400" i="82"/>
  <c r="N400" i="82"/>
  <c r="O400" i="82"/>
  <c r="F400" i="82" s="1"/>
  <c r="P400" i="82"/>
  <c r="Q400" i="82"/>
  <c r="S400" i="82"/>
  <c r="F401" i="82"/>
  <c r="L401" i="82"/>
  <c r="N401" i="82"/>
  <c r="O401" i="82"/>
  <c r="P401" i="82"/>
  <c r="Q401" i="82"/>
  <c r="S401" i="82"/>
  <c r="F402" i="82"/>
  <c r="L402" i="82"/>
  <c r="N402" i="82"/>
  <c r="O402" i="82"/>
  <c r="P402" i="82"/>
  <c r="Q402" i="82"/>
  <c r="S402" i="82"/>
  <c r="F403" i="82"/>
  <c r="L403" i="82"/>
  <c r="N403" i="82"/>
  <c r="O403" i="82"/>
  <c r="P403" i="82"/>
  <c r="Q403" i="82"/>
  <c r="S403" i="82"/>
  <c r="L404" i="82"/>
  <c r="N404" i="82"/>
  <c r="O404" i="82"/>
  <c r="F404" i="82" s="1"/>
  <c r="P404" i="82"/>
  <c r="Q404" i="82"/>
  <c r="S404" i="82"/>
  <c r="L405" i="82"/>
  <c r="N405" i="82"/>
  <c r="O405" i="82"/>
  <c r="P405" i="82"/>
  <c r="Q405" i="82"/>
  <c r="S405" i="82"/>
  <c r="L406" i="82"/>
  <c r="N406" i="82"/>
  <c r="O406" i="82"/>
  <c r="F406" i="82" s="1"/>
  <c r="P406" i="82"/>
  <c r="Q406" i="82"/>
  <c r="S406" i="82"/>
  <c r="L407" i="82"/>
  <c r="N407" i="82"/>
  <c r="O407" i="82"/>
  <c r="F407" i="82" s="1"/>
  <c r="P407" i="82"/>
  <c r="Q407" i="82"/>
  <c r="S407" i="82"/>
  <c r="L408" i="82"/>
  <c r="N408" i="82"/>
  <c r="O408" i="82"/>
  <c r="F408" i="82" s="1"/>
  <c r="P408" i="82"/>
  <c r="Q408" i="82"/>
  <c r="S408" i="82"/>
  <c r="L409" i="82"/>
  <c r="N409" i="82"/>
  <c r="O409" i="82"/>
  <c r="P409" i="82"/>
  <c r="Q409" i="82"/>
  <c r="S409" i="82"/>
  <c r="L410" i="82"/>
  <c r="N410" i="82"/>
  <c r="O410" i="82"/>
  <c r="P410" i="82"/>
  <c r="F410" i="82" s="1"/>
  <c r="Q410" i="82"/>
  <c r="S410" i="82"/>
  <c r="F411" i="82"/>
  <c r="L411" i="82"/>
  <c r="N411" i="82"/>
  <c r="O411" i="82"/>
  <c r="P411" i="82"/>
  <c r="Q411" i="82"/>
  <c r="S411" i="82"/>
  <c r="L412" i="82"/>
  <c r="N412" i="82"/>
  <c r="O412" i="82"/>
  <c r="F412" i="82" s="1"/>
  <c r="P412" i="82"/>
  <c r="Q412" i="82"/>
  <c r="S412" i="82"/>
  <c r="L413" i="82"/>
  <c r="N413" i="82"/>
  <c r="O413" i="82"/>
  <c r="P413" i="82"/>
  <c r="Q413" i="82"/>
  <c r="S413" i="82"/>
  <c r="L414" i="82"/>
  <c r="N414" i="82"/>
  <c r="O414" i="82"/>
  <c r="P414" i="82"/>
  <c r="Q414" i="82"/>
  <c r="S414" i="82"/>
  <c r="L415" i="82"/>
  <c r="N415" i="82"/>
  <c r="O415" i="82"/>
  <c r="F415" i="82" s="1"/>
  <c r="P415" i="82"/>
  <c r="Q415" i="82"/>
  <c r="S415" i="82"/>
  <c r="L416" i="82"/>
  <c r="N416" i="82"/>
  <c r="O416" i="82"/>
  <c r="F416" i="82" s="1"/>
  <c r="P416" i="82"/>
  <c r="Q416" i="82"/>
  <c r="S416" i="82"/>
  <c r="L417" i="82"/>
  <c r="N417" i="82"/>
  <c r="O417" i="82"/>
  <c r="F417" i="82" s="1"/>
  <c r="P417" i="82"/>
  <c r="Q417" i="82"/>
  <c r="S417" i="82"/>
  <c r="L418" i="82"/>
  <c r="N418" i="82"/>
  <c r="O418" i="82"/>
  <c r="P418" i="82"/>
  <c r="Q418" i="82"/>
  <c r="S418" i="82"/>
  <c r="L419" i="82"/>
  <c r="N419" i="82"/>
  <c r="O419" i="82"/>
  <c r="P419" i="82"/>
  <c r="Q419" i="82"/>
  <c r="S419" i="82"/>
  <c r="L420" i="82"/>
  <c r="N420" i="82"/>
  <c r="O420" i="82"/>
  <c r="P420" i="82"/>
  <c r="Q420" i="82"/>
  <c r="S420" i="82"/>
  <c r="L421" i="82"/>
  <c r="N421" i="82"/>
  <c r="O421" i="82"/>
  <c r="F421" i="82" s="1"/>
  <c r="P421" i="82"/>
  <c r="Q421" i="82"/>
  <c r="S421" i="82"/>
  <c r="L422" i="82"/>
  <c r="N422" i="82"/>
  <c r="O422" i="82"/>
  <c r="F422" i="82" s="1"/>
  <c r="P422" i="82"/>
  <c r="Q422" i="82"/>
  <c r="S422" i="82"/>
  <c r="L423" i="82"/>
  <c r="N423" i="82"/>
  <c r="O423" i="82"/>
  <c r="P423" i="82"/>
  <c r="Q423" i="82"/>
  <c r="S423" i="82"/>
  <c r="L424" i="82"/>
  <c r="N424" i="82"/>
  <c r="O424" i="82"/>
  <c r="P424" i="82"/>
  <c r="Q424" i="82"/>
  <c r="S424" i="82"/>
  <c r="F425" i="82"/>
  <c r="L425" i="82"/>
  <c r="N425" i="82"/>
  <c r="O425" i="82"/>
  <c r="P425" i="82"/>
  <c r="Q425" i="82"/>
  <c r="S425" i="82"/>
  <c r="F426" i="82"/>
  <c r="L426" i="82"/>
  <c r="N426" i="82"/>
  <c r="O426" i="82"/>
  <c r="P426" i="82"/>
  <c r="Q426" i="82"/>
  <c r="S426" i="82"/>
  <c r="F427" i="82"/>
  <c r="L427" i="82"/>
  <c r="N427" i="82"/>
  <c r="O427" i="82"/>
  <c r="P427" i="82"/>
  <c r="Q427" i="82"/>
  <c r="S427" i="82"/>
  <c r="L428" i="82"/>
  <c r="N428" i="82"/>
  <c r="O428" i="82"/>
  <c r="P428" i="82"/>
  <c r="Q428" i="82"/>
  <c r="S428" i="82"/>
  <c r="L429" i="82"/>
  <c r="N429" i="82"/>
  <c r="O429" i="82"/>
  <c r="P429" i="82"/>
  <c r="Q429" i="82"/>
  <c r="S429" i="82"/>
  <c r="L430" i="82"/>
  <c r="N430" i="82"/>
  <c r="O430" i="82"/>
  <c r="F430" i="82" s="1"/>
  <c r="P430" i="82"/>
  <c r="Q430" i="82"/>
  <c r="S430" i="82"/>
  <c r="L431" i="82"/>
  <c r="N431" i="82"/>
  <c r="O431" i="82"/>
  <c r="F431" i="82" s="1"/>
  <c r="P431" i="82"/>
  <c r="Q431" i="82"/>
  <c r="S431" i="82"/>
  <c r="L432" i="82"/>
  <c r="N432" i="82"/>
  <c r="O432" i="82"/>
  <c r="P432" i="82"/>
  <c r="Q432" i="82"/>
  <c r="S432" i="82"/>
  <c r="L433" i="82"/>
  <c r="N433" i="82"/>
  <c r="O433" i="82"/>
  <c r="P433" i="82"/>
  <c r="Q433" i="82"/>
  <c r="S433" i="82"/>
  <c r="L434" i="82"/>
  <c r="N434" i="82"/>
  <c r="O434" i="82"/>
  <c r="F434" i="82" s="1"/>
  <c r="P434" i="82"/>
  <c r="Q434" i="82"/>
  <c r="S434" i="82"/>
  <c r="L435" i="82"/>
  <c r="N435" i="82"/>
  <c r="O435" i="82"/>
  <c r="P435" i="82"/>
  <c r="F435" i="82" s="1"/>
  <c r="Q435" i="82"/>
  <c r="S435" i="82"/>
  <c r="L436" i="82"/>
  <c r="N436" i="82"/>
  <c r="O436" i="82"/>
  <c r="F436" i="82" s="1"/>
  <c r="P436" i="82"/>
  <c r="Q436" i="82"/>
  <c r="S436" i="82"/>
  <c r="L437" i="82"/>
  <c r="N437" i="82"/>
  <c r="O437" i="82"/>
  <c r="F437" i="82" s="1"/>
  <c r="P437" i="82"/>
  <c r="Q437" i="82"/>
  <c r="S437" i="82"/>
  <c r="L438" i="82"/>
  <c r="N438" i="82"/>
  <c r="O438" i="82"/>
  <c r="F438" i="82" s="1"/>
  <c r="P438" i="82"/>
  <c r="Q438" i="82"/>
  <c r="S438" i="82"/>
  <c r="L439" i="82"/>
  <c r="N439" i="82"/>
  <c r="O439" i="82"/>
  <c r="P439" i="82"/>
  <c r="Q439" i="82"/>
  <c r="S439" i="82"/>
  <c r="L440" i="82"/>
  <c r="N440" i="82"/>
  <c r="O440" i="82"/>
  <c r="F440" i="82" s="1"/>
  <c r="P440" i="82"/>
  <c r="Q440" i="82"/>
  <c r="S440" i="82"/>
  <c r="F441" i="82"/>
  <c r="L441" i="82"/>
  <c r="N441" i="82"/>
  <c r="O441" i="82"/>
  <c r="P441" i="82"/>
  <c r="Q441" i="82"/>
  <c r="S441" i="82"/>
  <c r="F442" i="82"/>
  <c r="L442" i="82"/>
  <c r="N442" i="82"/>
  <c r="O442" i="82"/>
  <c r="P442" i="82"/>
  <c r="Q442" i="82"/>
  <c r="S442" i="82"/>
  <c r="L443" i="82"/>
  <c r="N443" i="82"/>
  <c r="O443" i="82"/>
  <c r="F443" i="82" s="1"/>
  <c r="P443" i="82"/>
  <c r="Q443" i="82"/>
  <c r="S443" i="82"/>
  <c r="L444" i="82"/>
  <c r="N444" i="82"/>
  <c r="O444" i="82"/>
  <c r="P444" i="82"/>
  <c r="Q444" i="82"/>
  <c r="S444" i="82"/>
  <c r="L445" i="82"/>
  <c r="N445" i="82"/>
  <c r="O445" i="82"/>
  <c r="F445" i="82" s="1"/>
  <c r="P445" i="82"/>
  <c r="Q445" i="82"/>
  <c r="S445" i="82"/>
  <c r="L446" i="82"/>
  <c r="N446" i="82"/>
  <c r="O446" i="82"/>
  <c r="F446" i="82" s="1"/>
  <c r="P446" i="82"/>
  <c r="Q446" i="82"/>
  <c r="S446" i="82"/>
  <c r="L447" i="82"/>
  <c r="N447" i="82"/>
  <c r="O447" i="82"/>
  <c r="F447" i="82" s="1"/>
  <c r="P447" i="82"/>
  <c r="Q447" i="82"/>
  <c r="S447" i="82"/>
  <c r="L448" i="82"/>
  <c r="N448" i="82"/>
  <c r="O448" i="82"/>
  <c r="P448" i="82"/>
  <c r="Q448" i="82"/>
  <c r="S448" i="82"/>
  <c r="L449" i="82"/>
  <c r="N449" i="82"/>
  <c r="O449" i="82"/>
  <c r="P449" i="82"/>
  <c r="F449" i="82" s="1"/>
  <c r="Q449" i="82"/>
  <c r="S449" i="82"/>
  <c r="F450" i="82"/>
  <c r="L450" i="82"/>
  <c r="N450" i="82"/>
  <c r="O450" i="82"/>
  <c r="P450" i="82"/>
  <c r="Q450" i="82"/>
  <c r="S450" i="82"/>
  <c r="F451" i="82"/>
  <c r="L451" i="82"/>
  <c r="N451" i="82"/>
  <c r="O451" i="82"/>
  <c r="P451" i="82"/>
  <c r="Q451" i="82"/>
  <c r="S451" i="82"/>
  <c r="L452" i="82"/>
  <c r="N452" i="82"/>
  <c r="O452" i="82"/>
  <c r="F452" i="82" s="1"/>
  <c r="P452" i="82"/>
  <c r="Q452" i="82"/>
  <c r="S452" i="82"/>
  <c r="L453" i="82"/>
  <c r="N453" i="82"/>
  <c r="O453" i="82"/>
  <c r="P453" i="82"/>
  <c r="Q453" i="82"/>
  <c r="S453" i="82"/>
  <c r="L454" i="82"/>
  <c r="N454" i="82"/>
  <c r="O454" i="82"/>
  <c r="P454" i="82"/>
  <c r="Q454" i="82"/>
  <c r="S454" i="82"/>
  <c r="L455" i="82"/>
  <c r="N455" i="82"/>
  <c r="O455" i="82"/>
  <c r="F455" i="82" s="1"/>
  <c r="P455" i="82"/>
  <c r="Q455" i="82"/>
  <c r="S455" i="82"/>
  <c r="L456" i="82"/>
  <c r="N456" i="82"/>
  <c r="O456" i="82"/>
  <c r="F456" i="82" s="1"/>
  <c r="P456" i="82"/>
  <c r="Q456" i="82"/>
  <c r="S456" i="82"/>
  <c r="L457" i="82"/>
  <c r="N457" i="82"/>
  <c r="O457" i="82"/>
  <c r="P457" i="82"/>
  <c r="Q457" i="82"/>
  <c r="S457" i="82"/>
  <c r="L458" i="82"/>
  <c r="N458" i="82"/>
  <c r="O458" i="82"/>
  <c r="P458" i="82"/>
  <c r="Q458" i="82"/>
  <c r="S458" i="82"/>
  <c r="L459" i="82"/>
  <c r="N459" i="82"/>
  <c r="O459" i="82"/>
  <c r="P459" i="82"/>
  <c r="Q459" i="82"/>
  <c r="S459" i="82"/>
  <c r="L460" i="82"/>
  <c r="N460" i="82"/>
  <c r="O460" i="82"/>
  <c r="F460" i="82" s="1"/>
  <c r="P460" i="82"/>
  <c r="Q460" i="82"/>
  <c r="S460" i="82"/>
  <c r="L461" i="82"/>
  <c r="N461" i="82"/>
  <c r="O461" i="82"/>
  <c r="F461" i="82" s="1"/>
  <c r="P461" i="82"/>
  <c r="Q461" i="82"/>
  <c r="S461" i="82"/>
  <c r="L462" i="82"/>
  <c r="N462" i="82"/>
  <c r="O462" i="82"/>
  <c r="P462" i="82"/>
  <c r="Q462" i="82"/>
  <c r="S462" i="82"/>
  <c r="L463" i="82"/>
  <c r="N463" i="82"/>
  <c r="O463" i="82"/>
  <c r="P463" i="82"/>
  <c r="Q463" i="82"/>
  <c r="S463" i="82"/>
  <c r="L464" i="82"/>
  <c r="N464" i="82"/>
  <c r="O464" i="82"/>
  <c r="F464" i="82" s="1"/>
  <c r="P464" i="82"/>
  <c r="Q464" i="82"/>
  <c r="S464" i="82"/>
  <c r="F465" i="82"/>
  <c r="L465" i="82"/>
  <c r="N465" i="82"/>
  <c r="O465" i="82"/>
  <c r="P465" i="82"/>
  <c r="Q465" i="82"/>
  <c r="S465" i="82"/>
  <c r="F466" i="82"/>
  <c r="L466" i="82"/>
  <c r="N466" i="82"/>
  <c r="O466" i="82"/>
  <c r="P466" i="82"/>
  <c r="Q466" i="82"/>
  <c r="S466" i="82"/>
  <c r="L467" i="82"/>
  <c r="N467" i="82"/>
  <c r="O467" i="82"/>
  <c r="F467" i="82" s="1"/>
  <c r="P467" i="82"/>
  <c r="Q467" i="82"/>
  <c r="S467" i="82"/>
  <c r="L468" i="82"/>
  <c r="N468" i="82"/>
  <c r="O468" i="82"/>
  <c r="P468" i="82"/>
  <c r="Q468" i="82"/>
  <c r="S468" i="82"/>
  <c r="L469" i="82"/>
  <c r="N469" i="82"/>
  <c r="O469" i="82"/>
  <c r="P469" i="82"/>
  <c r="Q469" i="82"/>
  <c r="S469" i="82"/>
  <c r="L470" i="82"/>
  <c r="N470" i="82"/>
  <c r="O470" i="82"/>
  <c r="F470" i="82" s="1"/>
  <c r="P470" i="82"/>
  <c r="Q470" i="82"/>
  <c r="S470" i="82"/>
  <c r="L471" i="82"/>
  <c r="N471" i="82"/>
  <c r="O471" i="82"/>
  <c r="F471" i="82" s="1"/>
  <c r="P471" i="82"/>
  <c r="Q471" i="82"/>
  <c r="S471" i="82"/>
  <c r="L472" i="82"/>
  <c r="N472" i="82"/>
  <c r="O472" i="82"/>
  <c r="P472" i="82"/>
  <c r="Q472" i="82"/>
  <c r="S472" i="82"/>
  <c r="L473" i="82"/>
  <c r="N473" i="82"/>
  <c r="O473" i="82"/>
  <c r="P473" i="82"/>
  <c r="Q473" i="82"/>
  <c r="S473" i="82"/>
  <c r="L474" i="82"/>
  <c r="N474" i="82"/>
  <c r="O474" i="82"/>
  <c r="P474" i="82"/>
  <c r="F474" i="82" s="1"/>
  <c r="Q474" i="82"/>
  <c r="S474" i="82"/>
  <c r="F475" i="82"/>
  <c r="L475" i="82"/>
  <c r="N475" i="82"/>
  <c r="O475" i="82"/>
  <c r="P475" i="82"/>
  <c r="Q475" i="82"/>
  <c r="S475" i="82"/>
  <c r="L476" i="82"/>
  <c r="N476" i="82"/>
  <c r="O476" i="82"/>
  <c r="F476" i="82" s="1"/>
  <c r="P476" i="82"/>
  <c r="Q476" i="82"/>
  <c r="S476" i="82"/>
  <c r="L477" i="82"/>
  <c r="N477" i="82"/>
  <c r="O477" i="82"/>
  <c r="P477" i="82"/>
  <c r="Q477" i="82"/>
  <c r="S477" i="82"/>
  <c r="L478" i="82"/>
  <c r="N478" i="82"/>
  <c r="O478" i="82"/>
  <c r="F478" i="82" s="1"/>
  <c r="P478" i="82"/>
  <c r="Q478" i="82"/>
  <c r="S478" i="82"/>
  <c r="L479" i="82"/>
  <c r="N479" i="82"/>
  <c r="O479" i="82"/>
  <c r="F479" i="82" s="1"/>
  <c r="P479" i="82"/>
  <c r="Q479" i="82"/>
  <c r="S479" i="82"/>
  <c r="L480" i="82"/>
  <c r="N480" i="82"/>
  <c r="O480" i="82"/>
  <c r="F480" i="82" s="1"/>
  <c r="P480" i="82"/>
  <c r="Q480" i="82"/>
  <c r="S480" i="82"/>
  <c r="F481" i="82"/>
  <c r="L481" i="82"/>
  <c r="N481" i="82"/>
  <c r="O481" i="82"/>
  <c r="P481" i="82"/>
  <c r="Q481" i="82"/>
  <c r="S481" i="82"/>
  <c r="L482" i="82"/>
  <c r="N482" i="82"/>
  <c r="O482" i="82"/>
  <c r="P482" i="82"/>
  <c r="Q482" i="82"/>
  <c r="S482" i="82"/>
  <c r="L483" i="82"/>
  <c r="N483" i="82"/>
  <c r="O483" i="82"/>
  <c r="P483" i="82"/>
  <c r="Q483" i="82"/>
  <c r="S483" i="82"/>
  <c r="L484" i="82"/>
  <c r="N484" i="82"/>
  <c r="O484" i="82"/>
  <c r="P484" i="82"/>
  <c r="Q484" i="82"/>
  <c r="S484" i="82"/>
  <c r="L485" i="82"/>
  <c r="N485" i="82"/>
  <c r="O485" i="82"/>
  <c r="F485" i="82" s="1"/>
  <c r="P485" i="82"/>
  <c r="Q485" i="82"/>
  <c r="S485" i="82"/>
  <c r="L486" i="82"/>
  <c r="N486" i="82"/>
  <c r="O486" i="82"/>
  <c r="F486" i="82" s="1"/>
  <c r="P486" i="82"/>
  <c r="Q486" i="82"/>
  <c r="S486" i="82"/>
  <c r="L487" i="82"/>
  <c r="N487" i="82"/>
  <c r="O487" i="82"/>
  <c r="F487" i="82" s="1"/>
  <c r="P487" i="82"/>
  <c r="Q487" i="82"/>
  <c r="S487" i="82"/>
  <c r="L488" i="82"/>
  <c r="N488" i="82"/>
  <c r="O488" i="82"/>
  <c r="P488" i="82"/>
  <c r="Q488" i="82"/>
  <c r="S488" i="82"/>
  <c r="F489" i="82"/>
  <c r="L489" i="82"/>
  <c r="N489" i="82"/>
  <c r="O489" i="82"/>
  <c r="P489" i="82"/>
  <c r="Q489" i="82"/>
  <c r="S489" i="82"/>
  <c r="F490" i="82"/>
  <c r="L490" i="82"/>
  <c r="N490" i="82"/>
  <c r="O490" i="82"/>
  <c r="P490" i="82"/>
  <c r="Q490" i="82"/>
  <c r="S490" i="82"/>
  <c r="F491" i="82"/>
  <c r="L491" i="82"/>
  <c r="N491" i="82"/>
  <c r="O491" i="82"/>
  <c r="P491" i="82"/>
  <c r="Q491" i="82"/>
  <c r="S491" i="82"/>
  <c r="L492" i="82"/>
  <c r="N492" i="82"/>
  <c r="O492" i="82"/>
  <c r="F492" i="82" s="1"/>
  <c r="P492" i="82"/>
  <c r="Q492" i="82"/>
  <c r="S492" i="82"/>
  <c r="L493" i="82"/>
  <c r="N493" i="82"/>
  <c r="O493" i="82"/>
  <c r="P493" i="82"/>
  <c r="Q493" i="82"/>
  <c r="S493" i="82"/>
  <c r="L494" i="82"/>
  <c r="N494" i="82"/>
  <c r="O494" i="82"/>
  <c r="F494" i="82" s="1"/>
  <c r="P494" i="82"/>
  <c r="Q494" i="82"/>
  <c r="S494" i="82"/>
  <c r="L495" i="82"/>
  <c r="N495" i="82"/>
  <c r="O495" i="82"/>
  <c r="F495" i="82" s="1"/>
  <c r="P495" i="82"/>
  <c r="Q495" i="82"/>
  <c r="S495" i="82"/>
  <c r="L496" i="82"/>
  <c r="N496" i="82"/>
  <c r="O496" i="82"/>
  <c r="F496" i="82" s="1"/>
  <c r="P496" i="82"/>
  <c r="Q496" i="82"/>
  <c r="S496" i="82"/>
  <c r="L497" i="82"/>
  <c r="N497" i="82"/>
  <c r="O497" i="82"/>
  <c r="P497" i="82"/>
  <c r="Q497" i="82"/>
  <c r="S497" i="82"/>
  <c r="L498" i="82"/>
  <c r="N498" i="82"/>
  <c r="O498" i="82"/>
  <c r="P498" i="82"/>
  <c r="Q498" i="82"/>
  <c r="S498" i="82"/>
  <c r="L499" i="82"/>
  <c r="N499" i="82"/>
  <c r="O499" i="82"/>
  <c r="P499" i="82"/>
  <c r="F499" i="82" s="1"/>
  <c r="Q499" i="82"/>
  <c r="S499" i="82"/>
  <c r="L500" i="82"/>
  <c r="N500" i="82"/>
  <c r="O500" i="82"/>
  <c r="F500" i="82" s="1"/>
  <c r="P500" i="82"/>
  <c r="Q500" i="82"/>
  <c r="S500" i="82"/>
  <c r="L144" i="81"/>
  <c r="N144" i="81"/>
  <c r="O144" i="81"/>
  <c r="F144" i="81" s="1"/>
  <c r="P144" i="81"/>
  <c r="Q144" i="81"/>
  <c r="S144" i="81"/>
  <c r="L145" i="81"/>
  <c r="N145" i="81"/>
  <c r="O145" i="81"/>
  <c r="P145" i="81"/>
  <c r="Q145" i="81"/>
  <c r="S145" i="81"/>
  <c r="L146" i="81"/>
  <c r="N146" i="81"/>
  <c r="O146" i="81"/>
  <c r="P146" i="81"/>
  <c r="Q146" i="81"/>
  <c r="S146" i="81"/>
  <c r="L147" i="81"/>
  <c r="N147" i="81"/>
  <c r="O147" i="81"/>
  <c r="P147" i="81"/>
  <c r="F147" i="81" s="1"/>
  <c r="Q147" i="81"/>
  <c r="S147" i="81"/>
  <c r="F148" i="81"/>
  <c r="L148" i="81"/>
  <c r="N148" i="81"/>
  <c r="O148" i="81"/>
  <c r="P148" i="81"/>
  <c r="Q148" i="81"/>
  <c r="S148" i="81"/>
  <c r="L149" i="81"/>
  <c r="N149" i="81"/>
  <c r="O149" i="81"/>
  <c r="F149" i="81" s="1"/>
  <c r="P149" i="81"/>
  <c r="Q149" i="81"/>
  <c r="S149" i="81"/>
  <c r="L150" i="81"/>
  <c r="N150" i="81"/>
  <c r="O150" i="81"/>
  <c r="P150" i="81"/>
  <c r="Q150" i="81"/>
  <c r="S150" i="81"/>
  <c r="L151" i="81"/>
  <c r="N151" i="81"/>
  <c r="O151" i="81"/>
  <c r="P151" i="81"/>
  <c r="Q151" i="81"/>
  <c r="S151" i="81"/>
  <c r="L152" i="81"/>
  <c r="N152" i="81"/>
  <c r="O152" i="81"/>
  <c r="F152" i="81" s="1"/>
  <c r="P152" i="81"/>
  <c r="Q152" i="81"/>
  <c r="S152" i="81"/>
  <c r="L153" i="81"/>
  <c r="N153" i="81"/>
  <c r="O153" i="81"/>
  <c r="F153" i="81" s="1"/>
  <c r="P153" i="81"/>
  <c r="Q153" i="81"/>
  <c r="S153" i="81"/>
  <c r="L154" i="81"/>
  <c r="N154" i="81"/>
  <c r="O154" i="81"/>
  <c r="F154" i="81" s="1"/>
  <c r="P154" i="81"/>
  <c r="Q154" i="81"/>
  <c r="S154" i="81"/>
  <c r="L155" i="81"/>
  <c r="N155" i="81"/>
  <c r="O155" i="81"/>
  <c r="P155" i="81"/>
  <c r="Q155" i="81"/>
  <c r="S155" i="81"/>
  <c r="L156" i="81"/>
  <c r="N156" i="81"/>
  <c r="O156" i="81"/>
  <c r="F156" i="81" s="1"/>
  <c r="P156" i="81"/>
  <c r="Q156" i="81"/>
  <c r="S156" i="81"/>
  <c r="L157" i="81"/>
  <c r="N157" i="81"/>
  <c r="O157" i="81"/>
  <c r="P157" i="81"/>
  <c r="Q157" i="81"/>
  <c r="S157" i="81"/>
  <c r="L158" i="81"/>
  <c r="N158" i="81"/>
  <c r="O158" i="81"/>
  <c r="F158" i="81" s="1"/>
  <c r="P158" i="81"/>
  <c r="Q158" i="81"/>
  <c r="S158" i="81"/>
  <c r="L159" i="81"/>
  <c r="N159" i="81"/>
  <c r="O159" i="81"/>
  <c r="F159" i="81" s="1"/>
  <c r="P159" i="81"/>
  <c r="Q159" i="81"/>
  <c r="S159" i="81"/>
  <c r="L160" i="81"/>
  <c r="N160" i="81"/>
  <c r="O160" i="81"/>
  <c r="F160" i="81" s="1"/>
  <c r="P160" i="81"/>
  <c r="Q160" i="81"/>
  <c r="S160" i="81"/>
  <c r="L161" i="81"/>
  <c r="N161" i="81"/>
  <c r="O161" i="81"/>
  <c r="P161" i="81"/>
  <c r="Q161" i="81"/>
  <c r="S161" i="81"/>
  <c r="F162" i="81"/>
  <c r="L162" i="81"/>
  <c r="N162" i="81"/>
  <c r="O162" i="81"/>
  <c r="P162" i="81"/>
  <c r="Q162" i="81"/>
  <c r="S162" i="81"/>
  <c r="F163" i="81"/>
  <c r="L163" i="81"/>
  <c r="N163" i="81"/>
  <c r="O163" i="81"/>
  <c r="P163" i="81"/>
  <c r="Q163" i="81"/>
  <c r="S163" i="81"/>
  <c r="F164" i="81"/>
  <c r="L164" i="81"/>
  <c r="N164" i="81"/>
  <c r="O164" i="81"/>
  <c r="P164" i="81"/>
  <c r="Q164" i="81"/>
  <c r="S164" i="81"/>
  <c r="L165" i="81"/>
  <c r="N165" i="81"/>
  <c r="O165" i="81"/>
  <c r="P165" i="81"/>
  <c r="Q165" i="81"/>
  <c r="S165" i="81"/>
  <c r="L166" i="81"/>
  <c r="N166" i="81"/>
  <c r="O166" i="81"/>
  <c r="F166" i="81" s="1"/>
  <c r="P166" i="81"/>
  <c r="Q166" i="81"/>
  <c r="S166" i="81"/>
  <c r="L167" i="81"/>
  <c r="N167" i="81"/>
  <c r="O167" i="81"/>
  <c r="F167" i="81" s="1"/>
  <c r="P167" i="81"/>
  <c r="Q167" i="81"/>
  <c r="S167" i="81"/>
  <c r="L168" i="81"/>
  <c r="N168" i="81"/>
  <c r="O168" i="81"/>
  <c r="F168" i="81" s="1"/>
  <c r="P168" i="81"/>
  <c r="Q168" i="81"/>
  <c r="S168" i="81"/>
  <c r="L169" i="81"/>
  <c r="N169" i="81"/>
  <c r="O169" i="81"/>
  <c r="P169" i="81"/>
  <c r="Q169" i="81"/>
  <c r="S169" i="81"/>
  <c r="L170" i="81"/>
  <c r="N170" i="81"/>
  <c r="O170" i="81"/>
  <c r="F170" i="81" s="1"/>
  <c r="P170" i="81"/>
  <c r="Q170" i="81"/>
  <c r="S170" i="81"/>
  <c r="L171" i="81"/>
  <c r="N171" i="81"/>
  <c r="O171" i="81"/>
  <c r="P171" i="81"/>
  <c r="Q171" i="81"/>
  <c r="S171" i="81"/>
  <c r="L172" i="81"/>
  <c r="N172" i="81"/>
  <c r="O172" i="81"/>
  <c r="P172" i="81"/>
  <c r="F172" i="81" s="1"/>
  <c r="Q172" i="81"/>
  <c r="S172" i="81"/>
  <c r="L173" i="81"/>
  <c r="N173" i="81"/>
  <c r="O173" i="81"/>
  <c r="F173" i="81" s="1"/>
  <c r="P173" i="81"/>
  <c r="Q173" i="81"/>
  <c r="S173" i="81"/>
  <c r="L174" i="81"/>
  <c r="N174" i="81"/>
  <c r="O174" i="81"/>
  <c r="F174" i="81" s="1"/>
  <c r="P174" i="81"/>
  <c r="Q174" i="81"/>
  <c r="S174" i="81"/>
  <c r="L175" i="81"/>
  <c r="N175" i="81"/>
  <c r="O175" i="81"/>
  <c r="P175" i="81"/>
  <c r="Q175" i="81"/>
  <c r="S175" i="81"/>
  <c r="L176" i="81"/>
  <c r="N176" i="81"/>
  <c r="O176" i="81"/>
  <c r="P176" i="81"/>
  <c r="Q176" i="81"/>
  <c r="S176" i="81"/>
  <c r="L177" i="81"/>
  <c r="N177" i="81"/>
  <c r="O177" i="81"/>
  <c r="F177" i="81" s="1"/>
  <c r="P177" i="81"/>
  <c r="Q177" i="81"/>
  <c r="S177" i="81"/>
  <c r="F178" i="81"/>
  <c r="L178" i="81"/>
  <c r="N178" i="81"/>
  <c r="O178" i="81"/>
  <c r="P178" i="81"/>
  <c r="Q178" i="81"/>
  <c r="S178" i="81"/>
  <c r="L179" i="81"/>
  <c r="N179" i="81"/>
  <c r="O179" i="81"/>
  <c r="F179" i="81" s="1"/>
  <c r="P179" i="81"/>
  <c r="Q179" i="81"/>
  <c r="S179" i="81"/>
  <c r="L180" i="81"/>
  <c r="N180" i="81"/>
  <c r="O180" i="81"/>
  <c r="P180" i="81"/>
  <c r="Q180" i="81"/>
  <c r="S180" i="81"/>
  <c r="L181" i="81"/>
  <c r="N181" i="81"/>
  <c r="O181" i="81"/>
  <c r="P181" i="81"/>
  <c r="Q181" i="81"/>
  <c r="S181" i="81"/>
  <c r="L182" i="81"/>
  <c r="N182" i="81"/>
  <c r="O182" i="81"/>
  <c r="F182" i="81" s="1"/>
  <c r="P182" i="81"/>
  <c r="Q182" i="81"/>
  <c r="S182" i="81"/>
  <c r="L183" i="81"/>
  <c r="N183" i="81"/>
  <c r="O183" i="81"/>
  <c r="F183" i="81" s="1"/>
  <c r="P183" i="81"/>
  <c r="Q183" i="81"/>
  <c r="S183" i="81"/>
  <c r="L184" i="81"/>
  <c r="N184" i="81"/>
  <c r="O184" i="81"/>
  <c r="P184" i="81"/>
  <c r="Q184" i="81"/>
  <c r="S184" i="81"/>
  <c r="L185" i="81"/>
  <c r="N185" i="81"/>
  <c r="O185" i="81"/>
  <c r="P185" i="81"/>
  <c r="Q185" i="81"/>
  <c r="S185" i="81"/>
  <c r="L186" i="81"/>
  <c r="N186" i="81"/>
  <c r="O186" i="81"/>
  <c r="P186" i="81"/>
  <c r="F186" i="81" s="1"/>
  <c r="Q186" i="81"/>
  <c r="S186" i="81"/>
  <c r="F187" i="81"/>
  <c r="L187" i="81"/>
  <c r="N187" i="81"/>
  <c r="O187" i="81"/>
  <c r="P187" i="81"/>
  <c r="Q187" i="81"/>
  <c r="S187" i="81"/>
  <c r="F188" i="81"/>
  <c r="L188" i="81"/>
  <c r="N188" i="81"/>
  <c r="O188" i="81"/>
  <c r="P188" i="81"/>
  <c r="Q188" i="81"/>
  <c r="S188" i="81"/>
  <c r="L189" i="81"/>
  <c r="N189" i="81"/>
  <c r="O189" i="81"/>
  <c r="F189" i="81" s="1"/>
  <c r="P189" i="81"/>
  <c r="Q189" i="81"/>
  <c r="S189" i="81"/>
  <c r="L190" i="81"/>
  <c r="N190" i="81"/>
  <c r="O190" i="81"/>
  <c r="P190" i="81"/>
  <c r="Q190" i="81"/>
  <c r="S190" i="81"/>
  <c r="L191" i="81"/>
  <c r="N191" i="81"/>
  <c r="O191" i="81"/>
  <c r="P191" i="81"/>
  <c r="Q191" i="81"/>
  <c r="S191" i="81"/>
  <c r="L192" i="81"/>
  <c r="N192" i="81"/>
  <c r="O192" i="81"/>
  <c r="F192" i="81" s="1"/>
  <c r="P192" i="81"/>
  <c r="Q192" i="81"/>
  <c r="S192" i="81"/>
  <c r="L193" i="81"/>
  <c r="N193" i="81"/>
  <c r="O193" i="81"/>
  <c r="F193" i="81" s="1"/>
  <c r="P193" i="81"/>
  <c r="Q193" i="81"/>
  <c r="S193" i="81"/>
  <c r="L194" i="81"/>
  <c r="N194" i="81"/>
  <c r="O194" i="81"/>
  <c r="P194" i="81"/>
  <c r="Q194" i="81"/>
  <c r="S194" i="81"/>
  <c r="L195" i="81"/>
  <c r="N195" i="81"/>
  <c r="O195" i="81"/>
  <c r="P195" i="81"/>
  <c r="Q195" i="81"/>
  <c r="S195" i="81"/>
  <c r="L196" i="81"/>
  <c r="N196" i="81"/>
  <c r="O196" i="81"/>
  <c r="F196" i="81" s="1"/>
  <c r="P196" i="81"/>
  <c r="Q196" i="81"/>
  <c r="S196" i="81"/>
  <c r="L197" i="81"/>
  <c r="N197" i="81"/>
  <c r="O197" i="81"/>
  <c r="F197" i="81" s="1"/>
  <c r="P197" i="81"/>
  <c r="Q197" i="81"/>
  <c r="S197" i="81"/>
  <c r="L198" i="81"/>
  <c r="N198" i="81"/>
  <c r="O198" i="81"/>
  <c r="F198" i="81" s="1"/>
  <c r="P198" i="81"/>
  <c r="Q198" i="81"/>
  <c r="S198" i="81"/>
  <c r="L199" i="81"/>
  <c r="N199" i="81"/>
  <c r="O199" i="81"/>
  <c r="P199" i="81"/>
  <c r="Q199" i="81"/>
  <c r="S199" i="81"/>
  <c r="L200" i="81"/>
  <c r="N200" i="81"/>
  <c r="O200" i="81"/>
  <c r="F200" i="81" s="1"/>
  <c r="P200" i="81"/>
  <c r="Q200" i="81"/>
  <c r="S200" i="81"/>
  <c r="L201" i="81"/>
  <c r="N201" i="81"/>
  <c r="O201" i="81"/>
  <c r="F201" i="81" s="1"/>
  <c r="P201" i="81"/>
  <c r="Q201" i="81"/>
  <c r="S201" i="81"/>
  <c r="F202" i="81"/>
  <c r="L202" i="81"/>
  <c r="N202" i="81"/>
  <c r="O202" i="81"/>
  <c r="P202" i="81"/>
  <c r="Q202" i="81"/>
  <c r="S202" i="81"/>
  <c r="F203" i="81"/>
  <c r="L203" i="81"/>
  <c r="N203" i="81"/>
  <c r="O203" i="81"/>
  <c r="P203" i="81"/>
  <c r="Q203" i="81"/>
  <c r="S203" i="81"/>
  <c r="F204" i="81"/>
  <c r="L204" i="81"/>
  <c r="N204" i="81"/>
  <c r="O204" i="81"/>
  <c r="P204" i="81"/>
  <c r="Q204" i="81"/>
  <c r="S204" i="81"/>
  <c r="L205" i="81"/>
  <c r="N205" i="81"/>
  <c r="O205" i="81"/>
  <c r="F205" i="81" s="1"/>
  <c r="P205" i="81"/>
  <c r="Q205" i="81"/>
  <c r="S205" i="81"/>
  <c r="L206" i="81"/>
  <c r="N206" i="81"/>
  <c r="O206" i="81"/>
  <c r="P206" i="81"/>
  <c r="Q206" i="81"/>
  <c r="S206" i="81"/>
  <c r="L207" i="81"/>
  <c r="N207" i="81"/>
  <c r="O207" i="81"/>
  <c r="F207" i="81" s="1"/>
  <c r="P207" i="81"/>
  <c r="Q207" i="81"/>
  <c r="S207" i="81"/>
  <c r="L208" i="81"/>
  <c r="N208" i="81"/>
  <c r="O208" i="81"/>
  <c r="F208" i="81" s="1"/>
  <c r="P208" i="81"/>
  <c r="Q208" i="81"/>
  <c r="S208" i="81"/>
  <c r="L209" i="81"/>
  <c r="N209" i="81"/>
  <c r="O209" i="81"/>
  <c r="F209" i="81" s="1"/>
  <c r="P209" i="81"/>
  <c r="Q209" i="81"/>
  <c r="S209" i="81"/>
  <c r="L210" i="81"/>
  <c r="N210" i="81"/>
  <c r="O210" i="81"/>
  <c r="P210" i="81"/>
  <c r="Q210" i="81"/>
  <c r="S210" i="81"/>
  <c r="L211" i="81"/>
  <c r="N211" i="81"/>
  <c r="O211" i="81"/>
  <c r="P211" i="81"/>
  <c r="F211" i="81" s="1"/>
  <c r="Q211" i="81"/>
  <c r="S211" i="81"/>
  <c r="F212" i="81"/>
  <c r="L212" i="81"/>
  <c r="N212" i="81"/>
  <c r="O212" i="81"/>
  <c r="P212" i="81"/>
  <c r="Q212" i="81"/>
  <c r="S212" i="81"/>
  <c r="L213" i="81"/>
  <c r="N213" i="81"/>
  <c r="O213" i="81"/>
  <c r="F213" i="81" s="1"/>
  <c r="P213" i="81"/>
  <c r="Q213" i="81"/>
  <c r="S213" i="81"/>
  <c r="L214" i="81"/>
  <c r="N214" i="81"/>
  <c r="O214" i="81"/>
  <c r="F214" i="81" s="1"/>
  <c r="P214" i="81"/>
  <c r="Q214" i="81"/>
  <c r="S214" i="81"/>
  <c r="L215" i="81"/>
  <c r="N215" i="81"/>
  <c r="O215" i="81"/>
  <c r="P215" i="81"/>
  <c r="Q215" i="81"/>
  <c r="S215" i="81"/>
  <c r="L216" i="81"/>
  <c r="N216" i="81"/>
  <c r="O216" i="81"/>
  <c r="F216" i="81" s="1"/>
  <c r="P216" i="81"/>
  <c r="Q216" i="81"/>
  <c r="S216" i="81"/>
  <c r="L217" i="81"/>
  <c r="N217" i="81"/>
  <c r="O217" i="81"/>
  <c r="F217" i="81" s="1"/>
  <c r="P217" i="81"/>
  <c r="Q217" i="81"/>
  <c r="S217" i="81"/>
  <c r="L218" i="81"/>
  <c r="N218" i="81"/>
  <c r="O218" i="81"/>
  <c r="F218" i="81" s="1"/>
  <c r="P218" i="81"/>
  <c r="Q218" i="81"/>
  <c r="S218" i="81"/>
  <c r="L219" i="81"/>
  <c r="N219" i="81"/>
  <c r="O219" i="81"/>
  <c r="P219" i="81"/>
  <c r="Q219" i="81"/>
  <c r="S219" i="81"/>
  <c r="L220" i="81"/>
  <c r="N220" i="81"/>
  <c r="O220" i="81"/>
  <c r="P220" i="81"/>
  <c r="Q220" i="81"/>
  <c r="S220" i="81"/>
  <c r="L221" i="81"/>
  <c r="N221" i="81"/>
  <c r="O221" i="81"/>
  <c r="P221" i="81"/>
  <c r="Q221" i="81"/>
  <c r="S221" i="81"/>
  <c r="L222" i="81"/>
  <c r="N222" i="81"/>
  <c r="O222" i="81"/>
  <c r="F222" i="81" s="1"/>
  <c r="P222" i="81"/>
  <c r="Q222" i="81"/>
  <c r="S222" i="81"/>
  <c r="L223" i="81"/>
  <c r="N223" i="81"/>
  <c r="O223" i="81"/>
  <c r="F223" i="81" s="1"/>
  <c r="P223" i="81"/>
  <c r="Q223" i="81"/>
  <c r="S223" i="81"/>
  <c r="L224" i="81"/>
  <c r="N224" i="81"/>
  <c r="O224" i="81"/>
  <c r="P224" i="81"/>
  <c r="Q224" i="81"/>
  <c r="S224" i="81"/>
  <c r="L225" i="81"/>
  <c r="N225" i="81"/>
  <c r="O225" i="81"/>
  <c r="P225" i="81"/>
  <c r="Q225" i="81"/>
  <c r="S225" i="81"/>
  <c r="F226" i="81"/>
  <c r="L226" i="81"/>
  <c r="N226" i="81"/>
  <c r="O226" i="81"/>
  <c r="P226" i="81"/>
  <c r="Q226" i="81"/>
  <c r="S226" i="81"/>
  <c r="F227" i="81"/>
  <c r="L227" i="81"/>
  <c r="N227" i="81"/>
  <c r="O227" i="81"/>
  <c r="P227" i="81"/>
  <c r="Q227" i="81"/>
  <c r="S227" i="81"/>
  <c r="F228" i="81"/>
  <c r="L228" i="81"/>
  <c r="N228" i="81"/>
  <c r="O228" i="81"/>
  <c r="P228" i="81"/>
  <c r="Q228" i="81"/>
  <c r="S228" i="81"/>
  <c r="L229" i="81"/>
  <c r="N229" i="81"/>
  <c r="O229" i="81"/>
  <c r="P229" i="81"/>
  <c r="Q229" i="81"/>
  <c r="S229" i="81"/>
  <c r="L230" i="81"/>
  <c r="N230" i="81"/>
  <c r="O230" i="81"/>
  <c r="P230" i="81"/>
  <c r="Q230" i="81"/>
  <c r="S230" i="81"/>
  <c r="L231" i="81"/>
  <c r="N231" i="81"/>
  <c r="O231" i="81"/>
  <c r="F231" i="81" s="1"/>
  <c r="P231" i="81"/>
  <c r="Q231" i="81"/>
  <c r="S231" i="81"/>
  <c r="L232" i="81"/>
  <c r="N232" i="81"/>
  <c r="O232" i="81"/>
  <c r="F232" i="81" s="1"/>
  <c r="P232" i="81"/>
  <c r="Q232" i="81"/>
  <c r="S232" i="81"/>
  <c r="L233" i="81"/>
  <c r="N233" i="81"/>
  <c r="O233" i="81"/>
  <c r="P233" i="81"/>
  <c r="Q233" i="81"/>
  <c r="S233" i="81"/>
  <c r="L234" i="81"/>
  <c r="N234" i="81"/>
  <c r="O234" i="81"/>
  <c r="P234" i="81"/>
  <c r="Q234" i="81"/>
  <c r="S234" i="81"/>
  <c r="L235" i="81"/>
  <c r="N235" i="81"/>
  <c r="O235" i="81"/>
  <c r="P235" i="81"/>
  <c r="Q235" i="81"/>
  <c r="S235" i="81"/>
  <c r="L236" i="81"/>
  <c r="N236" i="81"/>
  <c r="O236" i="81"/>
  <c r="P236" i="81"/>
  <c r="F236" i="81" s="1"/>
  <c r="Q236" i="81"/>
  <c r="S236" i="81"/>
  <c r="L237" i="81"/>
  <c r="N237" i="81"/>
  <c r="O237" i="81"/>
  <c r="F237" i="81" s="1"/>
  <c r="P237" i="81"/>
  <c r="Q237" i="81"/>
  <c r="S237" i="81"/>
  <c r="L238" i="81"/>
  <c r="N238" i="81"/>
  <c r="O238" i="81"/>
  <c r="F238" i="81" s="1"/>
  <c r="P238" i="81"/>
  <c r="Q238" i="81"/>
  <c r="S238" i="81"/>
  <c r="L239" i="81"/>
  <c r="N239" i="81"/>
  <c r="O239" i="81"/>
  <c r="P239" i="81"/>
  <c r="Q239" i="81"/>
  <c r="S239" i="81"/>
  <c r="L240" i="81"/>
  <c r="N240" i="81"/>
  <c r="O240" i="81"/>
  <c r="P240" i="81"/>
  <c r="Q240" i="81"/>
  <c r="S240" i="81"/>
  <c r="L241" i="81"/>
  <c r="N241" i="81"/>
  <c r="O241" i="81"/>
  <c r="F241" i="81" s="1"/>
  <c r="P241" i="81"/>
  <c r="Q241" i="81"/>
  <c r="S241" i="81"/>
  <c r="F242" i="81"/>
  <c r="L242" i="81"/>
  <c r="N242" i="81"/>
  <c r="O242" i="81"/>
  <c r="P242" i="81"/>
  <c r="Q242" i="81"/>
  <c r="S242" i="81"/>
  <c r="F243" i="81"/>
  <c r="L243" i="81"/>
  <c r="N243" i="81"/>
  <c r="O243" i="81"/>
  <c r="P243" i="81"/>
  <c r="Q243" i="81"/>
  <c r="S243" i="81"/>
  <c r="L244" i="81"/>
  <c r="N244" i="81"/>
  <c r="O244" i="81"/>
  <c r="P244" i="81"/>
  <c r="Q244" i="81"/>
  <c r="S244" i="81"/>
  <c r="L245" i="81"/>
  <c r="N245" i="81"/>
  <c r="O245" i="81"/>
  <c r="F245" i="81" s="1"/>
  <c r="P245" i="81"/>
  <c r="Q245" i="81"/>
  <c r="S245" i="81"/>
  <c r="L246" i="81"/>
  <c r="N246" i="81"/>
  <c r="O246" i="81"/>
  <c r="F246" i="81" s="1"/>
  <c r="P246" i="81"/>
  <c r="Q246" i="81"/>
  <c r="S246" i="81"/>
  <c r="L247" i="81"/>
  <c r="N247" i="81"/>
  <c r="O247" i="81"/>
  <c r="F247" i="81" s="1"/>
  <c r="P247" i="81"/>
  <c r="Q247" i="81"/>
  <c r="S247" i="81"/>
  <c r="L248" i="81"/>
  <c r="N248" i="81"/>
  <c r="O248" i="81"/>
  <c r="P248" i="81"/>
  <c r="Q248" i="81"/>
  <c r="S248" i="81"/>
  <c r="L249" i="81"/>
  <c r="N249" i="81"/>
  <c r="O249" i="81"/>
  <c r="F249" i="81" s="1"/>
  <c r="P249" i="81"/>
  <c r="Q249" i="81"/>
  <c r="S249" i="81"/>
  <c r="L250" i="81"/>
  <c r="N250" i="81"/>
  <c r="O250" i="81"/>
  <c r="P250" i="81"/>
  <c r="F250" i="81" s="1"/>
  <c r="Q250" i="81"/>
  <c r="S250" i="81"/>
  <c r="F251" i="81"/>
  <c r="L251" i="81"/>
  <c r="N251" i="81"/>
  <c r="O251" i="81"/>
  <c r="P251" i="81"/>
  <c r="Q251" i="81"/>
  <c r="S251" i="81"/>
  <c r="F252" i="81"/>
  <c r="L252" i="81"/>
  <c r="N252" i="81"/>
  <c r="O252" i="81"/>
  <c r="P252" i="81"/>
  <c r="Q252" i="81"/>
  <c r="S252" i="81"/>
  <c r="L253" i="81"/>
  <c r="N253" i="81"/>
  <c r="O253" i="81"/>
  <c r="F253" i="81" s="1"/>
  <c r="P253" i="81"/>
  <c r="Q253" i="81"/>
  <c r="S253" i="81"/>
  <c r="L254" i="81"/>
  <c r="N254" i="81"/>
  <c r="O254" i="81"/>
  <c r="F254" i="81" s="1"/>
  <c r="P254" i="81"/>
  <c r="Q254" i="81"/>
  <c r="S254" i="81"/>
  <c r="L255" i="81"/>
  <c r="N255" i="81"/>
  <c r="O255" i="81"/>
  <c r="P255" i="81"/>
  <c r="Q255" i="81"/>
  <c r="S255" i="81"/>
  <c r="L256" i="81"/>
  <c r="N256" i="81"/>
  <c r="O256" i="81"/>
  <c r="F256" i="81" s="1"/>
  <c r="P256" i="81"/>
  <c r="Q256" i="81"/>
  <c r="S256" i="81"/>
  <c r="L257" i="81"/>
  <c r="N257" i="81"/>
  <c r="O257" i="81"/>
  <c r="F257" i="81" s="1"/>
  <c r="P257" i="81"/>
  <c r="Q257" i="81"/>
  <c r="S257" i="81"/>
  <c r="L258" i="81"/>
  <c r="N258" i="81"/>
  <c r="O258" i="81"/>
  <c r="F258" i="81" s="1"/>
  <c r="P258" i="81"/>
  <c r="Q258" i="81"/>
  <c r="S258" i="81"/>
  <c r="L259" i="81"/>
  <c r="N259" i="81"/>
  <c r="O259" i="81"/>
  <c r="P259" i="81"/>
  <c r="Q259" i="81"/>
  <c r="S259" i="81"/>
  <c r="L260" i="81"/>
  <c r="N260" i="81"/>
  <c r="O260" i="81"/>
  <c r="P260" i="81"/>
  <c r="Q260" i="81"/>
  <c r="S260" i="81"/>
  <c r="L261" i="81"/>
  <c r="N261" i="81"/>
  <c r="O261" i="81"/>
  <c r="F261" i="81" s="1"/>
  <c r="P261" i="81"/>
  <c r="Q261" i="81"/>
  <c r="S261" i="81"/>
  <c r="L262" i="81"/>
  <c r="N262" i="81"/>
  <c r="O262" i="81"/>
  <c r="F262" i="81" s="1"/>
  <c r="P262" i="81"/>
  <c r="Q262" i="81"/>
  <c r="S262" i="81"/>
  <c r="L263" i="81"/>
  <c r="N263" i="81"/>
  <c r="O263" i="81"/>
  <c r="P263" i="81"/>
  <c r="Q263" i="81"/>
  <c r="S263" i="81"/>
  <c r="L264" i="81"/>
  <c r="N264" i="81"/>
  <c r="O264" i="81"/>
  <c r="P264" i="81"/>
  <c r="Q264" i="81"/>
  <c r="S264" i="81"/>
  <c r="L265" i="81"/>
  <c r="N265" i="81"/>
  <c r="O265" i="81"/>
  <c r="F265" i="81" s="1"/>
  <c r="P265" i="81"/>
  <c r="Q265" i="81"/>
  <c r="S265" i="81"/>
  <c r="F266" i="81"/>
  <c r="L266" i="81"/>
  <c r="N266" i="81"/>
  <c r="O266" i="81"/>
  <c r="P266" i="81"/>
  <c r="Q266" i="81"/>
  <c r="S266" i="81"/>
  <c r="F267" i="81"/>
  <c r="L267" i="81"/>
  <c r="N267" i="81"/>
  <c r="O267" i="81"/>
  <c r="P267" i="81"/>
  <c r="Q267" i="81"/>
  <c r="S267" i="81"/>
  <c r="L268" i="81"/>
  <c r="N268" i="81"/>
  <c r="O268" i="81"/>
  <c r="F268" i="81" s="1"/>
  <c r="P268" i="81"/>
  <c r="Q268" i="81"/>
  <c r="S268" i="81"/>
  <c r="L269" i="81"/>
  <c r="N269" i="81"/>
  <c r="O269" i="81"/>
  <c r="P269" i="81"/>
  <c r="Q269" i="81"/>
  <c r="S269" i="81"/>
  <c r="L270" i="81"/>
  <c r="N270" i="81"/>
  <c r="O270" i="81"/>
  <c r="P270" i="81"/>
  <c r="Q270" i="81"/>
  <c r="S270" i="81"/>
  <c r="L271" i="81"/>
  <c r="N271" i="81"/>
  <c r="O271" i="81"/>
  <c r="F271" i="81" s="1"/>
  <c r="P271" i="81"/>
  <c r="Q271" i="81"/>
  <c r="S271" i="81"/>
  <c r="L272" i="81"/>
  <c r="N272" i="81"/>
  <c r="O272" i="81"/>
  <c r="F272" i="81" s="1"/>
  <c r="P272" i="81"/>
  <c r="Q272" i="81"/>
  <c r="S272" i="81"/>
  <c r="L273" i="81"/>
  <c r="N273" i="81"/>
  <c r="O273" i="81"/>
  <c r="P273" i="81"/>
  <c r="Q273" i="81"/>
  <c r="S273" i="81"/>
  <c r="L274" i="81"/>
  <c r="N274" i="81"/>
  <c r="O274" i="81"/>
  <c r="P274" i="81"/>
  <c r="Q274" i="81"/>
  <c r="S274" i="81"/>
  <c r="L275" i="81"/>
  <c r="N275" i="81"/>
  <c r="O275" i="81"/>
  <c r="P275" i="81"/>
  <c r="F275" i="81" s="1"/>
  <c r="Q275" i="81"/>
  <c r="S275" i="81"/>
  <c r="F276" i="81"/>
  <c r="L276" i="81"/>
  <c r="N276" i="81"/>
  <c r="O276" i="81"/>
  <c r="P276" i="81"/>
  <c r="Q276" i="81"/>
  <c r="S276" i="81"/>
  <c r="L277" i="81"/>
  <c r="N277" i="81"/>
  <c r="O277" i="81"/>
  <c r="F277" i="81" s="1"/>
  <c r="P277" i="81"/>
  <c r="Q277" i="81"/>
  <c r="S277" i="81"/>
  <c r="L278" i="81"/>
  <c r="N278" i="81"/>
  <c r="O278" i="81"/>
  <c r="P278" i="81"/>
  <c r="Q278" i="81"/>
  <c r="S278" i="81"/>
  <c r="L279" i="81"/>
  <c r="N279" i="81"/>
  <c r="O279" i="81"/>
  <c r="P279" i="81"/>
  <c r="Q279" i="81"/>
  <c r="S279" i="81"/>
  <c r="L280" i="81"/>
  <c r="N280" i="81"/>
  <c r="O280" i="81"/>
  <c r="F280" i="81" s="1"/>
  <c r="P280" i="81"/>
  <c r="Q280" i="81"/>
  <c r="S280" i="81"/>
  <c r="L281" i="81"/>
  <c r="N281" i="81"/>
  <c r="O281" i="81"/>
  <c r="F281" i="81" s="1"/>
  <c r="P281" i="81"/>
  <c r="Q281" i="81"/>
  <c r="S281" i="81"/>
  <c r="L282" i="81"/>
  <c r="N282" i="81"/>
  <c r="O282" i="81"/>
  <c r="F282" i="81" s="1"/>
  <c r="P282" i="81"/>
  <c r="Q282" i="81"/>
  <c r="S282" i="81"/>
  <c r="L283" i="81"/>
  <c r="N283" i="81"/>
  <c r="O283" i="81"/>
  <c r="P283" i="81"/>
  <c r="Q283" i="81"/>
  <c r="S283" i="81"/>
  <c r="L284" i="81"/>
  <c r="N284" i="81"/>
  <c r="O284" i="81"/>
  <c r="F284" i="81" s="1"/>
  <c r="P284" i="81"/>
  <c r="Q284" i="81"/>
  <c r="S284" i="81"/>
  <c r="L285" i="81"/>
  <c r="N285" i="81"/>
  <c r="O285" i="81"/>
  <c r="P285" i="81"/>
  <c r="Q285" i="81"/>
  <c r="S285" i="81"/>
  <c r="L286" i="81"/>
  <c r="N286" i="81"/>
  <c r="O286" i="81"/>
  <c r="F286" i="81" s="1"/>
  <c r="P286" i="81"/>
  <c r="Q286" i="81"/>
  <c r="S286" i="81"/>
  <c r="L287" i="81"/>
  <c r="N287" i="81"/>
  <c r="O287" i="81"/>
  <c r="F287" i="81" s="1"/>
  <c r="P287" i="81"/>
  <c r="Q287" i="81"/>
  <c r="S287" i="81"/>
  <c r="L288" i="81"/>
  <c r="N288" i="81"/>
  <c r="O288" i="81"/>
  <c r="F288" i="81" s="1"/>
  <c r="P288" i="81"/>
  <c r="Q288" i="81"/>
  <c r="S288" i="81"/>
  <c r="L289" i="81"/>
  <c r="N289" i="81"/>
  <c r="O289" i="81"/>
  <c r="P289" i="81"/>
  <c r="Q289" i="81"/>
  <c r="S289" i="81"/>
  <c r="F290" i="81"/>
  <c r="L290" i="81"/>
  <c r="N290" i="81"/>
  <c r="O290" i="81"/>
  <c r="P290" i="81"/>
  <c r="Q290" i="81"/>
  <c r="S290" i="81"/>
  <c r="F291" i="81"/>
  <c r="L291" i="81"/>
  <c r="N291" i="81"/>
  <c r="O291" i="81"/>
  <c r="P291" i="81"/>
  <c r="Q291" i="81"/>
  <c r="S291" i="81"/>
  <c r="F292" i="81"/>
  <c r="L292" i="81"/>
  <c r="N292" i="81"/>
  <c r="O292" i="81"/>
  <c r="P292" i="81"/>
  <c r="Q292" i="81"/>
  <c r="S292" i="81"/>
  <c r="L293" i="81"/>
  <c r="N293" i="81"/>
  <c r="O293" i="81"/>
  <c r="P293" i="81"/>
  <c r="Q293" i="81"/>
  <c r="S293" i="81"/>
  <c r="L294" i="81"/>
  <c r="N294" i="81"/>
  <c r="O294" i="81"/>
  <c r="F294" i="81" s="1"/>
  <c r="P294" i="81"/>
  <c r="Q294" i="81"/>
  <c r="S294" i="81"/>
  <c r="L295" i="81"/>
  <c r="N295" i="81"/>
  <c r="O295" i="81"/>
  <c r="F295" i="81" s="1"/>
  <c r="P295" i="81"/>
  <c r="Q295" i="81"/>
  <c r="S295" i="81"/>
  <c r="L296" i="81"/>
  <c r="N296" i="81"/>
  <c r="O296" i="81"/>
  <c r="F296" i="81" s="1"/>
  <c r="P296" i="81"/>
  <c r="Q296" i="81"/>
  <c r="S296" i="81"/>
  <c r="L297" i="81"/>
  <c r="N297" i="81"/>
  <c r="O297" i="81"/>
  <c r="P297" i="81"/>
  <c r="Q297" i="81"/>
  <c r="S297" i="81"/>
  <c r="L298" i="81"/>
  <c r="N298" i="81"/>
  <c r="O298" i="81"/>
  <c r="F298" i="81" s="1"/>
  <c r="P298" i="81"/>
  <c r="Q298" i="81"/>
  <c r="S298" i="81"/>
  <c r="L299" i="81"/>
  <c r="N299" i="81"/>
  <c r="O299" i="81"/>
  <c r="P299" i="81"/>
  <c r="Q299" i="81"/>
  <c r="S299" i="81"/>
  <c r="L300" i="81"/>
  <c r="N300" i="81"/>
  <c r="O300" i="81"/>
  <c r="P300" i="81"/>
  <c r="F300" i="81" s="1"/>
  <c r="Q300" i="81"/>
  <c r="S300" i="81"/>
  <c r="L301" i="81"/>
  <c r="N301" i="81"/>
  <c r="O301" i="81"/>
  <c r="F301" i="81" s="1"/>
  <c r="P301" i="81"/>
  <c r="Q301" i="81"/>
  <c r="S301" i="81"/>
  <c r="L302" i="81"/>
  <c r="N302" i="81"/>
  <c r="O302" i="81"/>
  <c r="F302" i="81" s="1"/>
  <c r="P302" i="81"/>
  <c r="Q302" i="81"/>
  <c r="S302" i="81"/>
  <c r="L303" i="81"/>
  <c r="N303" i="81"/>
  <c r="O303" i="81"/>
  <c r="P303" i="81"/>
  <c r="Q303" i="81"/>
  <c r="S303" i="81"/>
  <c r="L304" i="81"/>
  <c r="N304" i="81"/>
  <c r="O304" i="81"/>
  <c r="P304" i="81"/>
  <c r="Q304" i="81"/>
  <c r="S304" i="81"/>
  <c r="L305" i="81"/>
  <c r="N305" i="81"/>
  <c r="O305" i="81"/>
  <c r="F305" i="81" s="1"/>
  <c r="P305" i="81"/>
  <c r="Q305" i="81"/>
  <c r="S305" i="81"/>
  <c r="F306" i="81"/>
  <c r="L306" i="81"/>
  <c r="N306" i="81"/>
  <c r="O306" i="81"/>
  <c r="P306" i="81"/>
  <c r="Q306" i="81"/>
  <c r="S306" i="81"/>
  <c r="L307" i="81"/>
  <c r="N307" i="81"/>
  <c r="O307" i="81"/>
  <c r="F307" i="81" s="1"/>
  <c r="P307" i="81"/>
  <c r="Q307" i="81"/>
  <c r="S307" i="81"/>
  <c r="L308" i="81"/>
  <c r="N308" i="81"/>
  <c r="O308" i="81"/>
  <c r="P308" i="81"/>
  <c r="Q308" i="81"/>
  <c r="S308" i="81"/>
  <c r="L309" i="81"/>
  <c r="N309" i="81"/>
  <c r="O309" i="81"/>
  <c r="P309" i="81"/>
  <c r="Q309" i="81"/>
  <c r="S309" i="81"/>
  <c r="L310" i="81"/>
  <c r="N310" i="81"/>
  <c r="O310" i="81"/>
  <c r="F310" i="81" s="1"/>
  <c r="P310" i="81"/>
  <c r="Q310" i="81"/>
  <c r="S310" i="81"/>
  <c r="L311" i="81"/>
  <c r="N311" i="81"/>
  <c r="O311" i="81"/>
  <c r="F311" i="81" s="1"/>
  <c r="P311" i="81"/>
  <c r="Q311" i="81"/>
  <c r="S311" i="81"/>
  <c r="L312" i="81"/>
  <c r="N312" i="81"/>
  <c r="O312" i="81"/>
  <c r="P312" i="81"/>
  <c r="Q312" i="81"/>
  <c r="S312" i="81"/>
  <c r="L313" i="81"/>
  <c r="N313" i="81"/>
  <c r="O313" i="81"/>
  <c r="P313" i="81"/>
  <c r="Q313" i="81"/>
  <c r="S313" i="81"/>
  <c r="L314" i="81"/>
  <c r="N314" i="81"/>
  <c r="O314" i="81"/>
  <c r="P314" i="81"/>
  <c r="F314" i="81" s="1"/>
  <c r="Q314" i="81"/>
  <c r="S314" i="81"/>
  <c r="F315" i="81"/>
  <c r="L315" i="81"/>
  <c r="N315" i="81"/>
  <c r="O315" i="81"/>
  <c r="P315" i="81"/>
  <c r="Q315" i="81"/>
  <c r="S315" i="81"/>
  <c r="F316" i="81"/>
  <c r="L316" i="81"/>
  <c r="N316" i="81"/>
  <c r="O316" i="81"/>
  <c r="P316" i="81"/>
  <c r="Q316" i="81"/>
  <c r="S316" i="81"/>
  <c r="L317" i="81"/>
  <c r="N317" i="81"/>
  <c r="O317" i="81"/>
  <c r="F317" i="81" s="1"/>
  <c r="P317" i="81"/>
  <c r="Q317" i="81"/>
  <c r="S317" i="81"/>
  <c r="L318" i="81"/>
  <c r="N318" i="81"/>
  <c r="O318" i="81"/>
  <c r="P318" i="81"/>
  <c r="Q318" i="81"/>
  <c r="S318" i="81"/>
  <c r="L319" i="81"/>
  <c r="N319" i="81"/>
  <c r="O319" i="81"/>
  <c r="P319" i="81"/>
  <c r="Q319" i="81"/>
  <c r="S319" i="81"/>
  <c r="L320" i="81"/>
  <c r="N320" i="81"/>
  <c r="O320" i="81"/>
  <c r="F320" i="81" s="1"/>
  <c r="P320" i="81"/>
  <c r="Q320" i="81"/>
  <c r="S320" i="81"/>
  <c r="L321" i="81"/>
  <c r="N321" i="81"/>
  <c r="O321" i="81"/>
  <c r="F321" i="81" s="1"/>
  <c r="P321" i="81"/>
  <c r="Q321" i="81"/>
  <c r="S321" i="81"/>
  <c r="L322" i="81"/>
  <c r="N322" i="81"/>
  <c r="O322" i="81"/>
  <c r="P322" i="81"/>
  <c r="Q322" i="81"/>
  <c r="S322" i="81"/>
  <c r="L323" i="81"/>
  <c r="N323" i="81"/>
  <c r="O323" i="81"/>
  <c r="P323" i="81"/>
  <c r="Q323" i="81"/>
  <c r="S323" i="81"/>
  <c r="L324" i="81"/>
  <c r="N324" i="81"/>
  <c r="O324" i="81"/>
  <c r="F324" i="81" s="1"/>
  <c r="P324" i="81"/>
  <c r="Q324" i="81"/>
  <c r="S324" i="81"/>
  <c r="L325" i="81"/>
  <c r="N325" i="81"/>
  <c r="O325" i="81"/>
  <c r="F325" i="81" s="1"/>
  <c r="P325" i="81"/>
  <c r="Q325" i="81"/>
  <c r="S325" i="81"/>
  <c r="L326" i="81"/>
  <c r="N326" i="81"/>
  <c r="O326" i="81"/>
  <c r="F326" i="81" s="1"/>
  <c r="P326" i="81"/>
  <c r="Q326" i="81"/>
  <c r="S326" i="81"/>
  <c r="L327" i="81"/>
  <c r="N327" i="81"/>
  <c r="O327" i="81"/>
  <c r="P327" i="81"/>
  <c r="Q327" i="81"/>
  <c r="S327" i="81"/>
  <c r="L328" i="81"/>
  <c r="N328" i="81"/>
  <c r="O328" i="81"/>
  <c r="F328" i="81" s="1"/>
  <c r="P328" i="81"/>
  <c r="Q328" i="81"/>
  <c r="S328" i="81"/>
  <c r="L329" i="81"/>
  <c r="N329" i="81"/>
  <c r="O329" i="81"/>
  <c r="F329" i="81" s="1"/>
  <c r="P329" i="81"/>
  <c r="Q329" i="81"/>
  <c r="S329" i="81"/>
  <c r="F330" i="81"/>
  <c r="L330" i="81"/>
  <c r="N330" i="81"/>
  <c r="O330" i="81"/>
  <c r="P330" i="81"/>
  <c r="Q330" i="81"/>
  <c r="S330" i="81"/>
  <c r="F331" i="81"/>
  <c r="L331" i="81"/>
  <c r="N331" i="81"/>
  <c r="O331" i="81"/>
  <c r="P331" i="81"/>
  <c r="Q331" i="81"/>
  <c r="S331" i="81"/>
  <c r="F332" i="81"/>
  <c r="L332" i="81"/>
  <c r="N332" i="81"/>
  <c r="O332" i="81"/>
  <c r="P332" i="81"/>
  <c r="Q332" i="81"/>
  <c r="S332" i="81"/>
  <c r="L333" i="81"/>
  <c r="N333" i="81"/>
  <c r="O333" i="81"/>
  <c r="F333" i="81" s="1"/>
  <c r="P333" i="81"/>
  <c r="Q333" i="81"/>
  <c r="S333" i="81"/>
  <c r="L334" i="81"/>
  <c r="N334" i="81"/>
  <c r="O334" i="81"/>
  <c r="P334" i="81"/>
  <c r="Q334" i="81"/>
  <c r="S334" i="81"/>
  <c r="L335" i="81"/>
  <c r="N335" i="81"/>
  <c r="O335" i="81"/>
  <c r="F335" i="81" s="1"/>
  <c r="P335" i="81"/>
  <c r="Q335" i="81"/>
  <c r="S335" i="81"/>
  <c r="L336" i="81"/>
  <c r="N336" i="81"/>
  <c r="O336" i="81"/>
  <c r="F336" i="81" s="1"/>
  <c r="P336" i="81"/>
  <c r="Q336" i="81"/>
  <c r="S336" i="81"/>
  <c r="L337" i="81"/>
  <c r="N337" i="81"/>
  <c r="O337" i="81"/>
  <c r="F337" i="81" s="1"/>
  <c r="P337" i="81"/>
  <c r="Q337" i="81"/>
  <c r="S337" i="81"/>
  <c r="L338" i="81"/>
  <c r="N338" i="81"/>
  <c r="O338" i="81"/>
  <c r="P338" i="81"/>
  <c r="Q338" i="81"/>
  <c r="S338" i="81"/>
  <c r="L339" i="81"/>
  <c r="N339" i="81"/>
  <c r="O339" i="81"/>
  <c r="P339" i="81"/>
  <c r="F339" i="81" s="1"/>
  <c r="Q339" i="81"/>
  <c r="S339" i="81"/>
  <c r="F340" i="81"/>
  <c r="L340" i="81"/>
  <c r="N340" i="81"/>
  <c r="O340" i="81"/>
  <c r="P340" i="81"/>
  <c r="Q340" i="81"/>
  <c r="S340" i="81"/>
  <c r="L341" i="81"/>
  <c r="N341" i="81"/>
  <c r="O341" i="81"/>
  <c r="F341" i="81" s="1"/>
  <c r="P341" i="81"/>
  <c r="Q341" i="81"/>
  <c r="S341" i="81"/>
  <c r="L342" i="81"/>
  <c r="N342" i="81"/>
  <c r="O342" i="81"/>
  <c r="F342" i="81" s="1"/>
  <c r="P342" i="81"/>
  <c r="Q342" i="81"/>
  <c r="S342" i="81"/>
  <c r="L343" i="81"/>
  <c r="N343" i="81"/>
  <c r="O343" i="81"/>
  <c r="P343" i="81"/>
  <c r="Q343" i="81"/>
  <c r="S343" i="81"/>
  <c r="L344" i="81"/>
  <c r="N344" i="81"/>
  <c r="O344" i="81"/>
  <c r="F344" i="81" s="1"/>
  <c r="P344" i="81"/>
  <c r="Q344" i="81"/>
  <c r="S344" i="81"/>
  <c r="L345" i="81"/>
  <c r="N345" i="81"/>
  <c r="O345" i="81"/>
  <c r="F345" i="81" s="1"/>
  <c r="P345" i="81"/>
  <c r="Q345" i="81"/>
  <c r="S345" i="81"/>
  <c r="L346" i="81"/>
  <c r="N346" i="81"/>
  <c r="O346" i="81"/>
  <c r="F346" i="81" s="1"/>
  <c r="P346" i="81"/>
  <c r="Q346" i="81"/>
  <c r="S346" i="81"/>
  <c r="L347" i="81"/>
  <c r="N347" i="81"/>
  <c r="O347" i="81"/>
  <c r="P347" i="81"/>
  <c r="Q347" i="81"/>
  <c r="S347" i="81"/>
  <c r="L348" i="81"/>
  <c r="N348" i="81"/>
  <c r="O348" i="81"/>
  <c r="P348" i="81"/>
  <c r="Q348" i="81"/>
  <c r="S348" i="81"/>
  <c r="L349" i="81"/>
  <c r="N349" i="81"/>
  <c r="O349" i="81"/>
  <c r="P349" i="81"/>
  <c r="Q349" i="81"/>
  <c r="S349" i="81"/>
  <c r="L350" i="81"/>
  <c r="N350" i="81"/>
  <c r="O350" i="81"/>
  <c r="F350" i="81" s="1"/>
  <c r="P350" i="81"/>
  <c r="Q350" i="81"/>
  <c r="S350" i="81"/>
  <c r="L351" i="81"/>
  <c r="N351" i="81"/>
  <c r="O351" i="81"/>
  <c r="F351" i="81" s="1"/>
  <c r="P351" i="81"/>
  <c r="Q351" i="81"/>
  <c r="S351" i="81"/>
  <c r="L352" i="81"/>
  <c r="N352" i="81"/>
  <c r="O352" i="81"/>
  <c r="P352" i="81"/>
  <c r="Q352" i="81"/>
  <c r="S352" i="81"/>
  <c r="L353" i="81"/>
  <c r="N353" i="81"/>
  <c r="O353" i="81"/>
  <c r="P353" i="81"/>
  <c r="Q353" i="81"/>
  <c r="S353" i="81"/>
  <c r="F354" i="81"/>
  <c r="L354" i="81"/>
  <c r="N354" i="81"/>
  <c r="O354" i="81"/>
  <c r="P354" i="81"/>
  <c r="Q354" i="81"/>
  <c r="S354" i="81"/>
  <c r="F355" i="81"/>
  <c r="L355" i="81"/>
  <c r="N355" i="81"/>
  <c r="O355" i="81"/>
  <c r="P355" i="81"/>
  <c r="Q355" i="81"/>
  <c r="S355" i="81"/>
  <c r="F356" i="81"/>
  <c r="L356" i="81"/>
  <c r="N356" i="81"/>
  <c r="O356" i="81"/>
  <c r="P356" i="81"/>
  <c r="Q356" i="81"/>
  <c r="S356" i="81"/>
  <c r="L357" i="81"/>
  <c r="N357" i="81"/>
  <c r="O357" i="81"/>
  <c r="P357" i="81"/>
  <c r="Q357" i="81"/>
  <c r="S357" i="81"/>
  <c r="L358" i="81"/>
  <c r="N358" i="81"/>
  <c r="O358" i="81"/>
  <c r="P358" i="81"/>
  <c r="Q358" i="81"/>
  <c r="S358" i="81"/>
  <c r="L359" i="81"/>
  <c r="N359" i="81"/>
  <c r="O359" i="81"/>
  <c r="F359" i="81" s="1"/>
  <c r="P359" i="81"/>
  <c r="Q359" i="81"/>
  <c r="S359" i="81"/>
  <c r="L360" i="81"/>
  <c r="N360" i="81"/>
  <c r="O360" i="81"/>
  <c r="F360" i="81" s="1"/>
  <c r="P360" i="81"/>
  <c r="Q360" i="81"/>
  <c r="S360" i="81"/>
  <c r="L361" i="81"/>
  <c r="N361" i="81"/>
  <c r="O361" i="81"/>
  <c r="P361" i="81"/>
  <c r="Q361" i="81"/>
  <c r="S361" i="81"/>
  <c r="L362" i="81"/>
  <c r="N362" i="81"/>
  <c r="O362" i="81"/>
  <c r="P362" i="81"/>
  <c r="Q362" i="81"/>
  <c r="S362" i="81"/>
  <c r="L363" i="81"/>
  <c r="N363" i="81"/>
  <c r="O363" i="81"/>
  <c r="P363" i="81"/>
  <c r="Q363" i="81"/>
  <c r="S363" i="81"/>
  <c r="L364" i="81"/>
  <c r="N364" i="81"/>
  <c r="O364" i="81"/>
  <c r="P364" i="81"/>
  <c r="F364" i="81" s="1"/>
  <c r="Q364" i="81"/>
  <c r="S364" i="81"/>
  <c r="L365" i="81"/>
  <c r="N365" i="81"/>
  <c r="O365" i="81"/>
  <c r="F365" i="81" s="1"/>
  <c r="P365" i="81"/>
  <c r="Q365" i="81"/>
  <c r="S365" i="81"/>
  <c r="L366" i="81"/>
  <c r="N366" i="81"/>
  <c r="O366" i="81"/>
  <c r="F366" i="81" s="1"/>
  <c r="P366" i="81"/>
  <c r="Q366" i="81"/>
  <c r="S366" i="81"/>
  <c r="L367" i="81"/>
  <c r="N367" i="81"/>
  <c r="O367" i="81"/>
  <c r="P367" i="81"/>
  <c r="Q367" i="81"/>
  <c r="S367" i="81"/>
  <c r="L368" i="81"/>
  <c r="N368" i="81"/>
  <c r="O368" i="81"/>
  <c r="P368" i="81"/>
  <c r="Q368" i="81"/>
  <c r="S368" i="81"/>
  <c r="L369" i="81"/>
  <c r="N369" i="81"/>
  <c r="O369" i="81"/>
  <c r="F369" i="81" s="1"/>
  <c r="P369" i="81"/>
  <c r="Q369" i="81"/>
  <c r="S369" i="81"/>
  <c r="F370" i="81"/>
  <c r="L370" i="81"/>
  <c r="N370" i="81"/>
  <c r="O370" i="81"/>
  <c r="P370" i="81"/>
  <c r="Q370" i="81"/>
  <c r="S370" i="81"/>
  <c r="F371" i="81"/>
  <c r="L371" i="81"/>
  <c r="N371" i="81"/>
  <c r="O371" i="81"/>
  <c r="P371" i="81"/>
  <c r="Q371" i="81"/>
  <c r="S371" i="81"/>
  <c r="L372" i="81"/>
  <c r="N372" i="81"/>
  <c r="O372" i="81"/>
  <c r="P372" i="81"/>
  <c r="Q372" i="81"/>
  <c r="S372" i="81"/>
  <c r="L373" i="81"/>
  <c r="N373" i="81"/>
  <c r="O373" i="81"/>
  <c r="F373" i="81" s="1"/>
  <c r="P373" i="81"/>
  <c r="Q373" i="81"/>
  <c r="S373" i="81"/>
  <c r="L374" i="81"/>
  <c r="N374" i="81"/>
  <c r="O374" i="81"/>
  <c r="F374" i="81" s="1"/>
  <c r="P374" i="81"/>
  <c r="Q374" i="81"/>
  <c r="S374" i="81"/>
  <c r="L375" i="81"/>
  <c r="N375" i="81"/>
  <c r="O375" i="81"/>
  <c r="F375" i="81" s="1"/>
  <c r="P375" i="81"/>
  <c r="Q375" i="81"/>
  <c r="S375" i="81"/>
  <c r="L376" i="81"/>
  <c r="N376" i="81"/>
  <c r="O376" i="81"/>
  <c r="P376" i="81"/>
  <c r="Q376" i="81"/>
  <c r="S376" i="81"/>
  <c r="L377" i="81"/>
  <c r="N377" i="81"/>
  <c r="O377" i="81"/>
  <c r="F377" i="81" s="1"/>
  <c r="P377" i="81"/>
  <c r="Q377" i="81"/>
  <c r="S377" i="81"/>
  <c r="L378" i="81"/>
  <c r="N378" i="81"/>
  <c r="O378" i="81"/>
  <c r="P378" i="81"/>
  <c r="F378" i="81" s="1"/>
  <c r="Q378" i="81"/>
  <c r="S378" i="81"/>
  <c r="F379" i="81"/>
  <c r="L379" i="81"/>
  <c r="N379" i="81"/>
  <c r="O379" i="81"/>
  <c r="P379" i="81"/>
  <c r="Q379" i="81"/>
  <c r="S379" i="81"/>
  <c r="F380" i="81"/>
  <c r="L380" i="81"/>
  <c r="N380" i="81"/>
  <c r="O380" i="81"/>
  <c r="P380" i="81"/>
  <c r="Q380" i="81"/>
  <c r="S380" i="81"/>
  <c r="L381" i="81"/>
  <c r="N381" i="81"/>
  <c r="O381" i="81"/>
  <c r="F381" i="81" s="1"/>
  <c r="P381" i="81"/>
  <c r="Q381" i="81"/>
  <c r="S381" i="81"/>
  <c r="L382" i="81"/>
  <c r="N382" i="81"/>
  <c r="O382" i="81"/>
  <c r="F382" i="81" s="1"/>
  <c r="P382" i="81"/>
  <c r="Q382" i="81"/>
  <c r="S382" i="81"/>
  <c r="L383" i="81"/>
  <c r="N383" i="81"/>
  <c r="O383" i="81"/>
  <c r="P383" i="81"/>
  <c r="Q383" i="81"/>
  <c r="S383" i="81"/>
  <c r="L384" i="81"/>
  <c r="N384" i="81"/>
  <c r="O384" i="81"/>
  <c r="F384" i="81" s="1"/>
  <c r="P384" i="81"/>
  <c r="Q384" i="81"/>
  <c r="S384" i="81"/>
  <c r="L385" i="81"/>
  <c r="N385" i="81"/>
  <c r="O385" i="81"/>
  <c r="F385" i="81" s="1"/>
  <c r="P385" i="81"/>
  <c r="Q385" i="81"/>
  <c r="S385" i="81"/>
  <c r="L386" i="81"/>
  <c r="N386" i="81"/>
  <c r="O386" i="81"/>
  <c r="F386" i="81" s="1"/>
  <c r="P386" i="81"/>
  <c r="Q386" i="81"/>
  <c r="S386" i="81"/>
  <c r="L387" i="81"/>
  <c r="N387" i="81"/>
  <c r="O387" i="81"/>
  <c r="P387" i="81"/>
  <c r="Q387" i="81"/>
  <c r="S387" i="81"/>
  <c r="L388" i="81"/>
  <c r="N388" i="81"/>
  <c r="O388" i="81"/>
  <c r="F388" i="81" s="1"/>
  <c r="P388" i="81"/>
  <c r="Q388" i="81"/>
  <c r="S388" i="81"/>
  <c r="L389" i="81"/>
  <c r="N389" i="81"/>
  <c r="O389" i="81"/>
  <c r="F389" i="81" s="1"/>
  <c r="P389" i="81"/>
  <c r="Q389" i="81"/>
  <c r="S389" i="81"/>
  <c r="L390" i="81"/>
  <c r="N390" i="81"/>
  <c r="O390" i="81"/>
  <c r="F390" i="81" s="1"/>
  <c r="P390" i="81"/>
  <c r="Q390" i="81"/>
  <c r="S390" i="81"/>
  <c r="L391" i="81"/>
  <c r="N391" i="81"/>
  <c r="O391" i="81"/>
  <c r="P391" i="81"/>
  <c r="Q391" i="81"/>
  <c r="S391" i="81"/>
  <c r="L392" i="81"/>
  <c r="N392" i="81"/>
  <c r="O392" i="81"/>
  <c r="F392" i="81" s="1"/>
  <c r="P392" i="81"/>
  <c r="Q392" i="81"/>
  <c r="S392" i="81"/>
  <c r="L393" i="81"/>
  <c r="N393" i="81"/>
  <c r="O393" i="81"/>
  <c r="F393" i="81" s="1"/>
  <c r="P393" i="81"/>
  <c r="Q393" i="81"/>
  <c r="S393" i="81"/>
  <c r="F394" i="81"/>
  <c r="L394" i="81"/>
  <c r="N394" i="81"/>
  <c r="O394" i="81"/>
  <c r="P394" i="81"/>
  <c r="Q394" i="81"/>
  <c r="S394" i="81"/>
  <c r="F395" i="81"/>
  <c r="L395" i="81"/>
  <c r="N395" i="81"/>
  <c r="O395" i="81"/>
  <c r="P395" i="81"/>
  <c r="Q395" i="81"/>
  <c r="S395" i="81"/>
  <c r="L396" i="81"/>
  <c r="N396" i="81"/>
  <c r="O396" i="81"/>
  <c r="F396" i="81" s="1"/>
  <c r="P396" i="81"/>
  <c r="Q396" i="81"/>
  <c r="S396" i="81"/>
  <c r="L397" i="81"/>
  <c r="N397" i="81"/>
  <c r="O397" i="81"/>
  <c r="P397" i="81"/>
  <c r="Q397" i="81"/>
  <c r="S397" i="81"/>
  <c r="L398" i="81"/>
  <c r="N398" i="81"/>
  <c r="O398" i="81"/>
  <c r="P398" i="81"/>
  <c r="Q398" i="81"/>
  <c r="S398" i="81"/>
  <c r="L399" i="81"/>
  <c r="N399" i="81"/>
  <c r="O399" i="81"/>
  <c r="F399" i="81" s="1"/>
  <c r="P399" i="81"/>
  <c r="Q399" i="81"/>
  <c r="S399" i="81"/>
  <c r="L400" i="81"/>
  <c r="N400" i="81"/>
  <c r="O400" i="81"/>
  <c r="F400" i="81" s="1"/>
  <c r="P400" i="81"/>
  <c r="Q400" i="81"/>
  <c r="S400" i="81"/>
  <c r="L401" i="81"/>
  <c r="N401" i="81"/>
  <c r="O401" i="81"/>
  <c r="P401" i="81"/>
  <c r="Q401" i="81"/>
  <c r="S401" i="81"/>
  <c r="L402" i="81"/>
  <c r="N402" i="81"/>
  <c r="O402" i="81"/>
  <c r="P402" i="81"/>
  <c r="Q402" i="81"/>
  <c r="S402" i="81"/>
  <c r="L403" i="81"/>
  <c r="N403" i="81"/>
  <c r="O403" i="81"/>
  <c r="P403" i="81"/>
  <c r="F403" i="81" s="1"/>
  <c r="Q403" i="81"/>
  <c r="S403" i="81"/>
  <c r="F404" i="81"/>
  <c r="L404" i="81"/>
  <c r="N404" i="81"/>
  <c r="O404" i="81"/>
  <c r="P404" i="81"/>
  <c r="Q404" i="81"/>
  <c r="S404" i="81"/>
  <c r="L405" i="81"/>
  <c r="N405" i="81"/>
  <c r="O405" i="81"/>
  <c r="F405" i="81" s="1"/>
  <c r="P405" i="81"/>
  <c r="Q405" i="81"/>
  <c r="S405" i="81"/>
  <c r="L406" i="81"/>
  <c r="N406" i="81"/>
  <c r="O406" i="81"/>
  <c r="F406" i="81" s="1"/>
  <c r="P406" i="81"/>
  <c r="Q406" i="81"/>
  <c r="S406" i="81"/>
  <c r="L407" i="81"/>
  <c r="N407" i="81"/>
  <c r="O407" i="81"/>
  <c r="F407" i="81" s="1"/>
  <c r="P407" i="81"/>
  <c r="Q407" i="81"/>
  <c r="S407" i="81"/>
  <c r="L408" i="81"/>
  <c r="N408" i="81"/>
  <c r="O408" i="81"/>
  <c r="F408" i="81" s="1"/>
  <c r="P408" i="81"/>
  <c r="Q408" i="81"/>
  <c r="S408" i="81"/>
  <c r="L409" i="81"/>
  <c r="N409" i="81"/>
  <c r="O409" i="81"/>
  <c r="F409" i="81" s="1"/>
  <c r="P409" i="81"/>
  <c r="Q409" i="81"/>
  <c r="S409" i="81"/>
  <c r="L410" i="81"/>
  <c r="N410" i="81"/>
  <c r="O410" i="81"/>
  <c r="F410" i="81" s="1"/>
  <c r="P410" i="81"/>
  <c r="Q410" i="81"/>
  <c r="S410" i="81"/>
  <c r="L411" i="81"/>
  <c r="N411" i="81"/>
  <c r="O411" i="81"/>
  <c r="P411" i="81"/>
  <c r="Q411" i="81"/>
  <c r="S411" i="81"/>
  <c r="L412" i="81"/>
  <c r="N412" i="81"/>
  <c r="O412" i="81"/>
  <c r="F412" i="81" s="1"/>
  <c r="P412" i="81"/>
  <c r="Q412" i="81"/>
  <c r="S412" i="81"/>
  <c r="L413" i="81"/>
  <c r="N413" i="81"/>
  <c r="O413" i="81"/>
  <c r="P413" i="81"/>
  <c r="Q413" i="81"/>
  <c r="S413" i="81"/>
  <c r="L414" i="81"/>
  <c r="N414" i="81"/>
  <c r="O414" i="81"/>
  <c r="F414" i="81" s="1"/>
  <c r="P414" i="81"/>
  <c r="Q414" i="81"/>
  <c r="S414" i="81"/>
  <c r="L415" i="81"/>
  <c r="N415" i="81"/>
  <c r="O415" i="81"/>
  <c r="F415" i="81" s="1"/>
  <c r="P415" i="81"/>
  <c r="Q415" i="81"/>
  <c r="S415" i="81"/>
  <c r="L416" i="81"/>
  <c r="N416" i="81"/>
  <c r="O416" i="81"/>
  <c r="F416" i="81" s="1"/>
  <c r="P416" i="81"/>
  <c r="Q416" i="81"/>
  <c r="S416" i="81"/>
  <c r="L417" i="81"/>
  <c r="N417" i="81"/>
  <c r="O417" i="81"/>
  <c r="P417" i="81"/>
  <c r="Q417" i="81"/>
  <c r="S417" i="81"/>
  <c r="F418" i="81"/>
  <c r="L418" i="81"/>
  <c r="N418" i="81"/>
  <c r="O418" i="81"/>
  <c r="P418" i="81"/>
  <c r="Q418" i="81"/>
  <c r="S418" i="81"/>
  <c r="F419" i="81"/>
  <c r="L419" i="81"/>
  <c r="N419" i="81"/>
  <c r="O419" i="81"/>
  <c r="P419" i="81"/>
  <c r="Q419" i="81"/>
  <c r="S419" i="81"/>
  <c r="F420" i="81"/>
  <c r="L420" i="81"/>
  <c r="N420" i="81"/>
  <c r="O420" i="81"/>
  <c r="P420" i="81"/>
  <c r="Q420" i="81"/>
  <c r="S420" i="81"/>
  <c r="L421" i="81"/>
  <c r="N421" i="81"/>
  <c r="O421" i="81"/>
  <c r="F421" i="81" s="1"/>
  <c r="P421" i="81"/>
  <c r="Q421" i="81"/>
  <c r="S421" i="81"/>
  <c r="L422" i="81"/>
  <c r="N422" i="81"/>
  <c r="O422" i="81"/>
  <c r="F422" i="81" s="1"/>
  <c r="P422" i="81"/>
  <c r="Q422" i="81"/>
  <c r="S422" i="81"/>
  <c r="L423" i="81"/>
  <c r="N423" i="81"/>
  <c r="O423" i="81"/>
  <c r="F423" i="81" s="1"/>
  <c r="P423" i="81"/>
  <c r="Q423" i="81"/>
  <c r="S423" i="81"/>
  <c r="L424" i="81"/>
  <c r="N424" i="81"/>
  <c r="O424" i="81"/>
  <c r="F424" i="81" s="1"/>
  <c r="P424" i="81"/>
  <c r="Q424" i="81"/>
  <c r="S424" i="81"/>
  <c r="L425" i="81"/>
  <c r="N425" i="81"/>
  <c r="O425" i="81"/>
  <c r="F425" i="81" s="1"/>
  <c r="P425" i="81"/>
  <c r="Q425" i="81"/>
  <c r="S425" i="81"/>
  <c r="L426" i="81"/>
  <c r="N426" i="81"/>
  <c r="O426" i="81"/>
  <c r="F426" i="81" s="1"/>
  <c r="P426" i="81"/>
  <c r="Q426" i="81"/>
  <c r="S426" i="81"/>
  <c r="L427" i="81"/>
  <c r="N427" i="81"/>
  <c r="O427" i="81"/>
  <c r="P427" i="81"/>
  <c r="Q427" i="81"/>
  <c r="S427" i="81"/>
  <c r="L428" i="81"/>
  <c r="N428" i="81"/>
  <c r="O428" i="81"/>
  <c r="P428" i="81"/>
  <c r="F428" i="81" s="1"/>
  <c r="Q428" i="81"/>
  <c r="S428" i="81"/>
  <c r="L429" i="81"/>
  <c r="N429" i="81"/>
  <c r="O429" i="81"/>
  <c r="F429" i="81" s="1"/>
  <c r="P429" i="81"/>
  <c r="Q429" i="81"/>
  <c r="S429" i="81"/>
  <c r="L430" i="81"/>
  <c r="N430" i="81"/>
  <c r="O430" i="81"/>
  <c r="F430" i="81" s="1"/>
  <c r="P430" i="81"/>
  <c r="Q430" i="81"/>
  <c r="S430" i="81"/>
  <c r="L431" i="81"/>
  <c r="N431" i="81"/>
  <c r="O431" i="81"/>
  <c r="P431" i="81"/>
  <c r="Q431" i="81"/>
  <c r="S431" i="81"/>
  <c r="L432" i="81"/>
  <c r="N432" i="81"/>
  <c r="O432" i="81"/>
  <c r="P432" i="81"/>
  <c r="Q432" i="81"/>
  <c r="S432" i="81"/>
  <c r="L433" i="81"/>
  <c r="N433" i="81"/>
  <c r="O433" i="81"/>
  <c r="F433" i="81" s="1"/>
  <c r="P433" i="81"/>
  <c r="Q433" i="81"/>
  <c r="S433" i="81"/>
  <c r="F434" i="81"/>
  <c r="L434" i="81"/>
  <c r="N434" i="81"/>
  <c r="O434" i="81"/>
  <c r="P434" i="81"/>
  <c r="Q434" i="81"/>
  <c r="S434" i="81"/>
  <c r="L435" i="81"/>
  <c r="N435" i="81"/>
  <c r="O435" i="81"/>
  <c r="F435" i="81" s="1"/>
  <c r="P435" i="81"/>
  <c r="Q435" i="81"/>
  <c r="S435" i="81"/>
  <c r="L436" i="81"/>
  <c r="N436" i="81"/>
  <c r="O436" i="81"/>
  <c r="P436" i="81"/>
  <c r="Q436" i="81"/>
  <c r="S436" i="81"/>
  <c r="L437" i="81"/>
  <c r="N437" i="81"/>
  <c r="O437" i="81"/>
  <c r="F437" i="81" s="1"/>
  <c r="P437" i="81"/>
  <c r="Q437" i="81"/>
  <c r="S437" i="81"/>
  <c r="L438" i="81"/>
  <c r="N438" i="81"/>
  <c r="O438" i="81"/>
  <c r="F438" i="81" s="1"/>
  <c r="P438" i="81"/>
  <c r="Q438" i="81"/>
  <c r="S438" i="81"/>
  <c r="L439" i="81"/>
  <c r="N439" i="81"/>
  <c r="O439" i="81"/>
  <c r="F439" i="81" s="1"/>
  <c r="P439" i="81"/>
  <c r="Q439" i="81"/>
  <c r="S439" i="81"/>
  <c r="L440" i="81"/>
  <c r="N440" i="81"/>
  <c r="O440" i="81"/>
  <c r="P440" i="81"/>
  <c r="Q440" i="81"/>
  <c r="S440" i="81"/>
  <c r="L441" i="81"/>
  <c r="N441" i="81"/>
  <c r="O441" i="81"/>
  <c r="F441" i="81" s="1"/>
  <c r="P441" i="81"/>
  <c r="Q441" i="81"/>
  <c r="S441" i="81"/>
  <c r="L442" i="81"/>
  <c r="N442" i="81"/>
  <c r="O442" i="81"/>
  <c r="P442" i="81"/>
  <c r="F442" i="81" s="1"/>
  <c r="Q442" i="81"/>
  <c r="S442" i="81"/>
  <c r="F443" i="81"/>
  <c r="L443" i="81"/>
  <c r="N443" i="81"/>
  <c r="O443" i="81"/>
  <c r="P443" i="81"/>
  <c r="Q443" i="81"/>
  <c r="S443" i="81"/>
  <c r="F444" i="81"/>
  <c r="L444" i="81"/>
  <c r="N444" i="81"/>
  <c r="O444" i="81"/>
  <c r="P444" i="81"/>
  <c r="Q444" i="81"/>
  <c r="S444" i="81"/>
  <c r="L445" i="81"/>
  <c r="N445" i="81"/>
  <c r="O445" i="81"/>
  <c r="F445" i="81" s="1"/>
  <c r="P445" i="81"/>
  <c r="Q445" i="81"/>
  <c r="S445" i="81"/>
  <c r="L446" i="81"/>
  <c r="N446" i="81"/>
  <c r="O446" i="81"/>
  <c r="F446" i="81" s="1"/>
  <c r="P446" i="81"/>
  <c r="Q446" i="81"/>
  <c r="S446" i="81"/>
  <c r="L447" i="81"/>
  <c r="N447" i="81"/>
  <c r="O447" i="81"/>
  <c r="P447" i="81"/>
  <c r="Q447" i="81"/>
  <c r="S447" i="81"/>
  <c r="L448" i="81"/>
  <c r="N448" i="81"/>
  <c r="O448" i="81"/>
  <c r="F448" i="81" s="1"/>
  <c r="P448" i="81"/>
  <c r="Q448" i="81"/>
  <c r="S448" i="81"/>
  <c r="L449" i="81"/>
  <c r="N449" i="81"/>
  <c r="O449" i="81"/>
  <c r="F449" i="81" s="1"/>
  <c r="P449" i="81"/>
  <c r="Q449" i="81"/>
  <c r="S449" i="81"/>
  <c r="L450" i="81"/>
  <c r="N450" i="81"/>
  <c r="O450" i="81"/>
  <c r="F450" i="81" s="1"/>
  <c r="P450" i="81"/>
  <c r="Q450" i="81"/>
  <c r="S450" i="81"/>
  <c r="L451" i="81"/>
  <c r="N451" i="81"/>
  <c r="O451" i="81"/>
  <c r="F451" i="81" s="1"/>
  <c r="P451" i="81"/>
  <c r="Q451" i="81"/>
  <c r="S451" i="81"/>
  <c r="L452" i="81"/>
  <c r="N452" i="81"/>
  <c r="O452" i="81"/>
  <c r="F452" i="81" s="1"/>
  <c r="P452" i="81"/>
  <c r="Q452" i="81"/>
  <c r="S452" i="81"/>
  <c r="L453" i="81"/>
  <c r="N453" i="81"/>
  <c r="O453" i="81"/>
  <c r="F453" i="81" s="1"/>
  <c r="P453" i="81"/>
  <c r="Q453" i="81"/>
  <c r="S453" i="81"/>
  <c r="L454" i="81"/>
  <c r="N454" i="81"/>
  <c r="O454" i="81"/>
  <c r="F454" i="81" s="1"/>
  <c r="P454" i="81"/>
  <c r="Q454" i="81"/>
  <c r="S454" i="81"/>
  <c r="L455" i="81"/>
  <c r="N455" i="81"/>
  <c r="O455" i="81"/>
  <c r="F455" i="81" s="1"/>
  <c r="P455" i="81"/>
  <c r="Q455" i="81"/>
  <c r="S455" i="81"/>
  <c r="L456" i="81"/>
  <c r="N456" i="81"/>
  <c r="O456" i="81"/>
  <c r="F456" i="81" s="1"/>
  <c r="P456" i="81"/>
  <c r="Q456" i="81"/>
  <c r="S456" i="81"/>
  <c r="L457" i="81"/>
  <c r="N457" i="81"/>
  <c r="O457" i="81"/>
  <c r="P457" i="81"/>
  <c r="Q457" i="81"/>
  <c r="S457" i="81"/>
  <c r="F458" i="81"/>
  <c r="L458" i="81"/>
  <c r="N458" i="81"/>
  <c r="O458" i="81"/>
  <c r="P458" i="81"/>
  <c r="Q458" i="81"/>
  <c r="S458" i="81"/>
  <c r="F459" i="81"/>
  <c r="L459" i="81"/>
  <c r="N459" i="81"/>
  <c r="O459" i="81"/>
  <c r="P459" i="81"/>
  <c r="Q459" i="81"/>
  <c r="S459" i="81"/>
  <c r="F460" i="81"/>
  <c r="L460" i="81"/>
  <c r="N460" i="81"/>
  <c r="O460" i="81"/>
  <c r="P460" i="81"/>
  <c r="Q460" i="81"/>
  <c r="S460" i="81"/>
  <c r="L461" i="81"/>
  <c r="N461" i="81"/>
  <c r="O461" i="81"/>
  <c r="F461" i="81" s="1"/>
  <c r="P461" i="81"/>
  <c r="Q461" i="81"/>
  <c r="S461" i="81"/>
  <c r="L462" i="81"/>
  <c r="N462" i="81"/>
  <c r="O462" i="81"/>
  <c r="P462" i="81"/>
  <c r="Q462" i="81"/>
  <c r="S462" i="81"/>
  <c r="L463" i="81"/>
  <c r="N463" i="81"/>
  <c r="O463" i="81"/>
  <c r="F463" i="81" s="1"/>
  <c r="P463" i="81"/>
  <c r="Q463" i="81"/>
  <c r="S463" i="81"/>
  <c r="L464" i="81"/>
  <c r="N464" i="81"/>
  <c r="O464" i="81"/>
  <c r="F464" i="81" s="1"/>
  <c r="P464" i="81"/>
  <c r="Q464" i="81"/>
  <c r="S464" i="81"/>
  <c r="L465" i="81"/>
  <c r="N465" i="81"/>
  <c r="O465" i="81"/>
  <c r="F465" i="81" s="1"/>
  <c r="P465" i="81"/>
  <c r="Q465" i="81"/>
  <c r="S465" i="81"/>
  <c r="L466" i="81"/>
  <c r="N466" i="81"/>
  <c r="O466" i="81"/>
  <c r="P466" i="81"/>
  <c r="Q466" i="81"/>
  <c r="S466" i="81"/>
  <c r="L467" i="81"/>
  <c r="N467" i="81"/>
  <c r="O467" i="81"/>
  <c r="P467" i="81"/>
  <c r="F467" i="81" s="1"/>
  <c r="Q467" i="81"/>
  <c r="S467" i="81"/>
  <c r="F468" i="81"/>
  <c r="L468" i="81"/>
  <c r="N468" i="81"/>
  <c r="O468" i="81"/>
  <c r="P468" i="81"/>
  <c r="Q468" i="81"/>
  <c r="S468" i="81"/>
  <c r="L469" i="81"/>
  <c r="N469" i="81"/>
  <c r="O469" i="81"/>
  <c r="F469" i="81" s="1"/>
  <c r="P469" i="81"/>
  <c r="Q469" i="81"/>
  <c r="S469" i="81"/>
  <c r="L470" i="81"/>
  <c r="N470" i="81"/>
  <c r="O470" i="81"/>
  <c r="F470" i="81" s="1"/>
  <c r="P470" i="81"/>
  <c r="Q470" i="81"/>
  <c r="S470" i="81"/>
  <c r="L471" i="81"/>
  <c r="N471" i="81"/>
  <c r="O471" i="81"/>
  <c r="P471" i="81"/>
  <c r="Q471" i="81"/>
  <c r="S471" i="81"/>
  <c r="L472" i="81"/>
  <c r="N472" i="81"/>
  <c r="O472" i="81"/>
  <c r="F472" i="81" s="1"/>
  <c r="P472" i="81"/>
  <c r="Q472" i="81"/>
  <c r="S472" i="81"/>
  <c r="L473" i="81"/>
  <c r="N473" i="81"/>
  <c r="O473" i="81"/>
  <c r="F473" i="81" s="1"/>
  <c r="P473" i="81"/>
  <c r="Q473" i="81"/>
  <c r="S473" i="81"/>
  <c r="L474" i="81"/>
  <c r="N474" i="81"/>
  <c r="O474" i="81"/>
  <c r="F474" i="81" s="1"/>
  <c r="P474" i="81"/>
  <c r="Q474" i="81"/>
  <c r="S474" i="81"/>
  <c r="L475" i="81"/>
  <c r="N475" i="81"/>
  <c r="O475" i="81"/>
  <c r="P475" i="81"/>
  <c r="Q475" i="81"/>
  <c r="S475" i="81"/>
  <c r="L476" i="81"/>
  <c r="N476" i="81"/>
  <c r="O476" i="81"/>
  <c r="P476" i="81"/>
  <c r="Q476" i="81"/>
  <c r="S476" i="81"/>
  <c r="L477" i="81"/>
  <c r="N477" i="81"/>
  <c r="O477" i="81"/>
  <c r="P477" i="81"/>
  <c r="Q477" i="81"/>
  <c r="S477" i="81"/>
  <c r="L478" i="81"/>
  <c r="N478" i="81"/>
  <c r="O478" i="81"/>
  <c r="F478" i="81" s="1"/>
  <c r="P478" i="81"/>
  <c r="Q478" i="81"/>
  <c r="S478" i="81"/>
  <c r="L479" i="81"/>
  <c r="N479" i="81"/>
  <c r="O479" i="81"/>
  <c r="F479" i="81" s="1"/>
  <c r="P479" i="81"/>
  <c r="Q479" i="81"/>
  <c r="S479" i="81"/>
  <c r="L480" i="81"/>
  <c r="N480" i="81"/>
  <c r="O480" i="81"/>
  <c r="P480" i="81"/>
  <c r="Q480" i="81"/>
  <c r="S480" i="81"/>
  <c r="L481" i="81"/>
  <c r="N481" i="81"/>
  <c r="O481" i="81"/>
  <c r="P481" i="81"/>
  <c r="Q481" i="81"/>
  <c r="S481" i="81"/>
  <c r="F482" i="81"/>
  <c r="L482" i="81"/>
  <c r="N482" i="81"/>
  <c r="O482" i="81"/>
  <c r="P482" i="81"/>
  <c r="Q482" i="81"/>
  <c r="S482" i="81"/>
  <c r="F483" i="81"/>
  <c r="L483" i="81"/>
  <c r="N483" i="81"/>
  <c r="O483" i="81"/>
  <c r="P483" i="81"/>
  <c r="Q483" i="81"/>
  <c r="S483" i="81"/>
  <c r="F484" i="81"/>
  <c r="L484" i="81"/>
  <c r="N484" i="81"/>
  <c r="O484" i="81"/>
  <c r="P484" i="81"/>
  <c r="Q484" i="81"/>
  <c r="S484" i="81"/>
  <c r="L485" i="81"/>
  <c r="N485" i="81"/>
  <c r="O485" i="81"/>
  <c r="P485" i="81"/>
  <c r="Q485" i="81"/>
  <c r="S485" i="81"/>
  <c r="L486" i="81"/>
  <c r="N486" i="81"/>
  <c r="O486" i="81"/>
  <c r="F486" i="81" s="1"/>
  <c r="P486" i="81"/>
  <c r="Q486" i="81"/>
  <c r="S486" i="81"/>
  <c r="L487" i="81"/>
  <c r="N487" i="81"/>
  <c r="O487" i="81"/>
  <c r="F487" i="81" s="1"/>
  <c r="P487" i="81"/>
  <c r="Q487" i="81"/>
  <c r="S487" i="81"/>
  <c r="L488" i="81"/>
  <c r="N488" i="81"/>
  <c r="O488" i="81"/>
  <c r="F488" i="81" s="1"/>
  <c r="P488" i="81"/>
  <c r="Q488" i="81"/>
  <c r="S488" i="81"/>
  <c r="L489" i="81"/>
  <c r="N489" i="81"/>
  <c r="O489" i="81"/>
  <c r="P489" i="81"/>
  <c r="Q489" i="81"/>
  <c r="S489" i="81"/>
  <c r="L490" i="81"/>
  <c r="N490" i="81"/>
  <c r="O490" i="81"/>
  <c r="F490" i="81" s="1"/>
  <c r="P490" i="81"/>
  <c r="Q490" i="81"/>
  <c r="S490" i="81"/>
  <c r="L491" i="81"/>
  <c r="N491" i="81"/>
  <c r="O491" i="81"/>
  <c r="F491" i="81" s="1"/>
  <c r="P491" i="81"/>
  <c r="Q491" i="81"/>
  <c r="S491" i="81"/>
  <c r="L492" i="81"/>
  <c r="N492" i="81"/>
  <c r="O492" i="81"/>
  <c r="P492" i="81"/>
  <c r="F492" i="81" s="1"/>
  <c r="Q492" i="81"/>
  <c r="S492" i="81"/>
  <c r="L493" i="81"/>
  <c r="N493" i="81"/>
  <c r="O493" i="81"/>
  <c r="F493" i="81" s="1"/>
  <c r="P493" i="81"/>
  <c r="Q493" i="81"/>
  <c r="S493" i="81"/>
  <c r="L494" i="81"/>
  <c r="N494" i="81"/>
  <c r="O494" i="81"/>
  <c r="F494" i="81" s="1"/>
  <c r="P494" i="81"/>
  <c r="Q494" i="81"/>
  <c r="S494" i="81"/>
  <c r="L495" i="81"/>
  <c r="N495" i="81"/>
  <c r="O495" i="81"/>
  <c r="F495" i="81" s="1"/>
  <c r="P495" i="81"/>
  <c r="Q495" i="81"/>
  <c r="S495" i="81"/>
  <c r="L496" i="81"/>
  <c r="N496" i="81"/>
  <c r="O496" i="81"/>
  <c r="P496" i="81"/>
  <c r="Q496" i="81"/>
  <c r="S496" i="81"/>
  <c r="L497" i="81"/>
  <c r="N497" i="81"/>
  <c r="O497" i="81"/>
  <c r="F497" i="81" s="1"/>
  <c r="P497" i="81"/>
  <c r="Q497" i="81"/>
  <c r="S497" i="81"/>
  <c r="F498" i="81"/>
  <c r="L498" i="81"/>
  <c r="N498" i="81"/>
  <c r="O498" i="81"/>
  <c r="P498" i="81"/>
  <c r="Q498" i="81"/>
  <c r="S498" i="81"/>
  <c r="F499" i="81"/>
  <c r="L499" i="81"/>
  <c r="N499" i="81"/>
  <c r="O499" i="81"/>
  <c r="P499" i="81"/>
  <c r="Q499" i="81"/>
  <c r="S499" i="81"/>
  <c r="L500" i="81"/>
  <c r="N500" i="81"/>
  <c r="O500" i="81"/>
  <c r="F500" i="81" s="1"/>
  <c r="P500" i="81"/>
  <c r="Q500" i="81"/>
  <c r="S500" i="81"/>
  <c r="L501" i="81"/>
  <c r="N501" i="81"/>
  <c r="O501" i="81"/>
  <c r="F501" i="81" s="1"/>
  <c r="P501" i="81"/>
  <c r="Q501" i="81"/>
  <c r="S501" i="81"/>
  <c r="L502" i="81"/>
  <c r="N502" i="81"/>
  <c r="O502" i="81"/>
  <c r="F502" i="81" s="1"/>
  <c r="P502" i="81"/>
  <c r="Q502" i="81"/>
  <c r="S502" i="81"/>
  <c r="L503" i="81"/>
  <c r="N503" i="81"/>
  <c r="O503" i="81"/>
  <c r="F503" i="81" s="1"/>
  <c r="P503" i="81"/>
  <c r="Q503" i="81"/>
  <c r="S503" i="81"/>
  <c r="L504" i="81"/>
  <c r="N504" i="81"/>
  <c r="O504" i="81"/>
  <c r="F504" i="81" s="1"/>
  <c r="P504" i="81"/>
  <c r="Q504" i="81"/>
  <c r="S504" i="81"/>
  <c r="L505" i="81"/>
  <c r="N505" i="81"/>
  <c r="O505" i="81"/>
  <c r="F505" i="81" s="1"/>
  <c r="P505" i="81"/>
  <c r="Q505" i="81"/>
  <c r="S505" i="81"/>
  <c r="L506" i="81"/>
  <c r="N506" i="81"/>
  <c r="O506" i="81"/>
  <c r="P506" i="81"/>
  <c r="F506" i="81" s="1"/>
  <c r="Q506" i="81"/>
  <c r="S506" i="81"/>
  <c r="F507" i="81"/>
  <c r="L507" i="81"/>
  <c r="N507" i="81"/>
  <c r="O507" i="81"/>
  <c r="P507" i="81"/>
  <c r="Q507" i="81"/>
  <c r="S507" i="81"/>
  <c r="F508" i="81"/>
  <c r="L508" i="81"/>
  <c r="N508" i="81"/>
  <c r="O508" i="81"/>
  <c r="P508" i="81"/>
  <c r="Q508" i="81"/>
  <c r="S508" i="81"/>
  <c r="L509" i="81"/>
  <c r="N509" i="81"/>
  <c r="O509" i="81"/>
  <c r="F509" i="81" s="1"/>
  <c r="P509" i="81"/>
  <c r="Q509" i="81"/>
  <c r="S509" i="81"/>
  <c r="L510" i="81"/>
  <c r="N510" i="81"/>
  <c r="O510" i="81"/>
  <c r="F510" i="81" s="1"/>
  <c r="P510" i="81"/>
  <c r="Q510" i="81"/>
  <c r="S510" i="81"/>
  <c r="L511" i="81"/>
  <c r="N511" i="81"/>
  <c r="O511" i="81"/>
  <c r="P511" i="81"/>
  <c r="Q511" i="81"/>
  <c r="S511" i="81"/>
  <c r="L512" i="81"/>
  <c r="N512" i="81"/>
  <c r="O512" i="81"/>
  <c r="F512" i="81" s="1"/>
  <c r="P512" i="81"/>
  <c r="Q512" i="81"/>
  <c r="S512" i="81"/>
  <c r="L513" i="81"/>
  <c r="N513" i="81"/>
  <c r="O513" i="81"/>
  <c r="P513" i="81"/>
  <c r="Q513" i="81"/>
  <c r="S513" i="81"/>
  <c r="L514" i="81"/>
  <c r="N514" i="81"/>
  <c r="O514" i="81"/>
  <c r="F514" i="81" s="1"/>
  <c r="P514" i="81"/>
  <c r="Q514" i="81"/>
  <c r="S514" i="81"/>
  <c r="L515" i="81"/>
  <c r="N515" i="81"/>
  <c r="O515" i="81"/>
  <c r="P515" i="81"/>
  <c r="Q515" i="81"/>
  <c r="S515" i="81"/>
  <c r="L516" i="81"/>
  <c r="N516" i="81"/>
  <c r="O516" i="81"/>
  <c r="F516" i="81" s="1"/>
  <c r="P516" i="81"/>
  <c r="Q516" i="81"/>
  <c r="S516" i="81"/>
  <c r="L517" i="81"/>
  <c r="N517" i="81"/>
  <c r="O517" i="81"/>
  <c r="F517" i="81" s="1"/>
  <c r="P517" i="81"/>
  <c r="Q517" i="81"/>
  <c r="S517" i="81"/>
  <c r="L518" i="81"/>
  <c r="N518" i="81"/>
  <c r="O518" i="81"/>
  <c r="F518" i="81" s="1"/>
  <c r="P518" i="81"/>
  <c r="Q518" i="81"/>
  <c r="S518" i="81"/>
  <c r="L519" i="81"/>
  <c r="N519" i="81"/>
  <c r="O519" i="81"/>
  <c r="P519" i="81"/>
  <c r="Q519" i="81"/>
  <c r="S519" i="81"/>
  <c r="L520" i="81"/>
  <c r="N520" i="81"/>
  <c r="O520" i="81"/>
  <c r="F520" i="81" s="1"/>
  <c r="P520" i="81"/>
  <c r="Q520" i="81"/>
  <c r="S520" i="81"/>
  <c r="L521" i="81"/>
  <c r="N521" i="81"/>
  <c r="O521" i="81"/>
  <c r="F521" i="81" s="1"/>
  <c r="P521" i="81"/>
  <c r="Q521" i="81"/>
  <c r="S521" i="81"/>
  <c r="F522" i="81"/>
  <c r="L522" i="81"/>
  <c r="N522" i="81"/>
  <c r="O522" i="81"/>
  <c r="P522" i="81"/>
  <c r="Q522" i="81"/>
  <c r="S522" i="81"/>
  <c r="F523" i="81"/>
  <c r="L523" i="81"/>
  <c r="N523" i="81"/>
  <c r="O523" i="81"/>
  <c r="P523" i="81"/>
  <c r="Q523" i="81"/>
  <c r="S523" i="81"/>
  <c r="L524" i="81"/>
  <c r="N524" i="81"/>
  <c r="O524" i="81"/>
  <c r="F524" i="81" s="1"/>
  <c r="P524" i="81"/>
  <c r="Q524" i="81"/>
  <c r="S524" i="81"/>
  <c r="L525" i="81"/>
  <c r="N525" i="81"/>
  <c r="O525" i="81"/>
  <c r="P525" i="81"/>
  <c r="Q525" i="81"/>
  <c r="S525" i="81"/>
  <c r="L526" i="81"/>
  <c r="N526" i="81"/>
  <c r="O526" i="81"/>
  <c r="P526" i="81"/>
  <c r="Q526" i="81"/>
  <c r="S526" i="81"/>
  <c r="L527" i="81"/>
  <c r="N527" i="81"/>
  <c r="O527" i="81"/>
  <c r="F527" i="81" s="1"/>
  <c r="P527" i="81"/>
  <c r="Q527" i="81"/>
  <c r="S527" i="81"/>
  <c r="L528" i="81"/>
  <c r="N528" i="81"/>
  <c r="O528" i="81"/>
  <c r="F528" i="81" s="1"/>
  <c r="P528" i="81"/>
  <c r="Q528" i="81"/>
  <c r="S528" i="81"/>
  <c r="L529" i="81"/>
  <c r="N529" i="81"/>
  <c r="O529" i="81"/>
  <c r="P529" i="81"/>
  <c r="Q529" i="81"/>
  <c r="S529" i="81"/>
  <c r="L530" i="81"/>
  <c r="N530" i="81"/>
  <c r="O530" i="81"/>
  <c r="P530" i="81"/>
  <c r="Q530" i="81"/>
  <c r="S530" i="81"/>
  <c r="L531" i="81"/>
  <c r="N531" i="81"/>
  <c r="O531" i="81"/>
  <c r="P531" i="81"/>
  <c r="F531" i="81" s="1"/>
  <c r="Q531" i="81"/>
  <c r="S531" i="81"/>
  <c r="F532" i="81"/>
  <c r="L532" i="81"/>
  <c r="N532" i="81"/>
  <c r="O532" i="81"/>
  <c r="P532" i="81"/>
  <c r="Q532" i="81"/>
  <c r="S532" i="81"/>
  <c r="L533" i="81"/>
  <c r="N533" i="81"/>
  <c r="O533" i="81"/>
  <c r="F533" i="81" s="1"/>
  <c r="P533" i="81"/>
  <c r="Q533" i="81"/>
  <c r="S533" i="81"/>
  <c r="L534" i="81"/>
  <c r="N534" i="81"/>
  <c r="O534" i="81"/>
  <c r="F534" i="81" s="1"/>
  <c r="P534" i="81"/>
  <c r="Q534" i="81"/>
  <c r="S534" i="81"/>
  <c r="L535" i="81"/>
  <c r="N535" i="81"/>
  <c r="O535" i="81"/>
  <c r="F535" i="81" s="1"/>
  <c r="P535" i="81"/>
  <c r="Q535" i="81"/>
  <c r="S535" i="81"/>
  <c r="L536" i="81"/>
  <c r="N536" i="81"/>
  <c r="O536" i="81"/>
  <c r="F536" i="81" s="1"/>
  <c r="P536" i="81"/>
  <c r="Q536" i="81"/>
  <c r="S536" i="81"/>
  <c r="L537" i="81"/>
  <c r="N537" i="81"/>
  <c r="O537" i="81"/>
  <c r="F537" i="81" s="1"/>
  <c r="P537" i="81"/>
  <c r="Q537" i="81"/>
  <c r="S537" i="81"/>
  <c r="F538" i="81"/>
  <c r="L538" i="81"/>
  <c r="N538" i="81"/>
  <c r="O538" i="81"/>
  <c r="P538" i="81"/>
  <c r="Q538" i="81"/>
  <c r="S538" i="81"/>
  <c r="L539" i="81"/>
  <c r="N539" i="81"/>
  <c r="O539" i="81"/>
  <c r="P539" i="81"/>
  <c r="Q539" i="81"/>
  <c r="S539" i="81"/>
  <c r="L540" i="81"/>
  <c r="N540" i="81"/>
  <c r="O540" i="81"/>
  <c r="F540" i="81" s="1"/>
  <c r="P540" i="81"/>
  <c r="Q540" i="81"/>
  <c r="S540" i="81"/>
  <c r="L541" i="81"/>
  <c r="N541" i="81"/>
  <c r="O541" i="81"/>
  <c r="P541" i="81"/>
  <c r="Q541" i="81"/>
  <c r="S541" i="81"/>
  <c r="L542" i="81"/>
  <c r="N542" i="81"/>
  <c r="O542" i="81"/>
  <c r="P542" i="81"/>
  <c r="Q542" i="81"/>
  <c r="S542" i="81"/>
  <c r="L543" i="81"/>
  <c r="N543" i="81"/>
  <c r="O543" i="81"/>
  <c r="F543" i="81" s="1"/>
  <c r="P543" i="81"/>
  <c r="Q543" i="81"/>
  <c r="S543" i="81"/>
  <c r="L544" i="81"/>
  <c r="N544" i="81"/>
  <c r="O544" i="81"/>
  <c r="F544" i="81" s="1"/>
  <c r="P544" i="81"/>
  <c r="Q544" i="81"/>
  <c r="S544" i="81"/>
  <c r="L545" i="81"/>
  <c r="N545" i="81"/>
  <c r="O545" i="81"/>
  <c r="P545" i="81"/>
  <c r="Q545" i="81"/>
  <c r="S545" i="81"/>
  <c r="F546" i="81"/>
  <c r="L546" i="81"/>
  <c r="N546" i="81"/>
  <c r="O546" i="81"/>
  <c r="P546" i="81"/>
  <c r="Q546" i="81"/>
  <c r="S546" i="81"/>
  <c r="F547" i="81"/>
  <c r="L547" i="81"/>
  <c r="N547" i="81"/>
  <c r="O547" i="81"/>
  <c r="P547" i="81"/>
  <c r="Q547" i="81"/>
  <c r="S547" i="81"/>
  <c r="F548" i="81"/>
  <c r="L548" i="81"/>
  <c r="N548" i="81"/>
  <c r="O548" i="81"/>
  <c r="P548" i="81"/>
  <c r="Q548" i="81"/>
  <c r="S548" i="81"/>
  <c r="L549" i="81"/>
  <c r="N549" i="81"/>
  <c r="O549" i="81"/>
  <c r="F549" i="81" s="1"/>
  <c r="P549" i="81"/>
  <c r="Q549" i="81"/>
  <c r="S549" i="81"/>
  <c r="L550" i="81"/>
  <c r="N550" i="81"/>
  <c r="O550" i="81"/>
  <c r="F550" i="81" s="1"/>
  <c r="P550" i="81"/>
  <c r="Q550" i="81"/>
  <c r="S550" i="81"/>
  <c r="L551" i="81"/>
  <c r="N551" i="81"/>
  <c r="O551" i="81"/>
  <c r="F551" i="81" s="1"/>
  <c r="P551" i="81"/>
  <c r="Q551" i="81"/>
  <c r="S551" i="81"/>
  <c r="L552" i="81"/>
  <c r="N552" i="81"/>
  <c r="O552" i="81"/>
  <c r="F552" i="81" s="1"/>
  <c r="P552" i="81"/>
  <c r="Q552" i="81"/>
  <c r="S552" i="81"/>
  <c r="L553" i="81"/>
  <c r="N553" i="81"/>
  <c r="O553" i="81"/>
  <c r="F553" i="81" s="1"/>
  <c r="P553" i="81"/>
  <c r="Q553" i="81"/>
  <c r="S553" i="81"/>
  <c r="L144" i="80"/>
  <c r="N144" i="80"/>
  <c r="O144" i="80"/>
  <c r="F144" i="80" s="1"/>
  <c r="P144" i="80"/>
  <c r="Q144" i="80"/>
  <c r="S144" i="80"/>
  <c r="L145" i="80"/>
  <c r="N145" i="80"/>
  <c r="O145" i="80"/>
  <c r="F145" i="80" s="1"/>
  <c r="P145" i="80"/>
  <c r="Q145" i="80"/>
  <c r="S145" i="80"/>
  <c r="F146" i="80"/>
  <c r="L146" i="80"/>
  <c r="N146" i="80"/>
  <c r="O146" i="80"/>
  <c r="P146" i="80"/>
  <c r="Q146" i="80"/>
  <c r="S146" i="80"/>
  <c r="F147" i="80"/>
  <c r="L147" i="80"/>
  <c r="N147" i="80"/>
  <c r="O147" i="80"/>
  <c r="P147" i="80"/>
  <c r="Q147" i="80"/>
  <c r="S147" i="80"/>
  <c r="F148" i="80"/>
  <c r="L148" i="80"/>
  <c r="N148" i="80"/>
  <c r="O148" i="80"/>
  <c r="P148" i="80"/>
  <c r="Q148" i="80"/>
  <c r="S148" i="80"/>
  <c r="L149" i="80"/>
  <c r="N149" i="80"/>
  <c r="O149" i="80"/>
  <c r="F149" i="80" s="1"/>
  <c r="P149" i="80"/>
  <c r="Q149" i="80"/>
  <c r="S149" i="80"/>
  <c r="L150" i="80"/>
  <c r="N150" i="80"/>
  <c r="O150" i="80"/>
  <c r="P150" i="80"/>
  <c r="Q150" i="80"/>
  <c r="S150" i="80"/>
  <c r="L151" i="80"/>
  <c r="N151" i="80"/>
  <c r="O151" i="80"/>
  <c r="P151" i="80"/>
  <c r="Q151" i="80"/>
  <c r="S151" i="80"/>
  <c r="L152" i="80"/>
  <c r="N152" i="80"/>
  <c r="O152" i="80"/>
  <c r="F152" i="80" s="1"/>
  <c r="P152" i="80"/>
  <c r="Q152" i="80"/>
  <c r="S152" i="80"/>
  <c r="L153" i="80"/>
  <c r="N153" i="80"/>
  <c r="O153" i="80"/>
  <c r="P153" i="80"/>
  <c r="Q153" i="80"/>
  <c r="S153" i="80"/>
  <c r="L154" i="80"/>
  <c r="N154" i="80"/>
  <c r="O154" i="80"/>
  <c r="P154" i="80"/>
  <c r="Q154" i="80"/>
  <c r="S154" i="80"/>
  <c r="L155" i="80"/>
  <c r="N155" i="80"/>
  <c r="O155" i="80"/>
  <c r="P155" i="80"/>
  <c r="F155" i="80" s="1"/>
  <c r="Q155" i="80"/>
  <c r="S155" i="80"/>
  <c r="F156" i="80"/>
  <c r="L156" i="80"/>
  <c r="N156" i="80"/>
  <c r="O156" i="80"/>
  <c r="P156" i="80"/>
  <c r="Q156" i="80"/>
  <c r="S156" i="80"/>
  <c r="L157" i="80"/>
  <c r="N157" i="80"/>
  <c r="O157" i="80"/>
  <c r="F157" i="80" s="1"/>
  <c r="P157" i="80"/>
  <c r="Q157" i="80"/>
  <c r="S157" i="80"/>
  <c r="L158" i="80"/>
  <c r="N158" i="80"/>
  <c r="O158" i="80"/>
  <c r="F158" i="80" s="1"/>
  <c r="P158" i="80"/>
  <c r="Q158" i="80"/>
  <c r="S158" i="80"/>
  <c r="L159" i="80"/>
  <c r="N159" i="80"/>
  <c r="O159" i="80"/>
  <c r="P159" i="80"/>
  <c r="Q159" i="80"/>
  <c r="S159" i="80"/>
  <c r="L160" i="80"/>
  <c r="N160" i="80"/>
  <c r="O160" i="80"/>
  <c r="F160" i="80" s="1"/>
  <c r="P160" i="80"/>
  <c r="Q160" i="80"/>
  <c r="S160" i="80"/>
  <c r="L161" i="80"/>
  <c r="N161" i="80"/>
  <c r="O161" i="80"/>
  <c r="P161" i="80"/>
  <c r="Q161" i="80"/>
  <c r="S161" i="80"/>
  <c r="L162" i="80"/>
  <c r="N162" i="80"/>
  <c r="O162" i="80"/>
  <c r="F162" i="80" s="1"/>
  <c r="P162" i="80"/>
  <c r="Q162" i="80"/>
  <c r="S162" i="80"/>
  <c r="L163" i="80"/>
  <c r="N163" i="80"/>
  <c r="O163" i="80"/>
  <c r="P163" i="80"/>
  <c r="Q163" i="80"/>
  <c r="S163" i="80"/>
  <c r="L164" i="80"/>
  <c r="N164" i="80"/>
  <c r="O164" i="80"/>
  <c r="P164" i="80"/>
  <c r="Q164" i="80"/>
  <c r="S164" i="80"/>
  <c r="L165" i="80"/>
  <c r="N165" i="80"/>
  <c r="O165" i="80"/>
  <c r="P165" i="80"/>
  <c r="Q165" i="80"/>
  <c r="S165" i="80"/>
  <c r="L166" i="80"/>
  <c r="N166" i="80"/>
  <c r="O166" i="80"/>
  <c r="P166" i="80"/>
  <c r="Q166" i="80"/>
  <c r="S166" i="80"/>
  <c r="L167" i="80"/>
  <c r="N167" i="80"/>
  <c r="O167" i="80"/>
  <c r="F167" i="80" s="1"/>
  <c r="P167" i="80"/>
  <c r="Q167" i="80"/>
  <c r="S167" i="80"/>
  <c r="L168" i="80"/>
  <c r="N168" i="80"/>
  <c r="O168" i="80"/>
  <c r="P168" i="80"/>
  <c r="Q168" i="80"/>
  <c r="S168" i="80"/>
  <c r="L169" i="80"/>
  <c r="N169" i="80"/>
  <c r="O169" i="80"/>
  <c r="P169" i="80"/>
  <c r="F169" i="80" s="1"/>
  <c r="Q169" i="80"/>
  <c r="S169" i="80"/>
  <c r="F170" i="80"/>
  <c r="L170" i="80"/>
  <c r="N170" i="80"/>
  <c r="O170" i="80"/>
  <c r="P170" i="80"/>
  <c r="Q170" i="80"/>
  <c r="S170" i="80"/>
  <c r="F171" i="80"/>
  <c r="L171" i="80"/>
  <c r="N171" i="80"/>
  <c r="O171" i="80"/>
  <c r="P171" i="80"/>
  <c r="Q171" i="80"/>
  <c r="S171" i="80"/>
  <c r="F172" i="80"/>
  <c r="L172" i="80"/>
  <c r="N172" i="80"/>
  <c r="O172" i="80"/>
  <c r="P172" i="80"/>
  <c r="Q172" i="80"/>
  <c r="S172" i="80"/>
  <c r="L173" i="80"/>
  <c r="N173" i="80"/>
  <c r="O173" i="80"/>
  <c r="P173" i="80"/>
  <c r="Q173" i="80"/>
  <c r="S173" i="80"/>
  <c r="L174" i="80"/>
  <c r="N174" i="80"/>
  <c r="O174" i="80"/>
  <c r="F174" i="80" s="1"/>
  <c r="P174" i="80"/>
  <c r="Q174" i="80"/>
  <c r="S174" i="80"/>
  <c r="L175" i="80"/>
  <c r="N175" i="80"/>
  <c r="O175" i="80"/>
  <c r="F175" i="80" s="1"/>
  <c r="P175" i="80"/>
  <c r="Q175" i="80"/>
  <c r="S175" i="80"/>
  <c r="L176" i="80"/>
  <c r="N176" i="80"/>
  <c r="O176" i="80"/>
  <c r="F176" i="80" s="1"/>
  <c r="P176" i="80"/>
  <c r="Q176" i="80"/>
  <c r="S176" i="80"/>
  <c r="L177" i="80"/>
  <c r="N177" i="80"/>
  <c r="O177" i="80"/>
  <c r="P177" i="80"/>
  <c r="Q177" i="80"/>
  <c r="S177" i="80"/>
  <c r="L178" i="80"/>
  <c r="N178" i="80"/>
  <c r="O178" i="80"/>
  <c r="F178" i="80" s="1"/>
  <c r="P178" i="80"/>
  <c r="Q178" i="80"/>
  <c r="S178" i="80"/>
  <c r="L179" i="80"/>
  <c r="N179" i="80"/>
  <c r="O179" i="80"/>
  <c r="F179" i="80" s="1"/>
  <c r="P179" i="80"/>
  <c r="Q179" i="80"/>
  <c r="S179" i="80"/>
  <c r="L180" i="80"/>
  <c r="N180" i="80"/>
  <c r="O180" i="80"/>
  <c r="P180" i="80"/>
  <c r="F180" i="80" s="1"/>
  <c r="Q180" i="80"/>
  <c r="S180" i="80"/>
  <c r="L181" i="80"/>
  <c r="N181" i="80"/>
  <c r="O181" i="80"/>
  <c r="P181" i="80"/>
  <c r="Q181" i="80"/>
  <c r="S181" i="80"/>
  <c r="L182" i="80"/>
  <c r="N182" i="80"/>
  <c r="O182" i="80"/>
  <c r="F182" i="80" s="1"/>
  <c r="P182" i="80"/>
  <c r="Q182" i="80"/>
  <c r="S182" i="80"/>
  <c r="L183" i="80"/>
  <c r="N183" i="80"/>
  <c r="O183" i="80"/>
  <c r="F183" i="80" s="1"/>
  <c r="P183" i="80"/>
  <c r="Q183" i="80"/>
  <c r="S183" i="80"/>
  <c r="L184" i="80"/>
  <c r="N184" i="80"/>
  <c r="O184" i="80"/>
  <c r="P184" i="80"/>
  <c r="Q184" i="80"/>
  <c r="S184" i="80"/>
  <c r="L185" i="80"/>
  <c r="N185" i="80"/>
  <c r="O185" i="80"/>
  <c r="P185" i="80"/>
  <c r="Q185" i="80"/>
  <c r="S185" i="80"/>
  <c r="F186" i="80"/>
  <c r="L186" i="80"/>
  <c r="N186" i="80"/>
  <c r="O186" i="80"/>
  <c r="P186" i="80"/>
  <c r="Q186" i="80"/>
  <c r="S186" i="80"/>
  <c r="F187" i="80"/>
  <c r="L187" i="80"/>
  <c r="N187" i="80"/>
  <c r="O187" i="80"/>
  <c r="P187" i="80"/>
  <c r="Q187" i="80"/>
  <c r="S187" i="80"/>
  <c r="L188" i="80"/>
  <c r="N188" i="80"/>
  <c r="O188" i="80"/>
  <c r="F188" i="80" s="1"/>
  <c r="P188" i="80"/>
  <c r="Q188" i="80"/>
  <c r="S188" i="80"/>
  <c r="L189" i="80"/>
  <c r="N189" i="80"/>
  <c r="O189" i="80"/>
  <c r="F189" i="80" s="1"/>
  <c r="P189" i="80"/>
  <c r="Q189" i="80"/>
  <c r="S189" i="80"/>
  <c r="L190" i="80"/>
  <c r="N190" i="80"/>
  <c r="O190" i="80"/>
  <c r="F190" i="80" s="1"/>
  <c r="P190" i="80"/>
  <c r="Q190" i="80"/>
  <c r="S190" i="80"/>
  <c r="L191" i="80"/>
  <c r="N191" i="80"/>
  <c r="O191" i="80"/>
  <c r="F191" i="80" s="1"/>
  <c r="P191" i="80"/>
  <c r="Q191" i="80"/>
  <c r="S191" i="80"/>
  <c r="L192" i="80"/>
  <c r="N192" i="80"/>
  <c r="O192" i="80"/>
  <c r="F192" i="80" s="1"/>
  <c r="P192" i="80"/>
  <c r="Q192" i="80"/>
  <c r="S192" i="80"/>
  <c r="L193" i="80"/>
  <c r="N193" i="80"/>
  <c r="O193" i="80"/>
  <c r="F193" i="80" s="1"/>
  <c r="P193" i="80"/>
  <c r="Q193" i="80"/>
  <c r="S193" i="80"/>
  <c r="L194" i="80"/>
  <c r="N194" i="80"/>
  <c r="O194" i="80"/>
  <c r="P194" i="80"/>
  <c r="F194" i="80" s="1"/>
  <c r="Q194" i="80"/>
  <c r="S194" i="80"/>
  <c r="F195" i="80"/>
  <c r="L195" i="80"/>
  <c r="N195" i="80"/>
  <c r="O195" i="80"/>
  <c r="P195" i="80"/>
  <c r="Q195" i="80"/>
  <c r="S195" i="80"/>
  <c r="F196" i="80"/>
  <c r="L196" i="80"/>
  <c r="N196" i="80"/>
  <c r="O196" i="80"/>
  <c r="P196" i="80"/>
  <c r="Q196" i="80"/>
  <c r="S196" i="80"/>
  <c r="L197" i="80"/>
  <c r="N197" i="80"/>
  <c r="O197" i="80"/>
  <c r="F197" i="80" s="1"/>
  <c r="P197" i="80"/>
  <c r="Q197" i="80"/>
  <c r="S197" i="80"/>
  <c r="L198" i="80"/>
  <c r="N198" i="80"/>
  <c r="O198" i="80"/>
  <c r="F198" i="80" s="1"/>
  <c r="P198" i="80"/>
  <c r="Q198" i="80"/>
  <c r="S198" i="80"/>
  <c r="L199" i="80"/>
  <c r="N199" i="80"/>
  <c r="O199" i="80"/>
  <c r="P199" i="80"/>
  <c r="Q199" i="80"/>
  <c r="S199" i="80"/>
  <c r="L200" i="80"/>
  <c r="N200" i="80"/>
  <c r="O200" i="80"/>
  <c r="P200" i="80"/>
  <c r="Q200" i="80"/>
  <c r="S200" i="80"/>
  <c r="L201" i="80"/>
  <c r="N201" i="80"/>
  <c r="O201" i="80"/>
  <c r="F201" i="80" s="1"/>
  <c r="P201" i="80"/>
  <c r="Q201" i="80"/>
  <c r="S201" i="80"/>
  <c r="L202" i="80"/>
  <c r="N202" i="80"/>
  <c r="O202" i="80"/>
  <c r="F202" i="80" s="1"/>
  <c r="P202" i="80"/>
  <c r="Q202" i="80"/>
  <c r="S202" i="80"/>
  <c r="L203" i="80"/>
  <c r="N203" i="80"/>
  <c r="O203" i="80"/>
  <c r="P203" i="80"/>
  <c r="Q203" i="80"/>
  <c r="S203" i="80"/>
  <c r="L204" i="80"/>
  <c r="N204" i="80"/>
  <c r="O204" i="80"/>
  <c r="F204" i="80" s="1"/>
  <c r="P204" i="80"/>
  <c r="Q204" i="80"/>
  <c r="S204" i="80"/>
  <c r="L205" i="80"/>
  <c r="N205" i="80"/>
  <c r="O205" i="80"/>
  <c r="F205" i="80" s="1"/>
  <c r="P205" i="80"/>
  <c r="Q205" i="80"/>
  <c r="S205" i="80"/>
  <c r="L206" i="80"/>
  <c r="N206" i="80"/>
  <c r="O206" i="80"/>
  <c r="F206" i="80" s="1"/>
  <c r="P206" i="80"/>
  <c r="Q206" i="80"/>
  <c r="S206" i="80"/>
  <c r="L207" i="80"/>
  <c r="N207" i="80"/>
  <c r="O207" i="80"/>
  <c r="P207" i="80"/>
  <c r="Q207" i="80"/>
  <c r="S207" i="80"/>
  <c r="L208" i="80"/>
  <c r="N208" i="80"/>
  <c r="O208" i="80"/>
  <c r="F208" i="80" s="1"/>
  <c r="P208" i="80"/>
  <c r="Q208" i="80"/>
  <c r="S208" i="80"/>
  <c r="L209" i="80"/>
  <c r="N209" i="80"/>
  <c r="O209" i="80"/>
  <c r="F209" i="80" s="1"/>
  <c r="P209" i="80"/>
  <c r="Q209" i="80"/>
  <c r="S209" i="80"/>
  <c r="F210" i="80"/>
  <c r="L210" i="80"/>
  <c r="N210" i="80"/>
  <c r="O210" i="80"/>
  <c r="P210" i="80"/>
  <c r="Q210" i="80"/>
  <c r="S210" i="80"/>
  <c r="F211" i="80"/>
  <c r="L211" i="80"/>
  <c r="N211" i="80"/>
  <c r="O211" i="80"/>
  <c r="P211" i="80"/>
  <c r="Q211" i="80"/>
  <c r="S211" i="80"/>
  <c r="L212" i="80"/>
  <c r="N212" i="80"/>
  <c r="O212" i="80"/>
  <c r="F212" i="80" s="1"/>
  <c r="P212" i="80"/>
  <c r="Q212" i="80"/>
  <c r="S212" i="80"/>
  <c r="L213" i="80"/>
  <c r="N213" i="80"/>
  <c r="O213" i="80"/>
  <c r="P213" i="80"/>
  <c r="Q213" i="80"/>
  <c r="S213" i="80"/>
  <c r="L214" i="80"/>
  <c r="N214" i="80"/>
  <c r="O214" i="80"/>
  <c r="P214" i="80"/>
  <c r="Q214" i="80"/>
  <c r="S214" i="80"/>
  <c r="L215" i="80"/>
  <c r="N215" i="80"/>
  <c r="O215" i="80"/>
  <c r="P215" i="80"/>
  <c r="Q215" i="80"/>
  <c r="S215" i="80"/>
  <c r="L216" i="80"/>
  <c r="N216" i="80"/>
  <c r="O216" i="80"/>
  <c r="F216" i="80" s="1"/>
  <c r="P216" i="80"/>
  <c r="Q216" i="80"/>
  <c r="S216" i="80"/>
  <c r="L217" i="80"/>
  <c r="N217" i="80"/>
  <c r="O217" i="80"/>
  <c r="P217" i="80"/>
  <c r="Q217" i="80"/>
  <c r="S217" i="80"/>
  <c r="L218" i="80"/>
  <c r="N218" i="80"/>
  <c r="O218" i="80"/>
  <c r="P218" i="80"/>
  <c r="Q218" i="80"/>
  <c r="S218" i="80"/>
  <c r="L219" i="80"/>
  <c r="N219" i="80"/>
  <c r="O219" i="80"/>
  <c r="P219" i="80"/>
  <c r="F219" i="80" s="1"/>
  <c r="Q219" i="80"/>
  <c r="S219" i="80"/>
  <c r="F220" i="80"/>
  <c r="L220" i="80"/>
  <c r="N220" i="80"/>
  <c r="O220" i="80"/>
  <c r="P220" i="80"/>
  <c r="Q220" i="80"/>
  <c r="S220" i="80"/>
  <c r="L221" i="80"/>
  <c r="N221" i="80"/>
  <c r="O221" i="80"/>
  <c r="F221" i="80" s="1"/>
  <c r="P221" i="80"/>
  <c r="Q221" i="80"/>
  <c r="S221" i="80"/>
  <c r="L222" i="80"/>
  <c r="N222" i="80"/>
  <c r="O222" i="80"/>
  <c r="F222" i="80" s="1"/>
  <c r="P222" i="80"/>
  <c r="Q222" i="80"/>
  <c r="S222" i="80"/>
  <c r="L223" i="80"/>
  <c r="N223" i="80"/>
  <c r="O223" i="80"/>
  <c r="F223" i="80" s="1"/>
  <c r="P223" i="80"/>
  <c r="Q223" i="80"/>
  <c r="S223" i="80"/>
  <c r="L224" i="80"/>
  <c r="N224" i="80"/>
  <c r="O224" i="80"/>
  <c r="F224" i="80" s="1"/>
  <c r="P224" i="80"/>
  <c r="Q224" i="80"/>
  <c r="S224" i="80"/>
  <c r="L225" i="80"/>
  <c r="N225" i="80"/>
  <c r="O225" i="80"/>
  <c r="F225" i="80" s="1"/>
  <c r="P225" i="80"/>
  <c r="Q225" i="80"/>
  <c r="S225" i="80"/>
  <c r="F226" i="80"/>
  <c r="L226" i="80"/>
  <c r="N226" i="80"/>
  <c r="O226" i="80"/>
  <c r="P226" i="80"/>
  <c r="Q226" i="80"/>
  <c r="S226" i="80"/>
  <c r="L227" i="80"/>
  <c r="N227" i="80"/>
  <c r="O227" i="80"/>
  <c r="P227" i="80"/>
  <c r="Q227" i="80"/>
  <c r="S227" i="80"/>
  <c r="L228" i="80"/>
  <c r="N228" i="80"/>
  <c r="O228" i="80"/>
  <c r="F228" i="80" s="1"/>
  <c r="P228" i="80"/>
  <c r="Q228" i="80"/>
  <c r="S228" i="80"/>
  <c r="L229" i="80"/>
  <c r="N229" i="80"/>
  <c r="O229" i="80"/>
  <c r="P229" i="80"/>
  <c r="Q229" i="80"/>
  <c r="S229" i="80"/>
  <c r="L230" i="80"/>
  <c r="N230" i="80"/>
  <c r="O230" i="80"/>
  <c r="P230" i="80"/>
  <c r="Q230" i="80"/>
  <c r="S230" i="80"/>
  <c r="L231" i="80"/>
  <c r="N231" i="80"/>
  <c r="O231" i="80"/>
  <c r="F231" i="80" s="1"/>
  <c r="P231" i="80"/>
  <c r="Q231" i="80"/>
  <c r="S231" i="80"/>
  <c r="L232" i="80"/>
  <c r="N232" i="80"/>
  <c r="O232" i="80"/>
  <c r="F232" i="80" s="1"/>
  <c r="P232" i="80"/>
  <c r="Q232" i="80"/>
  <c r="S232" i="80"/>
  <c r="L233" i="80"/>
  <c r="N233" i="80"/>
  <c r="O233" i="80"/>
  <c r="P233" i="80"/>
  <c r="Q233" i="80"/>
  <c r="S233" i="80"/>
  <c r="F234" i="80"/>
  <c r="L234" i="80"/>
  <c r="N234" i="80"/>
  <c r="O234" i="80"/>
  <c r="P234" i="80"/>
  <c r="Q234" i="80"/>
  <c r="S234" i="80"/>
  <c r="F235" i="80"/>
  <c r="L235" i="80"/>
  <c r="N235" i="80"/>
  <c r="O235" i="80"/>
  <c r="P235" i="80"/>
  <c r="Q235" i="80"/>
  <c r="S235" i="80"/>
  <c r="F236" i="80"/>
  <c r="L236" i="80"/>
  <c r="N236" i="80"/>
  <c r="O236" i="80"/>
  <c r="P236" i="80"/>
  <c r="Q236" i="80"/>
  <c r="S236" i="80"/>
  <c r="L237" i="80"/>
  <c r="N237" i="80"/>
  <c r="O237" i="80"/>
  <c r="F237" i="80" s="1"/>
  <c r="P237" i="80"/>
  <c r="Q237" i="80"/>
  <c r="S237" i="80"/>
  <c r="L238" i="80"/>
  <c r="N238" i="80"/>
  <c r="O238" i="80"/>
  <c r="F238" i="80" s="1"/>
  <c r="P238" i="80"/>
  <c r="Q238" i="80"/>
  <c r="S238" i="80"/>
  <c r="L239" i="80"/>
  <c r="N239" i="80"/>
  <c r="O239" i="80"/>
  <c r="F239" i="80" s="1"/>
  <c r="P239" i="80"/>
  <c r="Q239" i="80"/>
  <c r="S239" i="80"/>
  <c r="L240" i="80"/>
  <c r="N240" i="80"/>
  <c r="O240" i="80"/>
  <c r="F240" i="80" s="1"/>
  <c r="P240" i="80"/>
  <c r="Q240" i="80"/>
  <c r="S240" i="80"/>
  <c r="L241" i="80"/>
  <c r="N241" i="80"/>
  <c r="O241" i="80"/>
  <c r="F241" i="80" s="1"/>
  <c r="P241" i="80"/>
  <c r="Q241" i="80"/>
  <c r="S241" i="80"/>
  <c r="L242" i="80"/>
  <c r="N242" i="80"/>
  <c r="O242" i="80"/>
  <c r="F242" i="80" s="1"/>
  <c r="P242" i="80"/>
  <c r="Q242" i="80"/>
  <c r="S242" i="80"/>
  <c r="L243" i="80"/>
  <c r="N243" i="80"/>
  <c r="O243" i="80"/>
  <c r="P243" i="80"/>
  <c r="Q243" i="80"/>
  <c r="S243" i="80"/>
  <c r="L244" i="80"/>
  <c r="N244" i="80"/>
  <c r="O244" i="80"/>
  <c r="P244" i="80"/>
  <c r="F244" i="80" s="1"/>
  <c r="Q244" i="80"/>
  <c r="S244" i="80"/>
  <c r="L245" i="80"/>
  <c r="N245" i="80"/>
  <c r="O245" i="80"/>
  <c r="P245" i="80"/>
  <c r="Q245" i="80"/>
  <c r="S245" i="80"/>
  <c r="L246" i="80"/>
  <c r="N246" i="80"/>
  <c r="O246" i="80"/>
  <c r="F246" i="80" s="1"/>
  <c r="P246" i="80"/>
  <c r="Q246" i="80"/>
  <c r="S246" i="80"/>
  <c r="L247" i="80"/>
  <c r="N247" i="80"/>
  <c r="O247" i="80"/>
  <c r="P247" i="80"/>
  <c r="Q247" i="80"/>
  <c r="S247" i="80"/>
  <c r="L248" i="80"/>
  <c r="N248" i="80"/>
  <c r="O248" i="80"/>
  <c r="P248" i="80"/>
  <c r="Q248" i="80"/>
  <c r="S248" i="80"/>
  <c r="L249" i="80"/>
  <c r="N249" i="80"/>
  <c r="O249" i="80"/>
  <c r="P249" i="80"/>
  <c r="F249" i="80" s="1"/>
  <c r="Q249" i="80"/>
  <c r="S249" i="80"/>
  <c r="F250" i="80"/>
  <c r="L250" i="80"/>
  <c r="N250" i="80"/>
  <c r="O250" i="80"/>
  <c r="P250" i="80"/>
  <c r="Q250" i="80"/>
  <c r="S250" i="80"/>
  <c r="L251" i="80"/>
  <c r="N251" i="80"/>
  <c r="O251" i="80"/>
  <c r="F251" i="80" s="1"/>
  <c r="P251" i="80"/>
  <c r="Q251" i="80"/>
  <c r="S251" i="80"/>
  <c r="L252" i="80"/>
  <c r="N252" i="80"/>
  <c r="O252" i="80"/>
  <c r="P252" i="80"/>
  <c r="Q252" i="80"/>
  <c r="S252" i="80"/>
  <c r="L253" i="80"/>
  <c r="N253" i="80"/>
  <c r="O253" i="80"/>
  <c r="F253" i="80" s="1"/>
  <c r="P253" i="80"/>
  <c r="Q253" i="80"/>
  <c r="S253" i="80"/>
  <c r="L254" i="80"/>
  <c r="N254" i="80"/>
  <c r="O254" i="80"/>
  <c r="F254" i="80" s="1"/>
  <c r="P254" i="80"/>
  <c r="Q254" i="80"/>
  <c r="S254" i="80"/>
  <c r="L255" i="80"/>
  <c r="N255" i="80"/>
  <c r="O255" i="80"/>
  <c r="F255" i="80" s="1"/>
  <c r="P255" i="80"/>
  <c r="Q255" i="80"/>
  <c r="S255" i="80"/>
  <c r="L256" i="80"/>
  <c r="N256" i="80"/>
  <c r="O256" i="80"/>
  <c r="P256" i="80"/>
  <c r="Q256" i="80"/>
  <c r="S256" i="80"/>
  <c r="L257" i="80"/>
  <c r="N257" i="80"/>
  <c r="O257" i="80"/>
  <c r="F257" i="80" s="1"/>
  <c r="P257" i="80"/>
  <c r="Q257" i="80"/>
  <c r="S257" i="80"/>
  <c r="L258" i="80"/>
  <c r="N258" i="80"/>
  <c r="O258" i="80"/>
  <c r="P258" i="80"/>
  <c r="F258" i="80" s="1"/>
  <c r="Q258" i="80"/>
  <c r="S258" i="80"/>
  <c r="F259" i="80"/>
  <c r="L259" i="80"/>
  <c r="N259" i="80"/>
  <c r="O259" i="80"/>
  <c r="P259" i="80"/>
  <c r="Q259" i="80"/>
  <c r="S259" i="80"/>
  <c r="F260" i="80"/>
  <c r="L260" i="80"/>
  <c r="N260" i="80"/>
  <c r="O260" i="80"/>
  <c r="P260" i="80"/>
  <c r="Q260" i="80"/>
  <c r="S260" i="80"/>
  <c r="L261" i="80"/>
  <c r="N261" i="80"/>
  <c r="O261" i="80"/>
  <c r="F261" i="80" s="1"/>
  <c r="P261" i="80"/>
  <c r="Q261" i="80"/>
  <c r="S261" i="80"/>
  <c r="L262" i="80"/>
  <c r="N262" i="80"/>
  <c r="O262" i="80"/>
  <c r="F262" i="80" s="1"/>
  <c r="P262" i="80"/>
  <c r="Q262" i="80"/>
  <c r="S262" i="80"/>
  <c r="L263" i="80"/>
  <c r="N263" i="80"/>
  <c r="O263" i="80"/>
  <c r="P263" i="80"/>
  <c r="Q263" i="80"/>
  <c r="S263" i="80"/>
  <c r="L264" i="80"/>
  <c r="N264" i="80"/>
  <c r="O264" i="80"/>
  <c r="P264" i="80"/>
  <c r="Q264" i="80"/>
  <c r="S264" i="80"/>
  <c r="L265" i="80"/>
  <c r="N265" i="80"/>
  <c r="O265" i="80"/>
  <c r="P265" i="80"/>
  <c r="Q265" i="80"/>
  <c r="S265" i="80"/>
  <c r="L266" i="80"/>
  <c r="N266" i="80"/>
  <c r="O266" i="80"/>
  <c r="F266" i="80" s="1"/>
  <c r="P266" i="80"/>
  <c r="Q266" i="80"/>
  <c r="S266" i="80"/>
  <c r="L267" i="80"/>
  <c r="N267" i="80"/>
  <c r="O267" i="80"/>
  <c r="F267" i="80" s="1"/>
  <c r="P267" i="80"/>
  <c r="Q267" i="80"/>
  <c r="S267" i="80"/>
  <c r="L268" i="80"/>
  <c r="N268" i="80"/>
  <c r="O268" i="80"/>
  <c r="F268" i="80" s="1"/>
  <c r="P268" i="80"/>
  <c r="Q268" i="80"/>
  <c r="S268" i="80"/>
  <c r="L269" i="80"/>
  <c r="N269" i="80"/>
  <c r="O269" i="80"/>
  <c r="F269" i="80" s="1"/>
  <c r="P269" i="80"/>
  <c r="Q269" i="80"/>
  <c r="S269" i="80"/>
  <c r="L270" i="80"/>
  <c r="N270" i="80"/>
  <c r="O270" i="80"/>
  <c r="F270" i="80" s="1"/>
  <c r="P270" i="80"/>
  <c r="Q270" i="80"/>
  <c r="S270" i="80"/>
  <c r="L271" i="80"/>
  <c r="N271" i="80"/>
  <c r="O271" i="80"/>
  <c r="F271" i="80" s="1"/>
  <c r="P271" i="80"/>
  <c r="Q271" i="80"/>
  <c r="S271" i="80"/>
  <c r="L272" i="80"/>
  <c r="N272" i="80"/>
  <c r="O272" i="80"/>
  <c r="F272" i="80" s="1"/>
  <c r="P272" i="80"/>
  <c r="Q272" i="80"/>
  <c r="S272" i="80"/>
  <c r="L273" i="80"/>
  <c r="N273" i="80"/>
  <c r="O273" i="80"/>
  <c r="F273" i="80" s="1"/>
  <c r="P273" i="80"/>
  <c r="Q273" i="80"/>
  <c r="S273" i="80"/>
  <c r="F274" i="80"/>
  <c r="L274" i="80"/>
  <c r="N274" i="80"/>
  <c r="O274" i="80"/>
  <c r="P274" i="80"/>
  <c r="Q274" i="80"/>
  <c r="S274" i="80"/>
  <c r="F275" i="80"/>
  <c r="L275" i="80"/>
  <c r="N275" i="80"/>
  <c r="O275" i="80"/>
  <c r="P275" i="80"/>
  <c r="Q275" i="80"/>
  <c r="S275" i="80"/>
  <c r="F276" i="80"/>
  <c r="L276" i="80"/>
  <c r="N276" i="80"/>
  <c r="O276" i="80"/>
  <c r="P276" i="80"/>
  <c r="Q276" i="80"/>
  <c r="S276" i="80"/>
  <c r="L277" i="80"/>
  <c r="N277" i="80"/>
  <c r="O277" i="80"/>
  <c r="F277" i="80" s="1"/>
  <c r="P277" i="80"/>
  <c r="Q277" i="80"/>
  <c r="S277" i="80"/>
  <c r="L278" i="80"/>
  <c r="N278" i="80"/>
  <c r="O278" i="80"/>
  <c r="P278" i="80"/>
  <c r="Q278" i="80"/>
  <c r="S278" i="80"/>
  <c r="L279" i="80"/>
  <c r="N279" i="80"/>
  <c r="O279" i="80"/>
  <c r="P279" i="80"/>
  <c r="Q279" i="80"/>
  <c r="S279" i="80"/>
  <c r="L280" i="80"/>
  <c r="N280" i="80"/>
  <c r="O280" i="80"/>
  <c r="F280" i="80" s="1"/>
  <c r="P280" i="80"/>
  <c r="Q280" i="80"/>
  <c r="S280" i="80"/>
  <c r="L281" i="80"/>
  <c r="N281" i="80"/>
  <c r="O281" i="80"/>
  <c r="F281" i="80" s="1"/>
  <c r="P281" i="80"/>
  <c r="Q281" i="80"/>
  <c r="S281" i="80"/>
  <c r="L282" i="80"/>
  <c r="N282" i="80"/>
  <c r="O282" i="80"/>
  <c r="P282" i="80"/>
  <c r="Q282" i="80"/>
  <c r="S282" i="80"/>
  <c r="L283" i="80"/>
  <c r="N283" i="80"/>
  <c r="O283" i="80"/>
  <c r="P283" i="80"/>
  <c r="F283" i="80" s="1"/>
  <c r="Q283" i="80"/>
  <c r="S283" i="80"/>
  <c r="F284" i="80"/>
  <c r="L284" i="80"/>
  <c r="N284" i="80"/>
  <c r="O284" i="80"/>
  <c r="P284" i="80"/>
  <c r="Q284" i="80"/>
  <c r="S284" i="80"/>
  <c r="L285" i="80"/>
  <c r="N285" i="80"/>
  <c r="O285" i="80"/>
  <c r="F285" i="80" s="1"/>
  <c r="P285" i="80"/>
  <c r="Q285" i="80"/>
  <c r="S285" i="80"/>
  <c r="L286" i="80"/>
  <c r="N286" i="80"/>
  <c r="O286" i="80"/>
  <c r="F286" i="80" s="1"/>
  <c r="P286" i="80"/>
  <c r="Q286" i="80"/>
  <c r="S286" i="80"/>
  <c r="L287" i="80"/>
  <c r="N287" i="80"/>
  <c r="O287" i="80"/>
  <c r="P287" i="80"/>
  <c r="Q287" i="80"/>
  <c r="S287" i="80"/>
  <c r="L288" i="80"/>
  <c r="N288" i="80"/>
  <c r="O288" i="80"/>
  <c r="F288" i="80" s="1"/>
  <c r="P288" i="80"/>
  <c r="Q288" i="80"/>
  <c r="S288" i="80"/>
  <c r="L289" i="80"/>
  <c r="N289" i="80"/>
  <c r="O289" i="80"/>
  <c r="F289" i="80" s="1"/>
  <c r="P289" i="80"/>
  <c r="Q289" i="80"/>
  <c r="S289" i="80"/>
  <c r="L290" i="80"/>
  <c r="N290" i="80"/>
  <c r="O290" i="80"/>
  <c r="F290" i="80" s="1"/>
  <c r="P290" i="80"/>
  <c r="Q290" i="80"/>
  <c r="S290" i="80"/>
  <c r="L291" i="80"/>
  <c r="N291" i="80"/>
  <c r="O291" i="80"/>
  <c r="P291" i="80"/>
  <c r="Q291" i="80"/>
  <c r="S291" i="80"/>
  <c r="L292" i="80"/>
  <c r="N292" i="80"/>
  <c r="O292" i="80"/>
  <c r="P292" i="80"/>
  <c r="Q292" i="80"/>
  <c r="S292" i="80"/>
  <c r="L293" i="80"/>
  <c r="N293" i="80"/>
  <c r="O293" i="80"/>
  <c r="P293" i="80"/>
  <c r="Q293" i="80"/>
  <c r="S293" i="80"/>
  <c r="L294" i="80"/>
  <c r="N294" i="80"/>
  <c r="O294" i="80"/>
  <c r="P294" i="80"/>
  <c r="Q294" i="80"/>
  <c r="S294" i="80"/>
  <c r="L295" i="80"/>
  <c r="N295" i="80"/>
  <c r="O295" i="80"/>
  <c r="F295" i="80" s="1"/>
  <c r="P295" i="80"/>
  <c r="Q295" i="80"/>
  <c r="S295" i="80"/>
  <c r="L296" i="80"/>
  <c r="N296" i="80"/>
  <c r="O296" i="80"/>
  <c r="P296" i="80"/>
  <c r="Q296" i="80"/>
  <c r="S296" i="80"/>
  <c r="L297" i="80"/>
  <c r="N297" i="80"/>
  <c r="O297" i="80"/>
  <c r="P297" i="80"/>
  <c r="Q297" i="80"/>
  <c r="S297" i="80"/>
  <c r="F298" i="80"/>
  <c r="L298" i="80"/>
  <c r="N298" i="80"/>
  <c r="O298" i="80"/>
  <c r="P298" i="80"/>
  <c r="Q298" i="80"/>
  <c r="S298" i="80"/>
  <c r="F299" i="80"/>
  <c r="L299" i="80"/>
  <c r="N299" i="80"/>
  <c r="O299" i="80"/>
  <c r="P299" i="80"/>
  <c r="Q299" i="80"/>
  <c r="S299" i="80"/>
  <c r="F300" i="80"/>
  <c r="L300" i="80"/>
  <c r="N300" i="80"/>
  <c r="O300" i="80"/>
  <c r="P300" i="80"/>
  <c r="Q300" i="80"/>
  <c r="S300" i="80"/>
  <c r="L301" i="80"/>
  <c r="N301" i="80"/>
  <c r="O301" i="80"/>
  <c r="P301" i="80"/>
  <c r="Q301" i="80"/>
  <c r="S301" i="80"/>
  <c r="L302" i="80"/>
  <c r="N302" i="80"/>
  <c r="O302" i="80"/>
  <c r="F302" i="80" s="1"/>
  <c r="P302" i="80"/>
  <c r="Q302" i="80"/>
  <c r="S302" i="80"/>
  <c r="L303" i="80"/>
  <c r="N303" i="80"/>
  <c r="O303" i="80"/>
  <c r="F303" i="80" s="1"/>
  <c r="P303" i="80"/>
  <c r="Q303" i="80"/>
  <c r="S303" i="80"/>
  <c r="L304" i="80"/>
  <c r="N304" i="80"/>
  <c r="O304" i="80"/>
  <c r="F304" i="80" s="1"/>
  <c r="P304" i="80"/>
  <c r="Q304" i="80"/>
  <c r="S304" i="80"/>
  <c r="L305" i="80"/>
  <c r="N305" i="80"/>
  <c r="O305" i="80"/>
  <c r="P305" i="80"/>
  <c r="Q305" i="80"/>
  <c r="S305" i="80"/>
  <c r="L306" i="80"/>
  <c r="N306" i="80"/>
  <c r="O306" i="80"/>
  <c r="F306" i="80" s="1"/>
  <c r="P306" i="80"/>
  <c r="Q306" i="80"/>
  <c r="S306" i="80"/>
  <c r="L307" i="80"/>
  <c r="N307" i="80"/>
  <c r="O307" i="80"/>
  <c r="F307" i="80" s="1"/>
  <c r="P307" i="80"/>
  <c r="Q307" i="80"/>
  <c r="S307" i="80"/>
  <c r="L308" i="80"/>
  <c r="N308" i="80"/>
  <c r="O308" i="80"/>
  <c r="P308" i="80"/>
  <c r="F308" i="80" s="1"/>
  <c r="Q308" i="80"/>
  <c r="S308" i="80"/>
  <c r="L309" i="80"/>
  <c r="N309" i="80"/>
  <c r="O309" i="80"/>
  <c r="P309" i="80"/>
  <c r="Q309" i="80"/>
  <c r="S309" i="80"/>
  <c r="L310" i="80"/>
  <c r="N310" i="80"/>
  <c r="O310" i="80"/>
  <c r="F310" i="80" s="1"/>
  <c r="P310" i="80"/>
  <c r="Q310" i="80"/>
  <c r="S310" i="80"/>
  <c r="L311" i="80"/>
  <c r="N311" i="80"/>
  <c r="O311" i="80"/>
  <c r="F311" i="80" s="1"/>
  <c r="P311" i="80"/>
  <c r="Q311" i="80"/>
  <c r="S311" i="80"/>
  <c r="L312" i="80"/>
  <c r="N312" i="80"/>
  <c r="O312" i="80"/>
  <c r="P312" i="80"/>
  <c r="Q312" i="80"/>
  <c r="S312" i="80"/>
  <c r="L313" i="80"/>
  <c r="N313" i="80"/>
  <c r="O313" i="80"/>
  <c r="P313" i="80"/>
  <c r="Q313" i="80"/>
  <c r="S313" i="80"/>
  <c r="F314" i="80"/>
  <c r="L314" i="80"/>
  <c r="N314" i="80"/>
  <c r="O314" i="80"/>
  <c r="P314" i="80"/>
  <c r="Q314" i="80"/>
  <c r="S314" i="80"/>
  <c r="F315" i="80"/>
  <c r="L315" i="80"/>
  <c r="N315" i="80"/>
  <c r="O315" i="80"/>
  <c r="P315" i="80"/>
  <c r="Q315" i="80"/>
  <c r="S315" i="80"/>
  <c r="L316" i="80"/>
  <c r="N316" i="80"/>
  <c r="O316" i="80"/>
  <c r="F316" i="80" s="1"/>
  <c r="P316" i="80"/>
  <c r="Q316" i="80"/>
  <c r="S316" i="80"/>
  <c r="L317" i="80"/>
  <c r="N317" i="80"/>
  <c r="O317" i="80"/>
  <c r="F317" i="80" s="1"/>
  <c r="P317" i="80"/>
  <c r="Q317" i="80"/>
  <c r="S317" i="80"/>
  <c r="L318" i="80"/>
  <c r="N318" i="80"/>
  <c r="O318" i="80"/>
  <c r="F318" i="80" s="1"/>
  <c r="P318" i="80"/>
  <c r="Q318" i="80"/>
  <c r="S318" i="80"/>
  <c r="L319" i="80"/>
  <c r="N319" i="80"/>
  <c r="O319" i="80"/>
  <c r="F319" i="80" s="1"/>
  <c r="P319" i="80"/>
  <c r="Q319" i="80"/>
  <c r="S319" i="80"/>
  <c r="L320" i="80"/>
  <c r="N320" i="80"/>
  <c r="O320" i="80"/>
  <c r="F320" i="80" s="1"/>
  <c r="P320" i="80"/>
  <c r="Q320" i="80"/>
  <c r="S320" i="80"/>
  <c r="L321" i="80"/>
  <c r="N321" i="80"/>
  <c r="O321" i="80"/>
  <c r="F321" i="80" s="1"/>
  <c r="P321" i="80"/>
  <c r="Q321" i="80"/>
  <c r="S321" i="80"/>
  <c r="L322" i="80"/>
  <c r="N322" i="80"/>
  <c r="O322" i="80"/>
  <c r="P322" i="80"/>
  <c r="F322" i="80" s="1"/>
  <c r="Q322" i="80"/>
  <c r="S322" i="80"/>
  <c r="F323" i="80"/>
  <c r="L323" i="80"/>
  <c r="N323" i="80"/>
  <c r="O323" i="80"/>
  <c r="P323" i="80"/>
  <c r="Q323" i="80"/>
  <c r="S323" i="80"/>
  <c r="F324" i="80"/>
  <c r="L324" i="80"/>
  <c r="N324" i="80"/>
  <c r="O324" i="80"/>
  <c r="P324" i="80"/>
  <c r="Q324" i="80"/>
  <c r="S324" i="80"/>
  <c r="L325" i="80"/>
  <c r="N325" i="80"/>
  <c r="O325" i="80"/>
  <c r="F325" i="80" s="1"/>
  <c r="P325" i="80"/>
  <c r="Q325" i="80"/>
  <c r="S325" i="80"/>
  <c r="L326" i="80"/>
  <c r="N326" i="80"/>
  <c r="O326" i="80"/>
  <c r="F326" i="80" s="1"/>
  <c r="P326" i="80"/>
  <c r="Q326" i="80"/>
  <c r="S326" i="80"/>
  <c r="L327" i="80"/>
  <c r="N327" i="80"/>
  <c r="O327" i="80"/>
  <c r="P327" i="80"/>
  <c r="Q327" i="80"/>
  <c r="S327" i="80"/>
  <c r="L328" i="80"/>
  <c r="N328" i="80"/>
  <c r="O328" i="80"/>
  <c r="P328" i="80"/>
  <c r="Q328" i="80"/>
  <c r="S328" i="80"/>
  <c r="L329" i="80"/>
  <c r="N329" i="80"/>
  <c r="O329" i="80"/>
  <c r="F329" i="80" s="1"/>
  <c r="P329" i="80"/>
  <c r="Q329" i="80"/>
  <c r="S329" i="80"/>
  <c r="L330" i="80"/>
  <c r="N330" i="80"/>
  <c r="O330" i="80"/>
  <c r="F330" i="80" s="1"/>
  <c r="P330" i="80"/>
  <c r="Q330" i="80"/>
  <c r="S330" i="80"/>
  <c r="L331" i="80"/>
  <c r="N331" i="80"/>
  <c r="O331" i="80"/>
  <c r="P331" i="80"/>
  <c r="Q331" i="80"/>
  <c r="S331" i="80"/>
  <c r="L332" i="80"/>
  <c r="N332" i="80"/>
  <c r="O332" i="80"/>
  <c r="F332" i="80" s="1"/>
  <c r="P332" i="80"/>
  <c r="Q332" i="80"/>
  <c r="S332" i="80"/>
  <c r="L333" i="80"/>
  <c r="N333" i="80"/>
  <c r="O333" i="80"/>
  <c r="F333" i="80" s="1"/>
  <c r="P333" i="80"/>
  <c r="Q333" i="80"/>
  <c r="S333" i="80"/>
  <c r="L334" i="80"/>
  <c r="N334" i="80"/>
  <c r="O334" i="80"/>
  <c r="F334" i="80" s="1"/>
  <c r="P334" i="80"/>
  <c r="Q334" i="80"/>
  <c r="S334" i="80"/>
  <c r="L335" i="80"/>
  <c r="N335" i="80"/>
  <c r="O335" i="80"/>
  <c r="P335" i="80"/>
  <c r="Q335" i="80"/>
  <c r="S335" i="80"/>
  <c r="L336" i="80"/>
  <c r="N336" i="80"/>
  <c r="O336" i="80"/>
  <c r="F336" i="80" s="1"/>
  <c r="P336" i="80"/>
  <c r="Q336" i="80"/>
  <c r="S336" i="80"/>
  <c r="L337" i="80"/>
  <c r="N337" i="80"/>
  <c r="O337" i="80"/>
  <c r="F337" i="80" s="1"/>
  <c r="P337" i="80"/>
  <c r="Q337" i="80"/>
  <c r="S337" i="80"/>
  <c r="F338" i="80"/>
  <c r="L338" i="80"/>
  <c r="N338" i="80"/>
  <c r="O338" i="80"/>
  <c r="P338" i="80"/>
  <c r="Q338" i="80"/>
  <c r="S338" i="80"/>
  <c r="F339" i="80"/>
  <c r="L339" i="80"/>
  <c r="N339" i="80"/>
  <c r="O339" i="80"/>
  <c r="P339" i="80"/>
  <c r="Q339" i="80"/>
  <c r="S339" i="80"/>
  <c r="L340" i="80"/>
  <c r="N340" i="80"/>
  <c r="O340" i="80"/>
  <c r="F340" i="80" s="1"/>
  <c r="P340" i="80"/>
  <c r="Q340" i="80"/>
  <c r="S340" i="80"/>
  <c r="L341" i="80"/>
  <c r="N341" i="80"/>
  <c r="O341" i="80"/>
  <c r="P341" i="80"/>
  <c r="Q341" i="80"/>
  <c r="S341" i="80"/>
  <c r="L342" i="80"/>
  <c r="N342" i="80"/>
  <c r="O342" i="80"/>
  <c r="P342" i="80"/>
  <c r="Q342" i="80"/>
  <c r="S342" i="80"/>
  <c r="L343" i="80"/>
  <c r="N343" i="80"/>
  <c r="O343" i="80"/>
  <c r="P343" i="80"/>
  <c r="Q343" i="80"/>
  <c r="S343" i="80"/>
  <c r="L344" i="80"/>
  <c r="N344" i="80"/>
  <c r="O344" i="80"/>
  <c r="F344" i="80" s="1"/>
  <c r="P344" i="80"/>
  <c r="Q344" i="80"/>
  <c r="S344" i="80"/>
  <c r="L345" i="80"/>
  <c r="N345" i="80"/>
  <c r="O345" i="80"/>
  <c r="P345" i="80"/>
  <c r="Q345" i="80"/>
  <c r="S345" i="80"/>
  <c r="L346" i="80"/>
  <c r="N346" i="80"/>
  <c r="O346" i="80"/>
  <c r="P346" i="80"/>
  <c r="Q346" i="80"/>
  <c r="S346" i="80"/>
  <c r="L347" i="80"/>
  <c r="N347" i="80"/>
  <c r="O347" i="80"/>
  <c r="P347" i="80"/>
  <c r="F347" i="80" s="1"/>
  <c r="Q347" i="80"/>
  <c r="S347" i="80"/>
  <c r="F348" i="80"/>
  <c r="L348" i="80"/>
  <c r="N348" i="80"/>
  <c r="O348" i="80"/>
  <c r="P348" i="80"/>
  <c r="Q348" i="80"/>
  <c r="S348" i="80"/>
  <c r="L349" i="80"/>
  <c r="N349" i="80"/>
  <c r="O349" i="80"/>
  <c r="F349" i="80" s="1"/>
  <c r="P349" i="80"/>
  <c r="Q349" i="80"/>
  <c r="S349" i="80"/>
  <c r="L350" i="80"/>
  <c r="N350" i="80"/>
  <c r="O350" i="80"/>
  <c r="F350" i="80" s="1"/>
  <c r="P350" i="80"/>
  <c r="Q350" i="80"/>
  <c r="S350" i="80"/>
  <c r="L351" i="80"/>
  <c r="N351" i="80"/>
  <c r="O351" i="80"/>
  <c r="F351" i="80" s="1"/>
  <c r="P351" i="80"/>
  <c r="Q351" i="80"/>
  <c r="S351" i="80"/>
  <c r="L352" i="80"/>
  <c r="N352" i="80"/>
  <c r="O352" i="80"/>
  <c r="F352" i="80" s="1"/>
  <c r="P352" i="80"/>
  <c r="Q352" i="80"/>
  <c r="S352" i="80"/>
  <c r="L353" i="80"/>
  <c r="N353" i="80"/>
  <c r="O353" i="80"/>
  <c r="F353" i="80" s="1"/>
  <c r="P353" i="80"/>
  <c r="Q353" i="80"/>
  <c r="S353" i="80"/>
  <c r="F354" i="80"/>
  <c r="L354" i="80"/>
  <c r="N354" i="80"/>
  <c r="O354" i="80"/>
  <c r="P354" i="80"/>
  <c r="Q354" i="80"/>
  <c r="S354" i="80"/>
  <c r="L355" i="80"/>
  <c r="N355" i="80"/>
  <c r="O355" i="80"/>
  <c r="P355" i="80"/>
  <c r="Q355" i="80"/>
  <c r="S355" i="80"/>
  <c r="L356" i="80"/>
  <c r="N356" i="80"/>
  <c r="O356" i="80"/>
  <c r="F356" i="80" s="1"/>
  <c r="P356" i="80"/>
  <c r="Q356" i="80"/>
  <c r="S356" i="80"/>
  <c r="L357" i="80"/>
  <c r="N357" i="80"/>
  <c r="O357" i="80"/>
  <c r="P357" i="80"/>
  <c r="Q357" i="80"/>
  <c r="S357" i="80"/>
  <c r="L358" i="80"/>
  <c r="N358" i="80"/>
  <c r="O358" i="80"/>
  <c r="P358" i="80"/>
  <c r="Q358" i="80"/>
  <c r="S358" i="80"/>
  <c r="L359" i="80"/>
  <c r="N359" i="80"/>
  <c r="O359" i="80"/>
  <c r="F359" i="80" s="1"/>
  <c r="P359" i="80"/>
  <c r="Q359" i="80"/>
  <c r="S359" i="80"/>
  <c r="L360" i="80"/>
  <c r="N360" i="80"/>
  <c r="O360" i="80"/>
  <c r="F360" i="80" s="1"/>
  <c r="P360" i="80"/>
  <c r="Q360" i="80"/>
  <c r="S360" i="80"/>
  <c r="L361" i="80"/>
  <c r="N361" i="80"/>
  <c r="O361" i="80"/>
  <c r="P361" i="80"/>
  <c r="Q361" i="80"/>
  <c r="S361" i="80"/>
  <c r="F362" i="80"/>
  <c r="L362" i="80"/>
  <c r="N362" i="80"/>
  <c r="O362" i="80"/>
  <c r="P362" i="80"/>
  <c r="Q362" i="80"/>
  <c r="S362" i="80"/>
  <c r="F363" i="80"/>
  <c r="L363" i="80"/>
  <c r="N363" i="80"/>
  <c r="O363" i="80"/>
  <c r="P363" i="80"/>
  <c r="Q363" i="80"/>
  <c r="S363" i="80"/>
  <c r="F364" i="80"/>
  <c r="L364" i="80"/>
  <c r="N364" i="80"/>
  <c r="O364" i="80"/>
  <c r="P364" i="80"/>
  <c r="Q364" i="80"/>
  <c r="S364" i="80"/>
  <c r="L365" i="80"/>
  <c r="N365" i="80"/>
  <c r="O365" i="80"/>
  <c r="F365" i="80" s="1"/>
  <c r="P365" i="80"/>
  <c r="Q365" i="80"/>
  <c r="S365" i="80"/>
  <c r="L366" i="80"/>
  <c r="N366" i="80"/>
  <c r="O366" i="80"/>
  <c r="F366" i="80" s="1"/>
  <c r="P366" i="80"/>
  <c r="Q366" i="80"/>
  <c r="S366" i="80"/>
  <c r="L367" i="80"/>
  <c r="N367" i="80"/>
  <c r="O367" i="80"/>
  <c r="F367" i="80" s="1"/>
  <c r="P367" i="80"/>
  <c r="Q367" i="80"/>
  <c r="S367" i="80"/>
  <c r="L368" i="80"/>
  <c r="N368" i="80"/>
  <c r="O368" i="80"/>
  <c r="F368" i="80" s="1"/>
  <c r="P368" i="80"/>
  <c r="Q368" i="80"/>
  <c r="S368" i="80"/>
  <c r="L369" i="80"/>
  <c r="N369" i="80"/>
  <c r="O369" i="80"/>
  <c r="F369" i="80" s="1"/>
  <c r="P369" i="80"/>
  <c r="Q369" i="80"/>
  <c r="S369" i="80"/>
  <c r="L370" i="80"/>
  <c r="N370" i="80"/>
  <c r="O370" i="80"/>
  <c r="F370" i="80" s="1"/>
  <c r="P370" i="80"/>
  <c r="Q370" i="80"/>
  <c r="S370" i="80"/>
  <c r="L371" i="80"/>
  <c r="N371" i="80"/>
  <c r="O371" i="80"/>
  <c r="P371" i="80"/>
  <c r="Q371" i="80"/>
  <c r="S371" i="80"/>
  <c r="L372" i="80"/>
  <c r="N372" i="80"/>
  <c r="O372" i="80"/>
  <c r="P372" i="80"/>
  <c r="F372" i="80" s="1"/>
  <c r="Q372" i="80"/>
  <c r="S372" i="80"/>
  <c r="L373" i="80"/>
  <c r="N373" i="80"/>
  <c r="O373" i="80"/>
  <c r="P373" i="80"/>
  <c r="Q373" i="80"/>
  <c r="S373" i="80"/>
  <c r="L374" i="80"/>
  <c r="N374" i="80"/>
  <c r="O374" i="80"/>
  <c r="F374" i="80" s="1"/>
  <c r="P374" i="80"/>
  <c r="Q374" i="80"/>
  <c r="S374" i="80"/>
  <c r="L375" i="80"/>
  <c r="N375" i="80"/>
  <c r="O375" i="80"/>
  <c r="P375" i="80"/>
  <c r="Q375" i="80"/>
  <c r="S375" i="80"/>
  <c r="L376" i="80"/>
  <c r="N376" i="80"/>
  <c r="O376" i="80"/>
  <c r="P376" i="80"/>
  <c r="Q376" i="80"/>
  <c r="S376" i="80"/>
  <c r="L377" i="80"/>
  <c r="N377" i="80"/>
  <c r="O377" i="80"/>
  <c r="P377" i="80"/>
  <c r="Q377" i="80"/>
  <c r="S377" i="80"/>
  <c r="F378" i="80"/>
  <c r="L378" i="80"/>
  <c r="N378" i="80"/>
  <c r="O378" i="80"/>
  <c r="P378" i="80"/>
  <c r="Q378" i="80"/>
  <c r="S378" i="80"/>
  <c r="L379" i="80"/>
  <c r="N379" i="80"/>
  <c r="O379" i="80"/>
  <c r="F379" i="80" s="1"/>
  <c r="P379" i="80"/>
  <c r="Q379" i="80"/>
  <c r="S379" i="80"/>
  <c r="L380" i="80"/>
  <c r="N380" i="80"/>
  <c r="O380" i="80"/>
  <c r="P380" i="80"/>
  <c r="Q380" i="80"/>
  <c r="S380" i="80"/>
  <c r="L381" i="80"/>
  <c r="N381" i="80"/>
  <c r="O381" i="80"/>
  <c r="F381" i="80" s="1"/>
  <c r="P381" i="80"/>
  <c r="Q381" i="80"/>
  <c r="S381" i="80"/>
  <c r="L382" i="80"/>
  <c r="N382" i="80"/>
  <c r="O382" i="80"/>
  <c r="F382" i="80" s="1"/>
  <c r="P382" i="80"/>
  <c r="Q382" i="80"/>
  <c r="S382" i="80"/>
  <c r="L383" i="80"/>
  <c r="N383" i="80"/>
  <c r="O383" i="80"/>
  <c r="F383" i="80" s="1"/>
  <c r="P383" i="80"/>
  <c r="Q383" i="80"/>
  <c r="S383" i="80"/>
  <c r="L384" i="80"/>
  <c r="N384" i="80"/>
  <c r="O384" i="80"/>
  <c r="P384" i="80"/>
  <c r="Q384" i="80"/>
  <c r="S384" i="80"/>
  <c r="L385" i="80"/>
  <c r="N385" i="80"/>
  <c r="O385" i="80"/>
  <c r="F385" i="80" s="1"/>
  <c r="P385" i="80"/>
  <c r="Q385" i="80"/>
  <c r="S385" i="80"/>
  <c r="L386" i="80"/>
  <c r="N386" i="80"/>
  <c r="O386" i="80"/>
  <c r="P386" i="80"/>
  <c r="F386" i="80" s="1"/>
  <c r="Q386" i="80"/>
  <c r="S386" i="80"/>
  <c r="F387" i="80"/>
  <c r="L387" i="80"/>
  <c r="N387" i="80"/>
  <c r="O387" i="80"/>
  <c r="P387" i="80"/>
  <c r="Q387" i="80"/>
  <c r="S387" i="80"/>
  <c r="F388" i="80"/>
  <c r="L388" i="80"/>
  <c r="N388" i="80"/>
  <c r="O388" i="80"/>
  <c r="P388" i="80"/>
  <c r="Q388" i="80"/>
  <c r="S388" i="80"/>
  <c r="L389" i="80"/>
  <c r="N389" i="80"/>
  <c r="O389" i="80"/>
  <c r="F389" i="80" s="1"/>
  <c r="P389" i="80"/>
  <c r="Q389" i="80"/>
  <c r="S389" i="80"/>
  <c r="L390" i="80"/>
  <c r="N390" i="80"/>
  <c r="O390" i="80"/>
  <c r="F390" i="80" s="1"/>
  <c r="P390" i="80"/>
  <c r="Q390" i="80"/>
  <c r="S390" i="80"/>
  <c r="L391" i="80"/>
  <c r="N391" i="80"/>
  <c r="O391" i="80"/>
  <c r="P391" i="80"/>
  <c r="Q391" i="80"/>
  <c r="S391" i="80"/>
  <c r="L392" i="80"/>
  <c r="N392" i="80"/>
  <c r="O392" i="80"/>
  <c r="P392" i="80"/>
  <c r="Q392" i="80"/>
  <c r="S392" i="80"/>
  <c r="L393" i="80"/>
  <c r="N393" i="80"/>
  <c r="O393" i="80"/>
  <c r="F393" i="80" s="1"/>
  <c r="P393" i="80"/>
  <c r="Q393" i="80"/>
  <c r="S393" i="80"/>
  <c r="L394" i="80"/>
  <c r="N394" i="80"/>
  <c r="O394" i="80"/>
  <c r="F394" i="80" s="1"/>
  <c r="P394" i="80"/>
  <c r="Q394" i="80"/>
  <c r="S394" i="80"/>
  <c r="L395" i="80"/>
  <c r="N395" i="80"/>
  <c r="O395" i="80"/>
  <c r="F395" i="80" s="1"/>
  <c r="P395" i="80"/>
  <c r="Q395" i="80"/>
  <c r="S395" i="80"/>
  <c r="L396" i="80"/>
  <c r="N396" i="80"/>
  <c r="O396" i="80"/>
  <c r="F396" i="80" s="1"/>
  <c r="P396" i="80"/>
  <c r="Q396" i="80"/>
  <c r="S396" i="80"/>
  <c r="L397" i="80"/>
  <c r="N397" i="80"/>
  <c r="O397" i="80"/>
  <c r="F397" i="80" s="1"/>
  <c r="P397" i="80"/>
  <c r="Q397" i="80"/>
  <c r="S397" i="80"/>
  <c r="L398" i="80"/>
  <c r="N398" i="80"/>
  <c r="O398" i="80"/>
  <c r="F398" i="80" s="1"/>
  <c r="P398" i="80"/>
  <c r="Q398" i="80"/>
  <c r="S398" i="80"/>
  <c r="L399" i="80"/>
  <c r="N399" i="80"/>
  <c r="O399" i="80"/>
  <c r="F399" i="80" s="1"/>
  <c r="P399" i="80"/>
  <c r="Q399" i="80"/>
  <c r="S399" i="80"/>
  <c r="L400" i="80"/>
  <c r="N400" i="80"/>
  <c r="O400" i="80"/>
  <c r="F400" i="80" s="1"/>
  <c r="P400" i="80"/>
  <c r="Q400" i="80"/>
  <c r="S400" i="80"/>
  <c r="L401" i="80"/>
  <c r="N401" i="80"/>
  <c r="O401" i="80"/>
  <c r="F401" i="80" s="1"/>
  <c r="P401" i="80"/>
  <c r="Q401" i="80"/>
  <c r="S401" i="80"/>
  <c r="F402" i="80"/>
  <c r="L402" i="80"/>
  <c r="N402" i="80"/>
  <c r="O402" i="80"/>
  <c r="P402" i="80"/>
  <c r="Q402" i="80"/>
  <c r="S402" i="80"/>
  <c r="F403" i="80"/>
  <c r="L403" i="80"/>
  <c r="N403" i="80"/>
  <c r="O403" i="80"/>
  <c r="P403" i="80"/>
  <c r="Q403" i="80"/>
  <c r="S403" i="80"/>
  <c r="F404" i="80"/>
  <c r="L404" i="80"/>
  <c r="N404" i="80"/>
  <c r="O404" i="80"/>
  <c r="P404" i="80"/>
  <c r="Q404" i="80"/>
  <c r="S404" i="80"/>
  <c r="L405" i="80"/>
  <c r="N405" i="80"/>
  <c r="O405" i="80"/>
  <c r="F405" i="80" s="1"/>
  <c r="P405" i="80"/>
  <c r="Q405" i="80"/>
  <c r="S405" i="80"/>
  <c r="L406" i="80"/>
  <c r="N406" i="80"/>
  <c r="O406" i="80"/>
  <c r="P406" i="80"/>
  <c r="Q406" i="80"/>
  <c r="S406" i="80"/>
  <c r="L407" i="80"/>
  <c r="N407" i="80"/>
  <c r="O407" i="80"/>
  <c r="P407" i="80"/>
  <c r="Q407" i="80"/>
  <c r="S407" i="80"/>
  <c r="L408" i="80"/>
  <c r="N408" i="80"/>
  <c r="O408" i="80"/>
  <c r="P408" i="80"/>
  <c r="Q408" i="80"/>
  <c r="S408" i="80"/>
  <c r="L409" i="80"/>
  <c r="N409" i="80"/>
  <c r="O409" i="80"/>
  <c r="F409" i="80" s="1"/>
  <c r="P409" i="80"/>
  <c r="Q409" i="80"/>
  <c r="S409" i="80"/>
  <c r="L410" i="80"/>
  <c r="N410" i="80"/>
  <c r="O410" i="80"/>
  <c r="P410" i="80"/>
  <c r="Q410" i="80"/>
  <c r="S410" i="80"/>
  <c r="L411" i="80"/>
  <c r="N411" i="80"/>
  <c r="O411" i="80"/>
  <c r="P411" i="80"/>
  <c r="F411" i="80" s="1"/>
  <c r="Q411" i="80"/>
  <c r="S411" i="80"/>
  <c r="F412" i="80"/>
  <c r="L412" i="80"/>
  <c r="N412" i="80"/>
  <c r="O412" i="80"/>
  <c r="P412" i="80"/>
  <c r="Q412" i="80"/>
  <c r="S412" i="80"/>
  <c r="L413" i="80"/>
  <c r="N413" i="80"/>
  <c r="O413" i="80"/>
  <c r="F413" i="80" s="1"/>
  <c r="P413" i="80"/>
  <c r="Q413" i="80"/>
  <c r="S413" i="80"/>
  <c r="L414" i="80"/>
  <c r="N414" i="80"/>
  <c r="O414" i="80"/>
  <c r="F414" i="80" s="1"/>
  <c r="P414" i="80"/>
  <c r="Q414" i="80"/>
  <c r="S414" i="80"/>
  <c r="L415" i="80"/>
  <c r="N415" i="80"/>
  <c r="O415" i="80"/>
  <c r="P415" i="80"/>
  <c r="Q415" i="80"/>
  <c r="S415" i="80"/>
  <c r="L416" i="80"/>
  <c r="N416" i="80"/>
  <c r="O416" i="80"/>
  <c r="F416" i="80" s="1"/>
  <c r="P416" i="80"/>
  <c r="Q416" i="80"/>
  <c r="S416" i="80"/>
  <c r="L417" i="80"/>
  <c r="N417" i="80"/>
  <c r="O417" i="80"/>
  <c r="F417" i="80" s="1"/>
  <c r="P417" i="80"/>
  <c r="Q417" i="80"/>
  <c r="S417" i="80"/>
  <c r="F418" i="80"/>
  <c r="L418" i="80"/>
  <c r="N418" i="80"/>
  <c r="O418" i="80"/>
  <c r="P418" i="80"/>
  <c r="Q418" i="80"/>
  <c r="S418" i="80"/>
  <c r="L419" i="80"/>
  <c r="N419" i="80"/>
  <c r="O419" i="80"/>
  <c r="F419" i="80" s="1"/>
  <c r="P419" i="80"/>
  <c r="Q419" i="80"/>
  <c r="S419" i="80"/>
  <c r="L420" i="80"/>
  <c r="N420" i="80"/>
  <c r="O420" i="80"/>
  <c r="F420" i="80" s="1"/>
  <c r="P420" i="80"/>
  <c r="Q420" i="80"/>
  <c r="S420" i="80"/>
  <c r="L421" i="80"/>
  <c r="N421" i="80"/>
  <c r="O421" i="80"/>
  <c r="P421" i="80"/>
  <c r="Q421" i="80"/>
  <c r="S421" i="80"/>
  <c r="L422" i="80"/>
  <c r="N422" i="80"/>
  <c r="O422" i="80"/>
  <c r="P422" i="80"/>
  <c r="Q422" i="80"/>
  <c r="S422" i="80"/>
  <c r="L423" i="80"/>
  <c r="N423" i="80"/>
  <c r="O423" i="80"/>
  <c r="F423" i="80" s="1"/>
  <c r="P423" i="80"/>
  <c r="Q423" i="80"/>
  <c r="S423" i="80"/>
  <c r="L424" i="80"/>
  <c r="N424" i="80"/>
  <c r="O424" i="80"/>
  <c r="P424" i="80"/>
  <c r="Q424" i="80"/>
  <c r="S424" i="80"/>
  <c r="L425" i="80"/>
  <c r="N425" i="80"/>
  <c r="O425" i="80"/>
  <c r="P425" i="80"/>
  <c r="Q425" i="80"/>
  <c r="S425" i="80"/>
  <c r="F426" i="80"/>
  <c r="L426" i="80"/>
  <c r="N426" i="80"/>
  <c r="O426" i="80"/>
  <c r="P426" i="80"/>
  <c r="Q426" i="80"/>
  <c r="S426" i="80"/>
  <c r="F427" i="80"/>
  <c r="L427" i="80"/>
  <c r="N427" i="80"/>
  <c r="O427" i="80"/>
  <c r="P427" i="80"/>
  <c r="Q427" i="80"/>
  <c r="S427" i="80"/>
  <c r="F428" i="80"/>
  <c r="L428" i="80"/>
  <c r="N428" i="80"/>
  <c r="O428" i="80"/>
  <c r="P428" i="80"/>
  <c r="Q428" i="80"/>
  <c r="S428" i="80"/>
  <c r="L429" i="80"/>
  <c r="N429" i="80"/>
  <c r="O429" i="80"/>
  <c r="F429" i="80" s="1"/>
  <c r="P429" i="80"/>
  <c r="Q429" i="80"/>
  <c r="S429" i="80"/>
  <c r="L430" i="80"/>
  <c r="N430" i="80"/>
  <c r="O430" i="80"/>
  <c r="P430" i="80"/>
  <c r="Q430" i="80"/>
  <c r="S430" i="80"/>
  <c r="L431" i="80"/>
  <c r="N431" i="80"/>
  <c r="O431" i="80"/>
  <c r="F431" i="80" s="1"/>
  <c r="P431" i="80"/>
  <c r="Q431" i="80"/>
  <c r="S431" i="80"/>
  <c r="L432" i="80"/>
  <c r="N432" i="80"/>
  <c r="O432" i="80"/>
  <c r="F432" i="80" s="1"/>
  <c r="P432" i="80"/>
  <c r="Q432" i="80"/>
  <c r="S432" i="80"/>
  <c r="L433" i="80"/>
  <c r="N433" i="80"/>
  <c r="O433" i="80"/>
  <c r="F433" i="80" s="1"/>
  <c r="P433" i="80"/>
  <c r="Q433" i="80"/>
  <c r="S433" i="80"/>
  <c r="L434" i="80"/>
  <c r="N434" i="80"/>
  <c r="O434" i="80"/>
  <c r="F434" i="80" s="1"/>
  <c r="P434" i="80"/>
  <c r="Q434" i="80"/>
  <c r="S434" i="80"/>
  <c r="L435" i="80"/>
  <c r="N435" i="80"/>
  <c r="O435" i="80"/>
  <c r="P435" i="80"/>
  <c r="Q435" i="80"/>
  <c r="S435" i="80"/>
  <c r="F436" i="80"/>
  <c r="L436" i="80"/>
  <c r="N436" i="80"/>
  <c r="O436" i="80"/>
  <c r="P436" i="80"/>
  <c r="Q436" i="80"/>
  <c r="S436" i="80"/>
  <c r="L437" i="80"/>
  <c r="N437" i="80"/>
  <c r="O437" i="80"/>
  <c r="F437" i="80" s="1"/>
  <c r="P437" i="80"/>
  <c r="Q437" i="80"/>
  <c r="S437" i="80"/>
  <c r="L438" i="80"/>
  <c r="N438" i="80"/>
  <c r="O438" i="80"/>
  <c r="F438" i="80" s="1"/>
  <c r="P438" i="80"/>
  <c r="Q438" i="80"/>
  <c r="S438" i="80"/>
  <c r="L439" i="80"/>
  <c r="N439" i="80"/>
  <c r="O439" i="80"/>
  <c r="P439" i="80"/>
  <c r="Q439" i="80"/>
  <c r="S439" i="80"/>
  <c r="L440" i="80"/>
  <c r="N440" i="80"/>
  <c r="O440" i="80"/>
  <c r="P440" i="80"/>
  <c r="Q440" i="80"/>
  <c r="S440" i="80"/>
  <c r="L144" i="5"/>
  <c r="N144" i="5"/>
  <c r="O144" i="5"/>
  <c r="F144" i="5" s="1"/>
  <c r="P144" i="5"/>
  <c r="Q144" i="5"/>
  <c r="L145" i="5"/>
  <c r="N145" i="5"/>
  <c r="O145" i="5"/>
  <c r="F145" i="5" s="1"/>
  <c r="P145" i="5"/>
  <c r="Q145" i="5"/>
  <c r="L146" i="5"/>
  <c r="N146" i="5"/>
  <c r="O146" i="5"/>
  <c r="F146" i="5" s="1"/>
  <c r="P146" i="5"/>
  <c r="Q146" i="5"/>
  <c r="L147" i="5"/>
  <c r="N147" i="5"/>
  <c r="O147" i="5"/>
  <c r="F147" i="5" s="1"/>
  <c r="P147" i="5"/>
  <c r="Q147" i="5"/>
  <c r="L148" i="5"/>
  <c r="N148" i="5"/>
  <c r="O148" i="5"/>
  <c r="F148" i="5" s="1"/>
  <c r="P148" i="5"/>
  <c r="Q148" i="5"/>
  <c r="L149" i="5"/>
  <c r="N149" i="5"/>
  <c r="O149" i="5"/>
  <c r="P149" i="5"/>
  <c r="Q149" i="5"/>
  <c r="L150" i="5"/>
  <c r="N150" i="5"/>
  <c r="O150" i="5"/>
  <c r="F150" i="5" s="1"/>
  <c r="P150" i="5"/>
  <c r="Q150" i="5"/>
  <c r="L151" i="5"/>
  <c r="N151" i="5"/>
  <c r="O151" i="5"/>
  <c r="P151" i="5"/>
  <c r="Q151" i="5"/>
  <c r="L152" i="5"/>
  <c r="N152" i="5"/>
  <c r="O152" i="5"/>
  <c r="P152" i="5"/>
  <c r="Q152" i="5"/>
  <c r="F153" i="5"/>
  <c r="L153" i="5"/>
  <c r="N153" i="5"/>
  <c r="O153" i="5"/>
  <c r="P153" i="5"/>
  <c r="Q153" i="5"/>
  <c r="L154" i="5"/>
  <c r="N154" i="5"/>
  <c r="O154" i="5"/>
  <c r="F154" i="5" s="1"/>
  <c r="P154" i="5"/>
  <c r="Q154" i="5"/>
  <c r="L155" i="5"/>
  <c r="N155" i="5"/>
  <c r="O155" i="5"/>
  <c r="F155" i="5" s="1"/>
  <c r="P155" i="5"/>
  <c r="Q155" i="5"/>
  <c r="L156" i="5"/>
  <c r="N156" i="5"/>
  <c r="O156" i="5"/>
  <c r="F156" i="5" s="1"/>
  <c r="P156" i="5"/>
  <c r="Q156" i="5"/>
  <c r="L157" i="5"/>
  <c r="N157" i="5"/>
  <c r="O157" i="5"/>
  <c r="F157" i="5" s="1"/>
  <c r="P157" i="5"/>
  <c r="Q157" i="5"/>
  <c r="L158" i="5"/>
  <c r="N158" i="5"/>
  <c r="O158" i="5"/>
  <c r="P158" i="5"/>
  <c r="Q158" i="5"/>
  <c r="L159" i="5"/>
  <c r="N159" i="5"/>
  <c r="O159" i="5"/>
  <c r="F159" i="5" s="1"/>
  <c r="P159" i="5"/>
  <c r="Q159" i="5"/>
  <c r="L160" i="5"/>
  <c r="N160" i="5"/>
  <c r="O160" i="5"/>
  <c r="P160" i="5"/>
  <c r="Q160" i="5"/>
  <c r="L161" i="5"/>
  <c r="N161" i="5"/>
  <c r="O161" i="5"/>
  <c r="P161" i="5"/>
  <c r="F161" i="5" s="1"/>
  <c r="Q161" i="5"/>
  <c r="F162" i="5"/>
  <c r="L162" i="5"/>
  <c r="N162" i="5"/>
  <c r="O162" i="5"/>
  <c r="P162" i="5"/>
  <c r="Q162" i="5"/>
  <c r="L163" i="5"/>
  <c r="N163" i="5"/>
  <c r="O163" i="5"/>
  <c r="F163" i="5" s="1"/>
  <c r="P163" i="5"/>
  <c r="Q163" i="5"/>
  <c r="L164" i="5"/>
  <c r="N164" i="5"/>
  <c r="O164" i="5"/>
  <c r="P164" i="5"/>
  <c r="Q164" i="5"/>
  <c r="L165" i="5"/>
  <c r="N165" i="5"/>
  <c r="O165" i="5"/>
  <c r="F165" i="5" s="1"/>
  <c r="P165" i="5"/>
  <c r="Q165" i="5"/>
  <c r="L166" i="5"/>
  <c r="N166" i="5"/>
  <c r="O166" i="5"/>
  <c r="F166" i="5" s="1"/>
  <c r="P166" i="5"/>
  <c r="Q166" i="5"/>
  <c r="L167" i="5"/>
  <c r="N167" i="5"/>
  <c r="O167" i="5"/>
  <c r="P167" i="5"/>
  <c r="Q167" i="5"/>
  <c r="L168" i="5"/>
  <c r="N168" i="5"/>
  <c r="O168" i="5"/>
  <c r="F168" i="5" s="1"/>
  <c r="P168" i="5"/>
  <c r="Q168" i="5"/>
  <c r="L169" i="5"/>
  <c r="N169" i="5"/>
  <c r="O169" i="5"/>
  <c r="F169" i="5" s="1"/>
  <c r="P169" i="5"/>
  <c r="Q169" i="5"/>
  <c r="L170" i="5"/>
  <c r="N170" i="5"/>
  <c r="O170" i="5"/>
  <c r="F170" i="5" s="1"/>
  <c r="P170" i="5"/>
  <c r="Q170" i="5"/>
  <c r="F171" i="5"/>
  <c r="L171" i="5"/>
  <c r="N171" i="5"/>
  <c r="O171" i="5"/>
  <c r="P171" i="5"/>
  <c r="Q171" i="5"/>
  <c r="L172" i="5"/>
  <c r="N172" i="5"/>
  <c r="O172" i="5"/>
  <c r="F172" i="5" s="1"/>
  <c r="P172" i="5"/>
  <c r="Q172" i="5"/>
  <c r="L173" i="5"/>
  <c r="N173" i="5"/>
  <c r="O173" i="5"/>
  <c r="P173" i="5"/>
  <c r="Q173" i="5"/>
  <c r="L174" i="5"/>
  <c r="N174" i="5"/>
  <c r="O174" i="5"/>
  <c r="F174" i="5" s="1"/>
  <c r="P174" i="5"/>
  <c r="Q174" i="5"/>
  <c r="L175" i="5"/>
  <c r="N175" i="5"/>
  <c r="O175" i="5"/>
  <c r="F175" i="5" s="1"/>
  <c r="P175" i="5"/>
  <c r="Q175" i="5"/>
  <c r="L176" i="5"/>
  <c r="N176" i="5"/>
  <c r="O176" i="5"/>
  <c r="P176" i="5"/>
  <c r="Q176" i="5"/>
  <c r="F177" i="5"/>
  <c r="L177" i="5"/>
  <c r="N177" i="5"/>
  <c r="O177" i="5"/>
  <c r="P177" i="5"/>
  <c r="Q177" i="5"/>
  <c r="L178" i="5"/>
  <c r="N178" i="5"/>
  <c r="O178" i="5"/>
  <c r="F178" i="5" s="1"/>
  <c r="P178" i="5"/>
  <c r="Q178" i="5"/>
  <c r="L179" i="5"/>
  <c r="N179" i="5"/>
  <c r="O179" i="5"/>
  <c r="P179" i="5"/>
  <c r="Q179" i="5"/>
  <c r="L180" i="5"/>
  <c r="N180" i="5"/>
  <c r="O180" i="5"/>
  <c r="P180" i="5"/>
  <c r="Q180" i="5"/>
  <c r="L181" i="5"/>
  <c r="N181" i="5"/>
  <c r="O181" i="5"/>
  <c r="F181" i="5" s="1"/>
  <c r="P181" i="5"/>
  <c r="Q181" i="5"/>
  <c r="L182" i="5"/>
  <c r="N182" i="5"/>
  <c r="O182" i="5"/>
  <c r="P182" i="5"/>
  <c r="F182" i="5" s="1"/>
  <c r="Q182" i="5"/>
  <c r="L183" i="5"/>
  <c r="N183" i="5"/>
  <c r="O183" i="5"/>
  <c r="F183" i="5" s="1"/>
  <c r="P183" i="5"/>
  <c r="Q183" i="5"/>
  <c r="L184" i="5"/>
  <c r="N184" i="5"/>
  <c r="O184" i="5"/>
  <c r="P184" i="5"/>
  <c r="Q184" i="5"/>
  <c r="L185" i="5"/>
  <c r="N185" i="5"/>
  <c r="O185" i="5"/>
  <c r="P185" i="5"/>
  <c r="F185" i="5" s="1"/>
  <c r="Q185" i="5"/>
  <c r="F186" i="5"/>
  <c r="L186" i="5"/>
  <c r="N186" i="5"/>
  <c r="O186" i="5"/>
  <c r="P186" i="5"/>
  <c r="Q186" i="5"/>
  <c r="L187" i="5"/>
  <c r="N187" i="5"/>
  <c r="O187" i="5"/>
  <c r="F187" i="5" s="1"/>
  <c r="P187" i="5"/>
  <c r="Q187" i="5"/>
  <c r="L188" i="5"/>
  <c r="N188" i="5"/>
  <c r="O188" i="5"/>
  <c r="P188" i="5"/>
  <c r="Q188" i="5"/>
  <c r="L189" i="5"/>
  <c r="N189" i="5"/>
  <c r="O189" i="5"/>
  <c r="P189" i="5"/>
  <c r="Q189" i="5"/>
  <c r="L190" i="5"/>
  <c r="N190" i="5"/>
  <c r="O190" i="5"/>
  <c r="P190" i="5"/>
  <c r="Q190" i="5"/>
  <c r="L191" i="5"/>
  <c r="N191" i="5"/>
  <c r="O191" i="5"/>
  <c r="P191" i="5"/>
  <c r="Q191" i="5"/>
  <c r="L192" i="5"/>
  <c r="N192" i="5"/>
  <c r="O192" i="5"/>
  <c r="F192" i="5" s="1"/>
  <c r="P192" i="5"/>
  <c r="Q192" i="5"/>
  <c r="L193" i="5"/>
  <c r="N193" i="5"/>
  <c r="O193" i="5"/>
  <c r="F193" i="5" s="1"/>
  <c r="P193" i="5"/>
  <c r="Q193" i="5"/>
  <c r="L194" i="5"/>
  <c r="N194" i="5"/>
  <c r="O194" i="5"/>
  <c r="P194" i="5"/>
  <c r="Q194" i="5"/>
  <c r="F195" i="5"/>
  <c r="L195" i="5"/>
  <c r="N195" i="5"/>
  <c r="O195" i="5"/>
  <c r="P195" i="5"/>
  <c r="Q195" i="5"/>
  <c r="L196" i="5"/>
  <c r="N196" i="5"/>
  <c r="O196" i="5"/>
  <c r="F196" i="5" s="1"/>
  <c r="P196" i="5"/>
  <c r="Q196" i="5"/>
  <c r="L197" i="5"/>
  <c r="N197" i="5"/>
  <c r="O197" i="5"/>
  <c r="P197" i="5"/>
  <c r="Q197" i="5"/>
  <c r="L198" i="5"/>
  <c r="N198" i="5"/>
  <c r="O198" i="5"/>
  <c r="P198" i="5"/>
  <c r="F198" i="5" s="1"/>
  <c r="Q198" i="5"/>
  <c r="L199" i="5"/>
  <c r="N199" i="5"/>
  <c r="O199" i="5"/>
  <c r="P199" i="5"/>
  <c r="Q199" i="5"/>
  <c r="L200" i="5"/>
  <c r="N200" i="5"/>
  <c r="O200" i="5"/>
  <c r="F200" i="5" s="1"/>
  <c r="P200" i="5"/>
  <c r="Q200" i="5"/>
  <c r="F201" i="5"/>
  <c r="L201" i="5"/>
  <c r="N201" i="5"/>
  <c r="O201" i="5"/>
  <c r="P201" i="5"/>
  <c r="Q201" i="5"/>
  <c r="L202" i="5"/>
  <c r="N202" i="5"/>
  <c r="O202" i="5"/>
  <c r="F202" i="5" s="1"/>
  <c r="P202" i="5"/>
  <c r="Q202" i="5"/>
  <c r="L203" i="5"/>
  <c r="N203" i="5"/>
  <c r="O203" i="5"/>
  <c r="F203" i="5" s="1"/>
  <c r="P203" i="5"/>
  <c r="Q203" i="5"/>
  <c r="L204" i="5"/>
  <c r="N204" i="5"/>
  <c r="O204" i="5"/>
  <c r="P204" i="5"/>
  <c r="Q204" i="5"/>
  <c r="L205" i="5"/>
  <c r="N205" i="5"/>
  <c r="O205" i="5"/>
  <c r="F205" i="5" s="1"/>
  <c r="P205" i="5"/>
  <c r="Q205" i="5"/>
  <c r="L206" i="5"/>
  <c r="N206" i="5"/>
  <c r="O206" i="5"/>
  <c r="P206" i="5"/>
  <c r="F206" i="5" s="1"/>
  <c r="Q206" i="5"/>
  <c r="L207" i="5"/>
  <c r="N207" i="5"/>
  <c r="O207" i="5"/>
  <c r="P207" i="5"/>
  <c r="Q207" i="5"/>
  <c r="L208" i="5"/>
  <c r="N208" i="5"/>
  <c r="O208" i="5"/>
  <c r="P208" i="5"/>
  <c r="Q208" i="5"/>
  <c r="L209" i="5"/>
  <c r="N209" i="5"/>
  <c r="O209" i="5"/>
  <c r="F209" i="5" s="1"/>
  <c r="P209" i="5"/>
  <c r="Q209" i="5"/>
  <c r="F210" i="5"/>
  <c r="L210" i="5"/>
  <c r="N210" i="5"/>
  <c r="O210" i="5"/>
  <c r="P210" i="5"/>
  <c r="Q210" i="5"/>
  <c r="L211" i="5"/>
  <c r="N211" i="5"/>
  <c r="O211" i="5"/>
  <c r="F211" i="5" s="1"/>
  <c r="P211" i="5"/>
  <c r="Q211" i="5"/>
  <c r="L212" i="5"/>
  <c r="N212" i="5"/>
  <c r="O212" i="5"/>
  <c r="P212" i="5"/>
  <c r="Q212" i="5"/>
  <c r="L213" i="5"/>
  <c r="N213" i="5"/>
  <c r="O213" i="5"/>
  <c r="F213" i="5" s="1"/>
  <c r="P213" i="5"/>
  <c r="Q213" i="5"/>
  <c r="L214" i="5"/>
  <c r="N214" i="5"/>
  <c r="O214" i="5"/>
  <c r="P214" i="5"/>
  <c r="F214" i="5" s="1"/>
  <c r="Q214" i="5"/>
  <c r="L215" i="5"/>
  <c r="N215" i="5"/>
  <c r="O215" i="5"/>
  <c r="F215" i="5" s="1"/>
  <c r="P215" i="5"/>
  <c r="Q215" i="5"/>
  <c r="L216" i="5"/>
  <c r="N216" i="5"/>
  <c r="O216" i="5"/>
  <c r="P216" i="5"/>
  <c r="Q216" i="5"/>
  <c r="L217" i="5"/>
  <c r="N217" i="5"/>
  <c r="O217" i="5"/>
  <c r="F217" i="5" s="1"/>
  <c r="P217" i="5"/>
  <c r="Q217" i="5"/>
  <c r="L218" i="5"/>
  <c r="N218" i="5"/>
  <c r="O218" i="5"/>
  <c r="P218" i="5"/>
  <c r="F218" i="5" s="1"/>
  <c r="Q218" i="5"/>
  <c r="F219" i="5"/>
  <c r="L219" i="5"/>
  <c r="N219" i="5"/>
  <c r="O219" i="5"/>
  <c r="P219" i="5"/>
  <c r="Q219" i="5"/>
  <c r="L220" i="5"/>
  <c r="N220" i="5"/>
  <c r="O220" i="5"/>
  <c r="F220" i="5" s="1"/>
  <c r="P220" i="5"/>
  <c r="Q220" i="5"/>
  <c r="L221" i="5"/>
  <c r="N221" i="5"/>
  <c r="O221" i="5"/>
  <c r="P221" i="5"/>
  <c r="Q221" i="5"/>
  <c r="L222" i="5"/>
  <c r="N222" i="5"/>
  <c r="O222" i="5"/>
  <c r="P222" i="5"/>
  <c r="Q222" i="5"/>
  <c r="L223" i="5"/>
  <c r="N223" i="5"/>
  <c r="O223" i="5"/>
  <c r="P223" i="5"/>
  <c r="Q223" i="5"/>
  <c r="L224" i="5"/>
  <c r="N224" i="5"/>
  <c r="O224" i="5"/>
  <c r="F224" i="5" s="1"/>
  <c r="P224" i="5"/>
  <c r="Q224" i="5"/>
  <c r="F225" i="5"/>
  <c r="L225" i="5"/>
  <c r="N225" i="5"/>
  <c r="O225" i="5"/>
  <c r="P225" i="5"/>
  <c r="Q225" i="5"/>
  <c r="L226" i="5"/>
  <c r="N226" i="5"/>
  <c r="O226" i="5"/>
  <c r="F226" i="5" s="1"/>
  <c r="P226" i="5"/>
  <c r="Q226" i="5"/>
  <c r="L227" i="5"/>
  <c r="N227" i="5"/>
  <c r="O227" i="5"/>
  <c r="F227" i="5" s="1"/>
  <c r="P227" i="5"/>
  <c r="Q227" i="5"/>
  <c r="L228" i="5"/>
  <c r="N228" i="5"/>
  <c r="O228" i="5"/>
  <c r="P228" i="5"/>
  <c r="Q228" i="5"/>
  <c r="L229" i="5"/>
  <c r="N229" i="5"/>
  <c r="O229" i="5"/>
  <c r="F229" i="5" s="1"/>
  <c r="P229" i="5"/>
  <c r="Q229" i="5"/>
  <c r="L230" i="5"/>
  <c r="N230" i="5"/>
  <c r="O230" i="5"/>
  <c r="P230" i="5"/>
  <c r="F230" i="5" s="1"/>
  <c r="Q230" i="5"/>
  <c r="L231" i="5"/>
  <c r="N231" i="5"/>
  <c r="O231" i="5"/>
  <c r="F231" i="5" s="1"/>
  <c r="P231" i="5"/>
  <c r="Q231" i="5"/>
  <c r="L232" i="5"/>
  <c r="N232" i="5"/>
  <c r="O232" i="5"/>
  <c r="P232" i="5"/>
  <c r="Q232" i="5"/>
  <c r="L233" i="5"/>
  <c r="N233" i="5"/>
  <c r="O233" i="5"/>
  <c r="P233" i="5"/>
  <c r="F233" i="5" s="1"/>
  <c r="Q233" i="5"/>
  <c r="F234" i="5"/>
  <c r="L234" i="5"/>
  <c r="N234" i="5"/>
  <c r="O234" i="5"/>
  <c r="P234" i="5"/>
  <c r="Q234" i="5"/>
  <c r="F235" i="5"/>
  <c r="L235" i="5"/>
  <c r="N235" i="5"/>
  <c r="O235" i="5"/>
  <c r="P235" i="5"/>
  <c r="Q235" i="5"/>
  <c r="L236" i="5"/>
  <c r="N236" i="5"/>
  <c r="O236" i="5"/>
  <c r="P236" i="5"/>
  <c r="Q236" i="5"/>
  <c r="L237" i="5"/>
  <c r="N237" i="5"/>
  <c r="O237" i="5"/>
  <c r="P237" i="5"/>
  <c r="Q237" i="5"/>
  <c r="L238" i="5"/>
  <c r="N238" i="5"/>
  <c r="O238" i="5"/>
  <c r="F238" i="5" s="1"/>
  <c r="P238" i="5"/>
  <c r="Q238" i="5"/>
  <c r="L239" i="5"/>
  <c r="N239" i="5"/>
  <c r="O239" i="5"/>
  <c r="P239" i="5"/>
  <c r="Q239" i="5"/>
  <c r="L240" i="5"/>
  <c r="N240" i="5"/>
  <c r="O240" i="5"/>
  <c r="F240" i="5" s="1"/>
  <c r="P240" i="5"/>
  <c r="Q240" i="5"/>
  <c r="L241" i="5"/>
  <c r="N241" i="5"/>
  <c r="O241" i="5"/>
  <c r="F241" i="5" s="1"/>
  <c r="P241" i="5"/>
  <c r="Q241" i="5"/>
  <c r="L242" i="5"/>
  <c r="N242" i="5"/>
  <c r="O242" i="5"/>
  <c r="F242" i="5" s="1"/>
  <c r="P242" i="5"/>
  <c r="Q242" i="5"/>
  <c r="L243" i="5"/>
  <c r="N243" i="5"/>
  <c r="O243" i="5"/>
  <c r="P243" i="5"/>
  <c r="Q243" i="5"/>
  <c r="L244" i="5"/>
  <c r="N244" i="5"/>
  <c r="O244" i="5"/>
  <c r="P244" i="5"/>
  <c r="Q244" i="5"/>
  <c r="L245" i="5"/>
  <c r="N245" i="5"/>
  <c r="O245" i="5"/>
  <c r="P245" i="5"/>
  <c r="Q245" i="5"/>
  <c r="L246" i="5"/>
  <c r="N246" i="5"/>
  <c r="O246" i="5"/>
  <c r="F246" i="5" s="1"/>
  <c r="P246" i="5"/>
  <c r="Q246" i="5"/>
  <c r="L247" i="5"/>
  <c r="N247" i="5"/>
  <c r="O247" i="5"/>
  <c r="F247" i="5" s="1"/>
  <c r="P247" i="5"/>
  <c r="Q247" i="5"/>
  <c r="L248" i="5"/>
  <c r="N248" i="5"/>
  <c r="O248" i="5"/>
  <c r="F248" i="5" s="1"/>
  <c r="P248" i="5"/>
  <c r="Q248" i="5"/>
  <c r="F249" i="5"/>
  <c r="L249" i="5"/>
  <c r="N249" i="5"/>
  <c r="O249" i="5"/>
  <c r="P249" i="5"/>
  <c r="Q249" i="5"/>
  <c r="L250" i="5"/>
  <c r="N250" i="5"/>
  <c r="O250" i="5"/>
  <c r="P250" i="5"/>
  <c r="F250" i="5" s="1"/>
  <c r="Q250" i="5"/>
  <c r="L251" i="5"/>
  <c r="N251" i="5"/>
  <c r="O251" i="5"/>
  <c r="F251" i="5" s="1"/>
  <c r="P251" i="5"/>
  <c r="Q251" i="5"/>
  <c r="L252" i="5"/>
  <c r="N252" i="5"/>
  <c r="O252" i="5"/>
  <c r="P252" i="5"/>
  <c r="Q252" i="5"/>
  <c r="L253" i="5"/>
  <c r="N253" i="5"/>
  <c r="O253" i="5"/>
  <c r="P253" i="5"/>
  <c r="Q253" i="5"/>
  <c r="L254" i="5"/>
  <c r="N254" i="5"/>
  <c r="O254" i="5"/>
  <c r="P254" i="5"/>
  <c r="Q254" i="5"/>
  <c r="L255" i="5"/>
  <c r="N255" i="5"/>
  <c r="O255" i="5"/>
  <c r="F255" i="5" s="1"/>
  <c r="P255" i="5"/>
  <c r="Q255" i="5"/>
  <c r="L256" i="5"/>
  <c r="N256" i="5"/>
  <c r="O256" i="5"/>
  <c r="F256" i="5" s="1"/>
  <c r="P256" i="5"/>
  <c r="Q256" i="5"/>
  <c r="L257" i="5"/>
  <c r="N257" i="5"/>
  <c r="O257" i="5"/>
  <c r="P257" i="5"/>
  <c r="F257" i="5" s="1"/>
  <c r="Q257" i="5"/>
  <c r="L258" i="5"/>
  <c r="N258" i="5"/>
  <c r="O258" i="5"/>
  <c r="F258" i="5" s="1"/>
  <c r="P258" i="5"/>
  <c r="Q258" i="5"/>
  <c r="L259" i="5"/>
  <c r="N259" i="5"/>
  <c r="O259" i="5"/>
  <c r="F259" i="5" s="1"/>
  <c r="P259" i="5"/>
  <c r="Q259" i="5"/>
  <c r="L260" i="5"/>
  <c r="N260" i="5"/>
  <c r="O260" i="5"/>
  <c r="P260" i="5"/>
  <c r="Q260" i="5"/>
  <c r="L261" i="5"/>
  <c r="N261" i="5"/>
  <c r="O261" i="5"/>
  <c r="F261" i="5" s="1"/>
  <c r="P261" i="5"/>
  <c r="Q261" i="5"/>
  <c r="L262" i="5"/>
  <c r="N262" i="5"/>
  <c r="O262" i="5"/>
  <c r="P262" i="5"/>
  <c r="Q262" i="5"/>
  <c r="L263" i="5"/>
  <c r="N263" i="5"/>
  <c r="O263" i="5"/>
  <c r="F263" i="5" s="1"/>
  <c r="P263" i="5"/>
  <c r="Q263" i="5"/>
  <c r="L264" i="5"/>
  <c r="N264" i="5"/>
  <c r="O264" i="5"/>
  <c r="F264" i="5" s="1"/>
  <c r="P264" i="5"/>
  <c r="Q264" i="5"/>
  <c r="L265" i="5"/>
  <c r="N265" i="5"/>
  <c r="O265" i="5"/>
  <c r="P265" i="5"/>
  <c r="F265" i="5" s="1"/>
  <c r="Q265" i="5"/>
  <c r="L266" i="5"/>
  <c r="N266" i="5"/>
  <c r="O266" i="5"/>
  <c r="P266" i="5"/>
  <c r="F266" i="5" s="1"/>
  <c r="Q266" i="5"/>
  <c r="F267" i="5"/>
  <c r="L267" i="5"/>
  <c r="N267" i="5"/>
  <c r="O267" i="5"/>
  <c r="P267" i="5"/>
  <c r="Q267" i="5"/>
  <c r="L268" i="5"/>
  <c r="N268" i="5"/>
  <c r="O268" i="5"/>
  <c r="F268" i="5" s="1"/>
  <c r="P268" i="5"/>
  <c r="Q268" i="5"/>
  <c r="L269" i="5"/>
  <c r="N269" i="5"/>
  <c r="O269" i="5"/>
  <c r="P269" i="5"/>
  <c r="Q269" i="5"/>
  <c r="L270" i="5"/>
  <c r="N270" i="5"/>
  <c r="O270" i="5"/>
  <c r="F270" i="5" s="1"/>
  <c r="P270" i="5"/>
  <c r="Q270" i="5"/>
  <c r="L271" i="5"/>
  <c r="N271" i="5"/>
  <c r="O271" i="5"/>
  <c r="P271" i="5"/>
  <c r="Q271" i="5"/>
  <c r="L272" i="5"/>
  <c r="N272" i="5"/>
  <c r="O272" i="5"/>
  <c r="F272" i="5" s="1"/>
  <c r="P272" i="5"/>
  <c r="Q272" i="5"/>
  <c r="L273" i="5"/>
  <c r="N273" i="5"/>
  <c r="O273" i="5"/>
  <c r="F273" i="5" s="1"/>
  <c r="P273" i="5"/>
  <c r="Q273" i="5"/>
  <c r="L274" i="5"/>
  <c r="N274" i="5"/>
  <c r="O274" i="5"/>
  <c r="F274" i="5" s="1"/>
  <c r="P274" i="5"/>
  <c r="Q274" i="5"/>
  <c r="F275" i="5"/>
  <c r="L275" i="5"/>
  <c r="N275" i="5"/>
  <c r="O275" i="5"/>
  <c r="P275" i="5"/>
  <c r="Q275" i="5"/>
  <c r="L276" i="5"/>
  <c r="N276" i="5"/>
  <c r="O276" i="5"/>
  <c r="F276" i="5" s="1"/>
  <c r="P276" i="5"/>
  <c r="Q276" i="5"/>
  <c r="L277" i="5"/>
  <c r="N277" i="5"/>
  <c r="O277" i="5"/>
  <c r="P277" i="5"/>
  <c r="Q277" i="5"/>
  <c r="L278" i="5"/>
  <c r="N278" i="5"/>
  <c r="O278" i="5"/>
  <c r="F278" i="5" s="1"/>
  <c r="P278" i="5"/>
  <c r="Q278" i="5"/>
  <c r="L279" i="5"/>
  <c r="N279" i="5"/>
  <c r="O279" i="5"/>
  <c r="F279" i="5" s="1"/>
  <c r="P279" i="5"/>
  <c r="Q279" i="5"/>
  <c r="L280" i="5"/>
  <c r="N280" i="5"/>
  <c r="O280" i="5"/>
  <c r="P280" i="5"/>
  <c r="Q280" i="5"/>
  <c r="F281" i="5"/>
  <c r="L281" i="5"/>
  <c r="N281" i="5"/>
  <c r="O281" i="5"/>
  <c r="P281" i="5"/>
  <c r="Q281" i="5"/>
  <c r="F282" i="5"/>
  <c r="L282" i="5"/>
  <c r="N282" i="5"/>
  <c r="O282" i="5"/>
  <c r="P282" i="5"/>
  <c r="Q282" i="5"/>
  <c r="L283" i="5"/>
  <c r="N283" i="5"/>
  <c r="O283" i="5"/>
  <c r="F283" i="5" s="1"/>
  <c r="P283" i="5"/>
  <c r="Q283" i="5"/>
  <c r="L284" i="5"/>
  <c r="N284" i="5"/>
  <c r="O284" i="5"/>
  <c r="F284" i="5" s="1"/>
  <c r="P284" i="5"/>
  <c r="Q284" i="5"/>
  <c r="L285" i="5"/>
  <c r="N285" i="5"/>
  <c r="O285" i="5"/>
  <c r="F285" i="5" s="1"/>
  <c r="P285" i="5"/>
  <c r="Q285" i="5"/>
  <c r="L286" i="5"/>
  <c r="N286" i="5"/>
  <c r="O286" i="5"/>
  <c r="P286" i="5"/>
  <c r="Q286" i="5"/>
  <c r="L287" i="5"/>
  <c r="N287" i="5"/>
  <c r="O287" i="5"/>
  <c r="F287" i="5" s="1"/>
  <c r="P287" i="5"/>
  <c r="Q287" i="5"/>
  <c r="L288" i="5"/>
  <c r="N288" i="5"/>
  <c r="O288" i="5"/>
  <c r="F288" i="5" s="1"/>
  <c r="P288" i="5"/>
  <c r="Q288" i="5"/>
  <c r="L289" i="5"/>
  <c r="N289" i="5"/>
  <c r="O289" i="5"/>
  <c r="F289" i="5" s="1"/>
  <c r="P289" i="5"/>
  <c r="Q289" i="5"/>
  <c r="F290" i="5"/>
  <c r="L290" i="5"/>
  <c r="N290" i="5"/>
  <c r="O290" i="5"/>
  <c r="P290" i="5"/>
  <c r="Q290" i="5"/>
  <c r="F291" i="5"/>
  <c r="L291" i="5"/>
  <c r="N291" i="5"/>
  <c r="O291" i="5"/>
  <c r="P291" i="5"/>
  <c r="Q291" i="5"/>
  <c r="L292" i="5"/>
  <c r="N292" i="5"/>
  <c r="O292" i="5"/>
  <c r="F292" i="5" s="1"/>
  <c r="P292" i="5"/>
  <c r="Q292" i="5"/>
  <c r="L293" i="5"/>
  <c r="N293" i="5"/>
  <c r="O293" i="5"/>
  <c r="F293" i="5" s="1"/>
  <c r="P293" i="5"/>
  <c r="Q293" i="5"/>
  <c r="L294" i="5"/>
  <c r="N294" i="5"/>
  <c r="O294" i="5"/>
  <c r="F294" i="5" s="1"/>
  <c r="P294" i="5"/>
  <c r="Q294" i="5"/>
  <c r="L295" i="5"/>
  <c r="N295" i="5"/>
  <c r="O295" i="5"/>
  <c r="P295" i="5"/>
  <c r="Q295" i="5"/>
  <c r="L296" i="5"/>
  <c r="N296" i="5"/>
  <c r="O296" i="5"/>
  <c r="F296" i="5" s="1"/>
  <c r="P296" i="5"/>
  <c r="Q296" i="5"/>
  <c r="F297" i="5"/>
  <c r="L297" i="5"/>
  <c r="N297" i="5"/>
  <c r="O297" i="5"/>
  <c r="P297" i="5"/>
  <c r="Q297" i="5"/>
  <c r="L298" i="5"/>
  <c r="N298" i="5"/>
  <c r="O298" i="5"/>
  <c r="F298" i="5" s="1"/>
  <c r="P298" i="5"/>
  <c r="Q298" i="5"/>
  <c r="L299" i="5"/>
  <c r="N299" i="5"/>
  <c r="O299" i="5"/>
  <c r="P299" i="5"/>
  <c r="F299" i="5" s="1"/>
  <c r="Q299" i="5"/>
  <c r="L300" i="5"/>
  <c r="N300" i="5"/>
  <c r="O300" i="5"/>
  <c r="P300" i="5"/>
  <c r="Q300" i="5"/>
  <c r="L301" i="5"/>
  <c r="N301" i="5"/>
  <c r="O301" i="5"/>
  <c r="F301" i="5" s="1"/>
  <c r="P301" i="5"/>
  <c r="Q301" i="5"/>
  <c r="L302" i="5"/>
  <c r="N302" i="5"/>
  <c r="O302" i="5"/>
  <c r="F302" i="5" s="1"/>
  <c r="P302" i="5"/>
  <c r="Q302" i="5"/>
  <c r="L303" i="5"/>
  <c r="N303" i="5"/>
  <c r="O303" i="5"/>
  <c r="F303" i="5" s="1"/>
  <c r="P303" i="5"/>
  <c r="Q303" i="5"/>
  <c r="L304" i="5"/>
  <c r="N304" i="5"/>
  <c r="O304" i="5"/>
  <c r="P304" i="5"/>
  <c r="Q304" i="5"/>
  <c r="F305" i="5"/>
  <c r="L305" i="5"/>
  <c r="N305" i="5"/>
  <c r="O305" i="5"/>
  <c r="P305" i="5"/>
  <c r="Q305" i="5"/>
  <c r="F306" i="5"/>
  <c r="L306" i="5"/>
  <c r="N306" i="5"/>
  <c r="O306" i="5"/>
  <c r="P306" i="5"/>
  <c r="Q306" i="5"/>
  <c r="L307" i="5"/>
  <c r="N307" i="5"/>
  <c r="O307" i="5"/>
  <c r="F307" i="5" s="1"/>
  <c r="P307" i="5"/>
  <c r="Q307" i="5"/>
  <c r="L308" i="5"/>
  <c r="N308" i="5"/>
  <c r="O308" i="5"/>
  <c r="P308" i="5"/>
  <c r="Q308" i="5"/>
  <c r="L309" i="5"/>
  <c r="N309" i="5"/>
  <c r="O309" i="5"/>
  <c r="F309" i="5" s="1"/>
  <c r="P309" i="5"/>
  <c r="Q309" i="5"/>
  <c r="L310" i="5"/>
  <c r="N310" i="5"/>
  <c r="O310" i="5"/>
  <c r="P310" i="5"/>
  <c r="Q310" i="5"/>
  <c r="L311" i="5"/>
  <c r="N311" i="5"/>
  <c r="O311" i="5"/>
  <c r="F311" i="5" s="1"/>
  <c r="P311" i="5"/>
  <c r="Q311" i="5"/>
  <c r="L312" i="5"/>
  <c r="N312" i="5"/>
  <c r="O312" i="5"/>
  <c r="F312" i="5" s="1"/>
  <c r="P312" i="5"/>
  <c r="Q312" i="5"/>
  <c r="L313" i="5"/>
  <c r="N313" i="5"/>
  <c r="O313" i="5"/>
  <c r="F313" i="5" s="1"/>
  <c r="P313" i="5"/>
  <c r="Q313" i="5"/>
  <c r="L314" i="5"/>
  <c r="N314" i="5"/>
  <c r="O314" i="5"/>
  <c r="P314" i="5"/>
  <c r="F314" i="5" s="1"/>
  <c r="Q314" i="5"/>
  <c r="F315" i="5"/>
  <c r="L315" i="5"/>
  <c r="N315" i="5"/>
  <c r="O315" i="5"/>
  <c r="P315" i="5"/>
  <c r="Q315" i="5"/>
  <c r="L316" i="5"/>
  <c r="N316" i="5"/>
  <c r="O316" i="5"/>
  <c r="F316" i="5" s="1"/>
  <c r="P316" i="5"/>
  <c r="Q316" i="5"/>
  <c r="L317" i="5"/>
  <c r="N317" i="5"/>
  <c r="O317" i="5"/>
  <c r="P317" i="5"/>
  <c r="Q317" i="5"/>
  <c r="L318" i="5"/>
  <c r="N318" i="5"/>
  <c r="O318" i="5"/>
  <c r="F318" i="5" s="1"/>
  <c r="P318" i="5"/>
  <c r="Q318" i="5"/>
  <c r="L319" i="5"/>
  <c r="N319" i="5"/>
  <c r="O319" i="5"/>
  <c r="P319" i="5"/>
  <c r="Q319" i="5"/>
  <c r="L320" i="5"/>
  <c r="N320" i="5"/>
  <c r="O320" i="5"/>
  <c r="F320" i="5" s="1"/>
  <c r="P320" i="5"/>
  <c r="Q320" i="5"/>
  <c r="F321" i="5"/>
  <c r="L321" i="5"/>
  <c r="N321" i="5"/>
  <c r="O321" i="5"/>
  <c r="P321" i="5"/>
  <c r="Q321" i="5"/>
  <c r="L322" i="5"/>
  <c r="N322" i="5"/>
  <c r="O322" i="5"/>
  <c r="P322" i="5"/>
  <c r="Q322" i="5"/>
  <c r="L323" i="5"/>
  <c r="N323" i="5"/>
  <c r="O323" i="5"/>
  <c r="P323" i="5"/>
  <c r="F323" i="5" s="1"/>
  <c r="Q323" i="5"/>
  <c r="L324" i="5"/>
  <c r="N324" i="5"/>
  <c r="O324" i="5"/>
  <c r="F324" i="5" s="1"/>
  <c r="P324" i="5"/>
  <c r="Q324" i="5"/>
  <c r="L325" i="5"/>
  <c r="N325" i="5"/>
  <c r="O325" i="5"/>
  <c r="P325" i="5"/>
  <c r="Q325" i="5"/>
  <c r="L326" i="5"/>
  <c r="N326" i="5"/>
  <c r="O326" i="5"/>
  <c r="P326" i="5"/>
  <c r="Q326" i="5"/>
  <c r="L327" i="5"/>
  <c r="N327" i="5"/>
  <c r="O327" i="5"/>
  <c r="F327" i="5" s="1"/>
  <c r="P327" i="5"/>
  <c r="Q327" i="5"/>
  <c r="L328" i="5"/>
  <c r="N328" i="5"/>
  <c r="O328" i="5"/>
  <c r="P328" i="5"/>
  <c r="Q328" i="5"/>
  <c r="F329" i="5"/>
  <c r="L329" i="5"/>
  <c r="N329" i="5"/>
  <c r="O329" i="5"/>
  <c r="P329" i="5"/>
  <c r="Q329" i="5"/>
  <c r="F330" i="5"/>
  <c r="L330" i="5"/>
  <c r="N330" i="5"/>
  <c r="O330" i="5"/>
  <c r="P330" i="5"/>
  <c r="Q330" i="5"/>
  <c r="L331" i="5"/>
  <c r="N331" i="5"/>
  <c r="O331" i="5"/>
  <c r="F331" i="5" s="1"/>
  <c r="P331" i="5"/>
  <c r="Q331" i="5"/>
  <c r="L332" i="5"/>
  <c r="N332" i="5"/>
  <c r="O332" i="5"/>
  <c r="P332" i="5"/>
  <c r="Q332" i="5"/>
  <c r="L333" i="5"/>
  <c r="N333" i="5"/>
  <c r="O333" i="5"/>
  <c r="F333" i="5" s="1"/>
  <c r="P333" i="5"/>
  <c r="Q333" i="5"/>
  <c r="L334" i="5"/>
  <c r="N334" i="5"/>
  <c r="O334" i="5"/>
  <c r="P334" i="5"/>
  <c r="Q334" i="5"/>
  <c r="L335" i="5"/>
  <c r="N335" i="5"/>
  <c r="O335" i="5"/>
  <c r="P335" i="5"/>
  <c r="Q335" i="5"/>
  <c r="L336" i="5"/>
  <c r="N336" i="5"/>
  <c r="O336" i="5"/>
  <c r="F336" i="5" s="1"/>
  <c r="P336" i="5"/>
  <c r="Q336" i="5"/>
  <c r="L337" i="5"/>
  <c r="N337" i="5"/>
  <c r="O337" i="5"/>
  <c r="P337" i="5"/>
  <c r="Q337" i="5"/>
  <c r="F338" i="5"/>
  <c r="L338" i="5"/>
  <c r="N338" i="5"/>
  <c r="O338" i="5"/>
  <c r="P338" i="5"/>
  <c r="Q338" i="5"/>
  <c r="F339" i="5"/>
  <c r="L339" i="5"/>
  <c r="N339" i="5"/>
  <c r="O339" i="5"/>
  <c r="P339" i="5"/>
  <c r="Q339" i="5"/>
  <c r="L4" i="87"/>
  <c r="N4" i="87"/>
  <c r="O4" i="87"/>
  <c r="P4" i="87"/>
  <c r="Q4" i="87"/>
  <c r="S4" i="87"/>
  <c r="Y54" i="5"/>
  <c r="R3" i="77"/>
  <c r="R4" i="77"/>
  <c r="R5" i="77"/>
  <c r="R6" i="77"/>
  <c r="R7" i="77"/>
  <c r="R8" i="77"/>
  <c r="R9" i="77"/>
  <c r="R10" i="77"/>
  <c r="R11" i="77"/>
  <c r="R12" i="77"/>
  <c r="R13" i="77"/>
  <c r="R14" i="77"/>
  <c r="R15" i="77"/>
  <c r="R16" i="77"/>
  <c r="R17" i="77"/>
  <c r="R18" i="77"/>
  <c r="R19" i="77"/>
  <c r="R20" i="77"/>
  <c r="R21" i="77"/>
  <c r="R22" i="77"/>
  <c r="R23" i="77"/>
  <c r="R24" i="77"/>
  <c r="R25" i="77"/>
  <c r="R26" i="77"/>
  <c r="R27" i="77"/>
  <c r="R28" i="77"/>
  <c r="R29" i="77"/>
  <c r="R30" i="77"/>
  <c r="R31" i="77"/>
  <c r="R32" i="77"/>
  <c r="R33" i="77"/>
  <c r="R34" i="77"/>
  <c r="R35" i="77"/>
  <c r="R36" i="77"/>
  <c r="R37" i="77"/>
  <c r="R38" i="77"/>
  <c r="R39" i="77"/>
  <c r="R40" i="77"/>
  <c r="R41" i="77"/>
  <c r="R42" i="77"/>
  <c r="R43" i="77"/>
  <c r="R44" i="77"/>
  <c r="R45" i="77"/>
  <c r="R46" i="77"/>
  <c r="R47" i="77"/>
  <c r="R48" i="77"/>
  <c r="R49" i="77"/>
  <c r="R50" i="77"/>
  <c r="R51" i="77"/>
  <c r="R52" i="77"/>
  <c r="R53" i="77"/>
  <c r="R54" i="77"/>
  <c r="R55" i="77"/>
  <c r="R56" i="77"/>
  <c r="R57" i="77"/>
  <c r="R58" i="77"/>
  <c r="R59" i="77"/>
  <c r="R60" i="77"/>
  <c r="R61" i="77"/>
  <c r="R62" i="77"/>
  <c r="R63" i="77"/>
  <c r="R64" i="77"/>
  <c r="R65" i="77"/>
  <c r="R66" i="77"/>
  <c r="R67" i="77"/>
  <c r="R68" i="77"/>
  <c r="R69" i="77"/>
  <c r="R70" i="77"/>
  <c r="R71" i="77"/>
  <c r="R72" i="77"/>
  <c r="R73" i="77"/>
  <c r="R74" i="77"/>
  <c r="R75" i="77"/>
  <c r="R76" i="77"/>
  <c r="R77" i="77"/>
  <c r="R78" i="77"/>
  <c r="R79" i="77"/>
  <c r="R80" i="77"/>
  <c r="R81" i="77"/>
  <c r="R82" i="77"/>
  <c r="R83" i="77"/>
  <c r="R84" i="77"/>
  <c r="R85" i="77"/>
  <c r="R86" i="77"/>
  <c r="R87" i="77"/>
  <c r="R88" i="77"/>
  <c r="R89" i="77"/>
  <c r="R90" i="77"/>
  <c r="R91" i="77"/>
  <c r="R92" i="77"/>
  <c r="R93" i="77"/>
  <c r="R94" i="77"/>
  <c r="R95" i="77"/>
  <c r="R96" i="77"/>
  <c r="R97" i="77"/>
  <c r="R98" i="77"/>
  <c r="R99" i="77"/>
  <c r="R100" i="77"/>
  <c r="R101" i="77"/>
  <c r="R102" i="77"/>
  <c r="R103" i="77"/>
  <c r="R104" i="77"/>
  <c r="R105" i="77"/>
  <c r="R106" i="77"/>
  <c r="R107" i="77"/>
  <c r="R108" i="77"/>
  <c r="R109" i="77"/>
  <c r="R110" i="77"/>
  <c r="R111" i="77"/>
  <c r="R112" i="77"/>
  <c r="R113" i="77"/>
  <c r="R114" i="77"/>
  <c r="R115" i="77"/>
  <c r="R116" i="77"/>
  <c r="R117" i="77"/>
  <c r="R118" i="77"/>
  <c r="R119" i="77"/>
  <c r="R120" i="77"/>
  <c r="R121" i="77"/>
  <c r="R122" i="77"/>
  <c r="R123" i="77"/>
  <c r="R124" i="77"/>
  <c r="R125" i="77"/>
  <c r="R126" i="77"/>
  <c r="R127" i="77"/>
  <c r="R128" i="77"/>
  <c r="R129" i="77"/>
  <c r="R130" i="77"/>
  <c r="R131" i="77"/>
  <c r="R132" i="77"/>
  <c r="R133" i="77"/>
  <c r="R134" i="77"/>
  <c r="R135" i="77"/>
  <c r="R136" i="77"/>
  <c r="R137" i="77"/>
  <c r="R138" i="77"/>
  <c r="R139" i="77"/>
  <c r="R140" i="77"/>
  <c r="R141" i="77"/>
  <c r="R142" i="77"/>
  <c r="R143" i="77"/>
  <c r="R144" i="77"/>
  <c r="R145" i="77"/>
  <c r="R146" i="77"/>
  <c r="R147" i="77"/>
  <c r="R148" i="77"/>
  <c r="R149" i="77"/>
  <c r="R150" i="77"/>
  <c r="R151" i="77"/>
  <c r="R152" i="77"/>
  <c r="R153" i="77"/>
  <c r="R154" i="77"/>
  <c r="R155" i="77"/>
  <c r="S3" i="90"/>
  <c r="S4" i="90"/>
  <c r="S5" i="90"/>
  <c r="S6" i="90"/>
  <c r="S7" i="90"/>
  <c r="S8" i="90"/>
  <c r="S9" i="90"/>
  <c r="S10" i="90"/>
  <c r="S11" i="90"/>
  <c r="S12" i="90"/>
  <c r="S13" i="90"/>
  <c r="S14" i="90"/>
  <c r="S15" i="90"/>
  <c r="S16" i="90"/>
  <c r="S17" i="90"/>
  <c r="S18" i="90"/>
  <c r="S19" i="90"/>
  <c r="S20" i="90"/>
  <c r="S21" i="90"/>
  <c r="S22" i="90"/>
  <c r="S23" i="90"/>
  <c r="S24" i="90"/>
  <c r="S25" i="90"/>
  <c r="S26" i="90"/>
  <c r="S27" i="90"/>
  <c r="S28" i="90"/>
  <c r="S29" i="90"/>
  <c r="S30" i="90"/>
  <c r="S31" i="90"/>
  <c r="S32" i="90"/>
  <c r="S33" i="90"/>
  <c r="S34" i="90"/>
  <c r="S35" i="90"/>
  <c r="S36" i="90"/>
  <c r="S37" i="90"/>
  <c r="S38" i="90"/>
  <c r="S39" i="90"/>
  <c r="S40" i="90"/>
  <c r="S41" i="90"/>
  <c r="S42" i="90"/>
  <c r="S43" i="90"/>
  <c r="S44" i="90"/>
  <c r="S45" i="90"/>
  <c r="S46" i="90"/>
  <c r="S47" i="90"/>
  <c r="S48" i="90"/>
  <c r="S49" i="90"/>
  <c r="S50" i="90"/>
  <c r="S51" i="90"/>
  <c r="S52" i="90"/>
  <c r="S53" i="90"/>
  <c r="S54" i="90"/>
  <c r="S55" i="90"/>
  <c r="S56" i="90"/>
  <c r="S57" i="90"/>
  <c r="S58" i="90"/>
  <c r="S59" i="90"/>
  <c r="S60" i="90"/>
  <c r="S61" i="90"/>
  <c r="S62" i="90"/>
  <c r="S63" i="90"/>
  <c r="S64" i="90"/>
  <c r="S65" i="90"/>
  <c r="S66" i="90"/>
  <c r="S67" i="90"/>
  <c r="S68" i="90"/>
  <c r="S69" i="90"/>
  <c r="S70" i="90"/>
  <c r="S71" i="90"/>
  <c r="S72" i="90"/>
  <c r="S73" i="90"/>
  <c r="S74" i="90"/>
  <c r="S75" i="90"/>
  <c r="S76" i="90"/>
  <c r="S77" i="90"/>
  <c r="S78" i="90"/>
  <c r="S79" i="90"/>
  <c r="S80" i="90"/>
  <c r="S81" i="90"/>
  <c r="S82" i="90"/>
  <c r="S83" i="90"/>
  <c r="S84" i="90"/>
  <c r="S85" i="90"/>
  <c r="S86" i="90"/>
  <c r="S87" i="90"/>
  <c r="S88" i="90"/>
  <c r="S89" i="90"/>
  <c r="S90" i="90"/>
  <c r="S91" i="90"/>
  <c r="S92" i="90"/>
  <c r="S93" i="90"/>
  <c r="S94" i="90"/>
  <c r="S95" i="90"/>
  <c r="S96" i="90"/>
  <c r="S97" i="90"/>
  <c r="S98" i="90"/>
  <c r="S99" i="90"/>
  <c r="S100" i="90"/>
  <c r="S101" i="90"/>
  <c r="S102" i="90"/>
  <c r="S103" i="90"/>
  <c r="S104" i="90"/>
  <c r="S105" i="90"/>
  <c r="S106" i="90"/>
  <c r="S107" i="90"/>
  <c r="S108" i="90"/>
  <c r="S109" i="90"/>
  <c r="S110" i="90"/>
  <c r="S111" i="90"/>
  <c r="S112" i="90"/>
  <c r="S113" i="90"/>
  <c r="S114" i="90"/>
  <c r="S115" i="90"/>
  <c r="S116" i="90"/>
  <c r="S117" i="90"/>
  <c r="S118" i="90"/>
  <c r="S119" i="90"/>
  <c r="S120" i="90"/>
  <c r="S121" i="90"/>
  <c r="S122" i="90"/>
  <c r="S123" i="90"/>
  <c r="S124" i="90"/>
  <c r="S125" i="90"/>
  <c r="S126" i="90"/>
  <c r="S127" i="90"/>
  <c r="S128" i="90"/>
  <c r="S129" i="90"/>
  <c r="S130" i="90"/>
  <c r="S131" i="90"/>
  <c r="S132" i="90"/>
  <c r="S133" i="90"/>
  <c r="S134" i="90"/>
  <c r="S135" i="90"/>
  <c r="S136" i="90"/>
  <c r="S137" i="90"/>
  <c r="S138" i="90"/>
  <c r="S139" i="90"/>
  <c r="S140" i="90"/>
  <c r="S141" i="90"/>
  <c r="S142" i="90"/>
  <c r="S143" i="90"/>
  <c r="S3" i="89"/>
  <c r="S4" i="89"/>
  <c r="S5" i="89"/>
  <c r="S6" i="89"/>
  <c r="S7" i="89"/>
  <c r="S8" i="89"/>
  <c r="S9" i="89"/>
  <c r="S10" i="89"/>
  <c r="S11" i="89"/>
  <c r="S12" i="89"/>
  <c r="S13" i="89"/>
  <c r="S14" i="89"/>
  <c r="S15" i="89"/>
  <c r="S16" i="89"/>
  <c r="S17" i="89"/>
  <c r="S18" i="89"/>
  <c r="S19" i="89"/>
  <c r="S20" i="89"/>
  <c r="S21" i="89"/>
  <c r="S22" i="89"/>
  <c r="S23" i="89"/>
  <c r="S24" i="89"/>
  <c r="S25" i="89"/>
  <c r="S26" i="89"/>
  <c r="S27" i="89"/>
  <c r="S28" i="89"/>
  <c r="S29" i="89"/>
  <c r="S30" i="89"/>
  <c r="S31" i="89"/>
  <c r="S32" i="89"/>
  <c r="S33" i="89"/>
  <c r="S34" i="89"/>
  <c r="S35" i="89"/>
  <c r="S36" i="89"/>
  <c r="S37" i="89"/>
  <c r="S38" i="89"/>
  <c r="S39" i="89"/>
  <c r="S40" i="89"/>
  <c r="S41" i="89"/>
  <c r="S42" i="89"/>
  <c r="S43" i="89"/>
  <c r="S44" i="89"/>
  <c r="S45" i="89"/>
  <c r="S46" i="89"/>
  <c r="S47" i="89"/>
  <c r="S48" i="89"/>
  <c r="S49" i="89"/>
  <c r="S50" i="89"/>
  <c r="S51" i="89"/>
  <c r="S52" i="89"/>
  <c r="S53" i="89"/>
  <c r="S54" i="89"/>
  <c r="S55" i="89"/>
  <c r="S56" i="89"/>
  <c r="S57" i="89"/>
  <c r="S58" i="89"/>
  <c r="S59" i="89"/>
  <c r="S60" i="89"/>
  <c r="S61" i="89"/>
  <c r="S62" i="89"/>
  <c r="S63" i="89"/>
  <c r="S64" i="89"/>
  <c r="S65" i="89"/>
  <c r="S66" i="89"/>
  <c r="S67" i="89"/>
  <c r="S68" i="89"/>
  <c r="S69" i="89"/>
  <c r="S70" i="89"/>
  <c r="S71" i="89"/>
  <c r="S72" i="89"/>
  <c r="S73" i="89"/>
  <c r="S74" i="89"/>
  <c r="S75" i="89"/>
  <c r="S76" i="89"/>
  <c r="S77" i="89"/>
  <c r="S78" i="89"/>
  <c r="S79" i="89"/>
  <c r="S80" i="89"/>
  <c r="S81" i="89"/>
  <c r="S82" i="89"/>
  <c r="S83" i="89"/>
  <c r="S84" i="89"/>
  <c r="S85" i="89"/>
  <c r="S86" i="89"/>
  <c r="S87" i="89"/>
  <c r="S88" i="89"/>
  <c r="S89" i="89"/>
  <c r="S90" i="89"/>
  <c r="S91" i="89"/>
  <c r="S92" i="89"/>
  <c r="S93" i="89"/>
  <c r="S94" i="89"/>
  <c r="S95" i="89"/>
  <c r="S96" i="89"/>
  <c r="S97" i="89"/>
  <c r="S98" i="89"/>
  <c r="S99" i="89"/>
  <c r="S100" i="89"/>
  <c r="S101" i="89"/>
  <c r="S102" i="89"/>
  <c r="S103" i="89"/>
  <c r="S104" i="89"/>
  <c r="S105" i="89"/>
  <c r="S106" i="89"/>
  <c r="S107" i="89"/>
  <c r="S108" i="89"/>
  <c r="S109" i="89"/>
  <c r="S110" i="89"/>
  <c r="S111" i="89"/>
  <c r="S112" i="89"/>
  <c r="S113" i="89"/>
  <c r="S114" i="89"/>
  <c r="S115" i="89"/>
  <c r="S116" i="89"/>
  <c r="S117" i="89"/>
  <c r="S118" i="89"/>
  <c r="S119" i="89"/>
  <c r="S120" i="89"/>
  <c r="S121" i="89"/>
  <c r="S122" i="89"/>
  <c r="S123" i="89"/>
  <c r="S124" i="89"/>
  <c r="S125" i="89"/>
  <c r="S126" i="89"/>
  <c r="S127" i="89"/>
  <c r="S128" i="89"/>
  <c r="S129" i="89"/>
  <c r="S130" i="89"/>
  <c r="S131" i="89"/>
  <c r="S132" i="89"/>
  <c r="S133" i="89"/>
  <c r="S134" i="89"/>
  <c r="S135" i="89"/>
  <c r="S136" i="89"/>
  <c r="S137" i="89"/>
  <c r="S138" i="89"/>
  <c r="S139" i="89"/>
  <c r="S140" i="89"/>
  <c r="S141" i="89"/>
  <c r="S142" i="89"/>
  <c r="S143" i="89"/>
  <c r="S3" i="88"/>
  <c r="S4" i="88"/>
  <c r="S5" i="88"/>
  <c r="S6" i="88"/>
  <c r="S7" i="88"/>
  <c r="S8" i="88"/>
  <c r="S9" i="88"/>
  <c r="S10" i="88"/>
  <c r="S11" i="88"/>
  <c r="S12" i="88"/>
  <c r="S13" i="88"/>
  <c r="S14" i="88"/>
  <c r="S15" i="88"/>
  <c r="S16" i="88"/>
  <c r="S17" i="88"/>
  <c r="S18" i="88"/>
  <c r="S19" i="88"/>
  <c r="S20" i="88"/>
  <c r="S21" i="88"/>
  <c r="S22" i="88"/>
  <c r="S23" i="88"/>
  <c r="S24" i="88"/>
  <c r="S25" i="88"/>
  <c r="S26" i="88"/>
  <c r="S27" i="88"/>
  <c r="S28" i="88"/>
  <c r="S29" i="88"/>
  <c r="S30" i="88"/>
  <c r="S31" i="88"/>
  <c r="S32" i="88"/>
  <c r="S33" i="88"/>
  <c r="S34" i="88"/>
  <c r="S35" i="88"/>
  <c r="S36" i="88"/>
  <c r="S37" i="88"/>
  <c r="S38" i="88"/>
  <c r="S39" i="88"/>
  <c r="S40" i="88"/>
  <c r="S41" i="88"/>
  <c r="S42" i="88"/>
  <c r="S43" i="88"/>
  <c r="S44" i="88"/>
  <c r="S45" i="88"/>
  <c r="S46" i="88"/>
  <c r="S47" i="88"/>
  <c r="S48" i="88"/>
  <c r="S49" i="88"/>
  <c r="S50" i="88"/>
  <c r="S51" i="88"/>
  <c r="S52" i="88"/>
  <c r="S53" i="88"/>
  <c r="S54" i="88"/>
  <c r="S55" i="88"/>
  <c r="S56" i="88"/>
  <c r="S57" i="88"/>
  <c r="S58" i="88"/>
  <c r="S59" i="88"/>
  <c r="S60" i="88"/>
  <c r="S61" i="88"/>
  <c r="S62" i="88"/>
  <c r="S63" i="88"/>
  <c r="S64" i="88"/>
  <c r="S65" i="88"/>
  <c r="S66" i="88"/>
  <c r="S67" i="88"/>
  <c r="S68" i="88"/>
  <c r="S69" i="88"/>
  <c r="S70" i="88"/>
  <c r="S71" i="88"/>
  <c r="S72" i="88"/>
  <c r="S73" i="88"/>
  <c r="S74" i="88"/>
  <c r="S75" i="88"/>
  <c r="S76" i="88"/>
  <c r="S77" i="88"/>
  <c r="S78" i="88"/>
  <c r="S79" i="88"/>
  <c r="S80" i="88"/>
  <c r="S81" i="88"/>
  <c r="S82" i="88"/>
  <c r="S83" i="88"/>
  <c r="S84" i="88"/>
  <c r="S85" i="88"/>
  <c r="S86" i="88"/>
  <c r="S87" i="88"/>
  <c r="S88" i="88"/>
  <c r="S89" i="88"/>
  <c r="S90" i="88"/>
  <c r="S91" i="88"/>
  <c r="S92" i="88"/>
  <c r="S93" i="88"/>
  <c r="S94" i="88"/>
  <c r="S95" i="88"/>
  <c r="S96" i="88"/>
  <c r="S97" i="88"/>
  <c r="S98" i="88"/>
  <c r="S99" i="88"/>
  <c r="S100" i="88"/>
  <c r="S101" i="88"/>
  <c r="S102" i="88"/>
  <c r="S103" i="88"/>
  <c r="S104" i="88"/>
  <c r="S105" i="88"/>
  <c r="S106" i="88"/>
  <c r="S107" i="88"/>
  <c r="S108" i="88"/>
  <c r="S109" i="88"/>
  <c r="S110" i="88"/>
  <c r="S111" i="88"/>
  <c r="S112" i="88"/>
  <c r="S113" i="88"/>
  <c r="S114" i="88"/>
  <c r="S115" i="88"/>
  <c r="S116" i="88"/>
  <c r="S117" i="88"/>
  <c r="S118" i="88"/>
  <c r="S119" i="88"/>
  <c r="S120" i="88"/>
  <c r="S121" i="88"/>
  <c r="S122" i="88"/>
  <c r="S123" i="88"/>
  <c r="S124" i="88"/>
  <c r="S125" i="88"/>
  <c r="S126" i="88"/>
  <c r="S127" i="88"/>
  <c r="S128" i="88"/>
  <c r="S129" i="88"/>
  <c r="S130" i="88"/>
  <c r="S131" i="88"/>
  <c r="S132" i="88"/>
  <c r="S133" i="88"/>
  <c r="S134" i="88"/>
  <c r="S135" i="88"/>
  <c r="S136" i="88"/>
  <c r="S137" i="88"/>
  <c r="S138" i="88"/>
  <c r="S139" i="88"/>
  <c r="S140" i="88"/>
  <c r="S141" i="88"/>
  <c r="S142" i="88"/>
  <c r="S143" i="88"/>
  <c r="S3" i="87"/>
  <c r="S5" i="87"/>
  <c r="S6" i="87"/>
  <c r="S7" i="87"/>
  <c r="S8" i="87"/>
  <c r="S9" i="87"/>
  <c r="S10" i="87"/>
  <c r="S11" i="87"/>
  <c r="S12" i="87"/>
  <c r="S13" i="87"/>
  <c r="S14" i="87"/>
  <c r="S15" i="87"/>
  <c r="S16" i="87"/>
  <c r="S17" i="87"/>
  <c r="S18" i="87"/>
  <c r="S19" i="87"/>
  <c r="S20" i="87"/>
  <c r="S21" i="87"/>
  <c r="S22" i="87"/>
  <c r="S23" i="87"/>
  <c r="S24" i="87"/>
  <c r="S25" i="87"/>
  <c r="S26" i="87"/>
  <c r="S27" i="87"/>
  <c r="S28" i="87"/>
  <c r="S29" i="87"/>
  <c r="S30" i="87"/>
  <c r="S31" i="87"/>
  <c r="S32" i="87"/>
  <c r="S33" i="87"/>
  <c r="S34" i="87"/>
  <c r="S35" i="87"/>
  <c r="S36" i="87"/>
  <c r="S37" i="87"/>
  <c r="S38" i="87"/>
  <c r="S39" i="87"/>
  <c r="S40" i="87"/>
  <c r="S41" i="87"/>
  <c r="S42" i="87"/>
  <c r="S43" i="87"/>
  <c r="S44" i="87"/>
  <c r="S45" i="87"/>
  <c r="S46" i="87"/>
  <c r="S47" i="87"/>
  <c r="S48" i="87"/>
  <c r="S49" i="87"/>
  <c r="S50" i="87"/>
  <c r="S51" i="87"/>
  <c r="S52" i="87"/>
  <c r="S53" i="87"/>
  <c r="S54" i="87"/>
  <c r="S55" i="87"/>
  <c r="S56" i="87"/>
  <c r="S57" i="87"/>
  <c r="S58" i="87"/>
  <c r="S59" i="87"/>
  <c r="S60" i="87"/>
  <c r="S61" i="87"/>
  <c r="S62" i="87"/>
  <c r="S63" i="87"/>
  <c r="S64" i="87"/>
  <c r="S65" i="87"/>
  <c r="S66" i="87"/>
  <c r="S67" i="87"/>
  <c r="S68" i="87"/>
  <c r="S69" i="87"/>
  <c r="S70" i="87"/>
  <c r="S71" i="87"/>
  <c r="S72" i="87"/>
  <c r="S73" i="87"/>
  <c r="S74" i="87"/>
  <c r="S75" i="87"/>
  <c r="S76" i="87"/>
  <c r="S77" i="87"/>
  <c r="S78" i="87"/>
  <c r="S79" i="87"/>
  <c r="S80" i="87"/>
  <c r="S81" i="87"/>
  <c r="S82" i="87"/>
  <c r="S83" i="87"/>
  <c r="S84" i="87"/>
  <c r="S85" i="87"/>
  <c r="S86" i="87"/>
  <c r="S87" i="87"/>
  <c r="S88" i="87"/>
  <c r="S89" i="87"/>
  <c r="S90" i="87"/>
  <c r="S91" i="87"/>
  <c r="S92" i="87"/>
  <c r="S93" i="87"/>
  <c r="S94" i="87"/>
  <c r="S95" i="87"/>
  <c r="S96" i="87"/>
  <c r="S97" i="87"/>
  <c r="S98" i="87"/>
  <c r="S99" i="87"/>
  <c r="S100" i="87"/>
  <c r="S101" i="87"/>
  <c r="S102" i="87"/>
  <c r="S103" i="87"/>
  <c r="S104" i="87"/>
  <c r="S105" i="87"/>
  <c r="S106" i="87"/>
  <c r="S107" i="87"/>
  <c r="S108" i="87"/>
  <c r="S109" i="87"/>
  <c r="S110" i="87"/>
  <c r="S111" i="87"/>
  <c r="S112" i="87"/>
  <c r="S113" i="87"/>
  <c r="S114" i="87"/>
  <c r="S115" i="87"/>
  <c r="S116" i="87"/>
  <c r="S117" i="87"/>
  <c r="S118" i="87"/>
  <c r="S119" i="87"/>
  <c r="S120" i="87"/>
  <c r="S121" i="87"/>
  <c r="S122" i="87"/>
  <c r="S123" i="87"/>
  <c r="S124" i="87"/>
  <c r="S125" i="87"/>
  <c r="S126" i="87"/>
  <c r="S127" i="87"/>
  <c r="S128" i="87"/>
  <c r="S129" i="87"/>
  <c r="S130" i="87"/>
  <c r="S131" i="87"/>
  <c r="S132" i="87"/>
  <c r="S133" i="87"/>
  <c r="S134" i="87"/>
  <c r="S135" i="87"/>
  <c r="S136" i="87"/>
  <c r="S137" i="87"/>
  <c r="S138" i="87"/>
  <c r="S139" i="87"/>
  <c r="S140" i="87"/>
  <c r="S141" i="87"/>
  <c r="S142" i="87"/>
  <c r="S143" i="87"/>
  <c r="S3" i="86"/>
  <c r="S4" i="86"/>
  <c r="S5" i="86"/>
  <c r="S6" i="86"/>
  <c r="S7" i="86"/>
  <c r="S8" i="86"/>
  <c r="S9" i="86"/>
  <c r="S10" i="86"/>
  <c r="S11" i="86"/>
  <c r="S12" i="86"/>
  <c r="S13" i="86"/>
  <c r="S14" i="86"/>
  <c r="S15" i="86"/>
  <c r="S16" i="86"/>
  <c r="S17" i="86"/>
  <c r="S18" i="86"/>
  <c r="S19" i="86"/>
  <c r="S20" i="86"/>
  <c r="S21" i="86"/>
  <c r="S22" i="86"/>
  <c r="S23" i="86"/>
  <c r="S24" i="86"/>
  <c r="S25" i="86"/>
  <c r="S26" i="86"/>
  <c r="S27" i="86"/>
  <c r="S28" i="86"/>
  <c r="S29" i="86"/>
  <c r="S30" i="86"/>
  <c r="S31" i="86"/>
  <c r="S32" i="86"/>
  <c r="S33" i="86"/>
  <c r="S34" i="86"/>
  <c r="S35" i="86"/>
  <c r="S36" i="86"/>
  <c r="S37" i="86"/>
  <c r="S38" i="86"/>
  <c r="S39" i="86"/>
  <c r="S40" i="86"/>
  <c r="S41" i="86"/>
  <c r="S42" i="86"/>
  <c r="S43" i="86"/>
  <c r="S44" i="86"/>
  <c r="S45" i="86"/>
  <c r="S46" i="86"/>
  <c r="S47" i="86"/>
  <c r="S48" i="86"/>
  <c r="S49" i="86"/>
  <c r="S50" i="86"/>
  <c r="S51" i="86"/>
  <c r="S52" i="86"/>
  <c r="S53" i="86"/>
  <c r="S54" i="86"/>
  <c r="S55" i="86"/>
  <c r="S56" i="86"/>
  <c r="S57" i="86"/>
  <c r="S58" i="86"/>
  <c r="S59" i="86"/>
  <c r="S60" i="86"/>
  <c r="S61" i="86"/>
  <c r="S62" i="86"/>
  <c r="S63" i="86"/>
  <c r="S64" i="86"/>
  <c r="S65" i="86"/>
  <c r="S66" i="86"/>
  <c r="S67" i="86"/>
  <c r="S68" i="86"/>
  <c r="S69" i="86"/>
  <c r="S70" i="86"/>
  <c r="S71" i="86"/>
  <c r="S72" i="86"/>
  <c r="S73" i="86"/>
  <c r="S74" i="86"/>
  <c r="S75" i="86"/>
  <c r="S76" i="86"/>
  <c r="S77" i="86"/>
  <c r="S78" i="86"/>
  <c r="S79" i="86"/>
  <c r="S80" i="86"/>
  <c r="S81" i="86"/>
  <c r="S82" i="86"/>
  <c r="S83" i="86"/>
  <c r="S84" i="86"/>
  <c r="S85" i="86"/>
  <c r="S86" i="86"/>
  <c r="S87" i="86"/>
  <c r="S88" i="86"/>
  <c r="S89" i="86"/>
  <c r="S90" i="86"/>
  <c r="S91" i="86"/>
  <c r="S92" i="86"/>
  <c r="S93" i="86"/>
  <c r="S94" i="86"/>
  <c r="S95" i="86"/>
  <c r="S96" i="86"/>
  <c r="S97" i="86"/>
  <c r="S98" i="86"/>
  <c r="S99" i="86"/>
  <c r="S100" i="86"/>
  <c r="S101" i="86"/>
  <c r="S102" i="86"/>
  <c r="S103" i="86"/>
  <c r="S104" i="86"/>
  <c r="S105" i="86"/>
  <c r="S106" i="86"/>
  <c r="S107" i="86"/>
  <c r="S108" i="86"/>
  <c r="S109" i="86"/>
  <c r="S110" i="86"/>
  <c r="S111" i="86"/>
  <c r="S112" i="86"/>
  <c r="S113" i="86"/>
  <c r="S114" i="86"/>
  <c r="S115" i="86"/>
  <c r="S116" i="86"/>
  <c r="S117" i="86"/>
  <c r="S118" i="86"/>
  <c r="S119" i="86"/>
  <c r="S120" i="86"/>
  <c r="S121" i="86"/>
  <c r="S122" i="86"/>
  <c r="S123" i="86"/>
  <c r="S124" i="86"/>
  <c r="S125" i="86"/>
  <c r="S126" i="86"/>
  <c r="S127" i="86"/>
  <c r="S128" i="86"/>
  <c r="S129" i="86"/>
  <c r="S130" i="86"/>
  <c r="S131" i="86"/>
  <c r="S132" i="86"/>
  <c r="S133" i="86"/>
  <c r="S134" i="86"/>
  <c r="S135" i="86"/>
  <c r="S136" i="86"/>
  <c r="S137" i="86"/>
  <c r="S138" i="86"/>
  <c r="S139" i="86"/>
  <c r="S140" i="86"/>
  <c r="S141" i="86"/>
  <c r="S142" i="86"/>
  <c r="S143" i="86"/>
  <c r="S3" i="85"/>
  <c r="S4" i="85"/>
  <c r="S5" i="85"/>
  <c r="S6" i="85"/>
  <c r="S7" i="85"/>
  <c r="S8" i="85"/>
  <c r="S9" i="85"/>
  <c r="S10" i="85"/>
  <c r="S11" i="85"/>
  <c r="S12" i="85"/>
  <c r="S13" i="85"/>
  <c r="S14" i="85"/>
  <c r="S15" i="85"/>
  <c r="S16" i="85"/>
  <c r="S17" i="85"/>
  <c r="S18" i="85"/>
  <c r="S19" i="85"/>
  <c r="S20" i="85"/>
  <c r="S21" i="85"/>
  <c r="S22" i="85"/>
  <c r="S23" i="85"/>
  <c r="S24" i="85"/>
  <c r="S25" i="85"/>
  <c r="S26" i="85"/>
  <c r="S27" i="85"/>
  <c r="S28" i="85"/>
  <c r="S29" i="85"/>
  <c r="S30" i="85"/>
  <c r="S31" i="85"/>
  <c r="S32" i="85"/>
  <c r="S33" i="85"/>
  <c r="S34" i="85"/>
  <c r="S35" i="85"/>
  <c r="S36" i="85"/>
  <c r="S37" i="85"/>
  <c r="S38" i="85"/>
  <c r="S39" i="85"/>
  <c r="S40" i="85"/>
  <c r="S41" i="85"/>
  <c r="S42" i="85"/>
  <c r="S43" i="85"/>
  <c r="S44" i="85"/>
  <c r="S45" i="85"/>
  <c r="S46" i="85"/>
  <c r="S47" i="85"/>
  <c r="S48" i="85"/>
  <c r="S49" i="85"/>
  <c r="S50" i="85"/>
  <c r="S51" i="85"/>
  <c r="S52" i="85"/>
  <c r="S53" i="85"/>
  <c r="S54" i="85"/>
  <c r="S55" i="85"/>
  <c r="S56" i="85"/>
  <c r="S57" i="85"/>
  <c r="S58" i="85"/>
  <c r="S59" i="85"/>
  <c r="S60" i="85"/>
  <c r="S61" i="85"/>
  <c r="S62" i="85"/>
  <c r="S63" i="85"/>
  <c r="S64" i="85"/>
  <c r="S65" i="85"/>
  <c r="S66" i="85"/>
  <c r="S67" i="85"/>
  <c r="S68" i="85"/>
  <c r="S69" i="85"/>
  <c r="S70" i="85"/>
  <c r="S71" i="85"/>
  <c r="S72" i="85"/>
  <c r="S73" i="85"/>
  <c r="S74" i="85"/>
  <c r="S75" i="85"/>
  <c r="S76" i="85"/>
  <c r="S77" i="85"/>
  <c r="S78" i="85"/>
  <c r="S79" i="85"/>
  <c r="S80" i="85"/>
  <c r="S81" i="85"/>
  <c r="S82" i="85"/>
  <c r="S83" i="85"/>
  <c r="S84" i="85"/>
  <c r="S85" i="85"/>
  <c r="S86" i="85"/>
  <c r="S87" i="85"/>
  <c r="S88" i="85"/>
  <c r="S89" i="85"/>
  <c r="S90" i="85"/>
  <c r="S91" i="85"/>
  <c r="S92" i="85"/>
  <c r="S93" i="85"/>
  <c r="S94" i="85"/>
  <c r="S95" i="85"/>
  <c r="S96" i="85"/>
  <c r="S97" i="85"/>
  <c r="S98" i="85"/>
  <c r="S99" i="85"/>
  <c r="S100" i="85"/>
  <c r="S101" i="85"/>
  <c r="S102" i="85"/>
  <c r="S103" i="85"/>
  <c r="S104" i="85"/>
  <c r="S105" i="85"/>
  <c r="S106" i="85"/>
  <c r="S107" i="85"/>
  <c r="S108" i="85"/>
  <c r="S109" i="85"/>
  <c r="S110" i="85"/>
  <c r="S111" i="85"/>
  <c r="S112" i="85"/>
  <c r="S113" i="85"/>
  <c r="S114" i="85"/>
  <c r="S115" i="85"/>
  <c r="S116" i="85"/>
  <c r="S117" i="85"/>
  <c r="S118" i="85"/>
  <c r="S119" i="85"/>
  <c r="S120" i="85"/>
  <c r="S121" i="85"/>
  <c r="S122" i="85"/>
  <c r="S123" i="85"/>
  <c r="S124" i="85"/>
  <c r="S125" i="85"/>
  <c r="S126" i="85"/>
  <c r="S127" i="85"/>
  <c r="S128" i="85"/>
  <c r="S129" i="85"/>
  <c r="S130" i="85"/>
  <c r="S131" i="85"/>
  <c r="S132" i="85"/>
  <c r="S133" i="85"/>
  <c r="S134" i="85"/>
  <c r="S135" i="85"/>
  <c r="S136" i="85"/>
  <c r="S137" i="85"/>
  <c r="S138" i="85"/>
  <c r="S139" i="85"/>
  <c r="S140" i="85"/>
  <c r="S141" i="85"/>
  <c r="S142" i="85"/>
  <c r="S143" i="85"/>
  <c r="S3" i="84"/>
  <c r="S4" i="84"/>
  <c r="S5" i="84"/>
  <c r="S6" i="84"/>
  <c r="S7" i="84"/>
  <c r="S8" i="84"/>
  <c r="S9" i="84"/>
  <c r="S10" i="84"/>
  <c r="S11" i="84"/>
  <c r="S12" i="84"/>
  <c r="S13" i="84"/>
  <c r="S14" i="84"/>
  <c r="S15" i="84"/>
  <c r="S16" i="84"/>
  <c r="S17" i="84"/>
  <c r="S18" i="84"/>
  <c r="S19" i="84"/>
  <c r="S20" i="84"/>
  <c r="S21" i="84"/>
  <c r="S22" i="84"/>
  <c r="S23" i="84"/>
  <c r="S24" i="84"/>
  <c r="S25" i="84"/>
  <c r="S26" i="84"/>
  <c r="S27" i="84"/>
  <c r="S28" i="84"/>
  <c r="S29" i="84"/>
  <c r="S30" i="84"/>
  <c r="S31" i="84"/>
  <c r="S32" i="84"/>
  <c r="S33" i="84"/>
  <c r="S34" i="84"/>
  <c r="S35" i="84"/>
  <c r="S36" i="84"/>
  <c r="S37" i="84"/>
  <c r="S38" i="84"/>
  <c r="S39" i="84"/>
  <c r="S40" i="84"/>
  <c r="S41" i="84"/>
  <c r="S42" i="84"/>
  <c r="S43" i="84"/>
  <c r="S44" i="84"/>
  <c r="S45" i="84"/>
  <c r="S46" i="84"/>
  <c r="S47" i="84"/>
  <c r="S48" i="84"/>
  <c r="S49" i="84"/>
  <c r="S50" i="84"/>
  <c r="S51" i="84"/>
  <c r="S52" i="84"/>
  <c r="S53" i="84"/>
  <c r="S54" i="84"/>
  <c r="S55" i="84"/>
  <c r="S56" i="84"/>
  <c r="S57" i="84"/>
  <c r="S58" i="84"/>
  <c r="S59" i="84"/>
  <c r="S60" i="84"/>
  <c r="S61" i="84"/>
  <c r="S62" i="84"/>
  <c r="S63" i="84"/>
  <c r="S64" i="84"/>
  <c r="S65" i="84"/>
  <c r="S66" i="84"/>
  <c r="S67" i="84"/>
  <c r="S68" i="84"/>
  <c r="S69" i="84"/>
  <c r="S70" i="84"/>
  <c r="S71" i="84"/>
  <c r="S72" i="84"/>
  <c r="S73" i="84"/>
  <c r="S74" i="84"/>
  <c r="S75" i="84"/>
  <c r="S76" i="84"/>
  <c r="S77" i="84"/>
  <c r="S78" i="84"/>
  <c r="S79" i="84"/>
  <c r="S80" i="84"/>
  <c r="S81" i="84"/>
  <c r="S82" i="84"/>
  <c r="S83" i="84"/>
  <c r="S84" i="84"/>
  <c r="S85" i="84"/>
  <c r="S86" i="84"/>
  <c r="S87" i="84"/>
  <c r="S88" i="84"/>
  <c r="S89" i="84"/>
  <c r="S90" i="84"/>
  <c r="S91" i="84"/>
  <c r="S92" i="84"/>
  <c r="S93" i="84"/>
  <c r="S94" i="84"/>
  <c r="S95" i="84"/>
  <c r="S96" i="84"/>
  <c r="S97" i="84"/>
  <c r="S98" i="84"/>
  <c r="S99" i="84"/>
  <c r="S100" i="84"/>
  <c r="S101" i="84"/>
  <c r="S102" i="84"/>
  <c r="S103" i="84"/>
  <c r="S104" i="84"/>
  <c r="S105" i="84"/>
  <c r="S106" i="84"/>
  <c r="S107" i="84"/>
  <c r="S108" i="84"/>
  <c r="S109" i="84"/>
  <c r="S110" i="84"/>
  <c r="S111" i="84"/>
  <c r="S112" i="84"/>
  <c r="S113" i="84"/>
  <c r="S114" i="84"/>
  <c r="S115" i="84"/>
  <c r="S116" i="84"/>
  <c r="S117" i="84"/>
  <c r="S118" i="84"/>
  <c r="S119" i="84"/>
  <c r="S120" i="84"/>
  <c r="S121" i="84"/>
  <c r="S122" i="84"/>
  <c r="S123" i="84"/>
  <c r="S124" i="84"/>
  <c r="S125" i="84"/>
  <c r="S126" i="84"/>
  <c r="S127" i="84"/>
  <c r="S128" i="84"/>
  <c r="S129" i="84"/>
  <c r="S130" i="84"/>
  <c r="S131" i="84"/>
  <c r="S132" i="84"/>
  <c r="S133" i="84"/>
  <c r="S134" i="84"/>
  <c r="S135" i="84"/>
  <c r="S136" i="84"/>
  <c r="S137" i="84"/>
  <c r="S138" i="84"/>
  <c r="S139" i="84"/>
  <c r="S140" i="84"/>
  <c r="S141" i="84"/>
  <c r="S142" i="84"/>
  <c r="S143" i="84"/>
  <c r="S3" i="83"/>
  <c r="S4" i="83"/>
  <c r="S5" i="83"/>
  <c r="S6" i="83"/>
  <c r="S7" i="83"/>
  <c r="S8" i="83"/>
  <c r="S9" i="83"/>
  <c r="S10" i="83"/>
  <c r="S11" i="83"/>
  <c r="S12" i="83"/>
  <c r="S13" i="83"/>
  <c r="S14" i="83"/>
  <c r="S15" i="83"/>
  <c r="S16" i="83"/>
  <c r="S17" i="83"/>
  <c r="S18" i="83"/>
  <c r="S19" i="83"/>
  <c r="S20" i="83"/>
  <c r="S21" i="83"/>
  <c r="S22" i="83"/>
  <c r="S23" i="83"/>
  <c r="S24" i="83"/>
  <c r="S25" i="83"/>
  <c r="S26" i="83"/>
  <c r="S27" i="83"/>
  <c r="S28" i="83"/>
  <c r="S29" i="83"/>
  <c r="S30" i="83"/>
  <c r="S31" i="83"/>
  <c r="S32" i="83"/>
  <c r="S33" i="83"/>
  <c r="S34" i="83"/>
  <c r="S35" i="83"/>
  <c r="S36" i="83"/>
  <c r="S37" i="83"/>
  <c r="S38" i="83"/>
  <c r="S39" i="83"/>
  <c r="S40" i="83"/>
  <c r="S41" i="83"/>
  <c r="S42" i="83"/>
  <c r="S43" i="83"/>
  <c r="S44" i="83"/>
  <c r="S45" i="83"/>
  <c r="S46" i="83"/>
  <c r="S47" i="83"/>
  <c r="S48" i="83"/>
  <c r="S49" i="83"/>
  <c r="S50" i="83"/>
  <c r="S51" i="83"/>
  <c r="S52" i="83"/>
  <c r="S53" i="83"/>
  <c r="S54" i="83"/>
  <c r="S55" i="83"/>
  <c r="S56" i="83"/>
  <c r="S57" i="83"/>
  <c r="S58" i="83"/>
  <c r="S59" i="83"/>
  <c r="S60" i="83"/>
  <c r="S61" i="83"/>
  <c r="S62" i="83"/>
  <c r="S63" i="83"/>
  <c r="S64" i="83"/>
  <c r="S65" i="83"/>
  <c r="S66" i="83"/>
  <c r="S67" i="83"/>
  <c r="S68" i="83"/>
  <c r="S69" i="83"/>
  <c r="S70" i="83"/>
  <c r="S71" i="83"/>
  <c r="S72" i="83"/>
  <c r="S73" i="83"/>
  <c r="S74" i="83"/>
  <c r="S75" i="83"/>
  <c r="S76" i="83"/>
  <c r="S77" i="83"/>
  <c r="S78" i="83"/>
  <c r="S79" i="83"/>
  <c r="S80" i="83"/>
  <c r="S81" i="83"/>
  <c r="S82" i="83"/>
  <c r="S83" i="83"/>
  <c r="S84" i="83"/>
  <c r="S85" i="83"/>
  <c r="S86" i="83"/>
  <c r="S87" i="83"/>
  <c r="S88" i="83"/>
  <c r="S89" i="83"/>
  <c r="S90" i="83"/>
  <c r="S91" i="83"/>
  <c r="S92" i="83"/>
  <c r="S93" i="83"/>
  <c r="S94" i="83"/>
  <c r="S95" i="83"/>
  <c r="S96" i="83"/>
  <c r="S97" i="83"/>
  <c r="S98" i="83"/>
  <c r="S99" i="83"/>
  <c r="S100" i="83"/>
  <c r="S101" i="83"/>
  <c r="S102" i="83"/>
  <c r="S103" i="83"/>
  <c r="S104" i="83"/>
  <c r="S105" i="83"/>
  <c r="S106" i="83"/>
  <c r="S107" i="83"/>
  <c r="S108" i="83"/>
  <c r="S109" i="83"/>
  <c r="S110" i="83"/>
  <c r="S111" i="83"/>
  <c r="S112" i="83"/>
  <c r="S113" i="83"/>
  <c r="S114" i="83"/>
  <c r="S115" i="83"/>
  <c r="S116" i="83"/>
  <c r="S117" i="83"/>
  <c r="S118" i="83"/>
  <c r="S119" i="83"/>
  <c r="S120" i="83"/>
  <c r="S121" i="83"/>
  <c r="S122" i="83"/>
  <c r="S123" i="83"/>
  <c r="S124" i="83"/>
  <c r="S125" i="83"/>
  <c r="S126" i="83"/>
  <c r="S127" i="83"/>
  <c r="S128" i="83"/>
  <c r="S129" i="83"/>
  <c r="S130" i="83"/>
  <c r="S131" i="83"/>
  <c r="S132" i="83"/>
  <c r="S133" i="83"/>
  <c r="S134" i="83"/>
  <c r="S135" i="83"/>
  <c r="S136" i="83"/>
  <c r="S137" i="83"/>
  <c r="S138" i="83"/>
  <c r="S139" i="83"/>
  <c r="S140" i="83"/>
  <c r="S141" i="83"/>
  <c r="S142" i="83"/>
  <c r="S143" i="83"/>
  <c r="S3" i="82"/>
  <c r="S4" i="82"/>
  <c r="S5" i="82"/>
  <c r="S6" i="82"/>
  <c r="S7" i="82"/>
  <c r="S8" i="82"/>
  <c r="S9" i="82"/>
  <c r="S10" i="82"/>
  <c r="S11" i="82"/>
  <c r="S12" i="82"/>
  <c r="S13" i="82"/>
  <c r="S14" i="82"/>
  <c r="S15" i="82"/>
  <c r="S16" i="82"/>
  <c r="S17" i="82"/>
  <c r="S18" i="82"/>
  <c r="S19" i="82"/>
  <c r="S20" i="82"/>
  <c r="S21" i="82"/>
  <c r="S22" i="82"/>
  <c r="S23" i="82"/>
  <c r="S24" i="82"/>
  <c r="S25" i="82"/>
  <c r="S26" i="82"/>
  <c r="S27" i="82"/>
  <c r="S28" i="82"/>
  <c r="S29" i="82"/>
  <c r="S30" i="82"/>
  <c r="S31" i="82"/>
  <c r="S32" i="82"/>
  <c r="S33" i="82"/>
  <c r="S34" i="82"/>
  <c r="S35" i="82"/>
  <c r="S36" i="82"/>
  <c r="S37" i="82"/>
  <c r="S38" i="82"/>
  <c r="S39" i="82"/>
  <c r="S40" i="82"/>
  <c r="S41" i="82"/>
  <c r="S42" i="82"/>
  <c r="S43" i="82"/>
  <c r="S44" i="82"/>
  <c r="S45" i="82"/>
  <c r="S46" i="82"/>
  <c r="S47" i="82"/>
  <c r="S48" i="82"/>
  <c r="S49" i="82"/>
  <c r="S50" i="82"/>
  <c r="S51" i="82"/>
  <c r="S52" i="82"/>
  <c r="S53" i="82"/>
  <c r="S54" i="82"/>
  <c r="S55" i="82"/>
  <c r="S56" i="82"/>
  <c r="S57" i="82"/>
  <c r="S58" i="82"/>
  <c r="S59" i="82"/>
  <c r="S60" i="82"/>
  <c r="S61" i="82"/>
  <c r="S62" i="82"/>
  <c r="S63" i="82"/>
  <c r="S64" i="82"/>
  <c r="S65" i="82"/>
  <c r="S66" i="82"/>
  <c r="S67" i="82"/>
  <c r="S68" i="82"/>
  <c r="S69" i="82"/>
  <c r="S70" i="82"/>
  <c r="S71" i="82"/>
  <c r="S72" i="82"/>
  <c r="S73" i="82"/>
  <c r="S74" i="82"/>
  <c r="S75" i="82"/>
  <c r="S76" i="82"/>
  <c r="S77" i="82"/>
  <c r="S78" i="82"/>
  <c r="S79" i="82"/>
  <c r="S80" i="82"/>
  <c r="S81" i="82"/>
  <c r="S82" i="82"/>
  <c r="S83" i="82"/>
  <c r="S84" i="82"/>
  <c r="S85" i="82"/>
  <c r="S86" i="82"/>
  <c r="S87" i="82"/>
  <c r="S88" i="82"/>
  <c r="S89" i="82"/>
  <c r="S90" i="82"/>
  <c r="S91" i="82"/>
  <c r="S92" i="82"/>
  <c r="S93" i="82"/>
  <c r="S94" i="82"/>
  <c r="S95" i="82"/>
  <c r="S96" i="82"/>
  <c r="S97" i="82"/>
  <c r="S98" i="82"/>
  <c r="S99" i="82"/>
  <c r="S100" i="82"/>
  <c r="S101" i="82"/>
  <c r="S102" i="82"/>
  <c r="S103" i="82"/>
  <c r="S104" i="82"/>
  <c r="S105" i="82"/>
  <c r="S106" i="82"/>
  <c r="S107" i="82"/>
  <c r="S108" i="82"/>
  <c r="S109" i="82"/>
  <c r="S110" i="82"/>
  <c r="S111" i="82"/>
  <c r="S112" i="82"/>
  <c r="S113" i="82"/>
  <c r="S114" i="82"/>
  <c r="S115" i="82"/>
  <c r="S116" i="82"/>
  <c r="S117" i="82"/>
  <c r="S118" i="82"/>
  <c r="S119" i="82"/>
  <c r="S120" i="82"/>
  <c r="S121" i="82"/>
  <c r="S122" i="82"/>
  <c r="S123" i="82"/>
  <c r="S124" i="82"/>
  <c r="S125" i="82"/>
  <c r="S126" i="82"/>
  <c r="S127" i="82"/>
  <c r="S128" i="82"/>
  <c r="S129" i="82"/>
  <c r="S130" i="82"/>
  <c r="S131" i="82"/>
  <c r="S132" i="82"/>
  <c r="S133" i="82"/>
  <c r="S134" i="82"/>
  <c r="S135" i="82"/>
  <c r="S136" i="82"/>
  <c r="S137" i="82"/>
  <c r="S138" i="82"/>
  <c r="S139" i="82"/>
  <c r="S140" i="82"/>
  <c r="S141" i="82"/>
  <c r="S142" i="82"/>
  <c r="S143" i="82"/>
  <c r="S3" i="81"/>
  <c r="S4" i="81"/>
  <c r="S5" i="81"/>
  <c r="S6" i="81"/>
  <c r="S7" i="81"/>
  <c r="S8" i="81"/>
  <c r="S9" i="81"/>
  <c r="S10" i="81"/>
  <c r="S11" i="81"/>
  <c r="S12" i="81"/>
  <c r="S13" i="81"/>
  <c r="S14" i="81"/>
  <c r="S15" i="81"/>
  <c r="S16" i="81"/>
  <c r="S17" i="81"/>
  <c r="S18" i="81"/>
  <c r="S19" i="81"/>
  <c r="S20" i="81"/>
  <c r="S21" i="81"/>
  <c r="S22" i="81"/>
  <c r="S23" i="81"/>
  <c r="S24" i="81"/>
  <c r="S25" i="81"/>
  <c r="S26" i="81"/>
  <c r="S27" i="81"/>
  <c r="S28" i="81"/>
  <c r="S29" i="81"/>
  <c r="S30" i="81"/>
  <c r="S31" i="81"/>
  <c r="S32" i="81"/>
  <c r="S33" i="81"/>
  <c r="S34" i="81"/>
  <c r="S35" i="81"/>
  <c r="S36" i="81"/>
  <c r="S37" i="81"/>
  <c r="S38" i="81"/>
  <c r="S39" i="81"/>
  <c r="S40" i="81"/>
  <c r="S41" i="81"/>
  <c r="S42" i="81"/>
  <c r="S43" i="81"/>
  <c r="S44" i="81"/>
  <c r="S45" i="81"/>
  <c r="S46" i="81"/>
  <c r="S47" i="81"/>
  <c r="S48" i="81"/>
  <c r="S49" i="81"/>
  <c r="S50" i="81"/>
  <c r="S51" i="81"/>
  <c r="S52" i="81"/>
  <c r="S53" i="81"/>
  <c r="S54" i="81"/>
  <c r="S55" i="81"/>
  <c r="S56" i="81"/>
  <c r="S57" i="81"/>
  <c r="S58" i="81"/>
  <c r="S59" i="81"/>
  <c r="S60" i="81"/>
  <c r="S61" i="81"/>
  <c r="S62" i="81"/>
  <c r="S63" i="81"/>
  <c r="S64" i="81"/>
  <c r="S65" i="81"/>
  <c r="S66" i="81"/>
  <c r="S67" i="81"/>
  <c r="S68" i="81"/>
  <c r="S69" i="81"/>
  <c r="S70" i="81"/>
  <c r="S71" i="81"/>
  <c r="S72" i="81"/>
  <c r="S73" i="81"/>
  <c r="S74" i="81"/>
  <c r="S75" i="81"/>
  <c r="S76" i="81"/>
  <c r="S77" i="81"/>
  <c r="S78" i="81"/>
  <c r="S79" i="81"/>
  <c r="S80" i="81"/>
  <c r="S81" i="81"/>
  <c r="S82" i="81"/>
  <c r="S83" i="81"/>
  <c r="S84" i="81"/>
  <c r="S85" i="81"/>
  <c r="S86" i="81"/>
  <c r="S87" i="81"/>
  <c r="S88" i="81"/>
  <c r="S89" i="81"/>
  <c r="S90" i="81"/>
  <c r="S91" i="81"/>
  <c r="S92" i="81"/>
  <c r="S93" i="81"/>
  <c r="S94" i="81"/>
  <c r="S95" i="81"/>
  <c r="S96" i="81"/>
  <c r="S97" i="81"/>
  <c r="S98" i="81"/>
  <c r="S99" i="81"/>
  <c r="S100" i="81"/>
  <c r="S101" i="81"/>
  <c r="S102" i="81"/>
  <c r="S103" i="81"/>
  <c r="S104" i="81"/>
  <c r="S105" i="81"/>
  <c r="S106" i="81"/>
  <c r="S107" i="81"/>
  <c r="S108" i="81"/>
  <c r="S109" i="81"/>
  <c r="S110" i="81"/>
  <c r="S111" i="81"/>
  <c r="S112" i="81"/>
  <c r="S113" i="81"/>
  <c r="S114" i="81"/>
  <c r="S115" i="81"/>
  <c r="S116" i="81"/>
  <c r="S117" i="81"/>
  <c r="S118" i="81"/>
  <c r="S119" i="81"/>
  <c r="S120" i="81"/>
  <c r="S121" i="81"/>
  <c r="S122" i="81"/>
  <c r="S123" i="81"/>
  <c r="S124" i="81"/>
  <c r="S125" i="81"/>
  <c r="S126" i="81"/>
  <c r="S127" i="81"/>
  <c r="S128" i="81"/>
  <c r="S129" i="81"/>
  <c r="S130" i="81"/>
  <c r="S131" i="81"/>
  <c r="S132" i="81"/>
  <c r="S133" i="81"/>
  <c r="S134" i="81"/>
  <c r="S135" i="81"/>
  <c r="S136" i="81"/>
  <c r="S137" i="81"/>
  <c r="S138" i="81"/>
  <c r="S139" i="81"/>
  <c r="S140" i="81"/>
  <c r="S141" i="81"/>
  <c r="S142" i="81"/>
  <c r="S143" i="81"/>
  <c r="S3" i="80"/>
  <c r="S4" i="80"/>
  <c r="S5" i="80"/>
  <c r="S6" i="80"/>
  <c r="S7" i="80"/>
  <c r="S8" i="80"/>
  <c r="S9" i="80"/>
  <c r="S10" i="80"/>
  <c r="S11" i="80"/>
  <c r="S12" i="80"/>
  <c r="S13" i="80"/>
  <c r="S14" i="80"/>
  <c r="S15" i="80"/>
  <c r="S16" i="80"/>
  <c r="S17" i="80"/>
  <c r="S18" i="80"/>
  <c r="S19" i="80"/>
  <c r="S20" i="80"/>
  <c r="S21" i="80"/>
  <c r="S22" i="80"/>
  <c r="S23" i="80"/>
  <c r="S24" i="80"/>
  <c r="S25" i="80"/>
  <c r="S26" i="80"/>
  <c r="S27" i="80"/>
  <c r="S28" i="80"/>
  <c r="S29" i="80"/>
  <c r="S30" i="80"/>
  <c r="S31" i="80"/>
  <c r="S32" i="80"/>
  <c r="S33" i="80"/>
  <c r="S34" i="80"/>
  <c r="S35" i="80"/>
  <c r="S36" i="80"/>
  <c r="S37" i="80"/>
  <c r="S38" i="80"/>
  <c r="S39" i="80"/>
  <c r="S40" i="80"/>
  <c r="S41" i="80"/>
  <c r="S42" i="80"/>
  <c r="S43" i="80"/>
  <c r="S44" i="80"/>
  <c r="S45" i="80"/>
  <c r="S46" i="80"/>
  <c r="S47" i="80"/>
  <c r="S48" i="80"/>
  <c r="S49" i="80"/>
  <c r="S50" i="80"/>
  <c r="S51" i="80"/>
  <c r="S52" i="80"/>
  <c r="S53" i="80"/>
  <c r="S54" i="80"/>
  <c r="S55" i="80"/>
  <c r="S56" i="80"/>
  <c r="S57" i="80"/>
  <c r="S58" i="80"/>
  <c r="S59" i="80"/>
  <c r="S60" i="80"/>
  <c r="S61" i="80"/>
  <c r="S62" i="80"/>
  <c r="S63" i="80"/>
  <c r="S64" i="80"/>
  <c r="S65" i="80"/>
  <c r="S66" i="80"/>
  <c r="S67" i="80"/>
  <c r="S68" i="80"/>
  <c r="S69" i="80"/>
  <c r="S70" i="80"/>
  <c r="S71" i="80"/>
  <c r="S72" i="80"/>
  <c r="S73" i="80"/>
  <c r="S74" i="80"/>
  <c r="S75" i="80"/>
  <c r="S76" i="80"/>
  <c r="S77" i="80"/>
  <c r="S78" i="80"/>
  <c r="S79" i="80"/>
  <c r="S80" i="80"/>
  <c r="S81" i="80"/>
  <c r="S82" i="80"/>
  <c r="S83" i="80"/>
  <c r="S84" i="80"/>
  <c r="S85" i="80"/>
  <c r="S86" i="80"/>
  <c r="S87" i="80"/>
  <c r="S88" i="80"/>
  <c r="S89" i="80"/>
  <c r="S90" i="80"/>
  <c r="S91" i="80"/>
  <c r="S92" i="80"/>
  <c r="S93" i="80"/>
  <c r="S94" i="80"/>
  <c r="S95" i="80"/>
  <c r="S96" i="80"/>
  <c r="S97" i="80"/>
  <c r="S98" i="80"/>
  <c r="S99" i="80"/>
  <c r="S100" i="80"/>
  <c r="S101" i="80"/>
  <c r="S102" i="80"/>
  <c r="S103" i="80"/>
  <c r="S104" i="80"/>
  <c r="S105" i="80"/>
  <c r="S106" i="80"/>
  <c r="S107" i="80"/>
  <c r="S108" i="80"/>
  <c r="S109" i="80"/>
  <c r="S110" i="80"/>
  <c r="S111" i="80"/>
  <c r="S112" i="80"/>
  <c r="S113" i="80"/>
  <c r="S114" i="80"/>
  <c r="S115" i="80"/>
  <c r="S116" i="80"/>
  <c r="S117" i="80"/>
  <c r="S118" i="80"/>
  <c r="S119" i="80"/>
  <c r="S120" i="80"/>
  <c r="S121" i="80"/>
  <c r="S122" i="80"/>
  <c r="S123" i="80"/>
  <c r="S124" i="80"/>
  <c r="S125" i="80"/>
  <c r="S126" i="80"/>
  <c r="S127" i="80"/>
  <c r="S128" i="80"/>
  <c r="S129" i="80"/>
  <c r="S130" i="80"/>
  <c r="S131" i="80"/>
  <c r="S132" i="80"/>
  <c r="S133" i="80"/>
  <c r="S134" i="80"/>
  <c r="S135" i="80"/>
  <c r="S136" i="80"/>
  <c r="S137" i="80"/>
  <c r="S138" i="80"/>
  <c r="S139" i="80"/>
  <c r="S140" i="80"/>
  <c r="S141" i="80"/>
  <c r="S142" i="80"/>
  <c r="S143" i="80"/>
  <c r="L3" i="80"/>
  <c r="N3" i="80"/>
  <c r="O3" i="80"/>
  <c r="P3" i="80"/>
  <c r="Q3" i="80"/>
  <c r="L4" i="80"/>
  <c r="N4" i="80"/>
  <c r="O4" i="80"/>
  <c r="P4" i="80"/>
  <c r="Q4" i="80"/>
  <c r="L5" i="80"/>
  <c r="N5" i="80"/>
  <c r="O5" i="80"/>
  <c r="F5" i="80" s="1"/>
  <c r="P5" i="80"/>
  <c r="Q5" i="80"/>
  <c r="L6" i="80"/>
  <c r="N6" i="80"/>
  <c r="O6" i="80"/>
  <c r="F6" i="80" s="1"/>
  <c r="P6" i="80"/>
  <c r="Q6" i="80"/>
  <c r="L7" i="80"/>
  <c r="N7" i="80"/>
  <c r="O7" i="80"/>
  <c r="P7" i="80"/>
  <c r="Q7" i="80"/>
  <c r="L3" i="5"/>
  <c r="N3" i="5"/>
  <c r="O3" i="5"/>
  <c r="P3" i="5"/>
  <c r="Q3" i="5"/>
  <c r="L4" i="5"/>
  <c r="N4" i="5"/>
  <c r="O4" i="5"/>
  <c r="P4" i="5"/>
  <c r="Q4" i="5"/>
  <c r="L5" i="5"/>
  <c r="N5" i="5"/>
  <c r="O5" i="5"/>
  <c r="P5" i="5"/>
  <c r="Q5" i="5"/>
  <c r="L6" i="5"/>
  <c r="N6" i="5"/>
  <c r="O6" i="5"/>
  <c r="F6" i="5" s="1"/>
  <c r="P6" i="5"/>
  <c r="Q6" i="5"/>
  <c r="L7" i="5"/>
  <c r="N7" i="5"/>
  <c r="O7" i="5"/>
  <c r="P7" i="5"/>
  <c r="Q7" i="5"/>
  <c r="L8" i="5"/>
  <c r="N8" i="5"/>
  <c r="O8" i="5"/>
  <c r="P8" i="5"/>
  <c r="Q8" i="5"/>
  <c r="L9" i="5"/>
  <c r="N9" i="5"/>
  <c r="O9" i="5"/>
  <c r="P9" i="5"/>
  <c r="Q9" i="5"/>
  <c r="L10" i="5"/>
  <c r="N10" i="5"/>
  <c r="O10" i="5"/>
  <c r="P10" i="5"/>
  <c r="Q10" i="5"/>
  <c r="L11" i="5"/>
  <c r="N11" i="5"/>
  <c r="O11" i="5"/>
  <c r="F11" i="5" s="1"/>
  <c r="P11" i="5"/>
  <c r="Q11" i="5"/>
  <c r="AA58" i="89"/>
  <c r="Y58" i="89"/>
  <c r="Y9" i="89"/>
  <c r="AA58" i="90"/>
  <c r="Z58" i="90"/>
  <c r="Y58" i="90"/>
  <c r="AA57" i="90"/>
  <c r="Z57" i="90"/>
  <c r="Y57" i="90"/>
  <c r="AA56" i="90"/>
  <c r="Z56" i="90"/>
  <c r="Y56" i="90"/>
  <c r="AA55" i="90"/>
  <c r="Z55" i="90"/>
  <c r="Y55" i="90"/>
  <c r="AA54" i="90"/>
  <c r="Z54" i="90"/>
  <c r="Y54" i="90"/>
  <c r="AA53" i="90"/>
  <c r="Z53" i="90"/>
  <c r="Y53" i="90"/>
  <c r="AA52" i="90"/>
  <c r="Z52" i="90"/>
  <c r="Y52" i="90"/>
  <c r="AA51" i="90"/>
  <c r="Z51" i="90"/>
  <c r="Y51" i="90"/>
  <c r="AA50" i="90"/>
  <c r="Z50" i="90"/>
  <c r="Y50" i="90"/>
  <c r="AA47" i="90"/>
  <c r="Z47" i="90"/>
  <c r="Y47" i="90"/>
  <c r="AA46" i="90"/>
  <c r="Z46" i="90"/>
  <c r="Y46" i="90"/>
  <c r="AA43" i="90"/>
  <c r="Z43" i="90"/>
  <c r="Y43" i="90"/>
  <c r="AA42" i="90"/>
  <c r="Z42" i="90"/>
  <c r="Y42" i="90"/>
  <c r="AA41" i="90"/>
  <c r="Z41" i="90"/>
  <c r="Y41" i="90"/>
  <c r="AA31" i="90"/>
  <c r="Z31" i="90"/>
  <c r="Y31" i="90"/>
  <c r="AA30" i="90"/>
  <c r="Z30" i="90"/>
  <c r="Y30" i="90"/>
  <c r="AA29" i="90"/>
  <c r="Z29" i="90"/>
  <c r="Y29" i="90"/>
  <c r="AA28" i="90"/>
  <c r="Z28" i="90"/>
  <c r="AA27" i="90"/>
  <c r="Z27" i="90"/>
  <c r="Y27" i="90"/>
  <c r="AA26" i="90"/>
  <c r="Z26" i="90"/>
  <c r="Y26" i="90"/>
  <c r="AA23" i="90"/>
  <c r="Z23" i="90"/>
  <c r="Y23" i="90"/>
  <c r="AA22" i="90"/>
  <c r="Z22" i="90"/>
  <c r="Y22" i="90"/>
  <c r="AA21" i="90"/>
  <c r="Z21" i="90"/>
  <c r="Y21" i="90"/>
  <c r="AA18" i="90"/>
  <c r="Z18" i="90"/>
  <c r="Y18" i="90"/>
  <c r="AA17" i="90"/>
  <c r="Z17" i="90"/>
  <c r="Y17" i="90"/>
  <c r="AA16" i="90"/>
  <c r="Z16" i="90"/>
  <c r="Y16" i="90"/>
  <c r="AA15" i="90"/>
  <c r="Z15" i="90"/>
  <c r="Y15" i="90"/>
  <c r="AA14" i="90"/>
  <c r="Z14" i="90"/>
  <c r="Y14" i="90"/>
  <c r="AA13" i="90"/>
  <c r="Z13" i="90"/>
  <c r="Y13" i="90"/>
  <c r="AA12" i="90"/>
  <c r="Z12" i="90"/>
  <c r="Y12" i="90"/>
  <c r="AA9" i="90"/>
  <c r="Z9" i="90"/>
  <c r="Y9" i="90"/>
  <c r="AA8" i="90"/>
  <c r="Z8" i="90"/>
  <c r="Y8" i="90"/>
  <c r="AA7" i="90"/>
  <c r="Z7" i="90"/>
  <c r="Y7" i="90"/>
  <c r="AA6" i="90"/>
  <c r="Z6" i="90"/>
  <c r="Y6" i="90"/>
  <c r="AA5" i="90"/>
  <c r="Z5" i="90"/>
  <c r="Y5" i="90"/>
  <c r="AA4" i="90"/>
  <c r="Z4" i="90"/>
  <c r="Y4" i="90"/>
  <c r="AA3" i="90"/>
  <c r="Z3" i="90"/>
  <c r="Y3" i="90"/>
  <c r="Z58" i="89"/>
  <c r="AA57" i="89"/>
  <c r="Z57" i="89"/>
  <c r="Y57" i="89"/>
  <c r="AA56" i="89"/>
  <c r="Z56" i="89"/>
  <c r="Y56" i="89"/>
  <c r="AA55" i="89"/>
  <c r="Z55" i="89"/>
  <c r="Y55" i="89"/>
  <c r="AA54" i="89"/>
  <c r="Z54" i="89"/>
  <c r="Y54" i="89"/>
  <c r="AA53" i="89"/>
  <c r="Z53" i="89"/>
  <c r="Y53" i="89"/>
  <c r="AA52" i="89"/>
  <c r="Z52" i="89"/>
  <c r="Y52" i="89"/>
  <c r="AA51" i="89"/>
  <c r="Z51" i="89"/>
  <c r="Y51" i="89"/>
  <c r="AA50" i="89"/>
  <c r="Z50" i="89"/>
  <c r="Y50" i="89"/>
  <c r="AA47" i="89"/>
  <c r="Z47" i="89"/>
  <c r="Y47" i="89"/>
  <c r="AA46" i="89"/>
  <c r="Z46" i="89"/>
  <c r="Y46" i="89"/>
  <c r="AA43" i="89"/>
  <c r="Z43" i="89"/>
  <c r="Y43" i="89"/>
  <c r="AA42" i="89"/>
  <c r="Z42" i="89"/>
  <c r="Y42" i="89"/>
  <c r="AA41" i="89"/>
  <c r="Z41" i="89"/>
  <c r="Y41" i="89"/>
  <c r="AA31" i="89"/>
  <c r="Z31" i="89"/>
  <c r="Y31" i="89"/>
  <c r="AA30" i="89"/>
  <c r="Z30" i="89"/>
  <c r="Y30" i="89"/>
  <c r="AA29" i="89"/>
  <c r="Z29" i="89"/>
  <c r="Y29" i="89"/>
  <c r="AA28" i="89"/>
  <c r="Z28" i="89"/>
  <c r="Y28" i="89"/>
  <c r="AA27" i="89"/>
  <c r="Z27" i="89"/>
  <c r="Y27" i="89"/>
  <c r="AA26" i="89"/>
  <c r="Z26" i="89"/>
  <c r="Y26" i="89"/>
  <c r="AA23" i="89"/>
  <c r="Z23" i="89"/>
  <c r="Y23" i="89"/>
  <c r="AA22" i="89"/>
  <c r="Z22" i="89"/>
  <c r="Y22" i="89"/>
  <c r="AA21" i="89"/>
  <c r="Z21" i="89"/>
  <c r="Y21" i="89"/>
  <c r="AA18" i="89"/>
  <c r="Z18" i="89"/>
  <c r="Y18" i="89"/>
  <c r="AA17" i="89"/>
  <c r="Z17" i="89"/>
  <c r="Y17" i="89"/>
  <c r="AA16" i="89"/>
  <c r="Z16" i="89"/>
  <c r="Y16" i="89"/>
  <c r="AA15" i="89"/>
  <c r="Z15" i="89"/>
  <c r="Y15" i="89"/>
  <c r="AA14" i="89"/>
  <c r="Z14" i="89"/>
  <c r="Y14" i="89"/>
  <c r="AA13" i="89"/>
  <c r="Z13" i="89"/>
  <c r="Y13" i="89"/>
  <c r="AA12" i="89"/>
  <c r="Z12" i="89"/>
  <c r="Y12" i="89"/>
  <c r="AA9" i="89"/>
  <c r="Z9" i="89"/>
  <c r="AA8" i="89"/>
  <c r="Z8" i="89"/>
  <c r="Y8" i="89"/>
  <c r="AA7" i="89"/>
  <c r="Z7" i="89"/>
  <c r="Y7" i="89"/>
  <c r="AA6" i="89"/>
  <c r="Z6" i="89"/>
  <c r="Y6" i="89"/>
  <c r="AA5" i="89"/>
  <c r="Z5" i="89"/>
  <c r="Y5" i="89"/>
  <c r="AA4" i="89"/>
  <c r="Z4" i="89"/>
  <c r="Y4" i="89"/>
  <c r="AA3" i="89"/>
  <c r="Z3" i="89"/>
  <c r="Y3" i="89"/>
  <c r="AA58" i="88"/>
  <c r="Z58" i="88"/>
  <c r="Y58" i="88"/>
  <c r="AA57" i="88"/>
  <c r="Z57" i="88"/>
  <c r="Y57" i="88"/>
  <c r="AA56" i="88"/>
  <c r="Z56" i="88"/>
  <c r="Y56" i="88"/>
  <c r="AA55" i="88"/>
  <c r="Z55" i="88"/>
  <c r="Y55" i="88"/>
  <c r="AA54" i="88"/>
  <c r="Z54" i="88"/>
  <c r="Y54" i="88"/>
  <c r="AA53" i="88"/>
  <c r="Z53" i="88"/>
  <c r="Y53" i="88"/>
  <c r="AA52" i="88"/>
  <c r="Z52" i="88"/>
  <c r="Y52" i="88"/>
  <c r="AA51" i="88"/>
  <c r="Z51" i="88"/>
  <c r="Y51" i="88"/>
  <c r="AA50" i="88"/>
  <c r="Z50" i="88"/>
  <c r="Y50" i="88"/>
  <c r="AA47" i="88"/>
  <c r="Z47" i="88"/>
  <c r="Y47" i="88"/>
  <c r="AA46" i="88"/>
  <c r="Z46" i="88"/>
  <c r="Y46" i="88"/>
  <c r="AA43" i="88"/>
  <c r="Z43" i="88"/>
  <c r="Y43" i="88"/>
  <c r="AA42" i="88"/>
  <c r="Z42" i="88"/>
  <c r="Y42" i="88"/>
  <c r="AA41" i="88"/>
  <c r="Z41" i="88"/>
  <c r="Y41" i="88"/>
  <c r="AA31" i="88"/>
  <c r="Z31" i="88"/>
  <c r="Y31" i="88"/>
  <c r="AA30" i="88"/>
  <c r="Z30" i="88"/>
  <c r="Y30" i="88"/>
  <c r="AA29" i="88"/>
  <c r="Z29" i="88"/>
  <c r="Y29" i="88"/>
  <c r="AA28" i="88"/>
  <c r="Z28" i="88"/>
  <c r="Y28" i="88"/>
  <c r="AA27" i="88"/>
  <c r="Z27" i="88"/>
  <c r="Y27" i="88"/>
  <c r="AA26" i="88"/>
  <c r="Z26" i="88"/>
  <c r="Y26" i="88"/>
  <c r="AA23" i="88"/>
  <c r="Z23" i="88"/>
  <c r="Y23" i="88"/>
  <c r="AA22" i="88"/>
  <c r="Z22" i="88"/>
  <c r="Y22" i="88"/>
  <c r="AA21" i="88"/>
  <c r="Z21" i="88"/>
  <c r="Y21" i="88"/>
  <c r="AA18" i="88"/>
  <c r="Z18" i="88"/>
  <c r="Y18" i="88"/>
  <c r="AA17" i="88"/>
  <c r="Z17" i="88"/>
  <c r="Y17" i="88"/>
  <c r="AA16" i="88"/>
  <c r="Z16" i="88"/>
  <c r="Y16" i="88"/>
  <c r="AA15" i="88"/>
  <c r="Z15" i="88"/>
  <c r="Y15" i="88"/>
  <c r="AA14" i="88"/>
  <c r="Z14" i="88"/>
  <c r="Y14" i="88"/>
  <c r="AA13" i="88"/>
  <c r="Z13" i="88"/>
  <c r="Y13" i="88"/>
  <c r="AA12" i="88"/>
  <c r="Z12" i="88"/>
  <c r="Y12" i="88"/>
  <c r="AA9" i="88"/>
  <c r="Z9" i="88"/>
  <c r="Y9" i="88"/>
  <c r="AA8" i="88"/>
  <c r="Z8" i="88"/>
  <c r="Y8" i="88"/>
  <c r="AA7" i="88"/>
  <c r="Z7" i="88"/>
  <c r="Y7" i="88"/>
  <c r="AA6" i="88"/>
  <c r="Z6" i="88"/>
  <c r="Y6" i="88"/>
  <c r="AA5" i="88"/>
  <c r="Z5" i="88"/>
  <c r="Y5" i="88"/>
  <c r="AA4" i="88"/>
  <c r="Z4" i="88"/>
  <c r="Y4" i="88"/>
  <c r="AA3" i="88"/>
  <c r="Z3" i="88"/>
  <c r="Y3" i="88"/>
  <c r="AA58" i="87"/>
  <c r="Z58" i="87"/>
  <c r="Y58" i="87"/>
  <c r="AA57" i="87"/>
  <c r="Z57" i="87"/>
  <c r="Y57" i="87"/>
  <c r="AA56" i="87"/>
  <c r="Z56" i="87"/>
  <c r="Y56" i="87"/>
  <c r="AA55" i="87"/>
  <c r="Z55" i="87"/>
  <c r="Y55" i="87"/>
  <c r="AA54" i="87"/>
  <c r="Z54" i="87"/>
  <c r="Y54" i="87"/>
  <c r="AA53" i="87"/>
  <c r="Z53" i="87"/>
  <c r="Y53" i="87"/>
  <c r="AA52" i="87"/>
  <c r="Z52" i="87"/>
  <c r="Y52" i="87"/>
  <c r="AA51" i="87"/>
  <c r="Z51" i="87"/>
  <c r="Y51" i="87"/>
  <c r="AA50" i="87"/>
  <c r="Z50" i="87"/>
  <c r="Y50" i="87"/>
  <c r="AA47" i="87"/>
  <c r="Z47" i="87"/>
  <c r="AA46" i="87"/>
  <c r="Z46" i="87"/>
  <c r="Y46" i="87"/>
  <c r="AA43" i="87"/>
  <c r="Z43" i="87"/>
  <c r="AA42" i="87"/>
  <c r="Z42" i="87"/>
  <c r="Y42" i="87"/>
  <c r="AA41" i="87"/>
  <c r="Z41" i="87"/>
  <c r="Y41" i="87"/>
  <c r="AA31" i="87"/>
  <c r="Z31" i="87"/>
  <c r="Y31" i="87"/>
  <c r="AA30" i="87"/>
  <c r="Z30" i="87"/>
  <c r="Y30" i="87"/>
  <c r="AA29" i="87"/>
  <c r="Z29" i="87"/>
  <c r="Y29" i="87"/>
  <c r="AA28" i="87"/>
  <c r="Z28" i="87"/>
  <c r="AA27" i="87"/>
  <c r="Z27" i="87"/>
  <c r="Y27" i="87"/>
  <c r="AA26" i="87"/>
  <c r="Z26" i="87"/>
  <c r="Y26" i="87"/>
  <c r="AA23" i="87"/>
  <c r="Z23" i="87"/>
  <c r="Y23" i="87"/>
  <c r="AA22" i="87"/>
  <c r="Z22" i="87"/>
  <c r="Y22" i="87"/>
  <c r="AA21" i="87"/>
  <c r="Z21" i="87"/>
  <c r="AA18" i="87"/>
  <c r="Z18" i="87"/>
  <c r="Y18" i="87"/>
  <c r="AA17" i="87"/>
  <c r="Z17" i="87"/>
  <c r="Y17" i="87"/>
  <c r="AA16" i="87"/>
  <c r="Z16" i="87"/>
  <c r="Y16" i="87"/>
  <c r="AA15" i="87"/>
  <c r="Z15" i="87"/>
  <c r="Y15" i="87"/>
  <c r="AA14" i="87"/>
  <c r="Z14" i="87"/>
  <c r="Y14" i="87"/>
  <c r="AA13" i="87"/>
  <c r="Z13" i="87"/>
  <c r="Y13" i="87"/>
  <c r="AA12" i="87"/>
  <c r="Z12" i="87"/>
  <c r="AA9" i="87"/>
  <c r="Z9" i="87"/>
  <c r="Y9" i="87"/>
  <c r="AA8" i="87"/>
  <c r="Z8" i="87"/>
  <c r="AA7" i="87"/>
  <c r="Z7" i="87"/>
  <c r="Y7" i="87"/>
  <c r="AA6" i="87"/>
  <c r="Z6" i="87"/>
  <c r="Y6" i="87"/>
  <c r="AA5" i="87"/>
  <c r="Z5" i="87"/>
  <c r="Y5" i="87"/>
  <c r="AA4" i="87"/>
  <c r="Z4" i="87"/>
  <c r="Y4" i="87"/>
  <c r="AA3" i="87"/>
  <c r="Z3" i="87"/>
  <c r="Y3" i="87"/>
  <c r="AA58" i="86"/>
  <c r="Z58" i="86"/>
  <c r="Y58" i="86"/>
  <c r="AA57" i="86"/>
  <c r="Z57" i="86"/>
  <c r="Y57" i="86"/>
  <c r="AA56" i="86"/>
  <c r="Z56" i="86"/>
  <c r="Y56" i="86"/>
  <c r="AA55" i="86"/>
  <c r="Z55" i="86"/>
  <c r="Y55" i="86"/>
  <c r="AA54" i="86"/>
  <c r="Z54" i="86"/>
  <c r="Y54" i="86"/>
  <c r="AA53" i="86"/>
  <c r="Z53" i="86"/>
  <c r="Y53" i="86"/>
  <c r="AA52" i="86"/>
  <c r="Z52" i="86"/>
  <c r="Y52" i="86"/>
  <c r="AA51" i="86"/>
  <c r="Z51" i="86"/>
  <c r="Y51" i="86"/>
  <c r="AA50" i="86"/>
  <c r="Z50" i="86"/>
  <c r="Y50" i="86"/>
  <c r="AA47" i="86"/>
  <c r="Z47" i="86"/>
  <c r="Y47" i="86"/>
  <c r="AA46" i="86"/>
  <c r="Z46" i="86"/>
  <c r="Y46" i="86"/>
  <c r="AA43" i="86"/>
  <c r="Z43" i="86"/>
  <c r="Y43" i="86"/>
  <c r="AA42" i="86"/>
  <c r="Z42" i="86"/>
  <c r="Y42" i="86"/>
  <c r="AA41" i="86"/>
  <c r="Z41" i="86"/>
  <c r="Y41" i="86"/>
  <c r="AA31" i="86"/>
  <c r="Z31" i="86"/>
  <c r="Y31" i="86"/>
  <c r="AA30" i="86"/>
  <c r="Z30" i="86"/>
  <c r="Y30" i="86"/>
  <c r="AA29" i="86"/>
  <c r="Z29" i="86"/>
  <c r="Y29" i="86"/>
  <c r="AA28" i="86"/>
  <c r="Z28" i="86"/>
  <c r="Y28" i="86"/>
  <c r="AA27" i="86"/>
  <c r="Z27" i="86"/>
  <c r="Y27" i="86"/>
  <c r="AA26" i="86"/>
  <c r="Z26" i="86"/>
  <c r="Y26" i="86"/>
  <c r="AA23" i="86"/>
  <c r="Z23" i="86"/>
  <c r="Y23" i="86"/>
  <c r="AA22" i="86"/>
  <c r="Z22" i="86"/>
  <c r="Y22" i="86"/>
  <c r="AA21" i="86"/>
  <c r="Z21" i="86"/>
  <c r="Y21" i="86"/>
  <c r="AA18" i="86"/>
  <c r="Z18" i="86"/>
  <c r="Y18" i="86"/>
  <c r="AA17" i="86"/>
  <c r="Z17" i="86"/>
  <c r="Y17" i="86"/>
  <c r="AA16" i="86"/>
  <c r="Z16" i="86"/>
  <c r="Y16" i="86"/>
  <c r="AA15" i="86"/>
  <c r="Z15" i="86"/>
  <c r="Y15" i="86"/>
  <c r="AA14" i="86"/>
  <c r="Z14" i="86"/>
  <c r="Y14" i="86"/>
  <c r="AA13" i="86"/>
  <c r="Z13" i="86"/>
  <c r="Y13" i="86"/>
  <c r="AA12" i="86"/>
  <c r="Z12" i="86"/>
  <c r="Y12" i="86"/>
  <c r="AA9" i="86"/>
  <c r="Z9" i="86"/>
  <c r="Y9" i="86"/>
  <c r="AA8" i="86"/>
  <c r="Z8" i="86"/>
  <c r="Y8" i="86"/>
  <c r="AA7" i="86"/>
  <c r="Z7" i="86"/>
  <c r="Y7" i="86"/>
  <c r="AA6" i="86"/>
  <c r="Z6" i="86"/>
  <c r="Y6" i="86"/>
  <c r="AA5" i="86"/>
  <c r="Z5" i="86"/>
  <c r="Y5" i="86"/>
  <c r="AA4" i="86"/>
  <c r="Z4" i="86"/>
  <c r="Y4" i="86"/>
  <c r="AA3" i="86"/>
  <c r="Z3" i="86"/>
  <c r="Y3" i="86"/>
  <c r="AA58" i="85"/>
  <c r="Z58" i="85"/>
  <c r="Y58" i="85"/>
  <c r="AA57" i="85"/>
  <c r="Z57" i="85"/>
  <c r="Y57" i="85"/>
  <c r="AA56" i="85"/>
  <c r="Z56" i="85"/>
  <c r="Y56" i="85"/>
  <c r="AA55" i="85"/>
  <c r="Z55" i="85"/>
  <c r="Y55" i="85"/>
  <c r="AA54" i="85"/>
  <c r="Z54" i="85"/>
  <c r="Y54" i="85"/>
  <c r="AA53" i="85"/>
  <c r="Z53" i="85"/>
  <c r="Y53" i="85"/>
  <c r="AA52" i="85"/>
  <c r="Z52" i="85"/>
  <c r="Y52" i="85"/>
  <c r="AA51" i="85"/>
  <c r="Z51" i="85"/>
  <c r="Y51" i="85"/>
  <c r="AA50" i="85"/>
  <c r="Z50" i="85"/>
  <c r="Y50" i="85"/>
  <c r="AA47" i="85"/>
  <c r="Z47" i="85"/>
  <c r="Y47" i="85"/>
  <c r="AA46" i="85"/>
  <c r="Z46" i="85"/>
  <c r="Y46" i="85"/>
  <c r="AA43" i="85"/>
  <c r="Z43" i="85"/>
  <c r="Y43" i="85"/>
  <c r="AA42" i="85"/>
  <c r="Z42" i="85"/>
  <c r="Y42" i="85"/>
  <c r="AA41" i="85"/>
  <c r="Z41" i="85"/>
  <c r="Y41" i="85"/>
  <c r="AA31" i="85"/>
  <c r="Z31" i="85"/>
  <c r="Y31" i="85"/>
  <c r="AA30" i="85"/>
  <c r="Z30" i="85"/>
  <c r="Y30" i="85"/>
  <c r="AA29" i="85"/>
  <c r="Z29" i="85"/>
  <c r="Y29" i="85"/>
  <c r="AA28" i="85"/>
  <c r="Z28" i="85"/>
  <c r="Y28" i="85"/>
  <c r="AA27" i="85"/>
  <c r="Z27" i="85"/>
  <c r="Y27" i="85"/>
  <c r="AA26" i="85"/>
  <c r="Z26" i="85"/>
  <c r="Y26" i="85"/>
  <c r="AA23" i="85"/>
  <c r="Z23" i="85"/>
  <c r="Y23" i="85"/>
  <c r="AA22" i="85"/>
  <c r="Z22" i="85"/>
  <c r="Y22" i="85"/>
  <c r="AA21" i="85"/>
  <c r="Z21" i="85"/>
  <c r="Y21" i="85"/>
  <c r="AA18" i="85"/>
  <c r="Z18" i="85"/>
  <c r="Y18" i="85"/>
  <c r="AA17" i="85"/>
  <c r="Z17" i="85"/>
  <c r="Y17" i="85"/>
  <c r="AA16" i="85"/>
  <c r="Z16" i="85"/>
  <c r="Y16" i="85"/>
  <c r="AA15" i="85"/>
  <c r="Z15" i="85"/>
  <c r="Y15" i="85"/>
  <c r="AA14" i="85"/>
  <c r="Z14" i="85"/>
  <c r="Y14" i="85"/>
  <c r="AA13" i="85"/>
  <c r="Z13" i="85"/>
  <c r="Y13" i="85"/>
  <c r="AA12" i="85"/>
  <c r="Z12" i="85"/>
  <c r="Y12" i="85"/>
  <c r="AA9" i="85"/>
  <c r="Z9" i="85"/>
  <c r="Y9" i="85"/>
  <c r="AA8" i="85"/>
  <c r="Z8" i="85"/>
  <c r="Y8" i="85"/>
  <c r="AA7" i="85"/>
  <c r="Z7" i="85"/>
  <c r="Y7" i="85"/>
  <c r="AA6" i="85"/>
  <c r="Z6" i="85"/>
  <c r="Y6" i="85"/>
  <c r="AA5" i="85"/>
  <c r="Z5" i="85"/>
  <c r="Y5" i="85"/>
  <c r="AA4" i="85"/>
  <c r="Z4" i="85"/>
  <c r="Y4" i="85"/>
  <c r="AA3" i="85"/>
  <c r="Z3" i="85"/>
  <c r="Y3" i="85"/>
  <c r="AA58" i="84"/>
  <c r="Z58" i="84"/>
  <c r="Y58" i="84"/>
  <c r="AA57" i="84"/>
  <c r="Z57" i="84"/>
  <c r="Y57" i="84"/>
  <c r="AA56" i="84"/>
  <c r="Z56" i="84"/>
  <c r="Y56" i="84"/>
  <c r="AA55" i="84"/>
  <c r="Z55" i="84"/>
  <c r="Y55" i="84"/>
  <c r="AA54" i="84"/>
  <c r="Z54" i="84"/>
  <c r="Y54" i="84"/>
  <c r="AA53" i="84"/>
  <c r="Z53" i="84"/>
  <c r="Y53" i="84"/>
  <c r="AA52" i="84"/>
  <c r="Z52" i="84"/>
  <c r="Y52" i="84"/>
  <c r="AA51" i="84"/>
  <c r="Z51" i="84"/>
  <c r="Y51" i="84"/>
  <c r="AA50" i="84"/>
  <c r="Z50" i="84"/>
  <c r="Y50" i="84"/>
  <c r="AA47" i="84"/>
  <c r="Z47" i="84"/>
  <c r="Y47" i="84"/>
  <c r="AA46" i="84"/>
  <c r="Z46" i="84"/>
  <c r="Y46" i="84"/>
  <c r="AA43" i="84"/>
  <c r="Z43" i="84"/>
  <c r="Y43" i="84"/>
  <c r="AA42" i="84"/>
  <c r="Z42" i="84"/>
  <c r="Y42" i="84"/>
  <c r="AA41" i="84"/>
  <c r="Z41" i="84"/>
  <c r="Y41" i="84"/>
  <c r="AA31" i="84"/>
  <c r="Z31" i="84"/>
  <c r="Y31" i="84"/>
  <c r="AA30" i="84"/>
  <c r="Z30" i="84"/>
  <c r="Y30" i="84"/>
  <c r="AA29" i="84"/>
  <c r="Z29" i="84"/>
  <c r="Y29" i="84"/>
  <c r="AA28" i="84"/>
  <c r="Z28" i="84"/>
  <c r="Y28" i="84"/>
  <c r="AA27" i="84"/>
  <c r="Z27" i="84"/>
  <c r="Y27" i="84"/>
  <c r="AA26" i="84"/>
  <c r="Z26" i="84"/>
  <c r="Y26" i="84"/>
  <c r="AA23" i="84"/>
  <c r="Z23" i="84"/>
  <c r="Y23" i="84"/>
  <c r="AA22" i="84"/>
  <c r="Z22" i="84"/>
  <c r="Y22" i="84"/>
  <c r="AA21" i="84"/>
  <c r="Z21" i="84"/>
  <c r="Y21" i="84"/>
  <c r="AA18" i="84"/>
  <c r="Z18" i="84"/>
  <c r="Y18" i="84"/>
  <c r="AA17" i="84"/>
  <c r="Z17" i="84"/>
  <c r="Y17" i="84"/>
  <c r="AA16" i="84"/>
  <c r="Z16" i="84"/>
  <c r="Y16" i="84"/>
  <c r="AA15" i="84"/>
  <c r="Z15" i="84"/>
  <c r="Y15" i="84"/>
  <c r="AA14" i="84"/>
  <c r="Z14" i="84"/>
  <c r="Y14" i="84"/>
  <c r="AA13" i="84"/>
  <c r="Z13" i="84"/>
  <c r="Y13" i="84"/>
  <c r="AA12" i="84"/>
  <c r="Z12" i="84"/>
  <c r="Y12" i="84"/>
  <c r="AA9" i="84"/>
  <c r="Z9" i="84"/>
  <c r="Y9" i="84"/>
  <c r="AA8" i="84"/>
  <c r="Z8" i="84"/>
  <c r="Y8" i="84"/>
  <c r="AA7" i="84"/>
  <c r="Z7" i="84"/>
  <c r="Y7" i="84"/>
  <c r="AA6" i="84"/>
  <c r="Z6" i="84"/>
  <c r="Y6" i="84"/>
  <c r="AA5" i="84"/>
  <c r="Z5" i="84"/>
  <c r="Y5" i="84"/>
  <c r="AA4" i="84"/>
  <c r="Z4" i="84"/>
  <c r="Y4" i="84"/>
  <c r="AA3" i="84"/>
  <c r="Z3" i="84"/>
  <c r="Y3" i="84"/>
  <c r="AA58" i="83"/>
  <c r="Z58" i="83"/>
  <c r="Y58" i="83"/>
  <c r="AA57" i="83"/>
  <c r="Z57" i="83"/>
  <c r="Y57" i="83"/>
  <c r="AA56" i="83"/>
  <c r="Z56" i="83"/>
  <c r="Y56" i="83"/>
  <c r="AA55" i="83"/>
  <c r="Z55" i="83"/>
  <c r="Y55" i="83"/>
  <c r="AA54" i="83"/>
  <c r="Z54" i="83"/>
  <c r="Y54" i="83"/>
  <c r="AA53" i="83"/>
  <c r="Z53" i="83"/>
  <c r="Y53" i="83"/>
  <c r="AA52" i="83"/>
  <c r="Z52" i="83"/>
  <c r="Y52" i="83"/>
  <c r="AA51" i="83"/>
  <c r="Z51" i="83"/>
  <c r="Y51" i="83"/>
  <c r="AA50" i="83"/>
  <c r="Z50" i="83"/>
  <c r="Y50" i="83"/>
  <c r="AA47" i="83"/>
  <c r="Z47" i="83"/>
  <c r="Y47" i="83"/>
  <c r="AA46" i="83"/>
  <c r="Z46" i="83"/>
  <c r="Y46" i="83"/>
  <c r="AA43" i="83"/>
  <c r="Z43" i="83"/>
  <c r="Y43" i="83"/>
  <c r="AA42" i="83"/>
  <c r="Z42" i="83"/>
  <c r="Y42" i="83"/>
  <c r="AA41" i="83"/>
  <c r="Z41" i="83"/>
  <c r="Y41" i="83"/>
  <c r="AA31" i="83"/>
  <c r="Z31" i="83"/>
  <c r="Y31" i="83"/>
  <c r="AA30" i="83"/>
  <c r="Z30" i="83"/>
  <c r="Y30" i="83"/>
  <c r="AA29" i="83"/>
  <c r="Z29" i="83"/>
  <c r="Y29" i="83"/>
  <c r="AA28" i="83"/>
  <c r="Z28" i="83"/>
  <c r="Y28" i="83"/>
  <c r="AA27" i="83"/>
  <c r="Z27" i="83"/>
  <c r="Y27" i="83"/>
  <c r="AA26" i="83"/>
  <c r="Z26" i="83"/>
  <c r="Y26" i="83"/>
  <c r="AA23" i="83"/>
  <c r="Z23" i="83"/>
  <c r="Y23" i="83"/>
  <c r="AA22" i="83"/>
  <c r="Z22" i="83"/>
  <c r="Y22" i="83"/>
  <c r="AA21" i="83"/>
  <c r="Z21" i="83"/>
  <c r="Y21" i="83"/>
  <c r="AA18" i="83"/>
  <c r="Z18" i="83"/>
  <c r="Y18" i="83"/>
  <c r="AA17" i="83"/>
  <c r="Z17" i="83"/>
  <c r="Y17" i="83"/>
  <c r="AA16" i="83"/>
  <c r="Z16" i="83"/>
  <c r="Y16" i="83"/>
  <c r="AA15" i="83"/>
  <c r="Z15" i="83"/>
  <c r="Y15" i="83"/>
  <c r="AA14" i="83"/>
  <c r="Z14" i="83"/>
  <c r="Y14" i="83"/>
  <c r="AA13" i="83"/>
  <c r="Z13" i="83"/>
  <c r="Y13" i="83"/>
  <c r="AA12" i="83"/>
  <c r="Z12" i="83"/>
  <c r="Y12" i="83"/>
  <c r="AA9" i="83"/>
  <c r="Z9" i="83"/>
  <c r="Y9" i="83"/>
  <c r="AA8" i="83"/>
  <c r="Z8" i="83"/>
  <c r="Y8" i="83"/>
  <c r="AA7" i="83"/>
  <c r="Z7" i="83"/>
  <c r="Y7" i="83"/>
  <c r="AA6" i="83"/>
  <c r="Z6" i="83"/>
  <c r="Y6" i="83"/>
  <c r="AA5" i="83"/>
  <c r="Z5" i="83"/>
  <c r="Y5" i="83"/>
  <c r="AA4" i="83"/>
  <c r="Z4" i="83"/>
  <c r="Y4" i="83"/>
  <c r="AA3" i="83"/>
  <c r="Z3" i="83"/>
  <c r="Y3" i="83"/>
  <c r="AA58" i="82"/>
  <c r="Z58" i="82"/>
  <c r="Y58" i="82"/>
  <c r="AA57" i="82"/>
  <c r="Z57" i="82"/>
  <c r="Y57" i="82"/>
  <c r="AA56" i="82"/>
  <c r="Z56" i="82"/>
  <c r="Y56" i="82"/>
  <c r="AA55" i="82"/>
  <c r="Z55" i="82"/>
  <c r="Y55" i="82"/>
  <c r="AA54" i="82"/>
  <c r="Z54" i="82"/>
  <c r="Y54" i="82"/>
  <c r="AA53" i="82"/>
  <c r="Z53" i="82"/>
  <c r="Y53" i="82"/>
  <c r="AA52" i="82"/>
  <c r="Z52" i="82"/>
  <c r="Y52" i="82"/>
  <c r="AA51" i="82"/>
  <c r="Z51" i="82"/>
  <c r="Y51" i="82"/>
  <c r="AA50" i="82"/>
  <c r="Z50" i="82"/>
  <c r="Y50" i="82"/>
  <c r="AA47" i="82"/>
  <c r="Z47" i="82"/>
  <c r="Y47" i="82"/>
  <c r="AA46" i="82"/>
  <c r="Z46" i="82"/>
  <c r="Y46" i="82"/>
  <c r="AA43" i="82"/>
  <c r="Z43" i="82"/>
  <c r="Y43" i="82"/>
  <c r="AA42" i="82"/>
  <c r="Z42" i="82"/>
  <c r="Y42" i="82"/>
  <c r="AA41" i="82"/>
  <c r="Z41" i="82"/>
  <c r="Y41" i="82"/>
  <c r="AA31" i="82"/>
  <c r="Z31" i="82"/>
  <c r="Y31" i="82"/>
  <c r="AA30" i="82"/>
  <c r="Z30" i="82"/>
  <c r="Y30" i="82"/>
  <c r="AA29" i="82"/>
  <c r="Z29" i="82"/>
  <c r="Y29" i="82"/>
  <c r="AA28" i="82"/>
  <c r="Z28" i="82"/>
  <c r="Y28" i="82"/>
  <c r="AA27" i="82"/>
  <c r="Z27" i="82"/>
  <c r="Y27" i="82"/>
  <c r="AA26" i="82"/>
  <c r="Z26" i="82"/>
  <c r="Y26" i="82"/>
  <c r="AA23" i="82"/>
  <c r="Z23" i="82"/>
  <c r="Y23" i="82"/>
  <c r="AA22" i="82"/>
  <c r="Z22" i="82"/>
  <c r="Y22" i="82"/>
  <c r="AA21" i="82"/>
  <c r="Z21" i="82"/>
  <c r="Y21" i="82"/>
  <c r="AA18" i="82"/>
  <c r="Z18" i="82"/>
  <c r="Y18" i="82"/>
  <c r="AA17" i="82"/>
  <c r="Z17" i="82"/>
  <c r="Y17" i="82"/>
  <c r="AA16" i="82"/>
  <c r="Z16" i="82"/>
  <c r="Y16" i="82"/>
  <c r="AA15" i="82"/>
  <c r="Z15" i="82"/>
  <c r="Y15" i="82"/>
  <c r="AA14" i="82"/>
  <c r="Z14" i="82"/>
  <c r="Y14" i="82"/>
  <c r="AA13" i="82"/>
  <c r="Z13" i="82"/>
  <c r="Y13" i="82"/>
  <c r="AA12" i="82"/>
  <c r="Z12" i="82"/>
  <c r="Y12" i="82"/>
  <c r="AA9" i="82"/>
  <c r="Z9" i="82"/>
  <c r="Y9" i="82"/>
  <c r="AA8" i="82"/>
  <c r="Z8" i="82"/>
  <c r="Y8" i="82"/>
  <c r="AA7" i="82"/>
  <c r="Z7" i="82"/>
  <c r="Y7" i="82"/>
  <c r="AA6" i="82"/>
  <c r="Z6" i="82"/>
  <c r="Y6" i="82"/>
  <c r="AA5" i="82"/>
  <c r="Z5" i="82"/>
  <c r="Y5" i="82"/>
  <c r="AA4" i="82"/>
  <c r="Z4" i="82"/>
  <c r="Y4" i="82"/>
  <c r="AA3" i="82"/>
  <c r="Z3" i="82"/>
  <c r="Y3" i="82"/>
  <c r="AA58" i="81"/>
  <c r="Z58" i="81"/>
  <c r="Y58" i="81"/>
  <c r="AA57" i="81"/>
  <c r="Z57" i="81"/>
  <c r="Y57" i="81"/>
  <c r="AA56" i="81"/>
  <c r="Z56" i="81"/>
  <c r="Y56" i="81"/>
  <c r="AA55" i="81"/>
  <c r="Z55" i="81"/>
  <c r="Y55" i="81"/>
  <c r="AA54" i="81"/>
  <c r="Z54" i="81"/>
  <c r="Y54" i="81"/>
  <c r="AA53" i="81"/>
  <c r="Z53" i="81"/>
  <c r="Y53" i="81"/>
  <c r="AA52" i="81"/>
  <c r="Z52" i="81"/>
  <c r="Y52" i="81"/>
  <c r="AA51" i="81"/>
  <c r="Z51" i="81"/>
  <c r="Y51" i="81"/>
  <c r="AA50" i="81"/>
  <c r="Z50" i="81"/>
  <c r="Y50" i="81"/>
  <c r="AA47" i="81"/>
  <c r="Z47" i="81"/>
  <c r="Y47" i="81"/>
  <c r="AA46" i="81"/>
  <c r="Z46" i="81"/>
  <c r="Y46" i="81"/>
  <c r="AA43" i="81"/>
  <c r="Z43" i="81"/>
  <c r="Y43" i="81"/>
  <c r="AA42" i="81"/>
  <c r="Z42" i="81"/>
  <c r="Y42" i="81"/>
  <c r="AA41" i="81"/>
  <c r="Z41" i="81"/>
  <c r="Y41" i="81"/>
  <c r="AA31" i="81"/>
  <c r="Z31" i="81"/>
  <c r="Y31" i="81"/>
  <c r="AA30" i="81"/>
  <c r="Z30" i="81"/>
  <c r="Y30" i="81"/>
  <c r="AA29" i="81"/>
  <c r="Z29" i="81"/>
  <c r="Y29" i="81"/>
  <c r="AA28" i="81"/>
  <c r="Z28" i="81"/>
  <c r="Y28" i="81"/>
  <c r="AA27" i="81"/>
  <c r="Z27" i="81"/>
  <c r="Y27" i="81"/>
  <c r="AA26" i="81"/>
  <c r="Z26" i="81"/>
  <c r="Y26" i="81"/>
  <c r="AA23" i="81"/>
  <c r="Z23" i="81"/>
  <c r="Y23" i="81"/>
  <c r="AA22" i="81"/>
  <c r="Z22" i="81"/>
  <c r="Y22" i="81"/>
  <c r="AA21" i="81"/>
  <c r="Z21" i="81"/>
  <c r="Y21" i="81"/>
  <c r="AA18" i="81"/>
  <c r="Z18" i="81"/>
  <c r="Y18" i="81"/>
  <c r="AA17" i="81"/>
  <c r="Z17" i="81"/>
  <c r="Y17" i="81"/>
  <c r="AA16" i="81"/>
  <c r="Z16" i="81"/>
  <c r="Y16" i="81"/>
  <c r="AA15" i="81"/>
  <c r="Z15" i="81"/>
  <c r="Y15" i="81"/>
  <c r="AA14" i="81"/>
  <c r="Z14" i="81"/>
  <c r="Y14" i="81"/>
  <c r="AA13" i="81"/>
  <c r="Z13" i="81"/>
  <c r="Y13" i="81"/>
  <c r="AA12" i="81"/>
  <c r="Z12" i="81"/>
  <c r="Y12" i="81"/>
  <c r="AA9" i="81"/>
  <c r="Z9" i="81"/>
  <c r="Y9" i="81"/>
  <c r="AA8" i="81"/>
  <c r="Z8" i="81"/>
  <c r="Y8" i="81"/>
  <c r="AA7" i="81"/>
  <c r="Z7" i="81"/>
  <c r="Y7" i="81"/>
  <c r="AA6" i="81"/>
  <c r="Z6" i="81"/>
  <c r="Y6" i="81"/>
  <c r="AA5" i="81"/>
  <c r="Z5" i="81"/>
  <c r="Y5" i="81"/>
  <c r="AA4" i="81"/>
  <c r="Z4" i="81"/>
  <c r="Y4" i="81"/>
  <c r="AA3" i="81"/>
  <c r="Z3" i="81"/>
  <c r="Y3" i="81"/>
  <c r="AA58" i="80"/>
  <c r="Z58" i="80"/>
  <c r="Y58" i="80"/>
  <c r="AA57" i="80"/>
  <c r="Z57" i="80"/>
  <c r="Y57" i="80"/>
  <c r="AA56" i="80"/>
  <c r="Z56" i="80"/>
  <c r="Y56" i="80"/>
  <c r="AA55" i="80"/>
  <c r="Z55" i="80"/>
  <c r="Y55" i="80"/>
  <c r="AA54" i="80"/>
  <c r="Z54" i="80"/>
  <c r="Y54" i="80"/>
  <c r="AA53" i="80"/>
  <c r="Z53" i="80"/>
  <c r="Y53" i="80"/>
  <c r="AA52" i="80"/>
  <c r="Z52" i="80"/>
  <c r="Y52" i="80"/>
  <c r="AA51" i="80"/>
  <c r="Z51" i="80"/>
  <c r="Y51" i="80"/>
  <c r="AA50" i="80"/>
  <c r="Z50" i="80"/>
  <c r="Y50" i="80"/>
  <c r="AA47" i="80"/>
  <c r="Z47" i="80"/>
  <c r="Y47" i="80"/>
  <c r="AA46" i="80"/>
  <c r="Z46" i="80"/>
  <c r="AA43" i="80"/>
  <c r="Z43" i="80"/>
  <c r="AA42" i="80"/>
  <c r="Z42" i="80"/>
  <c r="Y42" i="80"/>
  <c r="AA41" i="80"/>
  <c r="Z41" i="80"/>
  <c r="Y41" i="80"/>
  <c r="AA31" i="80"/>
  <c r="Z31" i="80"/>
  <c r="AA30" i="80"/>
  <c r="Z30" i="80"/>
  <c r="Y30" i="80"/>
  <c r="AA29" i="80"/>
  <c r="Z29" i="80"/>
  <c r="Y29" i="80"/>
  <c r="AA28" i="80"/>
  <c r="Z28" i="80"/>
  <c r="Y28" i="80"/>
  <c r="AA27" i="80"/>
  <c r="Z27" i="80"/>
  <c r="Y27" i="80"/>
  <c r="AA26" i="80"/>
  <c r="Z26" i="80"/>
  <c r="Y26" i="80"/>
  <c r="AA23" i="80"/>
  <c r="Z23" i="80"/>
  <c r="AA22" i="80"/>
  <c r="Z22" i="80"/>
  <c r="Y22" i="80"/>
  <c r="AA21" i="80"/>
  <c r="Z21" i="80"/>
  <c r="Y21" i="80"/>
  <c r="AA18" i="80"/>
  <c r="Z18" i="80"/>
  <c r="Y18" i="80"/>
  <c r="AA17" i="80"/>
  <c r="Z17" i="80"/>
  <c r="Y17" i="80"/>
  <c r="AA16" i="80"/>
  <c r="Z16" i="80"/>
  <c r="Y16" i="80"/>
  <c r="AA15" i="80"/>
  <c r="Z15" i="80"/>
  <c r="Y15" i="80"/>
  <c r="AA14" i="80"/>
  <c r="Z14" i="80"/>
  <c r="Y14" i="80"/>
  <c r="AA13" i="80"/>
  <c r="Z13" i="80"/>
  <c r="AA12" i="80"/>
  <c r="Z12" i="80"/>
  <c r="Y12" i="80"/>
  <c r="AA9" i="80"/>
  <c r="Z9" i="80"/>
  <c r="Y9" i="80"/>
  <c r="AA8" i="80"/>
  <c r="Z8" i="80"/>
  <c r="Y8" i="80"/>
  <c r="AA7" i="80"/>
  <c r="Z7" i="80"/>
  <c r="Y7" i="80"/>
  <c r="AA6" i="80"/>
  <c r="Z6" i="80"/>
  <c r="Y6" i="80"/>
  <c r="AA5" i="80"/>
  <c r="Z5" i="80"/>
  <c r="Y5" i="80"/>
  <c r="AA4" i="80"/>
  <c r="Z4" i="80"/>
  <c r="Y4" i="80"/>
  <c r="AA3" i="80"/>
  <c r="Z3" i="80"/>
  <c r="Q60" i="78"/>
  <c r="P60" i="78"/>
  <c r="O60" i="78"/>
  <c r="F60" i="78" s="1"/>
  <c r="N60" i="78"/>
  <c r="L60" i="78"/>
  <c r="Q59" i="78"/>
  <c r="P59" i="78"/>
  <c r="O59" i="78"/>
  <c r="N59" i="78"/>
  <c r="L59" i="78"/>
  <c r="F59" i="78"/>
  <c r="Q58" i="78"/>
  <c r="N58" i="78"/>
  <c r="L58" i="78"/>
  <c r="Q57" i="78"/>
  <c r="N57" i="78"/>
  <c r="L57" i="78"/>
  <c r="Q56" i="78"/>
  <c r="N56" i="78"/>
  <c r="L56" i="78"/>
  <c r="Q55" i="78"/>
  <c r="N55" i="78"/>
  <c r="L55" i="78"/>
  <c r="AA55" i="5"/>
  <c r="AA57" i="5"/>
  <c r="AA58" i="5"/>
  <c r="Z58" i="5"/>
  <c r="Z57" i="5"/>
  <c r="Z56" i="5"/>
  <c r="Z55" i="5"/>
  <c r="Z54" i="5"/>
  <c r="Z53" i="5"/>
  <c r="Z52" i="5"/>
  <c r="Z51" i="5"/>
  <c r="Z50" i="5"/>
  <c r="AA46" i="5"/>
  <c r="AA50" i="5"/>
  <c r="S2" i="86"/>
  <c r="Y27" i="77"/>
  <c r="R2" i="77"/>
  <c r="S2" i="90"/>
  <c r="S2" i="89"/>
  <c r="S2" i="88"/>
  <c r="S2" i="87"/>
  <c r="S2" i="85"/>
  <c r="S2" i="84"/>
  <c r="S2" i="83"/>
  <c r="S2" i="82"/>
  <c r="S2" i="81"/>
  <c r="S2" i="80"/>
  <c r="AA51" i="5"/>
  <c r="AA52" i="5"/>
  <c r="AA53" i="5"/>
  <c r="AA54" i="5"/>
  <c r="AA56" i="5"/>
  <c r="Y51" i="5"/>
  <c r="Y52" i="5"/>
  <c r="Y53" i="5"/>
  <c r="Y55" i="5"/>
  <c r="Y56" i="5"/>
  <c r="Y57" i="5"/>
  <c r="Y58" i="5"/>
  <c r="S2" i="5"/>
  <c r="L2" i="80"/>
  <c r="N2" i="80"/>
  <c r="O2" i="80"/>
  <c r="F2" i="80" s="1"/>
  <c r="P2" i="80"/>
  <c r="Q2" i="80"/>
  <c r="Y31" i="80"/>
  <c r="L8" i="80"/>
  <c r="N8" i="80"/>
  <c r="O8" i="80"/>
  <c r="P8" i="80"/>
  <c r="F8" i="80" s="1"/>
  <c r="Q8" i="80"/>
  <c r="L9" i="80"/>
  <c r="N9" i="80"/>
  <c r="O9" i="80"/>
  <c r="F9" i="80" s="1"/>
  <c r="P9" i="80"/>
  <c r="Q9" i="80"/>
  <c r="L10" i="80"/>
  <c r="N10" i="80"/>
  <c r="O10" i="80"/>
  <c r="P10" i="80"/>
  <c r="Q10" i="80"/>
  <c r="K2" i="77"/>
  <c r="M2" i="77"/>
  <c r="N2" i="77"/>
  <c r="O2" i="77"/>
  <c r="F2" i="77" s="1"/>
  <c r="P2" i="77"/>
  <c r="K3" i="77"/>
  <c r="M3" i="77"/>
  <c r="N3" i="77"/>
  <c r="O3" i="77"/>
  <c r="P3" i="77"/>
  <c r="K4" i="77"/>
  <c r="M4" i="77"/>
  <c r="N4" i="77"/>
  <c r="O4" i="77"/>
  <c r="P4" i="77"/>
  <c r="AA46" i="77"/>
  <c r="AA45" i="77"/>
  <c r="Y45" i="77"/>
  <c r="Y41" i="77"/>
  <c r="Y28" i="77"/>
  <c r="Y29" i="77"/>
  <c r="Y31" i="77"/>
  <c r="Y26" i="77"/>
  <c r="Y22" i="77"/>
  <c r="Y23" i="77"/>
  <c r="Y14" i="77"/>
  <c r="Y15" i="77"/>
  <c r="Y16" i="77"/>
  <c r="Y17" i="77"/>
  <c r="Y18" i="77"/>
  <c r="Y12" i="77"/>
  <c r="Y9" i="77"/>
  <c r="Y5" i="77"/>
  <c r="Y6" i="77"/>
  <c r="Y7" i="77"/>
  <c r="Y8" i="77"/>
  <c r="Y3" i="77"/>
  <c r="Y46" i="77"/>
  <c r="V21" i="77"/>
  <c r="V20" i="77"/>
  <c r="V19" i="77"/>
  <c r="V6" i="77"/>
  <c r="L2" i="5"/>
  <c r="N2" i="5"/>
  <c r="O2" i="5"/>
  <c r="P2" i="5"/>
  <c r="Q2" i="5"/>
  <c r="L12" i="5"/>
  <c r="N12" i="5"/>
  <c r="O12" i="5"/>
  <c r="P12" i="5"/>
  <c r="Q12" i="5"/>
  <c r="L2" i="81"/>
  <c r="N2" i="81"/>
  <c r="O2" i="81"/>
  <c r="F2" i="81" s="1"/>
  <c r="P2" i="81"/>
  <c r="Q2" i="81"/>
  <c r="F3" i="81"/>
  <c r="L3" i="81"/>
  <c r="N3" i="81"/>
  <c r="O3" i="81"/>
  <c r="P3" i="81"/>
  <c r="Q3" i="81"/>
  <c r="L4" i="81"/>
  <c r="N4" i="81"/>
  <c r="O4" i="81"/>
  <c r="P4" i="81"/>
  <c r="F4" i="81" s="1"/>
  <c r="Q4" i="81"/>
  <c r="L5" i="81"/>
  <c r="N5" i="81"/>
  <c r="O5" i="81"/>
  <c r="P5" i="81"/>
  <c r="F5" i="81" s="1"/>
  <c r="Q5" i="81"/>
  <c r="L2" i="82"/>
  <c r="N2" i="82"/>
  <c r="O2" i="82"/>
  <c r="F2" i="82" s="1"/>
  <c r="P2" i="82"/>
  <c r="Q2" i="82"/>
  <c r="L3" i="82"/>
  <c r="N3" i="82"/>
  <c r="O3" i="82"/>
  <c r="P3" i="82"/>
  <c r="Q3" i="82"/>
  <c r="L4" i="82"/>
  <c r="N4" i="82"/>
  <c r="O4" i="82"/>
  <c r="P4" i="82"/>
  <c r="F4" i="82" s="1"/>
  <c r="Q4" i="82"/>
  <c r="F5" i="82"/>
  <c r="L5" i="82"/>
  <c r="N5" i="82"/>
  <c r="O5" i="82"/>
  <c r="P5" i="82"/>
  <c r="Q5" i="82"/>
  <c r="F6" i="82"/>
  <c r="L6" i="82"/>
  <c r="N6" i="82"/>
  <c r="O6" i="82"/>
  <c r="P6" i="82"/>
  <c r="Q6" i="82"/>
  <c r="L7" i="82"/>
  <c r="N7" i="82"/>
  <c r="O7" i="82"/>
  <c r="F7" i="82" s="1"/>
  <c r="P7" i="82"/>
  <c r="Q7" i="82"/>
  <c r="L8" i="82"/>
  <c r="N8" i="82"/>
  <c r="O8" i="82"/>
  <c r="F8" i="82" s="1"/>
  <c r="P8" i="82"/>
  <c r="Q8" i="82"/>
  <c r="L9" i="82"/>
  <c r="N9" i="82"/>
  <c r="O9" i="82"/>
  <c r="F9" i="82" s="1"/>
  <c r="P9" i="82"/>
  <c r="Q9" i="82"/>
  <c r="L10" i="82"/>
  <c r="N10" i="82"/>
  <c r="O10" i="82"/>
  <c r="P10" i="82"/>
  <c r="Q10" i="82"/>
  <c r="L2" i="83"/>
  <c r="N2" i="83"/>
  <c r="O2" i="83"/>
  <c r="F2" i="83" s="1"/>
  <c r="P2" i="83"/>
  <c r="Q2" i="83"/>
  <c r="L3" i="83"/>
  <c r="N3" i="83"/>
  <c r="O3" i="83"/>
  <c r="P3" i="83"/>
  <c r="Q3" i="83"/>
  <c r="L4" i="83"/>
  <c r="N4" i="83"/>
  <c r="O4" i="83"/>
  <c r="P4" i="83"/>
  <c r="F4" i="83" s="1"/>
  <c r="Q4" i="83"/>
  <c r="Q27" i="89"/>
  <c r="P27" i="89"/>
  <c r="O27" i="89"/>
  <c r="F27" i="89" s="1"/>
  <c r="N27" i="89"/>
  <c r="L27" i="89"/>
  <c r="Q26" i="89"/>
  <c r="P26" i="89"/>
  <c r="O26" i="89"/>
  <c r="F26" i="89" s="1"/>
  <c r="N26" i="89"/>
  <c r="L26" i="89"/>
  <c r="Q25" i="89"/>
  <c r="P25" i="89"/>
  <c r="O25" i="89"/>
  <c r="F25" i="89" s="1"/>
  <c r="N25" i="89"/>
  <c r="L25" i="89"/>
  <c r="Q24" i="89"/>
  <c r="P24" i="89"/>
  <c r="O24" i="89"/>
  <c r="F24" i="89" s="1"/>
  <c r="N24" i="89"/>
  <c r="L24" i="89"/>
  <c r="Q23" i="89"/>
  <c r="P23" i="89"/>
  <c r="O23" i="89"/>
  <c r="N23" i="89"/>
  <c r="L23" i="89"/>
  <c r="Q22" i="89"/>
  <c r="P22" i="89"/>
  <c r="O22" i="89"/>
  <c r="N22" i="89"/>
  <c r="L22" i="89"/>
  <c r="Q21" i="89"/>
  <c r="P21" i="89"/>
  <c r="O21" i="89"/>
  <c r="N21" i="89"/>
  <c r="L21" i="89"/>
  <c r="Q20" i="89"/>
  <c r="P20" i="89"/>
  <c r="O20" i="89"/>
  <c r="N20" i="89"/>
  <c r="L20" i="89"/>
  <c r="Q19" i="89"/>
  <c r="P19" i="89"/>
  <c r="O19" i="89"/>
  <c r="F19" i="89" s="1"/>
  <c r="N19" i="89"/>
  <c r="L19" i="89"/>
  <c r="Q18" i="89"/>
  <c r="P18" i="89"/>
  <c r="O18" i="89"/>
  <c r="F18" i="89" s="1"/>
  <c r="N18" i="89"/>
  <c r="L18" i="89"/>
  <c r="Q17" i="89"/>
  <c r="P17" i="89"/>
  <c r="O17" i="89"/>
  <c r="F17" i="89" s="1"/>
  <c r="N17" i="89"/>
  <c r="L17" i="89"/>
  <c r="Q16" i="89"/>
  <c r="P16" i="89"/>
  <c r="O16" i="89"/>
  <c r="F16" i="89" s="1"/>
  <c r="N16" i="89"/>
  <c r="L16" i="89"/>
  <c r="Q15" i="89"/>
  <c r="P15" i="89"/>
  <c r="O15" i="89"/>
  <c r="N15" i="89"/>
  <c r="L15" i="89"/>
  <c r="Q14" i="89"/>
  <c r="P14" i="89"/>
  <c r="O14" i="89"/>
  <c r="N14" i="89"/>
  <c r="L14" i="89"/>
  <c r="Q13" i="89"/>
  <c r="P13" i="89"/>
  <c r="O13" i="89"/>
  <c r="F13" i="89" s="1"/>
  <c r="N13" i="89"/>
  <c r="L13" i="89"/>
  <c r="Q12" i="89"/>
  <c r="P12" i="89"/>
  <c r="O12" i="89"/>
  <c r="N12" i="89"/>
  <c r="L12" i="89"/>
  <c r="Q11" i="89"/>
  <c r="P11" i="89"/>
  <c r="O11" i="89"/>
  <c r="F11" i="89" s="1"/>
  <c r="N11" i="89"/>
  <c r="L11" i="89"/>
  <c r="Q10" i="89"/>
  <c r="P10" i="89"/>
  <c r="O10" i="89"/>
  <c r="F10" i="89" s="1"/>
  <c r="N10" i="89"/>
  <c r="L10" i="89"/>
  <c r="Q9" i="89"/>
  <c r="P9" i="89"/>
  <c r="O9" i="89"/>
  <c r="F9" i="89" s="1"/>
  <c r="N9" i="89"/>
  <c r="L9" i="89"/>
  <c r="Q8" i="89"/>
  <c r="P8" i="89"/>
  <c r="O8" i="89"/>
  <c r="F8" i="89" s="1"/>
  <c r="N8" i="89"/>
  <c r="L8" i="89"/>
  <c r="Q7" i="89"/>
  <c r="P7" i="89"/>
  <c r="O7" i="89"/>
  <c r="N7" i="89"/>
  <c r="L7" i="89"/>
  <c r="Q6" i="89"/>
  <c r="P6" i="89"/>
  <c r="O6" i="89"/>
  <c r="N6" i="89"/>
  <c r="L6" i="89"/>
  <c r="Q5" i="89"/>
  <c r="P5" i="89"/>
  <c r="O5" i="89"/>
  <c r="N5" i="89"/>
  <c r="L5" i="89"/>
  <c r="Q4" i="89"/>
  <c r="P4" i="89"/>
  <c r="O4" i="89"/>
  <c r="N4" i="89"/>
  <c r="L4" i="89"/>
  <c r="Q3" i="89"/>
  <c r="P3" i="89"/>
  <c r="O3" i="89"/>
  <c r="F3" i="89" s="1"/>
  <c r="N3" i="89"/>
  <c r="L3" i="89"/>
  <c r="Q2" i="89"/>
  <c r="P2" i="89"/>
  <c r="O2" i="89"/>
  <c r="F2" i="89" s="1"/>
  <c r="N2" i="89"/>
  <c r="L2" i="89"/>
  <c r="L2" i="90"/>
  <c r="N2" i="90"/>
  <c r="O2" i="90"/>
  <c r="F2" i="90" s="1"/>
  <c r="P2" i="90"/>
  <c r="Q2" i="90"/>
  <c r="L3" i="90"/>
  <c r="N3" i="90"/>
  <c r="O3" i="90"/>
  <c r="F3" i="90" s="1"/>
  <c r="P3" i="90"/>
  <c r="Q3" i="90"/>
  <c r="L4" i="90"/>
  <c r="N4" i="90"/>
  <c r="O4" i="90"/>
  <c r="P4" i="90"/>
  <c r="Q4" i="90"/>
  <c r="Q5" i="78"/>
  <c r="L3" i="84"/>
  <c r="N3" i="84"/>
  <c r="O3" i="84"/>
  <c r="F3" i="84" s="1"/>
  <c r="P3" i="84"/>
  <c r="Q3" i="84"/>
  <c r="Z31" i="5"/>
  <c r="Z30" i="5"/>
  <c r="Z46" i="77"/>
  <c r="Z45" i="77"/>
  <c r="AA42" i="77"/>
  <c r="Z42" i="77"/>
  <c r="AA41" i="77"/>
  <c r="Z41" i="77"/>
  <c r="AA31" i="77"/>
  <c r="Z31" i="77"/>
  <c r="AA30" i="77"/>
  <c r="Z30" i="77"/>
  <c r="AA29" i="77"/>
  <c r="Z29" i="77"/>
  <c r="AA28" i="77"/>
  <c r="Z28" i="77"/>
  <c r="AA27" i="77"/>
  <c r="Z27" i="77"/>
  <c r="AA26" i="77"/>
  <c r="Z26" i="77"/>
  <c r="AA23" i="77"/>
  <c r="Z23" i="77"/>
  <c r="AA22" i="77"/>
  <c r="Z22" i="77"/>
  <c r="AA21" i="77"/>
  <c r="Z21" i="77"/>
  <c r="AA18" i="77"/>
  <c r="Z18" i="77"/>
  <c r="AA17" i="77"/>
  <c r="Z17" i="77"/>
  <c r="AA16" i="77"/>
  <c r="Z16" i="77"/>
  <c r="AA15" i="77"/>
  <c r="Z15" i="77"/>
  <c r="AA14" i="77"/>
  <c r="Z14" i="77"/>
  <c r="AA13" i="77"/>
  <c r="Z13" i="77"/>
  <c r="AA12" i="77"/>
  <c r="Z12" i="77"/>
  <c r="AA9" i="77"/>
  <c r="Z9" i="77"/>
  <c r="AA8" i="77"/>
  <c r="Z8" i="77"/>
  <c r="AA7" i="77"/>
  <c r="Z7" i="77"/>
  <c r="AA6" i="77"/>
  <c r="Z6" i="77"/>
  <c r="AA5" i="77"/>
  <c r="Z5" i="77"/>
  <c r="AA4" i="77"/>
  <c r="Z4" i="77"/>
  <c r="AA3" i="77"/>
  <c r="Z3" i="77"/>
  <c r="V12" i="77"/>
  <c r="K5" i="77"/>
  <c r="M5" i="77"/>
  <c r="N5" i="77"/>
  <c r="O5" i="77"/>
  <c r="P5" i="77"/>
  <c r="K6" i="77"/>
  <c r="M6" i="77"/>
  <c r="N6" i="77"/>
  <c r="O6" i="77"/>
  <c r="P6" i="77"/>
  <c r="K7" i="77"/>
  <c r="M7" i="77"/>
  <c r="N7" i="77"/>
  <c r="O7" i="77"/>
  <c r="P7" i="77"/>
  <c r="K8" i="77"/>
  <c r="M8" i="77"/>
  <c r="N8" i="77"/>
  <c r="F8" i="77" s="1"/>
  <c r="O8" i="77"/>
  <c r="P8" i="77"/>
  <c r="K9" i="77"/>
  <c r="M9" i="77"/>
  <c r="N9" i="77"/>
  <c r="O9" i="77"/>
  <c r="P9" i="77"/>
  <c r="K10" i="77"/>
  <c r="M10" i="77"/>
  <c r="N10" i="77"/>
  <c r="O10" i="77"/>
  <c r="P10" i="77"/>
  <c r="K11" i="77"/>
  <c r="M11" i="77"/>
  <c r="N11" i="77"/>
  <c r="O11" i="77"/>
  <c r="F11" i="77" s="1"/>
  <c r="P11" i="77"/>
  <c r="K12" i="77"/>
  <c r="M12" i="77"/>
  <c r="N12" i="77"/>
  <c r="O12" i="77"/>
  <c r="P12" i="77"/>
  <c r="K13" i="77"/>
  <c r="M13" i="77"/>
  <c r="N13" i="77"/>
  <c r="O13" i="77"/>
  <c r="P13" i="77"/>
  <c r="K14" i="77"/>
  <c r="M14" i="77"/>
  <c r="N14" i="77"/>
  <c r="O14" i="77"/>
  <c r="P14" i="77"/>
  <c r="K15" i="77"/>
  <c r="M15" i="77"/>
  <c r="N15" i="77"/>
  <c r="O15" i="77"/>
  <c r="P15" i="77"/>
  <c r="K16" i="77"/>
  <c r="M16" i="77"/>
  <c r="N16" i="77"/>
  <c r="O16" i="77"/>
  <c r="P16" i="77"/>
  <c r="K17" i="77"/>
  <c r="M17" i="77"/>
  <c r="N17" i="77"/>
  <c r="O17" i="77"/>
  <c r="P17" i="77"/>
  <c r="K18" i="77"/>
  <c r="M18" i="77"/>
  <c r="N18" i="77"/>
  <c r="O18" i="77"/>
  <c r="P18" i="77"/>
  <c r="K19" i="77"/>
  <c r="M19" i="77"/>
  <c r="N19" i="77"/>
  <c r="O19" i="77"/>
  <c r="P19" i="77"/>
  <c r="K20" i="77"/>
  <c r="M20" i="77"/>
  <c r="N20" i="77"/>
  <c r="O20" i="77"/>
  <c r="P20" i="77"/>
  <c r="K21" i="77"/>
  <c r="M21" i="77"/>
  <c r="N21" i="77"/>
  <c r="O21" i="77"/>
  <c r="P21" i="77"/>
  <c r="K22" i="77"/>
  <c r="M22" i="77"/>
  <c r="N22" i="77"/>
  <c r="O22" i="77"/>
  <c r="P22" i="77"/>
  <c r="K23" i="77"/>
  <c r="M23" i="77"/>
  <c r="N23" i="77"/>
  <c r="O23" i="77"/>
  <c r="P23" i="77"/>
  <c r="F24" i="77"/>
  <c r="K24" i="77"/>
  <c r="M24" i="77"/>
  <c r="N24" i="77"/>
  <c r="O24" i="77"/>
  <c r="P24" i="77"/>
  <c r="K25" i="77"/>
  <c r="M25" i="77"/>
  <c r="N25" i="77"/>
  <c r="O25" i="77"/>
  <c r="P25" i="77"/>
  <c r="K26" i="77"/>
  <c r="M26" i="77"/>
  <c r="N26" i="77"/>
  <c r="O26" i="77"/>
  <c r="P26" i="77"/>
  <c r="K27" i="77"/>
  <c r="M27" i="77"/>
  <c r="N27" i="77"/>
  <c r="O27" i="77"/>
  <c r="P27" i="77"/>
  <c r="M28" i="77"/>
  <c r="N28" i="77"/>
  <c r="O28" i="77"/>
  <c r="P28" i="77"/>
  <c r="M29" i="77"/>
  <c r="N29" i="77"/>
  <c r="O29" i="77"/>
  <c r="P29" i="77"/>
  <c r="M30" i="77"/>
  <c r="N30" i="77"/>
  <c r="O30" i="77"/>
  <c r="P30" i="77"/>
  <c r="M31" i="77"/>
  <c r="N31" i="77"/>
  <c r="O31" i="77"/>
  <c r="P31" i="77"/>
  <c r="M32" i="77"/>
  <c r="N32" i="77"/>
  <c r="O32" i="77"/>
  <c r="P32" i="77"/>
  <c r="M33" i="77"/>
  <c r="N33" i="77"/>
  <c r="O33" i="77"/>
  <c r="P33" i="77"/>
  <c r="M34" i="77"/>
  <c r="N34" i="77"/>
  <c r="O34" i="77"/>
  <c r="P34" i="77"/>
  <c r="M35" i="77"/>
  <c r="N35" i="77"/>
  <c r="O35" i="77"/>
  <c r="P35" i="77"/>
  <c r="M36" i="77"/>
  <c r="N36" i="77"/>
  <c r="O36" i="77"/>
  <c r="P36" i="77"/>
  <c r="M37" i="77"/>
  <c r="N37" i="77"/>
  <c r="O37" i="77"/>
  <c r="P37" i="77"/>
  <c r="M38" i="77"/>
  <c r="N38" i="77"/>
  <c r="O38" i="77"/>
  <c r="P38" i="77"/>
  <c r="M39" i="77"/>
  <c r="N39" i="77"/>
  <c r="O39" i="77"/>
  <c r="P39" i="77"/>
  <c r="M40" i="77"/>
  <c r="N40" i="77"/>
  <c r="O40" i="77"/>
  <c r="P40" i="77"/>
  <c r="M41" i="77"/>
  <c r="N41" i="77"/>
  <c r="F41" i="77" s="1"/>
  <c r="O41" i="77"/>
  <c r="P41" i="77"/>
  <c r="M42" i="77"/>
  <c r="N42" i="77"/>
  <c r="O42" i="77"/>
  <c r="P42" i="77"/>
  <c r="M43" i="77"/>
  <c r="N43" i="77"/>
  <c r="O43" i="77"/>
  <c r="P43" i="77"/>
  <c r="M44" i="77"/>
  <c r="N44" i="77"/>
  <c r="O44" i="77"/>
  <c r="P44" i="77"/>
  <c r="M45" i="77"/>
  <c r="N45" i="77"/>
  <c r="O45" i="77"/>
  <c r="P45" i="77"/>
  <c r="M46" i="77"/>
  <c r="N46" i="77"/>
  <c r="O46" i="77"/>
  <c r="P46" i="77"/>
  <c r="M47" i="77"/>
  <c r="N47" i="77"/>
  <c r="O47" i="77"/>
  <c r="P47" i="77"/>
  <c r="M48" i="77"/>
  <c r="N48" i="77"/>
  <c r="O48" i="77"/>
  <c r="P48" i="77"/>
  <c r="M49" i="77"/>
  <c r="N49" i="77"/>
  <c r="O49" i="77"/>
  <c r="P49" i="77"/>
  <c r="M50" i="77"/>
  <c r="N50" i="77"/>
  <c r="O50" i="77"/>
  <c r="P50" i="77"/>
  <c r="M51" i="77"/>
  <c r="N51" i="77"/>
  <c r="O51" i="77"/>
  <c r="P51" i="77"/>
  <c r="M52" i="77"/>
  <c r="N52" i="77"/>
  <c r="O52" i="77"/>
  <c r="P52" i="77"/>
  <c r="M53" i="77"/>
  <c r="N53" i="77"/>
  <c r="O53" i="77"/>
  <c r="P53" i="77"/>
  <c r="M54" i="77"/>
  <c r="N54" i="77"/>
  <c r="O54" i="77"/>
  <c r="P54" i="77"/>
  <c r="M55" i="77"/>
  <c r="N55" i="77"/>
  <c r="O55" i="77"/>
  <c r="P55" i="77"/>
  <c r="M56" i="77"/>
  <c r="N56" i="77"/>
  <c r="O56" i="77"/>
  <c r="P56" i="77"/>
  <c r="M57" i="77"/>
  <c r="N57" i="77"/>
  <c r="F57" i="77" s="1"/>
  <c r="O57" i="77"/>
  <c r="P57" i="77"/>
  <c r="M58" i="77"/>
  <c r="N58" i="77"/>
  <c r="O58" i="77"/>
  <c r="P58" i="77"/>
  <c r="M59" i="77"/>
  <c r="N59" i="77"/>
  <c r="F59" i="77" s="1"/>
  <c r="O59" i="77"/>
  <c r="P59" i="77"/>
  <c r="M60" i="77"/>
  <c r="N60" i="77"/>
  <c r="O60" i="77"/>
  <c r="P60" i="77"/>
  <c r="M61" i="77"/>
  <c r="N61" i="77"/>
  <c r="O61" i="77"/>
  <c r="P61" i="77"/>
  <c r="M62" i="77"/>
  <c r="N62" i="77"/>
  <c r="O62" i="77"/>
  <c r="P62" i="77"/>
  <c r="M63" i="77"/>
  <c r="N63" i="77"/>
  <c r="O63" i="77"/>
  <c r="P63" i="77"/>
  <c r="M64" i="77"/>
  <c r="N64" i="77"/>
  <c r="O64" i="77"/>
  <c r="P64" i="77"/>
  <c r="M65" i="77"/>
  <c r="N65" i="77"/>
  <c r="O65" i="77"/>
  <c r="P65" i="77"/>
  <c r="M66" i="77"/>
  <c r="N66" i="77"/>
  <c r="O66" i="77"/>
  <c r="P66" i="77"/>
  <c r="M67" i="77"/>
  <c r="N67" i="77"/>
  <c r="O67" i="77"/>
  <c r="P67" i="77"/>
  <c r="M68" i="77"/>
  <c r="N68" i="77"/>
  <c r="F68" i="77" s="1"/>
  <c r="O68" i="77"/>
  <c r="P68" i="77"/>
  <c r="M69" i="77"/>
  <c r="N69" i="77"/>
  <c r="O69" i="77"/>
  <c r="P69" i="77"/>
  <c r="M70" i="77"/>
  <c r="N70" i="77"/>
  <c r="O70" i="77"/>
  <c r="P70" i="77"/>
  <c r="M71" i="77"/>
  <c r="N71" i="77"/>
  <c r="O71" i="77"/>
  <c r="P71" i="77"/>
  <c r="M72" i="77"/>
  <c r="N72" i="77"/>
  <c r="O72" i="77"/>
  <c r="P72" i="77"/>
  <c r="M73" i="77"/>
  <c r="N73" i="77"/>
  <c r="O73" i="77"/>
  <c r="P73" i="77"/>
  <c r="M74" i="77"/>
  <c r="N74" i="77"/>
  <c r="O74" i="77"/>
  <c r="P74" i="77"/>
  <c r="M75" i="77"/>
  <c r="N75" i="77"/>
  <c r="O75" i="77"/>
  <c r="P75" i="77"/>
  <c r="M76" i="77"/>
  <c r="N76" i="77"/>
  <c r="O76" i="77"/>
  <c r="P76" i="77"/>
  <c r="M77" i="77"/>
  <c r="N77" i="77"/>
  <c r="O77" i="77"/>
  <c r="P77" i="77"/>
  <c r="M78" i="77"/>
  <c r="N78" i="77"/>
  <c r="O78" i="77"/>
  <c r="P78" i="77"/>
  <c r="M79" i="77"/>
  <c r="N79" i="77"/>
  <c r="O79" i="77"/>
  <c r="P79" i="77"/>
  <c r="M80" i="77"/>
  <c r="N80" i="77"/>
  <c r="O80" i="77"/>
  <c r="P80" i="77"/>
  <c r="M81" i="77"/>
  <c r="N81" i="77"/>
  <c r="O81" i="77"/>
  <c r="P81" i="77"/>
  <c r="M82" i="77"/>
  <c r="N82" i="77"/>
  <c r="O82" i="77"/>
  <c r="P82" i="77"/>
  <c r="M83" i="77"/>
  <c r="N83" i="77"/>
  <c r="O83" i="77"/>
  <c r="P83" i="77"/>
  <c r="F84" i="77"/>
  <c r="M84" i="77"/>
  <c r="N84" i="77"/>
  <c r="O84" i="77"/>
  <c r="P84" i="77"/>
  <c r="M85" i="77"/>
  <c r="N85" i="77"/>
  <c r="O85" i="77"/>
  <c r="P85" i="77"/>
  <c r="M86" i="77"/>
  <c r="N86" i="77"/>
  <c r="O86" i="77"/>
  <c r="P86" i="77"/>
  <c r="M87" i="77"/>
  <c r="N87" i="77"/>
  <c r="O87" i="77"/>
  <c r="P87" i="77"/>
  <c r="M88" i="77"/>
  <c r="N88" i="77"/>
  <c r="O88" i="77"/>
  <c r="P88" i="77"/>
  <c r="M89" i="77"/>
  <c r="N89" i="77"/>
  <c r="O89" i="77"/>
  <c r="P89" i="77"/>
  <c r="M90" i="77"/>
  <c r="N90" i="77"/>
  <c r="O90" i="77"/>
  <c r="P90" i="77"/>
  <c r="M91" i="77"/>
  <c r="N91" i="77"/>
  <c r="O91" i="77"/>
  <c r="P91" i="77"/>
  <c r="M92" i="77"/>
  <c r="N92" i="77"/>
  <c r="O92" i="77"/>
  <c r="P92" i="77"/>
  <c r="M93" i="77"/>
  <c r="N93" i="77"/>
  <c r="O93" i="77"/>
  <c r="P93" i="77"/>
  <c r="M94" i="77"/>
  <c r="N94" i="77"/>
  <c r="O94" i="77"/>
  <c r="P94" i="77"/>
  <c r="M95" i="77"/>
  <c r="N95" i="77"/>
  <c r="O95" i="77"/>
  <c r="P95" i="77"/>
  <c r="M96" i="77"/>
  <c r="N96" i="77"/>
  <c r="O96" i="77"/>
  <c r="P96" i="77"/>
  <c r="M97" i="77"/>
  <c r="N97" i="77"/>
  <c r="O97" i="77"/>
  <c r="P97" i="77"/>
  <c r="M98" i="77"/>
  <c r="N98" i="77"/>
  <c r="O98" i="77"/>
  <c r="P98" i="77"/>
  <c r="M99" i="77"/>
  <c r="N99" i="77"/>
  <c r="O99" i="77"/>
  <c r="P99" i="77"/>
  <c r="M100" i="77"/>
  <c r="N100" i="77"/>
  <c r="O100" i="77"/>
  <c r="P100" i="77"/>
  <c r="M101" i="77"/>
  <c r="N101" i="77"/>
  <c r="O101" i="77"/>
  <c r="P101" i="77"/>
  <c r="M102" i="77"/>
  <c r="N102" i="77"/>
  <c r="O102" i="77"/>
  <c r="P102" i="77"/>
  <c r="M103" i="77"/>
  <c r="N103" i="77"/>
  <c r="O103" i="77"/>
  <c r="P103" i="77"/>
  <c r="M104" i="77"/>
  <c r="N104" i="77"/>
  <c r="O104" i="77"/>
  <c r="P104" i="77"/>
  <c r="M105" i="77"/>
  <c r="N105" i="77"/>
  <c r="O105" i="77"/>
  <c r="P105" i="77"/>
  <c r="M106" i="77"/>
  <c r="N106" i="77"/>
  <c r="O106" i="77"/>
  <c r="P106" i="77"/>
  <c r="M107" i="77"/>
  <c r="N107" i="77"/>
  <c r="O107" i="77"/>
  <c r="P107" i="77"/>
  <c r="M108" i="77"/>
  <c r="N108" i="77"/>
  <c r="O108" i="77"/>
  <c r="P108" i="77"/>
  <c r="M109" i="77"/>
  <c r="N109" i="77"/>
  <c r="O109" i="77"/>
  <c r="P109" i="77"/>
  <c r="M110" i="77"/>
  <c r="N110" i="77"/>
  <c r="O110" i="77"/>
  <c r="P110" i="77"/>
  <c r="M111" i="77"/>
  <c r="N111" i="77"/>
  <c r="O111" i="77"/>
  <c r="P111" i="77"/>
  <c r="M112" i="77"/>
  <c r="N112" i="77"/>
  <c r="O112" i="77"/>
  <c r="P112" i="77"/>
  <c r="M113" i="77"/>
  <c r="N113" i="77"/>
  <c r="O113" i="77"/>
  <c r="P113" i="77"/>
  <c r="M114" i="77"/>
  <c r="N114" i="77"/>
  <c r="O114" i="77"/>
  <c r="P114" i="77"/>
  <c r="M115" i="77"/>
  <c r="N115" i="77"/>
  <c r="O115" i="77"/>
  <c r="P115" i="77"/>
  <c r="M116" i="77"/>
  <c r="N116" i="77"/>
  <c r="F116" i="77" s="1"/>
  <c r="O116" i="77"/>
  <c r="P116" i="77"/>
  <c r="M117" i="77"/>
  <c r="N117" i="77"/>
  <c r="O117" i="77"/>
  <c r="P117" i="77"/>
  <c r="M118" i="77"/>
  <c r="N118" i="77"/>
  <c r="F118" i="77" s="1"/>
  <c r="O118" i="77"/>
  <c r="P118" i="77"/>
  <c r="M119" i="77"/>
  <c r="N119" i="77"/>
  <c r="O119" i="77"/>
  <c r="P119" i="77"/>
  <c r="M120" i="77"/>
  <c r="N120" i="77"/>
  <c r="O120" i="77"/>
  <c r="P120" i="77"/>
  <c r="M121" i="77"/>
  <c r="N121" i="77"/>
  <c r="O121" i="77"/>
  <c r="P121" i="77"/>
  <c r="M122" i="77"/>
  <c r="N122" i="77"/>
  <c r="O122" i="77"/>
  <c r="P122" i="77"/>
  <c r="M123" i="77"/>
  <c r="N123" i="77"/>
  <c r="O123" i="77"/>
  <c r="P123" i="77"/>
  <c r="M124" i="77"/>
  <c r="N124" i="77"/>
  <c r="O124" i="77"/>
  <c r="P124" i="77"/>
  <c r="M125" i="77"/>
  <c r="N125" i="77"/>
  <c r="O125" i="77"/>
  <c r="P125" i="77"/>
  <c r="M126" i="77"/>
  <c r="N126" i="77"/>
  <c r="O126" i="77"/>
  <c r="P126" i="77"/>
  <c r="M127" i="77"/>
  <c r="N127" i="77"/>
  <c r="O127" i="77"/>
  <c r="P127" i="77"/>
  <c r="M128" i="77"/>
  <c r="N128" i="77"/>
  <c r="O128" i="77"/>
  <c r="P128" i="77"/>
  <c r="M129" i="77"/>
  <c r="N129" i="77"/>
  <c r="O129" i="77"/>
  <c r="P129" i="77"/>
  <c r="M130" i="77"/>
  <c r="N130" i="77"/>
  <c r="O130" i="77"/>
  <c r="P130" i="77"/>
  <c r="M131" i="77"/>
  <c r="N131" i="77"/>
  <c r="O131" i="77"/>
  <c r="P131" i="77"/>
  <c r="F132" i="77"/>
  <c r="M132" i="77"/>
  <c r="N132" i="77"/>
  <c r="O132" i="77"/>
  <c r="P132" i="77"/>
  <c r="M133" i="77"/>
  <c r="N133" i="77"/>
  <c r="O133" i="77"/>
  <c r="P133" i="77"/>
  <c r="M134" i="77"/>
  <c r="N134" i="77"/>
  <c r="O134" i="77"/>
  <c r="P134" i="77"/>
  <c r="M135" i="77"/>
  <c r="N135" i="77"/>
  <c r="O135" i="77"/>
  <c r="P135" i="77"/>
  <c r="M136" i="77"/>
  <c r="N136" i="77"/>
  <c r="O136" i="77"/>
  <c r="P136" i="77"/>
  <c r="M137" i="77"/>
  <c r="N137" i="77"/>
  <c r="O137" i="77"/>
  <c r="P137" i="77"/>
  <c r="M138" i="77"/>
  <c r="N138" i="77"/>
  <c r="O138" i="77"/>
  <c r="P138" i="77"/>
  <c r="M139" i="77"/>
  <c r="N139" i="77"/>
  <c r="O139" i="77"/>
  <c r="P139" i="77"/>
  <c r="M140" i="77"/>
  <c r="N140" i="77"/>
  <c r="O140" i="77"/>
  <c r="P140" i="77"/>
  <c r="M141" i="77"/>
  <c r="N141" i="77"/>
  <c r="O141" i="77"/>
  <c r="P141" i="77"/>
  <c r="M142" i="77"/>
  <c r="N142" i="77"/>
  <c r="O142" i="77"/>
  <c r="P142" i="77"/>
  <c r="M143" i="77"/>
  <c r="N143" i="77"/>
  <c r="O143" i="77"/>
  <c r="P143" i="77"/>
  <c r="M144" i="77"/>
  <c r="N144" i="77"/>
  <c r="O144" i="77"/>
  <c r="P144" i="77"/>
  <c r="M145" i="77"/>
  <c r="N145" i="77"/>
  <c r="O145" i="77"/>
  <c r="P145" i="77"/>
  <c r="M146" i="77"/>
  <c r="N146" i="77"/>
  <c r="O146" i="77"/>
  <c r="P146" i="77"/>
  <c r="M147" i="77"/>
  <c r="N147" i="77"/>
  <c r="O147" i="77"/>
  <c r="P147" i="77"/>
  <c r="M148" i="77"/>
  <c r="N148" i="77"/>
  <c r="O148" i="77"/>
  <c r="P148" i="77"/>
  <c r="M149" i="77"/>
  <c r="N149" i="77"/>
  <c r="O149" i="77"/>
  <c r="P149" i="77"/>
  <c r="M150" i="77"/>
  <c r="N150" i="77"/>
  <c r="O150" i="77"/>
  <c r="P150" i="77"/>
  <c r="M151" i="77"/>
  <c r="N151" i="77"/>
  <c r="O151" i="77"/>
  <c r="P151" i="77"/>
  <c r="M152" i="77"/>
  <c r="N152" i="77"/>
  <c r="O152" i="77"/>
  <c r="P152" i="77"/>
  <c r="M153" i="77"/>
  <c r="N153" i="77"/>
  <c r="O153" i="77"/>
  <c r="P153" i="77"/>
  <c r="M154" i="77"/>
  <c r="N154" i="77"/>
  <c r="O154" i="77"/>
  <c r="P154" i="77"/>
  <c r="M155" i="77"/>
  <c r="N155" i="77"/>
  <c r="O155" i="77"/>
  <c r="P155" i="77"/>
  <c r="M156" i="77"/>
  <c r="N156" i="77"/>
  <c r="O156" i="77"/>
  <c r="P156" i="77"/>
  <c r="M157" i="77"/>
  <c r="N157" i="77"/>
  <c r="O157" i="77"/>
  <c r="P157" i="77"/>
  <c r="M158" i="77"/>
  <c r="N158" i="77"/>
  <c r="O158" i="77"/>
  <c r="P158" i="77"/>
  <c r="M159" i="77"/>
  <c r="N159" i="77"/>
  <c r="O159" i="77"/>
  <c r="P159" i="77"/>
  <c r="M160" i="77"/>
  <c r="N160" i="77"/>
  <c r="F160" i="77" s="1"/>
  <c r="O160" i="77"/>
  <c r="P160" i="77"/>
  <c r="M161" i="77"/>
  <c r="N161" i="77"/>
  <c r="O161" i="77"/>
  <c r="P161" i="77"/>
  <c r="M162" i="77"/>
  <c r="N162" i="77"/>
  <c r="O162" i="77"/>
  <c r="P162" i="77"/>
  <c r="M163" i="77"/>
  <c r="N163" i="77"/>
  <c r="O163" i="77"/>
  <c r="P163" i="77"/>
  <c r="M164" i="77"/>
  <c r="N164" i="77"/>
  <c r="O164" i="77"/>
  <c r="P164" i="77"/>
  <c r="M165" i="77"/>
  <c r="N165" i="77"/>
  <c r="O165" i="77"/>
  <c r="P165" i="77"/>
  <c r="M166" i="77"/>
  <c r="N166" i="77"/>
  <c r="O166" i="77"/>
  <c r="P166" i="77"/>
  <c r="M167" i="77"/>
  <c r="N167" i="77"/>
  <c r="O167" i="77"/>
  <c r="P167" i="77"/>
  <c r="M168" i="77"/>
  <c r="N168" i="77"/>
  <c r="O168" i="77"/>
  <c r="P168" i="77"/>
  <c r="M169" i="77"/>
  <c r="N169" i="77"/>
  <c r="O169" i="77"/>
  <c r="P169" i="77"/>
  <c r="M170" i="77"/>
  <c r="N170" i="77"/>
  <c r="O170" i="77"/>
  <c r="P170" i="77"/>
  <c r="M171" i="77"/>
  <c r="N171" i="77"/>
  <c r="O171" i="77"/>
  <c r="P171" i="77"/>
  <c r="M172" i="77"/>
  <c r="N172" i="77"/>
  <c r="O172" i="77"/>
  <c r="P172" i="77"/>
  <c r="M173" i="77"/>
  <c r="N173" i="77"/>
  <c r="O173" i="77"/>
  <c r="P173" i="77"/>
  <c r="M174" i="77"/>
  <c r="N174" i="77"/>
  <c r="O174" i="77"/>
  <c r="P174" i="77"/>
  <c r="M175" i="77"/>
  <c r="N175" i="77"/>
  <c r="O175" i="77"/>
  <c r="P175" i="77"/>
  <c r="M176" i="77"/>
  <c r="N176" i="77"/>
  <c r="O176" i="77"/>
  <c r="P176" i="77"/>
  <c r="M177" i="77"/>
  <c r="N177" i="77"/>
  <c r="O177" i="77"/>
  <c r="P177" i="77"/>
  <c r="M178" i="77"/>
  <c r="N178" i="77"/>
  <c r="O178" i="77"/>
  <c r="P178" i="77"/>
  <c r="M179" i="77"/>
  <c r="N179" i="77"/>
  <c r="O179" i="77"/>
  <c r="P179" i="77"/>
  <c r="M180" i="77"/>
  <c r="N180" i="77"/>
  <c r="O180" i="77"/>
  <c r="P180" i="77"/>
  <c r="M181" i="77"/>
  <c r="N181" i="77"/>
  <c r="O181" i="77"/>
  <c r="P181" i="77"/>
  <c r="M182" i="77"/>
  <c r="N182" i="77"/>
  <c r="O182" i="77"/>
  <c r="P182" i="77"/>
  <c r="M183" i="77"/>
  <c r="N183" i="77"/>
  <c r="O183" i="77"/>
  <c r="P183" i="77"/>
  <c r="M184" i="77"/>
  <c r="N184" i="77"/>
  <c r="O184" i="77"/>
  <c r="P184" i="77"/>
  <c r="M185" i="77"/>
  <c r="N185" i="77"/>
  <c r="O185" i="77"/>
  <c r="P185" i="77"/>
  <c r="M186" i="77"/>
  <c r="N186" i="77"/>
  <c r="O186" i="77"/>
  <c r="P186" i="77"/>
  <c r="M187" i="77"/>
  <c r="N187" i="77"/>
  <c r="O187" i="77"/>
  <c r="P187" i="77"/>
  <c r="M188" i="77"/>
  <c r="N188" i="77"/>
  <c r="O188" i="77"/>
  <c r="P188" i="77"/>
  <c r="M189" i="77"/>
  <c r="N189" i="77"/>
  <c r="O189" i="77"/>
  <c r="P189" i="77"/>
  <c r="M190" i="77"/>
  <c r="N190" i="77"/>
  <c r="O190" i="77"/>
  <c r="P190" i="77"/>
  <c r="M191" i="77"/>
  <c r="N191" i="77"/>
  <c r="O191" i="77"/>
  <c r="P191" i="77"/>
  <c r="M192" i="77"/>
  <c r="N192" i="77"/>
  <c r="O192" i="77"/>
  <c r="P192" i="77"/>
  <c r="M193" i="77"/>
  <c r="N193" i="77"/>
  <c r="O193" i="77"/>
  <c r="P193" i="77"/>
  <c r="M194" i="77"/>
  <c r="N194" i="77"/>
  <c r="O194" i="77"/>
  <c r="P194" i="77"/>
  <c r="M195" i="77"/>
  <c r="N195" i="77"/>
  <c r="O195" i="77"/>
  <c r="P195" i="77"/>
  <c r="M196" i="77"/>
  <c r="N196" i="77"/>
  <c r="O196" i="77"/>
  <c r="P196" i="77"/>
  <c r="M197" i="77"/>
  <c r="N197" i="77"/>
  <c r="O197" i="77"/>
  <c r="P197" i="77"/>
  <c r="M198" i="77"/>
  <c r="N198" i="77"/>
  <c r="O198" i="77"/>
  <c r="P198" i="77"/>
  <c r="M199" i="77"/>
  <c r="N199" i="77"/>
  <c r="O199" i="77"/>
  <c r="P199" i="77"/>
  <c r="M200" i="77"/>
  <c r="N200" i="77"/>
  <c r="O200" i="77"/>
  <c r="P200" i="77"/>
  <c r="M201" i="77"/>
  <c r="N201" i="77"/>
  <c r="O201" i="77"/>
  <c r="P201" i="77"/>
  <c r="M202" i="77"/>
  <c r="N202" i="77"/>
  <c r="O202" i="77"/>
  <c r="P202" i="77"/>
  <c r="M203" i="77"/>
  <c r="N203" i="77"/>
  <c r="O203" i="77"/>
  <c r="P203" i="77"/>
  <c r="M204" i="77"/>
  <c r="N204" i="77"/>
  <c r="O204" i="77"/>
  <c r="P204" i="77"/>
  <c r="M205" i="77"/>
  <c r="N205" i="77"/>
  <c r="O205" i="77"/>
  <c r="P205" i="77"/>
  <c r="M206" i="77"/>
  <c r="N206" i="77"/>
  <c r="O206" i="77"/>
  <c r="P206" i="77"/>
  <c r="M207" i="77"/>
  <c r="N207" i="77"/>
  <c r="O207" i="77"/>
  <c r="P207" i="77"/>
  <c r="M208" i="77"/>
  <c r="N208" i="77"/>
  <c r="O208" i="77"/>
  <c r="P208" i="77"/>
  <c r="M209" i="77"/>
  <c r="N209" i="77"/>
  <c r="O209" i="77"/>
  <c r="P209" i="77"/>
  <c r="M210" i="77"/>
  <c r="N210" i="77"/>
  <c r="O210" i="77"/>
  <c r="P210" i="77"/>
  <c r="M211" i="77"/>
  <c r="N211" i="77"/>
  <c r="O211" i="77"/>
  <c r="P211" i="77"/>
  <c r="M212" i="77"/>
  <c r="N212" i="77"/>
  <c r="O212" i="77"/>
  <c r="P212" i="77"/>
  <c r="M213" i="77"/>
  <c r="N213" i="77"/>
  <c r="O213" i="77"/>
  <c r="P213" i="77"/>
  <c r="M214" i="77"/>
  <c r="N214" i="77"/>
  <c r="O214" i="77"/>
  <c r="P214" i="77"/>
  <c r="M215" i="77"/>
  <c r="N215" i="77"/>
  <c r="O215" i="77"/>
  <c r="P215" i="77"/>
  <c r="M216" i="77"/>
  <c r="N216" i="77"/>
  <c r="O216" i="77"/>
  <c r="P216" i="77"/>
  <c r="M217" i="77"/>
  <c r="N217" i="77"/>
  <c r="O217" i="77"/>
  <c r="P217" i="77"/>
  <c r="M218" i="77"/>
  <c r="N218" i="77"/>
  <c r="O218" i="77"/>
  <c r="P218" i="77"/>
  <c r="M219" i="77"/>
  <c r="N219" i="77"/>
  <c r="O219" i="77"/>
  <c r="P219" i="77"/>
  <c r="M220" i="77"/>
  <c r="N220" i="77"/>
  <c r="O220" i="77"/>
  <c r="P220" i="77"/>
  <c r="M221" i="77"/>
  <c r="N221" i="77"/>
  <c r="O221" i="77"/>
  <c r="P221" i="77"/>
  <c r="M222" i="77"/>
  <c r="N222" i="77"/>
  <c r="O222" i="77"/>
  <c r="P222" i="77"/>
  <c r="M223" i="77"/>
  <c r="N223" i="77"/>
  <c r="O223" i="77"/>
  <c r="P223" i="77"/>
  <c r="M224" i="77"/>
  <c r="N224" i="77"/>
  <c r="O224" i="77"/>
  <c r="P224" i="77"/>
  <c r="M225" i="77"/>
  <c r="N225" i="77"/>
  <c r="O225" i="77"/>
  <c r="P225" i="77"/>
  <c r="M226" i="77"/>
  <c r="N226" i="77"/>
  <c r="O226" i="77"/>
  <c r="P226" i="77"/>
  <c r="M227" i="77"/>
  <c r="N227" i="77"/>
  <c r="O227" i="77"/>
  <c r="P227" i="77"/>
  <c r="M228" i="77"/>
  <c r="N228" i="77"/>
  <c r="O228" i="77"/>
  <c r="P228" i="77"/>
  <c r="M229" i="77"/>
  <c r="N229" i="77"/>
  <c r="O229" i="77"/>
  <c r="P229" i="77"/>
  <c r="M230" i="77"/>
  <c r="N230" i="77"/>
  <c r="O230" i="77"/>
  <c r="P230" i="77"/>
  <c r="M231" i="77"/>
  <c r="N231" i="77"/>
  <c r="O231" i="77"/>
  <c r="P231" i="77"/>
  <c r="M232" i="77"/>
  <c r="N232" i="77"/>
  <c r="O232" i="77"/>
  <c r="P232" i="77"/>
  <c r="M233" i="77"/>
  <c r="N233" i="77"/>
  <c r="O233" i="77"/>
  <c r="P233" i="77"/>
  <c r="M234" i="77"/>
  <c r="N234" i="77"/>
  <c r="O234" i="77"/>
  <c r="P234" i="77"/>
  <c r="M235" i="77"/>
  <c r="N235" i="77"/>
  <c r="O235" i="77"/>
  <c r="P235" i="77"/>
  <c r="M236" i="77"/>
  <c r="N236" i="77"/>
  <c r="O236" i="77"/>
  <c r="P236" i="77"/>
  <c r="M237" i="77"/>
  <c r="N237" i="77"/>
  <c r="O237" i="77"/>
  <c r="P237" i="77"/>
  <c r="F201" i="77" l="1"/>
  <c r="F5" i="89"/>
  <c r="F21" i="89"/>
  <c r="F153" i="80"/>
  <c r="F376" i="81"/>
  <c r="F372" i="81"/>
  <c r="F367" i="81"/>
  <c r="F363" i="81"/>
  <c r="F327" i="81"/>
  <c r="F323" i="81"/>
  <c r="F297" i="81"/>
  <c r="F293" i="81"/>
  <c r="F279" i="81"/>
  <c r="F248" i="81"/>
  <c r="F244" i="81"/>
  <c r="F239" i="81"/>
  <c r="F235" i="81"/>
  <c r="F199" i="81"/>
  <c r="F195" i="81"/>
  <c r="F169" i="81"/>
  <c r="F165" i="81"/>
  <c r="F151" i="81"/>
  <c r="F482" i="82"/>
  <c r="F473" i="82"/>
  <c r="F354" i="82"/>
  <c r="F345" i="82"/>
  <c r="F14" i="89"/>
  <c r="F190" i="5"/>
  <c r="F483" i="82"/>
  <c r="F4" i="89"/>
  <c r="F7" i="89"/>
  <c r="F20" i="89"/>
  <c r="F23" i="89"/>
  <c r="F4" i="77"/>
  <c r="F10" i="80"/>
  <c r="F3" i="80"/>
  <c r="F4" i="87"/>
  <c r="F334" i="5"/>
  <c r="F325" i="5"/>
  <c r="F322" i="5"/>
  <c r="F319" i="5"/>
  <c r="F310" i="5"/>
  <c r="F304" i="5"/>
  <c r="F295" i="5"/>
  <c r="F286" i="5"/>
  <c r="F277" i="5"/>
  <c r="F232" i="5"/>
  <c r="F223" i="5"/>
  <c r="F208" i="5"/>
  <c r="F199" i="5"/>
  <c r="F184" i="5"/>
  <c r="F160" i="5"/>
  <c r="F151" i="5"/>
  <c r="F424" i="80"/>
  <c r="F415" i="80"/>
  <c r="F410" i="80"/>
  <c r="F291" i="80"/>
  <c r="F282" i="80"/>
  <c r="F163" i="80"/>
  <c r="F154" i="80"/>
  <c r="F475" i="81"/>
  <c r="F466" i="81"/>
  <c r="F347" i="81"/>
  <c r="F338" i="81"/>
  <c r="F219" i="81"/>
  <c r="F210" i="81"/>
  <c r="F497" i="82"/>
  <c r="F493" i="82"/>
  <c r="F457" i="82"/>
  <c r="F453" i="82"/>
  <c r="F448" i="82"/>
  <c r="F444" i="82"/>
  <c r="F413" i="82"/>
  <c r="F399" i="82"/>
  <c r="F395" i="82"/>
  <c r="F369" i="82"/>
  <c r="F365" i="82"/>
  <c r="F329" i="82"/>
  <c r="F325" i="82"/>
  <c r="F320" i="82"/>
  <c r="F316" i="82"/>
  <c r="F285" i="82"/>
  <c r="F271" i="82"/>
  <c r="F267" i="82"/>
  <c r="F262" i="82"/>
  <c r="F258" i="82"/>
  <c r="F201" i="82"/>
  <c r="F197" i="82"/>
  <c r="F4" i="5"/>
  <c r="F337" i="5"/>
  <c r="F328" i="5"/>
  <c r="F236" i="5"/>
  <c r="F188" i="5"/>
  <c r="F179" i="5"/>
  <c r="F173" i="5"/>
  <c r="F164" i="5"/>
  <c r="F439" i="80"/>
  <c r="F430" i="80"/>
  <c r="F384" i="80"/>
  <c r="F380" i="80"/>
  <c r="F375" i="80"/>
  <c r="F371" i="80"/>
  <c r="F335" i="80"/>
  <c r="F331" i="80"/>
  <c r="F305" i="80"/>
  <c r="F301" i="80"/>
  <c r="F287" i="80"/>
  <c r="F256" i="80"/>
  <c r="F252" i="80"/>
  <c r="F247" i="80"/>
  <c r="F243" i="80"/>
  <c r="F207" i="80"/>
  <c r="F203" i="80"/>
  <c r="F177" i="80"/>
  <c r="F173" i="80"/>
  <c r="F159" i="80"/>
  <c r="F519" i="81"/>
  <c r="F515" i="81"/>
  <c r="F489" i="81"/>
  <c r="F485" i="81"/>
  <c r="F471" i="81"/>
  <c r="F440" i="81"/>
  <c r="F436" i="81"/>
  <c r="F431" i="81"/>
  <c r="F427" i="81"/>
  <c r="F391" i="81"/>
  <c r="F387" i="81"/>
  <c r="F361" i="81"/>
  <c r="F357" i="81"/>
  <c r="F343" i="81"/>
  <c r="F312" i="81"/>
  <c r="F308" i="81"/>
  <c r="F303" i="81"/>
  <c r="F299" i="81"/>
  <c r="F263" i="81"/>
  <c r="F259" i="81"/>
  <c r="F233" i="81"/>
  <c r="F229" i="81"/>
  <c r="F215" i="81"/>
  <c r="F184" i="81"/>
  <c r="F180" i="81"/>
  <c r="F175" i="81"/>
  <c r="F171" i="81"/>
  <c r="F418" i="82"/>
  <c r="F409" i="82"/>
  <c r="F290" i="82"/>
  <c r="F281" i="82"/>
  <c r="F277" i="82"/>
  <c r="F54" i="77"/>
  <c r="F52" i="77"/>
  <c r="F36" i="77"/>
  <c r="F123" i="77"/>
  <c r="F121" i="77"/>
  <c r="F107" i="77"/>
  <c r="F91" i="77"/>
  <c r="F6" i="89"/>
  <c r="F22" i="89"/>
  <c r="F3" i="83"/>
  <c r="F3" i="82"/>
  <c r="H52" i="78"/>
  <c r="F332" i="5"/>
  <c r="F269" i="5"/>
  <c r="F260" i="5"/>
  <c r="F254" i="5"/>
  <c r="F245" i="5"/>
  <c r="F239" i="5"/>
  <c r="F221" i="5"/>
  <c r="F212" i="5"/>
  <c r="F197" i="5"/>
  <c r="F194" i="5"/>
  <c r="F191" i="5"/>
  <c r="F176" i="5"/>
  <c r="F167" i="5"/>
  <c r="F158" i="5"/>
  <c r="F149" i="5"/>
  <c r="F435" i="80"/>
  <c r="F345" i="80"/>
  <c r="F341" i="80"/>
  <c r="F296" i="80"/>
  <c r="F292" i="80"/>
  <c r="F217" i="80"/>
  <c r="F213" i="80"/>
  <c r="F168" i="80"/>
  <c r="F164" i="80"/>
  <c r="F529" i="81"/>
  <c r="F525" i="81"/>
  <c r="F480" i="81"/>
  <c r="F476" i="81"/>
  <c r="F401" i="81"/>
  <c r="F397" i="81"/>
  <c r="F352" i="81"/>
  <c r="F348" i="81"/>
  <c r="F273" i="81"/>
  <c r="F269" i="81"/>
  <c r="F224" i="81"/>
  <c r="F220" i="81"/>
  <c r="F145" i="81"/>
  <c r="F498" i="82"/>
  <c r="F462" i="82"/>
  <c r="F458" i="82"/>
  <c r="F432" i="82"/>
  <c r="F428" i="82"/>
  <c r="F414" i="82"/>
  <c r="F383" i="82"/>
  <c r="F379" i="82"/>
  <c r="F374" i="82"/>
  <c r="F370" i="82"/>
  <c r="F334" i="82"/>
  <c r="F330" i="82"/>
  <c r="F304" i="82"/>
  <c r="F300" i="82"/>
  <c r="F286" i="82"/>
  <c r="F215" i="82"/>
  <c r="F211" i="82"/>
  <c r="F206" i="82"/>
  <c r="F202" i="82"/>
  <c r="F490" i="83"/>
  <c r="F486" i="83"/>
  <c r="V8" i="77" a="1"/>
  <c r="V8" i="77" s="1"/>
  <c r="V4" i="77"/>
  <c r="H53" i="78"/>
  <c r="F10" i="5"/>
  <c r="F7" i="80"/>
  <c r="F4" i="80"/>
  <c r="F362" i="81"/>
  <c r="F358" i="81"/>
  <c r="F322" i="81"/>
  <c r="F318" i="81"/>
  <c r="F313" i="81"/>
  <c r="F309" i="81"/>
  <c r="F278" i="81"/>
  <c r="F264" i="81"/>
  <c r="F260" i="81"/>
  <c r="F234" i="81"/>
  <c r="F230" i="81"/>
  <c r="F194" i="81"/>
  <c r="F190" i="81"/>
  <c r="F185" i="81"/>
  <c r="F181" i="81"/>
  <c r="F150" i="81"/>
  <c r="F472" i="82"/>
  <c r="F468" i="82"/>
  <c r="F423" i="82"/>
  <c r="F419" i="82"/>
  <c r="F344" i="82"/>
  <c r="F340" i="82"/>
  <c r="F295" i="82"/>
  <c r="F291" i="82"/>
  <c r="F242" i="82"/>
  <c r="F508" i="83"/>
  <c r="F4" i="90"/>
  <c r="F12" i="89"/>
  <c r="F15" i="89"/>
  <c r="F10" i="82"/>
  <c r="V22" i="77"/>
  <c r="H54" i="78"/>
  <c r="F300" i="5"/>
  <c r="F252" i="5"/>
  <c r="F243" i="5"/>
  <c r="F237" i="5"/>
  <c r="F228" i="5"/>
  <c r="F222" i="5"/>
  <c r="F204" i="5"/>
  <c r="F408" i="80"/>
  <c r="F355" i="80"/>
  <c r="F346" i="80"/>
  <c r="F227" i="80"/>
  <c r="F218" i="80"/>
  <c r="F539" i="81"/>
  <c r="F530" i="81"/>
  <c r="F411" i="81"/>
  <c r="F402" i="81"/>
  <c r="F283" i="81"/>
  <c r="F274" i="81"/>
  <c r="F155" i="81"/>
  <c r="F146" i="81"/>
  <c r="F477" i="82"/>
  <c r="F463" i="82"/>
  <c r="F459" i="82"/>
  <c r="F433" i="82"/>
  <c r="F429" i="82"/>
  <c r="F393" i="82"/>
  <c r="F389" i="82"/>
  <c r="F384" i="82"/>
  <c r="F380" i="82"/>
  <c r="F349" i="82"/>
  <c r="F335" i="82"/>
  <c r="F331" i="82"/>
  <c r="F305" i="82"/>
  <c r="F301" i="82"/>
  <c r="F256" i="82"/>
  <c r="F252" i="82"/>
  <c r="F265" i="80"/>
  <c r="F513" i="81"/>
  <c r="F325" i="83"/>
  <c r="F320" i="83"/>
  <c r="F315" i="83"/>
  <c r="F293" i="83"/>
  <c r="F288" i="83"/>
  <c r="F283" i="83"/>
  <c r="F261" i="83"/>
  <c r="F256" i="83"/>
  <c r="F251" i="83"/>
  <c r="F229" i="83"/>
  <c r="F224" i="83"/>
  <c r="F219" i="83"/>
  <c r="F197" i="83"/>
  <c r="F192" i="83"/>
  <c r="F187" i="83"/>
  <c r="F498" i="84"/>
  <c r="F477" i="84"/>
  <c r="F463" i="84"/>
  <c r="F432" i="84"/>
  <c r="F428" i="84"/>
  <c r="F423" i="84"/>
  <c r="F419" i="84"/>
  <c r="F393" i="84"/>
  <c r="F383" i="84"/>
  <c r="F379" i="84"/>
  <c r="F370" i="84"/>
  <c r="F349" i="84"/>
  <c r="F335" i="84"/>
  <c r="F161" i="84"/>
  <c r="F473" i="85"/>
  <c r="F433" i="84"/>
  <c r="F305" i="84"/>
  <c r="F197" i="84"/>
  <c r="F183" i="84"/>
  <c r="F152" i="84"/>
  <c r="F148" i="84"/>
  <c r="F161" i="83"/>
  <c r="F157" i="83"/>
  <c r="F417" i="84"/>
  <c r="F403" i="84"/>
  <c r="F394" i="84"/>
  <c r="F310" i="84"/>
  <c r="F296" i="84"/>
  <c r="F292" i="84"/>
  <c r="F262" i="84"/>
  <c r="F206" i="84"/>
  <c r="F192" i="84"/>
  <c r="F188" i="84"/>
  <c r="F335" i="5"/>
  <c r="F326" i="5"/>
  <c r="F317" i="5"/>
  <c r="F308" i="5"/>
  <c r="F280" i="5"/>
  <c r="F271" i="5"/>
  <c r="F262" i="5"/>
  <c r="F253" i="5"/>
  <c r="F244" i="5"/>
  <c r="F216" i="5"/>
  <c r="F207" i="5"/>
  <c r="F189" i="5"/>
  <c r="F180" i="5"/>
  <c r="F152" i="5"/>
  <c r="F440" i="80"/>
  <c r="F425" i="80"/>
  <c r="F421" i="80"/>
  <c r="F406" i="80"/>
  <c r="F391" i="80"/>
  <c r="F376" i="80"/>
  <c r="F361" i="80"/>
  <c r="F357" i="80"/>
  <c r="F342" i="80"/>
  <c r="F327" i="80"/>
  <c r="F312" i="80"/>
  <c r="F297" i="80"/>
  <c r="F293" i="80"/>
  <c r="F278" i="80"/>
  <c r="F263" i="80"/>
  <c r="F248" i="80"/>
  <c r="F233" i="80"/>
  <c r="F229" i="80"/>
  <c r="F214" i="80"/>
  <c r="F199" i="80"/>
  <c r="F184" i="80"/>
  <c r="F165" i="80"/>
  <c r="F150" i="80"/>
  <c r="F545" i="81"/>
  <c r="F541" i="81"/>
  <c r="F526" i="81"/>
  <c r="F511" i="81"/>
  <c r="F496" i="81"/>
  <c r="F481" i="81"/>
  <c r="F477" i="81"/>
  <c r="F462" i="81"/>
  <c r="F457" i="81"/>
  <c r="F447" i="81"/>
  <c r="F432" i="81"/>
  <c r="F417" i="81"/>
  <c r="F413" i="81"/>
  <c r="F398" i="81"/>
  <c r="F383" i="81"/>
  <c r="F368" i="81"/>
  <c r="F353" i="81"/>
  <c r="F349" i="81"/>
  <c r="F334" i="81"/>
  <c r="F319" i="81"/>
  <c r="F304" i="81"/>
  <c r="F289" i="81"/>
  <c r="F285" i="81"/>
  <c r="F270" i="81"/>
  <c r="F255" i="81"/>
  <c r="F240" i="81"/>
  <c r="F225" i="81"/>
  <c r="F221" i="81"/>
  <c r="F206" i="81"/>
  <c r="F191" i="81"/>
  <c r="F176" i="81"/>
  <c r="F161" i="81"/>
  <c r="F157" i="81"/>
  <c r="F488" i="82"/>
  <c r="F484" i="82"/>
  <c r="F469" i="82"/>
  <c r="F454" i="82"/>
  <c r="F439" i="82"/>
  <c r="F424" i="82"/>
  <c r="F420" i="82"/>
  <c r="F405" i="82"/>
  <c r="F390" i="82"/>
  <c r="F375" i="82"/>
  <c r="F360" i="82"/>
  <c r="F356" i="82"/>
  <c r="F341" i="82"/>
  <c r="F326" i="82"/>
  <c r="F311" i="82"/>
  <c r="F296" i="82"/>
  <c r="F292" i="82"/>
  <c r="F272" i="82"/>
  <c r="F268" i="82"/>
  <c r="F225" i="82"/>
  <c r="F221" i="82"/>
  <c r="F216" i="82"/>
  <c r="F212" i="82"/>
  <c r="F203" i="82"/>
  <c r="F166" i="82"/>
  <c r="F145" i="83"/>
  <c r="F453" i="84"/>
  <c r="F408" i="84"/>
  <c r="F404" i="84"/>
  <c r="F395" i="84"/>
  <c r="F325" i="84"/>
  <c r="F311" i="84"/>
  <c r="F211" i="84"/>
  <c r="F442" i="83"/>
  <c r="F438" i="83"/>
  <c r="F428" i="83"/>
  <c r="F410" i="83"/>
  <c r="F406" i="83"/>
  <c r="F396" i="83"/>
  <c r="F378" i="83"/>
  <c r="F374" i="83"/>
  <c r="F364" i="83"/>
  <c r="F346" i="83"/>
  <c r="F342" i="83"/>
  <c r="F332" i="83"/>
  <c r="F314" i="83"/>
  <c r="F310" i="83"/>
  <c r="F300" i="83"/>
  <c r="F282" i="83"/>
  <c r="F278" i="83"/>
  <c r="F268" i="83"/>
  <c r="F250" i="83"/>
  <c r="F246" i="83"/>
  <c r="F236" i="83"/>
  <c r="F218" i="83"/>
  <c r="F214" i="83"/>
  <c r="F204" i="83"/>
  <c r="F186" i="83"/>
  <c r="F182" i="83"/>
  <c r="F172" i="83"/>
  <c r="F493" i="84"/>
  <c r="F484" i="84"/>
  <c r="F462" i="84"/>
  <c r="F448" i="84"/>
  <c r="F444" i="84"/>
  <c r="F418" i="84"/>
  <c r="F414" i="84"/>
  <c r="F378" i="84"/>
  <c r="F374" i="84"/>
  <c r="F365" i="84"/>
  <c r="F356" i="84"/>
  <c r="F334" i="84"/>
  <c r="F320" i="84"/>
  <c r="F316" i="84"/>
  <c r="F277" i="84"/>
  <c r="F259" i="84"/>
  <c r="F225" i="84"/>
  <c r="F422" i="80"/>
  <c r="F407" i="80"/>
  <c r="F392" i="80"/>
  <c r="F377" i="80"/>
  <c r="F373" i="80"/>
  <c r="F358" i="80"/>
  <c r="F343" i="80"/>
  <c r="F328" i="80"/>
  <c r="F313" i="80"/>
  <c r="F309" i="80"/>
  <c r="F294" i="80"/>
  <c r="F279" i="80"/>
  <c r="F264" i="80"/>
  <c r="F245" i="80"/>
  <c r="F230" i="80"/>
  <c r="F215" i="80"/>
  <c r="F200" i="80"/>
  <c r="F185" i="80"/>
  <c r="F181" i="80"/>
  <c r="F166" i="80"/>
  <c r="F161" i="80"/>
  <c r="F151" i="80"/>
  <c r="F542" i="81"/>
  <c r="F278" i="82"/>
  <c r="F263" i="82"/>
  <c r="F248" i="82"/>
  <c r="F244" i="82"/>
  <c r="F229" i="82"/>
  <c r="F214" i="82"/>
  <c r="F199" i="82"/>
  <c r="F184" i="82"/>
  <c r="F180" i="82"/>
  <c r="F165" i="82"/>
  <c r="F150" i="82"/>
  <c r="F159" i="83"/>
  <c r="F144" i="83"/>
  <c r="F495" i="84"/>
  <c r="F480" i="84"/>
  <c r="F461" i="84"/>
  <c r="F446" i="84"/>
  <c r="F441" i="84"/>
  <c r="F431" i="84"/>
  <c r="F416" i="84"/>
  <c r="F397" i="84"/>
  <c r="F382" i="84"/>
  <c r="F377" i="84"/>
  <c r="F367" i="84"/>
  <c r="F352" i="84"/>
  <c r="F333" i="84"/>
  <c r="F318" i="84"/>
  <c r="F309" i="84"/>
  <c r="F294" i="84"/>
  <c r="F285" i="84"/>
  <c r="F261" i="84"/>
  <c r="F251" i="84"/>
  <c r="F237" i="84"/>
  <c r="F182" i="84"/>
  <c r="F173" i="84"/>
  <c r="F488" i="85"/>
  <c r="F484" i="85"/>
  <c r="F475" i="85"/>
  <c r="F449" i="85"/>
  <c r="F439" i="85"/>
  <c r="F435" i="85"/>
  <c r="F383" i="85"/>
  <c r="F349" i="85"/>
  <c r="F335" i="85"/>
  <c r="F478" i="86"/>
  <c r="F349" i="86"/>
  <c r="F344" i="86"/>
  <c r="F340" i="86"/>
  <c r="F194" i="86"/>
  <c r="F147" i="84"/>
  <c r="F454" i="85"/>
  <c r="F440" i="85"/>
  <c r="F436" i="85"/>
  <c r="F406" i="85"/>
  <c r="F354" i="85"/>
  <c r="F350" i="85"/>
  <c r="F301" i="85"/>
  <c r="F257" i="85"/>
  <c r="F243" i="85"/>
  <c r="F374" i="86"/>
  <c r="F212" i="86"/>
  <c r="F258" i="86"/>
  <c r="F359" i="85"/>
  <c r="F355" i="85"/>
  <c r="F315" i="85"/>
  <c r="F306" i="85"/>
  <c r="F302" i="85"/>
  <c r="F248" i="85"/>
  <c r="F244" i="85"/>
  <c r="F236" i="85"/>
  <c r="F159" i="85"/>
  <c r="F418" i="86"/>
  <c r="F271" i="86"/>
  <c r="F267" i="86"/>
  <c r="F222" i="82"/>
  <c r="F207" i="82"/>
  <c r="F192" i="82"/>
  <c r="F188" i="82"/>
  <c r="F173" i="82"/>
  <c r="F158" i="82"/>
  <c r="F519" i="83"/>
  <c r="F513" i="83"/>
  <c r="F503" i="83"/>
  <c r="F497" i="83"/>
  <c r="F487" i="83"/>
  <c r="F481" i="83"/>
  <c r="F471" i="83"/>
  <c r="F465" i="83"/>
  <c r="F455" i="83"/>
  <c r="F449" i="83"/>
  <c r="F439" i="83"/>
  <c r="F433" i="83"/>
  <c r="F423" i="83"/>
  <c r="F417" i="83"/>
  <c r="F407" i="83"/>
  <c r="F401" i="83"/>
  <c r="F391" i="83"/>
  <c r="F385" i="83"/>
  <c r="F375" i="83"/>
  <c r="F369" i="83"/>
  <c r="F359" i="83"/>
  <c r="F353" i="83"/>
  <c r="F343" i="83"/>
  <c r="F337" i="83"/>
  <c r="F327" i="83"/>
  <c r="F321" i="83"/>
  <c r="F311" i="83"/>
  <c r="F305" i="83"/>
  <c r="F295" i="83"/>
  <c r="F289" i="83"/>
  <c r="F279" i="83"/>
  <c r="F273" i="83"/>
  <c r="F263" i="83"/>
  <c r="F257" i="83"/>
  <c r="F247" i="83"/>
  <c r="F241" i="83"/>
  <c r="F231" i="83"/>
  <c r="F225" i="83"/>
  <c r="F215" i="83"/>
  <c r="F209" i="83"/>
  <c r="F199" i="83"/>
  <c r="F193" i="83"/>
  <c r="F183" i="83"/>
  <c r="F177" i="83"/>
  <c r="F167" i="83"/>
  <c r="F152" i="83"/>
  <c r="F488" i="84"/>
  <c r="F469" i="84"/>
  <c r="F454" i="84"/>
  <c r="F449" i="84"/>
  <c r="F439" i="84"/>
  <c r="F424" i="84"/>
  <c r="F405" i="84"/>
  <c r="F390" i="84"/>
  <c r="F385" i="84"/>
  <c r="F375" i="84"/>
  <c r="F360" i="84"/>
  <c r="F341" i="84"/>
  <c r="F326" i="84"/>
  <c r="F321" i="84"/>
  <c r="F269" i="84"/>
  <c r="F254" i="84"/>
  <c r="F245" i="84"/>
  <c r="F216" i="84"/>
  <c r="F212" i="84"/>
  <c r="F207" i="84"/>
  <c r="F162" i="84"/>
  <c r="F158" i="84"/>
  <c r="F153" i="84"/>
  <c r="F478" i="85"/>
  <c r="F464" i="85"/>
  <c r="F460" i="85"/>
  <c r="F421" i="85"/>
  <c r="F403" i="85"/>
  <c r="F368" i="85"/>
  <c r="F364" i="85"/>
  <c r="F325" i="85"/>
  <c r="F311" i="85"/>
  <c r="F258" i="85"/>
  <c r="F233" i="85"/>
  <c r="F211" i="85"/>
  <c r="F186" i="85"/>
  <c r="F168" i="85"/>
  <c r="F164" i="85"/>
  <c r="F280" i="86"/>
  <c r="F276" i="86"/>
  <c r="F247" i="82"/>
  <c r="F232" i="82"/>
  <c r="F228" i="82"/>
  <c r="F213" i="82"/>
  <c r="F198" i="82"/>
  <c r="F183" i="82"/>
  <c r="F168" i="82"/>
  <c r="F164" i="82"/>
  <c r="F149" i="82"/>
  <c r="F483" i="85"/>
  <c r="F474" i="85"/>
  <c r="F419" i="86"/>
  <c r="F322" i="86"/>
  <c r="F534" i="87"/>
  <c r="F248" i="83"/>
  <c r="F242" i="83"/>
  <c r="F232" i="83"/>
  <c r="F226" i="83"/>
  <c r="F216" i="83"/>
  <c r="F210" i="83"/>
  <c r="F200" i="83"/>
  <c r="F194" i="83"/>
  <c r="F184" i="83"/>
  <c r="F178" i="83"/>
  <c r="F168" i="83"/>
  <c r="F153" i="83"/>
  <c r="F485" i="84"/>
  <c r="F470" i="84"/>
  <c r="F455" i="84"/>
  <c r="F440" i="84"/>
  <c r="F421" i="84"/>
  <c r="F406" i="84"/>
  <c r="F391" i="84"/>
  <c r="F376" i="84"/>
  <c r="F357" i="84"/>
  <c r="F342" i="84"/>
  <c r="F327" i="84"/>
  <c r="F303" i="84"/>
  <c r="F279" i="84"/>
  <c r="F270" i="84"/>
  <c r="F255" i="84"/>
  <c r="F246" i="84"/>
  <c r="F231" i="84"/>
  <c r="F213" i="84"/>
  <c r="F167" i="84"/>
  <c r="F163" i="84"/>
  <c r="F493" i="85"/>
  <c r="F479" i="85"/>
  <c r="F378" i="85"/>
  <c r="F339" i="85"/>
  <c r="F330" i="85"/>
  <c r="F326" i="85"/>
  <c r="F277" i="85"/>
  <c r="F263" i="85"/>
  <c r="F221" i="85"/>
  <c r="F191" i="85"/>
  <c r="F482" i="86"/>
  <c r="F335" i="86"/>
  <c r="F331" i="86"/>
  <c r="F543" i="87"/>
  <c r="F539" i="87"/>
  <c r="F239" i="84"/>
  <c r="F224" i="84"/>
  <c r="F205" i="84"/>
  <c r="F190" i="84"/>
  <c r="F185" i="84"/>
  <c r="F175" i="84"/>
  <c r="F160" i="84"/>
  <c r="F496" i="85"/>
  <c r="F477" i="85"/>
  <c r="F462" i="85"/>
  <c r="F453" i="85"/>
  <c r="F438" i="85"/>
  <c r="F429" i="85"/>
  <c r="F405" i="85"/>
  <c r="F395" i="85"/>
  <c r="F381" i="85"/>
  <c r="F357" i="85"/>
  <c r="F304" i="85"/>
  <c r="F280" i="85"/>
  <c r="F256" i="85"/>
  <c r="F232" i="85"/>
  <c r="F228" i="85"/>
  <c r="F223" i="85"/>
  <c r="F208" i="85"/>
  <c r="F199" i="85"/>
  <c r="F153" i="85"/>
  <c r="F149" i="85"/>
  <c r="F533" i="86"/>
  <c r="F519" i="86"/>
  <c r="F515" i="86"/>
  <c r="F469" i="86"/>
  <c r="F455" i="86"/>
  <c r="F451" i="86"/>
  <c r="F408" i="86"/>
  <c r="F404" i="86"/>
  <c r="F359" i="86"/>
  <c r="F355" i="86"/>
  <c r="F525" i="87"/>
  <c r="F334" i="87"/>
  <c r="F330" i="87"/>
  <c r="F304" i="87"/>
  <c r="F300" i="87"/>
  <c r="F286" i="87"/>
  <c r="F255" i="87"/>
  <c r="F251" i="87"/>
  <c r="F246" i="87"/>
  <c r="F242" i="87"/>
  <c r="F216" i="87"/>
  <c r="F212" i="87"/>
  <c r="F295" i="87"/>
  <c r="F291" i="87"/>
  <c r="F399" i="87"/>
  <c r="F395" i="87"/>
  <c r="F382" i="87"/>
  <c r="F344" i="87"/>
  <c r="F340" i="87"/>
  <c r="F485" i="85"/>
  <c r="F470" i="85"/>
  <c r="F413" i="85"/>
  <c r="F398" i="85"/>
  <c r="F389" i="85"/>
  <c r="F374" i="85"/>
  <c r="F365" i="85"/>
  <c r="F341" i="85"/>
  <c r="F331" i="85"/>
  <c r="F317" i="85"/>
  <c r="F293" i="85"/>
  <c r="F240" i="85"/>
  <c r="F216" i="85"/>
  <c r="F183" i="85"/>
  <c r="F178" i="85"/>
  <c r="F174" i="85"/>
  <c r="F169" i="85"/>
  <c r="F505" i="86"/>
  <c r="F496" i="86"/>
  <c r="F492" i="86"/>
  <c r="F441" i="86"/>
  <c r="F432" i="86"/>
  <c r="F428" i="86"/>
  <c r="F393" i="86"/>
  <c r="F345" i="86"/>
  <c r="F294" i="86"/>
  <c r="F281" i="86"/>
  <c r="F230" i="86"/>
  <c r="F217" i="86"/>
  <c r="F162" i="86"/>
  <c r="F153" i="86"/>
  <c r="F144" i="86"/>
  <c r="F446" i="87"/>
  <c r="F442" i="87"/>
  <c r="F408" i="87"/>
  <c r="F404" i="87"/>
  <c r="F391" i="87"/>
  <c r="F387" i="87"/>
  <c r="F317" i="84"/>
  <c r="F302" i="84"/>
  <c r="F297" i="84"/>
  <c r="F287" i="84"/>
  <c r="F272" i="84"/>
  <c r="F253" i="84"/>
  <c r="F238" i="84"/>
  <c r="F233" i="84"/>
  <c r="F223" i="84"/>
  <c r="F208" i="84"/>
  <c r="F189" i="84"/>
  <c r="F174" i="84"/>
  <c r="F169" i="84"/>
  <c r="F159" i="84"/>
  <c r="F144" i="84"/>
  <c r="F495" i="85"/>
  <c r="F480" i="85"/>
  <c r="F432" i="85"/>
  <c r="F408" i="85"/>
  <c r="F384" i="85"/>
  <c r="F360" i="85"/>
  <c r="F356" i="85"/>
  <c r="F351" i="85"/>
  <c r="F336" i="85"/>
  <c r="F327" i="85"/>
  <c r="F312" i="85"/>
  <c r="F289" i="85"/>
  <c r="F265" i="85"/>
  <c r="F255" i="85"/>
  <c r="F241" i="85"/>
  <c r="F231" i="85"/>
  <c r="F222" i="85"/>
  <c r="F217" i="85"/>
  <c r="F198" i="85"/>
  <c r="F193" i="85"/>
  <c r="F189" i="85"/>
  <c r="F157" i="85"/>
  <c r="F514" i="86"/>
  <c r="F450" i="86"/>
  <c r="F398" i="86"/>
  <c r="F354" i="86"/>
  <c r="F303" i="86"/>
  <c r="F299" i="86"/>
  <c r="F290" i="86"/>
  <c r="F239" i="86"/>
  <c r="F235" i="86"/>
  <c r="F226" i="86"/>
  <c r="F175" i="86"/>
  <c r="F171" i="86"/>
  <c r="F158" i="86"/>
  <c r="F469" i="87"/>
  <c r="F455" i="87"/>
  <c r="F451" i="87"/>
  <c r="F201" i="85"/>
  <c r="F197" i="85"/>
  <c r="F182" i="85"/>
  <c r="F167" i="85"/>
  <c r="F152" i="85"/>
  <c r="F522" i="86"/>
  <c r="F509" i="86"/>
  <c r="F490" i="86"/>
  <c r="F477" i="86"/>
  <c r="F458" i="86"/>
  <c r="F445" i="86"/>
  <c r="F416" i="86"/>
  <c r="F412" i="86"/>
  <c r="F382" i="86"/>
  <c r="F373" i="86"/>
  <c r="F367" i="86"/>
  <c r="F352" i="86"/>
  <c r="F348" i="86"/>
  <c r="F343" i="86"/>
  <c r="F334" i="86"/>
  <c r="F320" i="86"/>
  <c r="F316" i="86"/>
  <c r="F311" i="86"/>
  <c r="F302" i="86"/>
  <c r="F288" i="86"/>
  <c r="F284" i="86"/>
  <c r="F279" i="86"/>
  <c r="F270" i="86"/>
  <c r="F256" i="86"/>
  <c r="F252" i="86"/>
  <c r="F247" i="86"/>
  <c r="F238" i="86"/>
  <c r="F224" i="86"/>
  <c r="F220" i="86"/>
  <c r="F215" i="86"/>
  <c r="F206" i="86"/>
  <c r="F192" i="86"/>
  <c r="F188" i="86"/>
  <c r="F183" i="86"/>
  <c r="F174" i="86"/>
  <c r="F170" i="86"/>
  <c r="F157" i="86"/>
  <c r="F542" i="87"/>
  <c r="F528" i="87"/>
  <c r="F524" i="87"/>
  <c r="F510" i="87"/>
  <c r="F506" i="87"/>
  <c r="F441" i="87"/>
  <c r="F432" i="87"/>
  <c r="F428" i="87"/>
  <c r="F373" i="87"/>
  <c r="F368" i="87"/>
  <c r="F364" i="87"/>
  <c r="F329" i="87"/>
  <c r="F320" i="87"/>
  <c r="F316" i="87"/>
  <c r="F271" i="87"/>
  <c r="F267" i="87"/>
  <c r="F241" i="87"/>
  <c r="F201" i="87"/>
  <c r="F192" i="87"/>
  <c r="F188" i="87"/>
  <c r="F502" i="88"/>
  <c r="F455" i="88"/>
  <c r="F451" i="88"/>
  <c r="F438" i="88"/>
  <c r="F391" i="88"/>
  <c r="F387" i="88"/>
  <c r="F374" i="88"/>
  <c r="F322" i="88"/>
  <c r="F255" i="88"/>
  <c r="F251" i="88"/>
  <c r="F221" i="88"/>
  <c r="F165" i="88"/>
  <c r="F159" i="88"/>
  <c r="F155" i="88"/>
  <c r="F509" i="89"/>
  <c r="F504" i="89"/>
  <c r="F500" i="89"/>
  <c r="F495" i="89"/>
  <c r="F491" i="89"/>
  <c r="F461" i="88"/>
  <c r="F456" i="88"/>
  <c r="F452" i="88"/>
  <c r="F397" i="88"/>
  <c r="F392" i="88"/>
  <c r="F388" i="88"/>
  <c r="F333" i="88"/>
  <c r="F327" i="88"/>
  <c r="F323" i="88"/>
  <c r="F293" i="88"/>
  <c r="F288" i="88"/>
  <c r="F284" i="88"/>
  <c r="F270" i="88"/>
  <c r="F226" i="88"/>
  <c r="F526" i="89"/>
  <c r="F522" i="89"/>
  <c r="F505" i="89"/>
  <c r="F165" i="85"/>
  <c r="F150" i="85"/>
  <c r="F506" i="86"/>
  <c r="F474" i="86"/>
  <c r="F442" i="86"/>
  <c r="F414" i="86"/>
  <c r="F399" i="86"/>
  <c r="F384" i="86"/>
  <c r="F380" i="86"/>
  <c r="F350" i="86"/>
  <c r="F336" i="86"/>
  <c r="F332" i="86"/>
  <c r="F327" i="86"/>
  <c r="F318" i="86"/>
  <c r="F304" i="86"/>
  <c r="F300" i="86"/>
  <c r="F295" i="86"/>
  <c r="F286" i="86"/>
  <c r="F272" i="86"/>
  <c r="F268" i="86"/>
  <c r="F263" i="86"/>
  <c r="F254" i="86"/>
  <c r="F240" i="86"/>
  <c r="F236" i="86"/>
  <c r="F231" i="86"/>
  <c r="F222" i="86"/>
  <c r="F208" i="86"/>
  <c r="F204" i="86"/>
  <c r="F199" i="86"/>
  <c r="F190" i="86"/>
  <c r="F176" i="86"/>
  <c r="F172" i="86"/>
  <c r="F482" i="87"/>
  <c r="F400" i="87"/>
  <c r="F396" i="87"/>
  <c r="F335" i="87"/>
  <c r="F331" i="87"/>
  <c r="F305" i="87"/>
  <c r="F265" i="87"/>
  <c r="F256" i="87"/>
  <c r="F252" i="87"/>
  <c r="F207" i="87"/>
  <c r="F203" i="87"/>
  <c r="F177" i="87"/>
  <c r="F487" i="88"/>
  <c r="F483" i="88"/>
  <c r="F470" i="88"/>
  <c r="F423" i="88"/>
  <c r="F419" i="88"/>
  <c r="F406" i="88"/>
  <c r="F359" i="88"/>
  <c r="F355" i="88"/>
  <c r="F342" i="88"/>
  <c r="F298" i="88"/>
  <c r="F289" i="88"/>
  <c r="F249" i="88"/>
  <c r="F240" i="88"/>
  <c r="F236" i="88"/>
  <c r="F183" i="88"/>
  <c r="F179" i="88"/>
  <c r="F144" i="88"/>
  <c r="F540" i="89"/>
  <c r="F527" i="89"/>
  <c r="F523" i="89"/>
  <c r="F461" i="85"/>
  <c r="F446" i="85"/>
  <c r="F441" i="85"/>
  <c r="F431" i="85"/>
  <c r="F416" i="85"/>
  <c r="F397" i="85"/>
  <c r="F382" i="85"/>
  <c r="F377" i="85"/>
  <c r="F367" i="85"/>
  <c r="F352" i="85"/>
  <c r="F333" i="85"/>
  <c r="F318" i="85"/>
  <c r="F313" i="85"/>
  <c r="F303" i="85"/>
  <c r="F288" i="85"/>
  <c r="F269" i="85"/>
  <c r="F254" i="85"/>
  <c r="F249" i="85"/>
  <c r="F239" i="85"/>
  <c r="F224" i="85"/>
  <c r="F209" i="85"/>
  <c r="F205" i="85"/>
  <c r="F190" i="85"/>
  <c r="F175" i="85"/>
  <c r="F160" i="85"/>
  <c r="F145" i="85"/>
  <c r="F534" i="86"/>
  <c r="F520" i="86"/>
  <c r="F516" i="86"/>
  <c r="F511" i="86"/>
  <c r="F502" i="86"/>
  <c r="F488" i="86"/>
  <c r="F484" i="86"/>
  <c r="F479" i="86"/>
  <c r="F470" i="86"/>
  <c r="F456" i="86"/>
  <c r="F452" i="86"/>
  <c r="F447" i="86"/>
  <c r="F438" i="86"/>
  <c r="F434" i="86"/>
  <c r="F424" i="86"/>
  <c r="F420" i="86"/>
  <c r="F390" i="86"/>
  <c r="F381" i="86"/>
  <c r="F375" i="86"/>
  <c r="F360" i="86"/>
  <c r="F356" i="86"/>
  <c r="F346" i="86"/>
  <c r="F333" i="86"/>
  <c r="F314" i="86"/>
  <c r="F301" i="86"/>
  <c r="F282" i="86"/>
  <c r="F269" i="86"/>
  <c r="F237" i="86"/>
  <c r="F218" i="86"/>
  <c r="F205" i="86"/>
  <c r="F541" i="87"/>
  <c r="F501" i="87"/>
  <c r="F478" i="87"/>
  <c r="F474" i="87"/>
  <c r="F422" i="87"/>
  <c r="F418" i="87"/>
  <c r="F409" i="87"/>
  <c r="F358" i="87"/>
  <c r="F354" i="87"/>
  <c r="F345" i="87"/>
  <c r="F226" i="87"/>
  <c r="F217" i="87"/>
  <c r="F501" i="88"/>
  <c r="F496" i="88"/>
  <c r="F492" i="88"/>
  <c r="F479" i="88"/>
  <c r="F475" i="88"/>
  <c r="F437" i="88"/>
  <c r="F432" i="88"/>
  <c r="F428" i="88"/>
  <c r="F415" i="88"/>
  <c r="F411" i="88"/>
  <c r="F373" i="88"/>
  <c r="F368" i="88"/>
  <c r="F364" i="88"/>
  <c r="F351" i="88"/>
  <c r="F347" i="88"/>
  <c r="F312" i="88"/>
  <c r="F308" i="88"/>
  <c r="F294" i="88"/>
  <c r="F541" i="89"/>
  <c r="F536" i="89"/>
  <c r="F532" i="89"/>
  <c r="F477" i="89"/>
  <c r="F472" i="89"/>
  <c r="F517" i="86"/>
  <c r="F485" i="86"/>
  <c r="F453" i="86"/>
  <c r="F421" i="86"/>
  <c r="F357" i="86"/>
  <c r="F165" i="86"/>
  <c r="F493" i="88"/>
  <c r="F429" i="88"/>
  <c r="F365" i="88"/>
  <c r="F309" i="88"/>
  <c r="F509" i="87"/>
  <c r="F490" i="87"/>
  <c r="F477" i="87"/>
  <c r="F458" i="87"/>
  <c r="F445" i="87"/>
  <c r="F430" i="87"/>
  <c r="F416" i="87"/>
  <c r="F412" i="87"/>
  <c r="F407" i="87"/>
  <c r="F398" i="87"/>
  <c r="F384" i="87"/>
  <c r="F380" i="87"/>
  <c r="F375" i="87"/>
  <c r="F366" i="87"/>
  <c r="F352" i="87"/>
  <c r="F348" i="87"/>
  <c r="F318" i="87"/>
  <c r="F309" i="87"/>
  <c r="F303" i="87"/>
  <c r="F288" i="87"/>
  <c r="F284" i="87"/>
  <c r="F245" i="87"/>
  <c r="F181" i="87"/>
  <c r="F317" i="88"/>
  <c r="F517" i="89"/>
  <c r="F498" i="89"/>
  <c r="F480" i="89"/>
  <c r="F476" i="89"/>
  <c r="F471" i="89"/>
  <c r="F467" i="89"/>
  <c r="F454" i="89"/>
  <c r="F440" i="89"/>
  <c r="F436" i="89"/>
  <c r="F389" i="89"/>
  <c r="F366" i="89"/>
  <c r="F302" i="89"/>
  <c r="F289" i="89"/>
  <c r="F269" i="89"/>
  <c r="F264" i="89"/>
  <c r="F260" i="89"/>
  <c r="F255" i="89"/>
  <c r="F251" i="89"/>
  <c r="F205" i="89"/>
  <c r="F200" i="89"/>
  <c r="F196" i="89"/>
  <c r="F187" i="89"/>
  <c r="F151" i="89"/>
  <c r="F147" i="89"/>
  <c r="F521" i="90"/>
  <c r="F517" i="90"/>
  <c r="F472" i="90"/>
  <c r="F468" i="90"/>
  <c r="F459" i="90"/>
  <c r="F468" i="89"/>
  <c r="F394" i="89"/>
  <c r="F363" i="89"/>
  <c r="F338" i="89"/>
  <c r="F329" i="89"/>
  <c r="F299" i="89"/>
  <c r="F265" i="89"/>
  <c r="F201" i="89"/>
  <c r="F184" i="89"/>
  <c r="F180" i="89"/>
  <c r="F166" i="89"/>
  <c r="F531" i="90"/>
  <c r="F522" i="90"/>
  <c r="F403" i="90"/>
  <c r="F394" i="90"/>
  <c r="F330" i="89"/>
  <c r="F416" i="89"/>
  <c r="F412" i="89"/>
  <c r="F407" i="89"/>
  <c r="F403" i="89"/>
  <c r="F287" i="89"/>
  <c r="F283" i="89"/>
  <c r="F232" i="89"/>
  <c r="F228" i="89"/>
  <c r="F223" i="89"/>
  <c r="F219" i="89"/>
  <c r="F185" i="89"/>
  <c r="F145" i="89"/>
  <c r="F532" i="90"/>
  <c r="F523" i="90"/>
  <c r="F457" i="90"/>
  <c r="F453" i="90"/>
  <c r="F408" i="90"/>
  <c r="F404" i="90"/>
  <c r="F395" i="90"/>
  <c r="F334" i="90"/>
  <c r="F186" i="86"/>
  <c r="F173" i="86"/>
  <c r="F154" i="86"/>
  <c r="F530" i="87"/>
  <c r="F520" i="87"/>
  <c r="F516" i="87"/>
  <c r="F511" i="87"/>
  <c r="F502" i="87"/>
  <c r="F488" i="87"/>
  <c r="F484" i="87"/>
  <c r="F479" i="87"/>
  <c r="F470" i="87"/>
  <c r="F456" i="87"/>
  <c r="F452" i="87"/>
  <c r="F447" i="87"/>
  <c r="F438" i="87"/>
  <c r="F429" i="87"/>
  <c r="F410" i="87"/>
  <c r="F397" i="87"/>
  <c r="F378" i="87"/>
  <c r="F365" i="87"/>
  <c r="F326" i="87"/>
  <c r="F317" i="87"/>
  <c r="F311" i="87"/>
  <c r="F296" i="87"/>
  <c r="F292" i="87"/>
  <c r="F262" i="87"/>
  <c r="F253" i="87"/>
  <c r="F247" i="87"/>
  <c r="F232" i="87"/>
  <c r="F228" i="87"/>
  <c r="F198" i="87"/>
  <c r="F189" i="87"/>
  <c r="F183" i="87"/>
  <c r="F168" i="87"/>
  <c r="F164" i="87"/>
  <c r="F144" i="87"/>
  <c r="F498" i="88"/>
  <c r="F485" i="88"/>
  <c r="F466" i="88"/>
  <c r="F453" i="88"/>
  <c r="F434" i="88"/>
  <c r="F421" i="88"/>
  <c r="F402" i="88"/>
  <c r="F389" i="88"/>
  <c r="F370" i="88"/>
  <c r="F357" i="88"/>
  <c r="F338" i="88"/>
  <c r="F328" i="88"/>
  <c r="F324" i="88"/>
  <c r="F319" i="88"/>
  <c r="F304" i="88"/>
  <c r="F300" i="88"/>
  <c r="F232" i="88"/>
  <c r="F228" i="88"/>
  <c r="F208" i="88"/>
  <c r="F204" i="88"/>
  <c r="F184" i="88"/>
  <c r="F180" i="88"/>
  <c r="F160" i="88"/>
  <c r="F156" i="88"/>
  <c r="F146" i="88"/>
  <c r="F519" i="89"/>
  <c r="F510" i="89"/>
  <c r="F496" i="89"/>
  <c r="F430" i="89"/>
  <c r="F426" i="89"/>
  <c r="F395" i="89"/>
  <c r="F352" i="89"/>
  <c r="F348" i="89"/>
  <c r="F343" i="89"/>
  <c r="F339" i="89"/>
  <c r="F279" i="89"/>
  <c r="F275" i="89"/>
  <c r="F241" i="89"/>
  <c r="F211" i="89"/>
  <c r="F506" i="90"/>
  <c r="F502" i="90"/>
  <c r="F497" i="90"/>
  <c r="F493" i="90"/>
  <c r="F484" i="90"/>
  <c r="F462" i="90"/>
  <c r="F448" i="90"/>
  <c r="F444" i="90"/>
  <c r="F418" i="90"/>
  <c r="F414" i="90"/>
  <c r="F378" i="90"/>
  <c r="F374" i="90"/>
  <c r="F369" i="90"/>
  <c r="F365" i="90"/>
  <c r="F356" i="90"/>
  <c r="F330" i="90"/>
  <c r="F300" i="90"/>
  <c r="F517" i="87"/>
  <c r="F485" i="87"/>
  <c r="F453" i="87"/>
  <c r="F370" i="87"/>
  <c r="F293" i="87"/>
  <c r="F362" i="88"/>
  <c r="F325" i="88"/>
  <c r="F310" i="88"/>
  <c r="F301" i="88"/>
  <c r="F295" i="88"/>
  <c r="F247" i="88"/>
  <c r="F229" i="88"/>
  <c r="F223" i="88"/>
  <c r="F205" i="88"/>
  <c r="F199" i="88"/>
  <c r="F181" i="88"/>
  <c r="F175" i="88"/>
  <c r="F171" i="88"/>
  <c r="F166" i="88"/>
  <c r="F157" i="88"/>
  <c r="F151" i="88"/>
  <c r="F542" i="89"/>
  <c r="F528" i="89"/>
  <c r="F524" i="89"/>
  <c r="F466" i="89"/>
  <c r="F458" i="89"/>
  <c r="F448" i="89"/>
  <c r="F444" i="89"/>
  <c r="F439" i="89"/>
  <c r="F435" i="89"/>
  <c r="F422" i="89"/>
  <c r="F370" i="89"/>
  <c r="F361" i="89"/>
  <c r="F331" i="89"/>
  <c r="F306" i="89"/>
  <c r="F297" i="89"/>
  <c r="F288" i="89"/>
  <c r="F284" i="89"/>
  <c r="F242" i="89"/>
  <c r="F233" i="89"/>
  <c r="F199" i="89"/>
  <c r="F195" i="89"/>
  <c r="F190" i="89"/>
  <c r="F186" i="89"/>
  <c r="F150" i="89"/>
  <c r="F146" i="89"/>
  <c r="F467" i="90"/>
  <c r="F458" i="90"/>
  <c r="F339" i="90"/>
  <c r="F236" i="90"/>
  <c r="F214" i="87"/>
  <c r="F205" i="87"/>
  <c r="F199" i="87"/>
  <c r="F184" i="87"/>
  <c r="F180" i="87"/>
  <c r="F150" i="87"/>
  <c r="F490" i="88"/>
  <c r="F477" i="88"/>
  <c r="F445" i="88"/>
  <c r="F413" i="88"/>
  <c r="F381" i="88"/>
  <c r="F349" i="88"/>
  <c r="F277" i="88"/>
  <c r="F253" i="88"/>
  <c r="F275" i="90"/>
  <c r="F172" i="90"/>
  <c r="F280" i="88"/>
  <c r="F276" i="88"/>
  <c r="F246" i="88"/>
  <c r="F237" i="88"/>
  <c r="F231" i="88"/>
  <c r="F216" i="88"/>
  <c r="F212" i="88"/>
  <c r="F182" i="88"/>
  <c r="F173" i="88"/>
  <c r="F167" i="88"/>
  <c r="F152" i="88"/>
  <c r="F148" i="88"/>
  <c r="F538" i="89"/>
  <c r="F525" i="89"/>
  <c r="F506" i="89"/>
  <c r="F493" i="89"/>
  <c r="F474" i="89"/>
  <c r="F461" i="89"/>
  <c r="F429" i="89"/>
  <c r="F410" i="89"/>
  <c r="F397" i="89"/>
  <c r="F365" i="89"/>
  <c r="F333" i="89"/>
  <c r="F301" i="89"/>
  <c r="F286" i="89"/>
  <c r="F282" i="89"/>
  <c r="F245" i="89"/>
  <c r="F213" i="89"/>
  <c r="F207" i="89"/>
  <c r="F198" i="89"/>
  <c r="F189" i="89"/>
  <c r="F183" i="89"/>
  <c r="F168" i="89"/>
  <c r="F164" i="89"/>
  <c r="F319" i="90"/>
  <c r="F304" i="90"/>
  <c r="F289" i="90"/>
  <c r="F285" i="90"/>
  <c r="F270" i="90"/>
  <c r="F255" i="90"/>
  <c r="F240" i="90"/>
  <c r="F225" i="90"/>
  <c r="F221" i="90"/>
  <c r="F206" i="90"/>
  <c r="F191" i="90"/>
  <c r="F176" i="90"/>
  <c r="F157" i="90"/>
  <c r="F335" i="90"/>
  <c r="F320" i="90"/>
  <c r="F305" i="90"/>
  <c r="F301" i="90"/>
  <c r="F286" i="90"/>
  <c r="F271" i="90"/>
  <c r="F256" i="90"/>
  <c r="F241" i="90"/>
  <c r="F237" i="90"/>
  <c r="F222" i="90"/>
  <c r="F207" i="90"/>
  <c r="F192" i="90"/>
  <c r="F177" i="90"/>
  <c r="F173" i="90"/>
  <c r="F158" i="90"/>
  <c r="F408" i="89"/>
  <c r="F404" i="89"/>
  <c r="F399" i="89"/>
  <c r="F390" i="89"/>
  <c r="F376" i="89"/>
  <c r="F372" i="89"/>
  <c r="F367" i="89"/>
  <c r="F358" i="89"/>
  <c r="F344" i="89"/>
  <c r="F340" i="89"/>
  <c r="F335" i="89"/>
  <c r="F326" i="89"/>
  <c r="F312" i="89"/>
  <c r="F308" i="89"/>
  <c r="F303" i="89"/>
  <c r="F294" i="89"/>
  <c r="F270" i="89"/>
  <c r="F256" i="89"/>
  <c r="F252" i="89"/>
  <c r="F247" i="89"/>
  <c r="F238" i="89"/>
  <c r="F224" i="89"/>
  <c r="F220" i="89"/>
  <c r="F215" i="89"/>
  <c r="F191" i="89"/>
  <c r="F176" i="89"/>
  <c r="F172" i="89"/>
  <c r="F533" i="90"/>
  <c r="F518" i="90"/>
  <c r="F503" i="90"/>
  <c r="F488" i="90"/>
  <c r="F469" i="90"/>
  <c r="F454" i="90"/>
  <c r="F439" i="90"/>
  <c r="F424" i="90"/>
  <c r="F405" i="90"/>
  <c r="F390" i="90"/>
  <c r="F375" i="90"/>
  <c r="F360" i="90"/>
  <c r="F345" i="90"/>
  <c r="F341" i="90"/>
  <c r="F326" i="90"/>
  <c r="F311" i="90"/>
  <c r="F296" i="90"/>
  <c r="F281" i="90"/>
  <c r="F277" i="90"/>
  <c r="F262" i="90"/>
  <c r="F247" i="90"/>
  <c r="F232" i="90"/>
  <c r="F217" i="90"/>
  <c r="F213" i="90"/>
  <c r="F198" i="90"/>
  <c r="F183" i="90"/>
  <c r="F168" i="90"/>
  <c r="F149" i="90"/>
  <c r="F482" i="89"/>
  <c r="F469" i="89"/>
  <c r="F450" i="89"/>
  <c r="F437" i="89"/>
  <c r="F418" i="89"/>
  <c r="F405" i="89"/>
  <c r="F373" i="89"/>
  <c r="F341" i="89"/>
  <c r="F309" i="89"/>
  <c r="F280" i="89"/>
  <c r="F276" i="89"/>
  <c r="F206" i="89"/>
  <c r="F182" i="89"/>
  <c r="F167" i="89"/>
  <c r="F152" i="89"/>
  <c r="F148" i="89"/>
  <c r="F528" i="90"/>
  <c r="F513" i="90"/>
  <c r="F509" i="90"/>
  <c r="F494" i="90"/>
  <c r="F479" i="90"/>
  <c r="F464" i="90"/>
  <c r="F445" i="90"/>
  <c r="F430" i="90"/>
  <c r="F415" i="90"/>
  <c r="F400" i="90"/>
  <c r="F385" i="90"/>
  <c r="F381" i="90"/>
  <c r="F366" i="90"/>
  <c r="F351" i="90"/>
  <c r="F336" i="90"/>
  <c r="F321" i="90"/>
  <c r="F317" i="90"/>
  <c r="F302" i="90"/>
  <c r="F287" i="90"/>
  <c r="F272" i="90"/>
  <c r="F257" i="90"/>
  <c r="F253" i="90"/>
  <c r="F238" i="90"/>
  <c r="F223" i="90"/>
  <c r="F208" i="90"/>
  <c r="F193" i="90"/>
  <c r="F189" i="90"/>
  <c r="F174" i="90"/>
  <c r="F159" i="90"/>
  <c r="F144" i="90"/>
  <c r="F262" i="89"/>
  <c r="F248" i="89"/>
  <c r="F244" i="89"/>
  <c r="F239" i="89"/>
  <c r="F230" i="89"/>
  <c r="F216" i="89"/>
  <c r="F212" i="89"/>
  <c r="F192" i="89"/>
  <c r="F188" i="89"/>
  <c r="F158" i="89"/>
  <c r="F149" i="89"/>
  <c r="F534" i="90"/>
  <c r="F529" i="90"/>
  <c r="F519" i="90"/>
  <c r="F504" i="90"/>
  <c r="F489" i="90"/>
  <c r="F485" i="90"/>
  <c r="F470" i="90"/>
  <c r="F455" i="90"/>
  <c r="F440" i="90"/>
  <c r="F425" i="90"/>
  <c r="F421" i="90"/>
  <c r="F406" i="90"/>
  <c r="F391" i="90"/>
  <c r="F376" i="90"/>
  <c r="F361" i="90"/>
  <c r="F357" i="90"/>
  <c r="F342" i="90"/>
  <c r="F327" i="90"/>
  <c r="F312" i="90"/>
  <c r="F297" i="90"/>
  <c r="F293" i="90"/>
  <c r="F278" i="90"/>
  <c r="F263" i="90"/>
  <c r="F248" i="90"/>
  <c r="F233" i="90"/>
  <c r="F229" i="90"/>
  <c r="F214" i="90"/>
  <c r="F199" i="90"/>
  <c r="F184" i="90"/>
  <c r="F169" i="90"/>
  <c r="F165" i="90"/>
  <c r="F150" i="90"/>
  <c r="H56" i="78"/>
  <c r="G55" i="78"/>
  <c r="F8" i="5"/>
  <c r="F9" i="5"/>
  <c r="F5" i="5"/>
  <c r="F7" i="5"/>
  <c r="F2" i="5"/>
  <c r="F3" i="5"/>
  <c r="G56" i="78"/>
  <c r="Y50" i="5"/>
  <c r="G50" i="78" s="1"/>
  <c r="H55" i="78"/>
  <c r="Y3" i="80"/>
  <c r="Y13" i="80"/>
  <c r="Y23" i="80"/>
  <c r="Y43" i="80"/>
  <c r="G57" i="78"/>
  <c r="Y46" i="80"/>
  <c r="G52" i="78"/>
  <c r="G58" i="78"/>
  <c r="H57" i="78"/>
  <c r="H58" i="78"/>
  <c r="H51" i="78"/>
  <c r="G54" i="78"/>
  <c r="H50" i="78"/>
  <c r="G53" i="78"/>
  <c r="G51" i="78"/>
  <c r="F12" i="5"/>
  <c r="V13" i="77" a="1"/>
  <c r="V13" i="77" s="1"/>
  <c r="V10" i="77" a="1"/>
  <c r="V10" i="77" s="1"/>
  <c r="F3" i="77"/>
  <c r="Y30" i="77"/>
  <c r="Y4" i="77"/>
  <c r="Y13" i="77"/>
  <c r="Y42" i="77"/>
  <c r="Y21" i="77"/>
  <c r="V14" i="77" a="1"/>
  <c r="V14" i="77" s="1"/>
  <c r="V7" i="77" a="1"/>
  <c r="V7" i="77" s="1"/>
  <c r="V16" i="77" a="1"/>
  <c r="V16" i="77" s="1"/>
  <c r="Z37" i="77"/>
  <c r="Z34" i="77"/>
  <c r="H31" i="78"/>
  <c r="F230" i="77"/>
  <c r="F232" i="77"/>
  <c r="F228" i="77"/>
  <c r="F216" i="77"/>
  <c r="F105" i="77"/>
  <c r="F184" i="77"/>
  <c r="F168" i="77"/>
  <c r="F166" i="77"/>
  <c r="F164" i="77"/>
  <c r="F89" i="77"/>
  <c r="F10" i="77"/>
  <c r="F136" i="77"/>
  <c r="F134" i="77"/>
  <c r="F75" i="77"/>
  <c r="F43" i="77"/>
  <c r="F33" i="77"/>
  <c r="F27" i="77"/>
  <c r="F13" i="77"/>
  <c r="F227" i="77"/>
  <c r="F219" i="77"/>
  <c r="F100" i="77"/>
  <c r="F199" i="77"/>
  <c r="F197" i="77"/>
  <c r="F195" i="77"/>
  <c r="F171" i="77"/>
  <c r="F86" i="77"/>
  <c r="F147" i="77"/>
  <c r="F139" i="77"/>
  <c r="F70" i="77"/>
  <c r="F12" i="77"/>
  <c r="F179" i="77"/>
  <c r="F192" i="77"/>
  <c r="F190" i="77"/>
  <c r="F145" i="77"/>
  <c r="F221" i="77"/>
  <c r="F182" i="77"/>
  <c r="F180" i="77"/>
  <c r="F176" i="77"/>
  <c r="F140" i="77"/>
  <c r="F115" i="77"/>
  <c r="F113" i="77"/>
  <c r="F82" i="77"/>
  <c r="F76" i="77"/>
  <c r="F51" i="77"/>
  <c r="F49" i="77"/>
  <c r="F177" i="77"/>
  <c r="F102" i="77"/>
  <c r="F73" i="77"/>
  <c r="F38" i="77"/>
  <c r="F6" i="77"/>
  <c r="F235" i="77"/>
  <c r="F233" i="77"/>
  <c r="F231" i="77"/>
  <c r="F229" i="77"/>
  <c r="F211" i="77"/>
  <c r="F203" i="77"/>
  <c r="F158" i="77"/>
  <c r="F130" i="77"/>
  <c r="F124" i="77"/>
  <c r="F99" i="77"/>
  <c r="F97" i="77"/>
  <c r="F95" i="77"/>
  <c r="F66" i="77"/>
  <c r="F60" i="77"/>
  <c r="F35" i="77"/>
  <c r="F31" i="77"/>
  <c r="F19" i="77"/>
  <c r="F16" i="77"/>
  <c r="F5" i="77"/>
  <c r="F143" i="77"/>
  <c r="F114" i="77"/>
  <c r="F108" i="77"/>
  <c r="F83" i="77"/>
  <c r="F81" i="77"/>
  <c r="F50" i="77"/>
  <c r="F44" i="77"/>
  <c r="F169" i="77"/>
  <c r="F208" i="77"/>
  <c r="F206" i="77"/>
  <c r="F155" i="77"/>
  <c r="F153" i="77"/>
  <c r="F137" i="77"/>
  <c r="F131" i="77"/>
  <c r="F129" i="77"/>
  <c r="F127" i="77"/>
  <c r="F98" i="77"/>
  <c r="F92" i="77"/>
  <c r="F67" i="77"/>
  <c r="F65" i="77"/>
  <c r="F34" i="77"/>
  <c r="F30" i="77"/>
  <c r="F28" i="77"/>
  <c r="F23" i="77"/>
  <c r="F20" i="77"/>
  <c r="F15" i="77"/>
  <c r="F9" i="77"/>
  <c r="F78" i="77"/>
  <c r="F142" i="77"/>
  <c r="F193" i="77"/>
  <c r="F187" i="77"/>
  <c r="F185" i="77"/>
  <c r="F152" i="77"/>
  <c r="F126" i="77"/>
  <c r="F62" i="77"/>
  <c r="F200" i="77"/>
  <c r="F167" i="77"/>
  <c r="F165" i="77"/>
  <c r="F163" i="77"/>
  <c r="F110" i="77"/>
  <c r="F46" i="77"/>
  <c r="F189" i="77"/>
  <c r="F217" i="77"/>
  <c r="F224" i="77"/>
  <c r="F94" i="77"/>
  <c r="F7" i="77"/>
  <c r="F17" i="77"/>
  <c r="F14" i="77"/>
  <c r="F205" i="77"/>
  <c r="F183" i="77"/>
  <c r="F181" i="77"/>
  <c r="F138" i="77"/>
  <c r="F122" i="77"/>
  <c r="F106" i="77"/>
  <c r="F90" i="77"/>
  <c r="F74" i="77"/>
  <c r="F58" i="77"/>
  <c r="F42" i="77"/>
  <c r="F26" i="77"/>
  <c r="F120" i="77"/>
  <c r="F111" i="77"/>
  <c r="F104" i="77"/>
  <c r="F88" i="77"/>
  <c r="F79" i="77"/>
  <c r="F72" i="77"/>
  <c r="F63" i="77"/>
  <c r="F56" i="77"/>
  <c r="F47" i="77"/>
  <c r="F40" i="77"/>
  <c r="F144" i="77"/>
  <c r="F135" i="77"/>
  <c r="F128" i="77"/>
  <c r="F119" i="77"/>
  <c r="F112" i="77"/>
  <c r="F103" i="77"/>
  <c r="F96" i="77"/>
  <c r="F87" i="77"/>
  <c r="F80" i="77"/>
  <c r="F71" i="77"/>
  <c r="F64" i="77"/>
  <c r="F55" i="77"/>
  <c r="F48" i="77"/>
  <c r="F39" i="77"/>
  <c r="F32" i="77"/>
  <c r="F25" i="77"/>
  <c r="F22" i="77"/>
  <c r="F237" i="77"/>
  <c r="F215" i="77"/>
  <c r="F213" i="77"/>
  <c r="F174" i="77"/>
  <c r="F161" i="77"/>
  <c r="F150" i="77"/>
  <c r="F148" i="77"/>
  <c r="F133" i="77"/>
  <c r="F117" i="77"/>
  <c r="F101" i="77"/>
  <c r="F85" i="77"/>
  <c r="F69" i="77"/>
  <c r="F53" i="77"/>
  <c r="F37" i="77"/>
  <c r="F222" i="77"/>
  <c r="F209" i="77"/>
  <c r="F198" i="77"/>
  <c r="F196" i="77"/>
  <c r="F157" i="77"/>
  <c r="F225" i="77"/>
  <c r="F214" i="77"/>
  <c r="F212" i="77"/>
  <c r="F173" i="77"/>
  <c r="F151" i="77"/>
  <c r="F149" i="77"/>
  <c r="F141" i="77"/>
  <c r="F125" i="77"/>
  <c r="F109" i="77"/>
  <c r="F93" i="77"/>
  <c r="F77" i="77"/>
  <c r="F61" i="77"/>
  <c r="F45" i="77"/>
  <c r="F29" i="77"/>
  <c r="F21" i="77"/>
  <c r="F18" i="77"/>
  <c r="F188" i="77"/>
  <c r="F234" i="77"/>
  <c r="F218" i="77"/>
  <c r="F202" i="77"/>
  <c r="F223" i="77"/>
  <c r="F207" i="77"/>
  <c r="F191" i="77"/>
  <c r="F175" i="77"/>
  <c r="F159" i="77"/>
  <c r="F236" i="77"/>
  <c r="F186" i="77"/>
  <c r="F172" i="77"/>
  <c r="F156" i="77"/>
  <c r="F170" i="77"/>
  <c r="F154" i="77"/>
  <c r="F226" i="77"/>
  <c r="F210" i="77"/>
  <c r="F194" i="77"/>
  <c r="F178" i="77"/>
  <c r="F162" i="77"/>
  <c r="F146" i="77"/>
  <c r="F220" i="77"/>
  <c r="F204" i="77"/>
  <c r="AL581" i="5"/>
  <c r="AL580" i="5"/>
  <c r="AL579" i="5"/>
  <c r="AL578" i="5"/>
  <c r="AL577" i="5"/>
  <c r="AL576" i="5"/>
  <c r="AL575" i="5"/>
  <c r="AL574" i="5"/>
  <c r="AL573" i="5"/>
  <c r="AL572" i="5"/>
  <c r="AL571" i="5"/>
  <c r="AL570" i="5"/>
  <c r="AL569" i="5"/>
  <c r="AL568" i="5"/>
  <c r="AL567" i="5"/>
  <c r="AL566" i="5"/>
  <c r="AL565" i="5"/>
  <c r="AL564" i="5"/>
  <c r="AL563" i="5"/>
  <c r="AL562" i="5"/>
  <c r="AL561" i="5"/>
  <c r="AL560" i="5"/>
  <c r="AL559" i="5"/>
  <c r="AL558" i="5"/>
  <c r="AL557" i="5"/>
  <c r="AL556" i="5"/>
  <c r="AL555" i="5"/>
  <c r="AL554" i="5"/>
  <c r="AL553" i="5"/>
  <c r="AL552" i="5"/>
  <c r="AL551" i="5"/>
  <c r="AL550" i="5"/>
  <c r="AL549" i="5"/>
  <c r="AL548" i="5"/>
  <c r="AL547" i="5"/>
  <c r="AL546" i="5"/>
  <c r="AL545" i="5"/>
  <c r="AL544" i="5"/>
  <c r="AL543" i="5"/>
  <c r="AL542" i="5"/>
  <c r="AL541" i="5"/>
  <c r="AL540" i="5"/>
  <c r="AL539" i="5"/>
  <c r="AL538" i="5"/>
  <c r="AL537" i="5"/>
  <c r="AL536" i="5"/>
  <c r="AL535" i="5"/>
  <c r="AL534" i="5"/>
  <c r="AL533" i="5"/>
  <c r="AL532" i="5"/>
  <c r="AL531" i="5"/>
  <c r="AL530" i="5"/>
  <c r="AL529" i="5"/>
  <c r="AL528" i="5"/>
  <c r="AL527" i="5"/>
  <c r="AL526" i="5"/>
  <c r="AL525" i="5"/>
  <c r="AL524" i="5"/>
  <c r="AL523" i="5"/>
  <c r="AL522" i="5"/>
  <c r="AL521" i="5"/>
  <c r="AL520" i="5"/>
  <c r="AL519" i="5"/>
  <c r="AL518" i="5"/>
  <c r="AL517" i="5"/>
  <c r="AL516" i="5"/>
  <c r="AL515" i="5"/>
  <c r="AL514" i="5"/>
  <c r="AL513" i="5"/>
  <c r="AL512" i="5"/>
  <c r="AL511" i="5"/>
  <c r="AL510" i="5"/>
  <c r="AL509" i="5"/>
  <c r="AL508" i="5"/>
  <c r="AL507" i="5"/>
  <c r="AL506" i="5"/>
  <c r="AL505" i="5"/>
  <c r="AL504" i="5"/>
  <c r="AL503" i="5"/>
  <c r="AL502" i="5"/>
  <c r="AL501" i="5"/>
  <c r="AL500" i="5"/>
  <c r="AL499" i="5"/>
  <c r="AL498" i="5"/>
  <c r="AL497" i="5"/>
  <c r="AL496" i="5"/>
  <c r="AL495" i="5"/>
  <c r="AL494" i="5"/>
  <c r="AL493" i="5"/>
  <c r="AL492" i="5"/>
  <c r="AL491" i="5"/>
  <c r="AL490" i="5"/>
  <c r="AL489" i="5"/>
  <c r="AL488" i="5"/>
  <c r="AL487" i="5"/>
  <c r="AL486" i="5"/>
  <c r="AL485" i="5"/>
  <c r="AL484" i="5"/>
  <c r="AL483" i="5"/>
  <c r="AL482" i="5"/>
  <c r="AL481" i="5"/>
  <c r="AL480" i="5"/>
  <c r="AL479" i="5"/>
  <c r="AL478" i="5"/>
  <c r="AL477" i="5"/>
  <c r="AL476" i="5"/>
  <c r="AL475" i="5"/>
  <c r="AL474" i="5"/>
  <c r="AL473" i="5"/>
  <c r="AL472" i="5"/>
  <c r="AL471" i="5"/>
  <c r="AL470" i="5"/>
  <c r="AL469" i="5"/>
  <c r="AL468" i="5"/>
  <c r="AL467" i="5"/>
  <c r="AL466" i="5"/>
  <c r="AL465" i="5"/>
  <c r="AL464" i="5"/>
  <c r="AL463" i="5"/>
  <c r="AL462" i="5"/>
  <c r="AL461" i="5"/>
  <c r="AL460" i="5"/>
  <c r="AL459" i="5"/>
  <c r="AL458" i="5"/>
  <c r="AL457" i="5"/>
  <c r="AL456" i="5"/>
  <c r="AL455" i="5"/>
  <c r="AL454" i="5"/>
  <c r="AL453" i="5"/>
  <c r="AL452" i="5"/>
  <c r="AL451" i="5"/>
  <c r="AL450" i="5"/>
  <c r="AL449" i="5"/>
  <c r="AL448" i="5"/>
  <c r="AL447" i="5"/>
  <c r="AL446" i="5"/>
  <c r="AL445" i="5"/>
  <c r="AL444" i="5"/>
  <c r="AL443" i="5"/>
  <c r="AL442" i="5"/>
  <c r="AL441" i="5"/>
  <c r="AL440" i="5"/>
  <c r="AL439" i="5"/>
  <c r="AL438" i="5"/>
  <c r="AL437" i="5"/>
  <c r="AL436" i="5"/>
  <c r="AL435" i="5"/>
  <c r="AL434" i="5"/>
  <c r="AL433" i="5"/>
  <c r="AL432" i="5"/>
  <c r="AL431" i="5"/>
  <c r="AL430" i="5"/>
  <c r="AL429" i="5"/>
  <c r="AL428" i="5"/>
  <c r="AL427" i="5"/>
  <c r="AL426" i="5"/>
  <c r="AL425" i="5"/>
  <c r="AL424" i="5"/>
  <c r="AL423" i="5"/>
  <c r="AL422" i="5"/>
  <c r="AL421" i="5"/>
  <c r="AL420" i="5"/>
  <c r="AL419" i="5"/>
  <c r="AL418" i="5"/>
  <c r="AL417" i="5"/>
  <c r="AL416" i="5"/>
  <c r="AL415" i="5"/>
  <c r="AL414" i="5"/>
  <c r="AL413" i="5"/>
  <c r="AL412" i="5"/>
  <c r="AL411" i="5"/>
  <c r="AL410" i="5"/>
  <c r="AL409" i="5"/>
  <c r="AL408" i="5"/>
  <c r="AL407" i="5"/>
  <c r="AL406" i="5"/>
  <c r="AL405" i="5"/>
  <c r="AL404" i="5"/>
  <c r="AL403" i="5"/>
  <c r="AL402" i="5"/>
  <c r="AL401" i="5"/>
  <c r="AL400" i="5"/>
  <c r="AL399" i="5"/>
  <c r="AL398" i="5"/>
  <c r="AL397" i="5"/>
  <c r="AL396" i="5"/>
  <c r="AL395" i="5"/>
  <c r="AL394" i="5"/>
  <c r="AL393" i="5"/>
  <c r="AL392" i="5"/>
  <c r="AL391" i="5"/>
  <c r="AL390" i="5"/>
  <c r="AL389" i="5"/>
  <c r="AL388" i="5"/>
  <c r="AL387" i="5"/>
  <c r="AL386" i="5"/>
  <c r="AL385" i="5"/>
  <c r="AL384" i="5"/>
  <c r="AL383" i="5"/>
  <c r="AL382" i="5"/>
  <c r="AL381" i="5"/>
  <c r="AL380" i="5"/>
  <c r="AL379" i="5"/>
  <c r="AL378" i="5"/>
  <c r="AL377" i="5"/>
  <c r="AL376" i="5"/>
  <c r="AL375" i="5"/>
  <c r="AL374" i="5"/>
  <c r="AL373" i="5"/>
  <c r="AL372" i="5"/>
  <c r="AL371" i="5"/>
  <c r="AL370" i="5"/>
  <c r="AL369" i="5"/>
  <c r="AL368" i="5"/>
  <c r="AL367" i="5"/>
  <c r="AL366" i="5"/>
  <c r="AL365" i="5"/>
  <c r="AL364" i="5"/>
  <c r="AL363" i="5"/>
  <c r="AL362" i="5"/>
  <c r="AL361" i="5"/>
  <c r="AL360" i="5"/>
  <c r="AL359" i="5"/>
  <c r="AL358" i="5"/>
  <c r="AL357" i="5"/>
  <c r="AL356" i="5"/>
  <c r="AL355" i="5"/>
  <c r="AL354" i="5"/>
  <c r="AL353" i="5"/>
  <c r="AL352" i="5"/>
  <c r="AL351" i="5"/>
  <c r="AL350" i="5"/>
  <c r="AL349" i="5"/>
  <c r="AL348" i="5"/>
  <c r="AL347" i="5"/>
  <c r="AL346" i="5"/>
  <c r="AL345" i="5"/>
  <c r="AL344" i="5"/>
  <c r="AL343" i="5"/>
  <c r="AL342" i="5"/>
  <c r="AL341" i="5"/>
  <c r="AL340" i="5"/>
  <c r="AL339" i="5"/>
  <c r="AL338" i="5"/>
  <c r="AL337" i="5"/>
  <c r="AL336" i="5"/>
  <c r="AL335" i="5"/>
  <c r="AL334" i="5"/>
  <c r="AL333" i="5"/>
  <c r="AL332" i="5"/>
  <c r="AL331" i="5"/>
  <c r="AL330" i="5"/>
  <c r="AL329" i="5"/>
  <c r="AL328" i="5"/>
  <c r="AL327" i="5"/>
  <c r="AL326" i="5"/>
  <c r="AL325" i="5"/>
  <c r="AL324" i="5"/>
  <c r="AL323" i="5"/>
  <c r="AL322" i="5"/>
  <c r="AL321" i="5"/>
  <c r="AL320" i="5"/>
  <c r="AL319" i="5"/>
  <c r="AL318" i="5"/>
  <c r="AL317" i="5"/>
  <c r="AL316" i="5"/>
  <c r="AL315" i="5"/>
  <c r="AL314" i="5"/>
  <c r="AL313" i="5"/>
  <c r="AL312" i="5"/>
  <c r="AL311" i="5"/>
  <c r="AL310" i="5"/>
  <c r="AL309" i="5"/>
  <c r="AL308" i="5"/>
  <c r="AL307" i="5"/>
  <c r="AL306" i="5"/>
  <c r="AL305" i="5"/>
  <c r="AL304" i="5"/>
  <c r="AL303" i="5"/>
  <c r="AL302" i="5"/>
  <c r="AL301" i="5"/>
  <c r="AL300" i="5"/>
  <c r="AL299" i="5"/>
  <c r="AL298" i="5"/>
  <c r="AL297" i="5"/>
  <c r="AL296" i="5"/>
  <c r="AL295" i="5"/>
  <c r="AL294" i="5"/>
  <c r="AL293" i="5"/>
  <c r="AL292" i="5"/>
  <c r="AL291" i="5"/>
  <c r="AL290" i="5"/>
  <c r="AL289" i="5"/>
  <c r="AL288" i="5"/>
  <c r="AL287" i="5"/>
  <c r="AL286" i="5"/>
  <c r="AL285" i="5"/>
  <c r="AL284" i="5"/>
  <c r="AL283" i="5"/>
  <c r="AL282" i="5"/>
  <c r="AL281" i="5"/>
  <c r="AL280" i="5"/>
  <c r="AL279" i="5"/>
  <c r="AL278" i="5"/>
  <c r="AL277" i="5"/>
  <c r="AL276" i="5"/>
  <c r="AL275" i="5"/>
  <c r="AL274" i="5"/>
  <c r="AL273" i="5"/>
  <c r="AL272" i="5"/>
  <c r="AL271" i="5"/>
  <c r="AL270" i="5"/>
  <c r="AL269" i="5"/>
  <c r="AL268" i="5"/>
  <c r="AL267" i="5"/>
  <c r="AL266" i="5"/>
  <c r="AL265" i="5"/>
  <c r="AL264" i="5"/>
  <c r="AL263" i="5"/>
  <c r="AL262" i="5"/>
  <c r="AL261" i="5"/>
  <c r="AL260" i="5"/>
  <c r="AL259" i="5"/>
  <c r="AL258" i="5"/>
  <c r="AL257" i="5"/>
  <c r="AL256" i="5"/>
  <c r="AL255" i="5"/>
  <c r="AL254" i="5"/>
  <c r="AL253" i="5"/>
  <c r="AL252" i="5"/>
  <c r="AL251" i="5"/>
  <c r="AL250" i="5"/>
  <c r="AL249" i="5"/>
  <c r="AL248" i="5"/>
  <c r="AL247" i="5"/>
  <c r="AL246" i="5"/>
  <c r="AL245" i="5"/>
  <c r="AL244" i="5"/>
  <c r="AL243" i="5"/>
  <c r="AL242" i="5"/>
  <c r="AL241" i="5"/>
  <c r="AL240" i="5"/>
  <c r="AL239" i="5"/>
  <c r="AL238" i="5"/>
  <c r="AL237" i="5"/>
  <c r="AL236" i="5"/>
  <c r="AL235" i="5"/>
  <c r="AL234" i="5"/>
  <c r="AL233" i="5"/>
  <c r="AL232" i="5"/>
  <c r="AL231" i="5"/>
  <c r="AL230" i="5"/>
  <c r="AL229" i="5"/>
  <c r="AL228" i="5"/>
  <c r="AL227" i="5"/>
  <c r="AL226" i="5"/>
  <c r="AL225" i="5"/>
  <c r="AL224" i="5"/>
  <c r="AL223" i="5"/>
  <c r="AL222" i="5"/>
  <c r="AL221" i="5"/>
  <c r="AL220" i="5"/>
  <c r="AL219" i="5"/>
  <c r="AL218" i="5"/>
  <c r="AL217" i="5"/>
  <c r="AL216" i="5"/>
  <c r="AL215" i="5"/>
  <c r="AL214" i="5"/>
  <c r="AL213" i="5"/>
  <c r="AL212" i="5"/>
  <c r="AL211" i="5"/>
  <c r="AL210" i="5"/>
  <c r="AL209" i="5"/>
  <c r="AL208" i="5"/>
  <c r="AL207" i="5"/>
  <c r="AL206" i="5"/>
  <c r="AL205" i="5"/>
  <c r="AL204" i="5"/>
  <c r="AL203" i="5"/>
  <c r="AL202" i="5"/>
  <c r="AL201" i="5"/>
  <c r="AL200" i="5"/>
  <c r="AL199" i="5"/>
  <c r="AL198" i="5"/>
  <c r="AL197" i="5"/>
  <c r="AL196" i="5"/>
  <c r="AL195" i="5"/>
  <c r="AL194" i="5"/>
  <c r="AL193" i="5"/>
  <c r="AL192" i="5"/>
  <c r="AL191" i="5"/>
  <c r="AL190" i="5"/>
  <c r="AL189" i="5"/>
  <c r="AL188" i="5"/>
  <c r="AL187" i="5"/>
  <c r="AL186" i="5"/>
  <c r="AL185" i="5"/>
  <c r="AL184" i="5"/>
  <c r="AL183" i="5"/>
  <c r="AL182" i="5"/>
  <c r="AL181" i="5"/>
  <c r="AL180" i="5"/>
  <c r="AL179" i="5"/>
  <c r="AL178" i="5"/>
  <c r="AL177" i="5"/>
  <c r="AL176" i="5"/>
  <c r="AL175" i="5"/>
  <c r="AL174" i="5"/>
  <c r="AL173" i="5"/>
  <c r="AL172" i="5"/>
  <c r="AL171" i="5"/>
  <c r="AL170" i="5"/>
  <c r="AL169" i="5"/>
  <c r="AL168" i="5"/>
  <c r="AL167" i="5"/>
  <c r="AL166" i="5"/>
  <c r="AL165" i="5"/>
  <c r="AL164" i="5"/>
  <c r="AL163" i="5"/>
  <c r="AL162" i="5"/>
  <c r="AL161" i="5"/>
  <c r="AL160" i="5"/>
  <c r="AL159" i="5"/>
  <c r="AL158" i="5"/>
  <c r="AL157" i="5"/>
  <c r="AL156" i="5"/>
  <c r="AL155" i="5"/>
  <c r="AL154" i="5"/>
  <c r="AL153" i="5"/>
  <c r="AL152" i="5"/>
  <c r="AL151" i="5"/>
  <c r="AL150" i="5"/>
  <c r="AL149" i="5"/>
  <c r="AL148" i="5"/>
  <c r="AL147" i="5"/>
  <c r="AL146" i="5"/>
  <c r="AL145" i="5"/>
  <c r="AL144" i="5"/>
  <c r="AL143" i="5"/>
  <c r="Q143" i="5"/>
  <c r="P143" i="5"/>
  <c r="O143" i="5"/>
  <c r="N143" i="5"/>
  <c r="L143" i="5"/>
  <c r="AL142" i="5"/>
  <c r="Q142" i="5"/>
  <c r="P142" i="5"/>
  <c r="O142" i="5"/>
  <c r="N142" i="5"/>
  <c r="L142" i="5"/>
  <c r="AL141" i="5"/>
  <c r="Q141" i="5"/>
  <c r="P141" i="5"/>
  <c r="O141" i="5"/>
  <c r="N141" i="5"/>
  <c r="L141" i="5"/>
  <c r="AL140" i="5"/>
  <c r="Q140" i="5"/>
  <c r="P140" i="5"/>
  <c r="O140" i="5"/>
  <c r="N140" i="5"/>
  <c r="L140" i="5"/>
  <c r="AL139" i="5"/>
  <c r="Q139" i="5"/>
  <c r="P139" i="5"/>
  <c r="O139" i="5"/>
  <c r="N139" i="5"/>
  <c r="L139" i="5"/>
  <c r="AL138" i="5"/>
  <c r="Q138" i="5"/>
  <c r="P138" i="5"/>
  <c r="O138" i="5"/>
  <c r="N138" i="5"/>
  <c r="L138" i="5"/>
  <c r="AL137" i="5"/>
  <c r="Q137" i="5"/>
  <c r="P137" i="5"/>
  <c r="O137" i="5"/>
  <c r="N137" i="5"/>
  <c r="L137" i="5"/>
  <c r="AL136" i="5"/>
  <c r="Q136" i="5"/>
  <c r="P136" i="5"/>
  <c r="O136" i="5"/>
  <c r="N136" i="5"/>
  <c r="L136" i="5"/>
  <c r="AL135" i="5"/>
  <c r="Q135" i="5"/>
  <c r="P135" i="5"/>
  <c r="O135" i="5"/>
  <c r="N135" i="5"/>
  <c r="L135" i="5"/>
  <c r="AL134" i="5"/>
  <c r="Q134" i="5"/>
  <c r="P134" i="5"/>
  <c r="O134" i="5"/>
  <c r="N134" i="5"/>
  <c r="L134" i="5"/>
  <c r="AL133" i="5"/>
  <c r="Q133" i="5"/>
  <c r="P133" i="5"/>
  <c r="O133" i="5"/>
  <c r="N133" i="5"/>
  <c r="L133" i="5"/>
  <c r="AL132" i="5"/>
  <c r="Q132" i="5"/>
  <c r="P132" i="5"/>
  <c r="O132" i="5"/>
  <c r="N132" i="5"/>
  <c r="L132" i="5"/>
  <c r="AL131" i="5"/>
  <c r="Q131" i="5"/>
  <c r="P131" i="5"/>
  <c r="O131" i="5"/>
  <c r="N131" i="5"/>
  <c r="L131" i="5"/>
  <c r="AL130" i="5"/>
  <c r="Q130" i="5"/>
  <c r="P130" i="5"/>
  <c r="O130" i="5"/>
  <c r="N130" i="5"/>
  <c r="L130" i="5"/>
  <c r="AL129" i="5"/>
  <c r="Q129" i="5"/>
  <c r="P129" i="5"/>
  <c r="O129" i="5"/>
  <c r="N129" i="5"/>
  <c r="L129" i="5"/>
  <c r="AL128" i="5"/>
  <c r="Q128" i="5"/>
  <c r="P128" i="5"/>
  <c r="O128" i="5"/>
  <c r="N128" i="5"/>
  <c r="L128" i="5"/>
  <c r="AL127" i="5"/>
  <c r="Q127" i="5"/>
  <c r="P127" i="5"/>
  <c r="O127" i="5"/>
  <c r="N127" i="5"/>
  <c r="L127" i="5"/>
  <c r="AL126" i="5"/>
  <c r="Q126" i="5"/>
  <c r="P126" i="5"/>
  <c r="O126" i="5"/>
  <c r="N126" i="5"/>
  <c r="L126" i="5"/>
  <c r="AL125" i="5"/>
  <c r="Q125" i="5"/>
  <c r="P125" i="5"/>
  <c r="O125" i="5"/>
  <c r="N125" i="5"/>
  <c r="L125" i="5"/>
  <c r="AL124" i="5"/>
  <c r="Q124" i="5"/>
  <c r="P124" i="5"/>
  <c r="O124" i="5"/>
  <c r="N124" i="5"/>
  <c r="L124" i="5"/>
  <c r="AL123" i="5"/>
  <c r="Q123" i="5"/>
  <c r="P123" i="5"/>
  <c r="O123" i="5"/>
  <c r="N123" i="5"/>
  <c r="L123" i="5"/>
  <c r="AL122" i="5"/>
  <c r="Q122" i="5"/>
  <c r="P122" i="5"/>
  <c r="O122" i="5"/>
  <c r="N122" i="5"/>
  <c r="L122" i="5"/>
  <c r="AL121" i="5"/>
  <c r="Q121" i="5"/>
  <c r="P121" i="5"/>
  <c r="O121" i="5"/>
  <c r="N121" i="5"/>
  <c r="L121" i="5"/>
  <c r="AL120" i="5"/>
  <c r="Q120" i="5"/>
  <c r="P120" i="5"/>
  <c r="O120" i="5"/>
  <c r="N120" i="5"/>
  <c r="L120" i="5"/>
  <c r="AL119" i="5"/>
  <c r="Q119" i="5"/>
  <c r="P119" i="5"/>
  <c r="O119" i="5"/>
  <c r="N119" i="5"/>
  <c r="L119" i="5"/>
  <c r="AL118" i="5"/>
  <c r="Q118" i="5"/>
  <c r="P118" i="5"/>
  <c r="O118" i="5"/>
  <c r="N118" i="5"/>
  <c r="L118" i="5"/>
  <c r="AL117" i="5"/>
  <c r="Q117" i="5"/>
  <c r="P117" i="5"/>
  <c r="O117" i="5"/>
  <c r="N117" i="5"/>
  <c r="L117" i="5"/>
  <c r="AL116" i="5"/>
  <c r="Q116" i="5"/>
  <c r="P116" i="5"/>
  <c r="O116" i="5"/>
  <c r="N116" i="5"/>
  <c r="L116" i="5"/>
  <c r="AL115" i="5"/>
  <c r="Q115" i="5"/>
  <c r="P115" i="5"/>
  <c r="O115" i="5"/>
  <c r="N115" i="5"/>
  <c r="L115" i="5"/>
  <c r="AL114" i="5"/>
  <c r="Q114" i="5"/>
  <c r="P114" i="5"/>
  <c r="O114" i="5"/>
  <c r="N114" i="5"/>
  <c r="L114" i="5"/>
  <c r="AL113" i="5"/>
  <c r="Q113" i="5"/>
  <c r="P113" i="5"/>
  <c r="O113" i="5"/>
  <c r="N113" i="5"/>
  <c r="L113" i="5"/>
  <c r="AL112" i="5"/>
  <c r="Q112" i="5"/>
  <c r="P112" i="5"/>
  <c r="O112" i="5"/>
  <c r="N112" i="5"/>
  <c r="L112" i="5"/>
  <c r="AL111" i="5"/>
  <c r="Q111" i="5"/>
  <c r="P111" i="5"/>
  <c r="O111" i="5"/>
  <c r="N111" i="5"/>
  <c r="L111" i="5"/>
  <c r="AL110" i="5"/>
  <c r="Q110" i="5"/>
  <c r="P110" i="5"/>
  <c r="O110" i="5"/>
  <c r="N110" i="5"/>
  <c r="L110" i="5"/>
  <c r="AL109" i="5"/>
  <c r="Q109" i="5"/>
  <c r="P109" i="5"/>
  <c r="O109" i="5"/>
  <c r="N109" i="5"/>
  <c r="L109" i="5"/>
  <c r="AL108" i="5"/>
  <c r="Q108" i="5"/>
  <c r="P108" i="5"/>
  <c r="O108" i="5"/>
  <c r="N108" i="5"/>
  <c r="L108" i="5"/>
  <c r="AL107" i="5"/>
  <c r="Q107" i="5"/>
  <c r="P107" i="5"/>
  <c r="O107" i="5"/>
  <c r="N107" i="5"/>
  <c r="L107" i="5"/>
  <c r="AL106" i="5"/>
  <c r="Q106" i="5"/>
  <c r="P106" i="5"/>
  <c r="O106" i="5"/>
  <c r="N106" i="5"/>
  <c r="L106" i="5"/>
  <c r="AL105" i="5"/>
  <c r="Q105" i="5"/>
  <c r="P105" i="5"/>
  <c r="O105" i="5"/>
  <c r="N105" i="5"/>
  <c r="L105" i="5"/>
  <c r="AL104" i="5"/>
  <c r="Q104" i="5"/>
  <c r="P104" i="5"/>
  <c r="O104" i="5"/>
  <c r="N104" i="5"/>
  <c r="L104" i="5"/>
  <c r="AL103" i="5"/>
  <c r="Q103" i="5"/>
  <c r="P103" i="5"/>
  <c r="O103" i="5"/>
  <c r="N103" i="5"/>
  <c r="L103" i="5"/>
  <c r="AL102" i="5"/>
  <c r="Q102" i="5"/>
  <c r="P102" i="5"/>
  <c r="O102" i="5"/>
  <c r="N102" i="5"/>
  <c r="L102" i="5"/>
  <c r="AL101" i="5"/>
  <c r="Q101" i="5"/>
  <c r="P101" i="5"/>
  <c r="O101" i="5"/>
  <c r="N101" i="5"/>
  <c r="L101" i="5"/>
  <c r="AL100" i="5"/>
  <c r="Q100" i="5"/>
  <c r="P100" i="5"/>
  <c r="O100" i="5"/>
  <c r="N100" i="5"/>
  <c r="L100" i="5"/>
  <c r="AL99" i="5"/>
  <c r="Q99" i="5"/>
  <c r="P99" i="5"/>
  <c r="O99" i="5"/>
  <c r="N99" i="5"/>
  <c r="L99" i="5"/>
  <c r="AL98" i="5"/>
  <c r="Q98" i="5"/>
  <c r="P98" i="5"/>
  <c r="O98" i="5"/>
  <c r="N98" i="5"/>
  <c r="L98" i="5"/>
  <c r="AL97" i="5"/>
  <c r="Q97" i="5"/>
  <c r="P97" i="5"/>
  <c r="O97" i="5"/>
  <c r="N97" i="5"/>
  <c r="L97" i="5"/>
  <c r="AL96" i="5"/>
  <c r="Q96" i="5"/>
  <c r="P96" i="5"/>
  <c r="O96" i="5"/>
  <c r="N96" i="5"/>
  <c r="L96" i="5"/>
  <c r="AL95" i="5"/>
  <c r="Q95" i="5"/>
  <c r="P95" i="5"/>
  <c r="O95" i="5"/>
  <c r="N95" i="5"/>
  <c r="L95" i="5"/>
  <c r="AL94" i="5"/>
  <c r="Q94" i="5"/>
  <c r="P94" i="5"/>
  <c r="O94" i="5"/>
  <c r="N94" i="5"/>
  <c r="L94" i="5"/>
  <c r="AL93" i="5"/>
  <c r="Q93" i="5"/>
  <c r="P93" i="5"/>
  <c r="O93" i="5"/>
  <c r="N93" i="5"/>
  <c r="L93" i="5"/>
  <c r="AL92" i="5"/>
  <c r="Q92" i="5"/>
  <c r="P92" i="5"/>
  <c r="O92" i="5"/>
  <c r="N92" i="5"/>
  <c r="L92" i="5"/>
  <c r="AL91" i="5"/>
  <c r="Q91" i="5"/>
  <c r="P91" i="5"/>
  <c r="O91" i="5"/>
  <c r="N91" i="5"/>
  <c r="L91" i="5"/>
  <c r="AL90" i="5"/>
  <c r="Q90" i="5"/>
  <c r="P90" i="5"/>
  <c r="O90" i="5"/>
  <c r="N90" i="5"/>
  <c r="L90" i="5"/>
  <c r="AL89" i="5"/>
  <c r="Q89" i="5"/>
  <c r="P89" i="5"/>
  <c r="O89" i="5"/>
  <c r="N89" i="5"/>
  <c r="L89" i="5"/>
  <c r="AL88" i="5"/>
  <c r="Q88" i="5"/>
  <c r="P88" i="5"/>
  <c r="O88" i="5"/>
  <c r="N88" i="5"/>
  <c r="L88" i="5"/>
  <c r="AL87" i="5"/>
  <c r="Q87" i="5"/>
  <c r="P87" i="5"/>
  <c r="O87" i="5"/>
  <c r="N87" i="5"/>
  <c r="L87" i="5"/>
  <c r="AL86" i="5"/>
  <c r="Q86" i="5"/>
  <c r="P86" i="5"/>
  <c r="O86" i="5"/>
  <c r="N86" i="5"/>
  <c r="L86" i="5"/>
  <c r="AL85" i="5"/>
  <c r="Q85" i="5"/>
  <c r="P85" i="5"/>
  <c r="O85" i="5"/>
  <c r="N85" i="5"/>
  <c r="L85" i="5"/>
  <c r="AL84" i="5"/>
  <c r="Q84" i="5"/>
  <c r="P84" i="5"/>
  <c r="O84" i="5"/>
  <c r="N84" i="5"/>
  <c r="L84" i="5"/>
  <c r="AL83" i="5"/>
  <c r="Q83" i="5"/>
  <c r="P83" i="5"/>
  <c r="O83" i="5"/>
  <c r="N83" i="5"/>
  <c r="L83" i="5"/>
  <c r="AL82" i="5"/>
  <c r="Q82" i="5"/>
  <c r="P82" i="5"/>
  <c r="O82" i="5"/>
  <c r="N82" i="5"/>
  <c r="L82" i="5"/>
  <c r="AL81" i="5"/>
  <c r="Q81" i="5"/>
  <c r="P81" i="5"/>
  <c r="O81" i="5"/>
  <c r="N81" i="5"/>
  <c r="L81" i="5"/>
  <c r="AL80" i="5"/>
  <c r="Q80" i="5"/>
  <c r="P80" i="5"/>
  <c r="O80" i="5"/>
  <c r="N80" i="5"/>
  <c r="L80" i="5"/>
  <c r="AL79" i="5"/>
  <c r="Q79" i="5"/>
  <c r="P79" i="5"/>
  <c r="O79" i="5"/>
  <c r="N79" i="5"/>
  <c r="L79" i="5"/>
  <c r="AL78" i="5"/>
  <c r="Q78" i="5"/>
  <c r="P78" i="5"/>
  <c r="O78" i="5"/>
  <c r="N78" i="5"/>
  <c r="L78" i="5"/>
  <c r="AL77" i="5"/>
  <c r="Q77" i="5"/>
  <c r="P77" i="5"/>
  <c r="O77" i="5"/>
  <c r="N77" i="5"/>
  <c r="L77" i="5"/>
  <c r="AL76" i="5"/>
  <c r="Q76" i="5"/>
  <c r="P76" i="5"/>
  <c r="O76" i="5"/>
  <c r="N76" i="5"/>
  <c r="L76" i="5"/>
  <c r="AL75" i="5"/>
  <c r="Q75" i="5"/>
  <c r="P75" i="5"/>
  <c r="O75" i="5"/>
  <c r="N75" i="5"/>
  <c r="L75" i="5"/>
  <c r="AL74" i="5"/>
  <c r="Q74" i="5"/>
  <c r="P74" i="5"/>
  <c r="O74" i="5"/>
  <c r="N74" i="5"/>
  <c r="L74" i="5"/>
  <c r="AL73" i="5"/>
  <c r="Q73" i="5"/>
  <c r="P73" i="5"/>
  <c r="O73" i="5"/>
  <c r="N73" i="5"/>
  <c r="L73" i="5"/>
  <c r="AL72" i="5"/>
  <c r="Q72" i="5"/>
  <c r="P72" i="5"/>
  <c r="O72" i="5"/>
  <c r="N72" i="5"/>
  <c r="L72" i="5"/>
  <c r="AL71" i="5"/>
  <c r="Q71" i="5"/>
  <c r="P71" i="5"/>
  <c r="O71" i="5"/>
  <c r="N71" i="5"/>
  <c r="L71" i="5"/>
  <c r="AL70" i="5"/>
  <c r="Q70" i="5"/>
  <c r="P70" i="5"/>
  <c r="O70" i="5"/>
  <c r="N70" i="5"/>
  <c r="L70" i="5"/>
  <c r="AL69" i="5"/>
  <c r="Q69" i="5"/>
  <c r="P69" i="5"/>
  <c r="O69" i="5"/>
  <c r="N69" i="5"/>
  <c r="L69" i="5"/>
  <c r="AL68" i="5"/>
  <c r="Q68" i="5"/>
  <c r="P68" i="5"/>
  <c r="O68" i="5"/>
  <c r="N68" i="5"/>
  <c r="L68" i="5"/>
  <c r="AL67" i="5"/>
  <c r="Q67" i="5"/>
  <c r="P67" i="5"/>
  <c r="O67" i="5"/>
  <c r="N67" i="5"/>
  <c r="L67" i="5"/>
  <c r="AL66" i="5"/>
  <c r="Q66" i="5"/>
  <c r="P66" i="5"/>
  <c r="O66" i="5"/>
  <c r="N66" i="5"/>
  <c r="L66" i="5"/>
  <c r="AL65" i="5"/>
  <c r="Q65" i="5"/>
  <c r="P65" i="5"/>
  <c r="O65" i="5"/>
  <c r="N65" i="5"/>
  <c r="L65" i="5"/>
  <c r="AL64" i="5"/>
  <c r="Q64" i="5"/>
  <c r="P64" i="5"/>
  <c r="O64" i="5"/>
  <c r="N64" i="5"/>
  <c r="L64" i="5"/>
  <c r="AL63" i="5"/>
  <c r="Q63" i="5"/>
  <c r="P63" i="5"/>
  <c r="O63" i="5"/>
  <c r="N63" i="5"/>
  <c r="L63" i="5"/>
  <c r="AL62" i="5"/>
  <c r="Q62" i="5"/>
  <c r="P62" i="5"/>
  <c r="O62" i="5"/>
  <c r="N62" i="5"/>
  <c r="L62" i="5"/>
  <c r="AL61" i="5"/>
  <c r="Q61" i="5"/>
  <c r="P61" i="5"/>
  <c r="O61" i="5"/>
  <c r="N61" i="5"/>
  <c r="L61" i="5"/>
  <c r="AL60" i="5"/>
  <c r="Q60" i="5"/>
  <c r="P60" i="5"/>
  <c r="O60" i="5"/>
  <c r="N60" i="5"/>
  <c r="L60" i="5"/>
  <c r="AL59" i="5"/>
  <c r="Q59" i="5"/>
  <c r="P59" i="5"/>
  <c r="O59" i="5"/>
  <c r="N59" i="5"/>
  <c r="L59" i="5"/>
  <c r="AL58" i="5"/>
  <c r="Q58" i="5"/>
  <c r="P58" i="5"/>
  <c r="O58" i="5"/>
  <c r="N58" i="5"/>
  <c r="L58" i="5"/>
  <c r="AL57" i="5"/>
  <c r="Q57" i="5"/>
  <c r="P57" i="5"/>
  <c r="O57" i="5"/>
  <c r="N57" i="5"/>
  <c r="L57" i="5"/>
  <c r="AL56" i="5"/>
  <c r="Q56" i="5"/>
  <c r="P56" i="5"/>
  <c r="O56" i="5"/>
  <c r="N56" i="5"/>
  <c r="L56" i="5"/>
  <c r="AL55" i="5"/>
  <c r="Q55" i="5"/>
  <c r="P55" i="5"/>
  <c r="O55" i="5"/>
  <c r="N55" i="5"/>
  <c r="L55" i="5"/>
  <c r="AL54" i="5"/>
  <c r="Q54" i="5"/>
  <c r="P54" i="5"/>
  <c r="O54" i="5"/>
  <c r="N54" i="5"/>
  <c r="L54" i="5"/>
  <c r="AL53" i="5"/>
  <c r="Q53" i="5"/>
  <c r="P53" i="5"/>
  <c r="O53" i="5"/>
  <c r="N53" i="5"/>
  <c r="L53" i="5"/>
  <c r="AL52" i="5"/>
  <c r="Q52" i="5"/>
  <c r="P52" i="5"/>
  <c r="O52" i="5"/>
  <c r="N52" i="5"/>
  <c r="L52" i="5"/>
  <c r="AL51" i="5"/>
  <c r="Q51" i="5"/>
  <c r="P51" i="5"/>
  <c r="O51" i="5"/>
  <c r="N51" i="5"/>
  <c r="L51" i="5"/>
  <c r="AL50" i="5"/>
  <c r="Q50" i="5"/>
  <c r="P50" i="5"/>
  <c r="O50" i="5"/>
  <c r="N50" i="5"/>
  <c r="L50" i="5"/>
  <c r="AL49" i="5"/>
  <c r="Q49" i="5"/>
  <c r="P49" i="5"/>
  <c r="O49" i="5"/>
  <c r="N49" i="5"/>
  <c r="L49" i="5"/>
  <c r="AL48" i="5"/>
  <c r="Q48" i="5"/>
  <c r="P48" i="5"/>
  <c r="O48" i="5"/>
  <c r="N48" i="5"/>
  <c r="L48" i="5"/>
  <c r="AL47" i="5"/>
  <c r="AA47" i="5"/>
  <c r="Z47" i="5"/>
  <c r="H47" i="78" s="1"/>
  <c r="Y47" i="5"/>
  <c r="Q47" i="5"/>
  <c r="P47" i="5"/>
  <c r="O47" i="5"/>
  <c r="N47" i="5"/>
  <c r="L47" i="5"/>
  <c r="AL46" i="5"/>
  <c r="Z46" i="5"/>
  <c r="H46" i="78" s="1"/>
  <c r="I46" i="78" s="1"/>
  <c r="Y46" i="5"/>
  <c r="Q46" i="5"/>
  <c r="P46" i="5"/>
  <c r="O46" i="5"/>
  <c r="N46" i="5"/>
  <c r="L46" i="5"/>
  <c r="AL45" i="5"/>
  <c r="Q45" i="5"/>
  <c r="P45" i="5"/>
  <c r="O45" i="5"/>
  <c r="N45" i="5"/>
  <c r="L45" i="5"/>
  <c r="AL44" i="5"/>
  <c r="Q44" i="5"/>
  <c r="P44" i="5"/>
  <c r="O44" i="5"/>
  <c r="N44" i="5"/>
  <c r="L44" i="5"/>
  <c r="AL43" i="5"/>
  <c r="AA43" i="5"/>
  <c r="Z43" i="5"/>
  <c r="H43" i="78" s="1"/>
  <c r="Y43" i="5"/>
  <c r="Q43" i="5"/>
  <c r="P43" i="5"/>
  <c r="O43" i="5"/>
  <c r="N43" i="5"/>
  <c r="L43" i="5"/>
  <c r="AL42" i="5"/>
  <c r="AA42" i="5"/>
  <c r="Z42" i="5"/>
  <c r="H42" i="78" s="1"/>
  <c r="Y42" i="5"/>
  <c r="G42" i="78" s="1"/>
  <c r="Q42" i="5"/>
  <c r="P42" i="5"/>
  <c r="O42" i="5"/>
  <c r="N42" i="5"/>
  <c r="L42" i="5"/>
  <c r="AL41" i="5"/>
  <c r="AA41" i="5"/>
  <c r="Z41" i="5"/>
  <c r="H41" i="78" s="1"/>
  <c r="Y41" i="5"/>
  <c r="G41" i="78" s="1"/>
  <c r="Q41" i="5"/>
  <c r="P41" i="5"/>
  <c r="O41" i="5"/>
  <c r="N41" i="5"/>
  <c r="L41" i="5"/>
  <c r="AL40" i="5"/>
  <c r="Q40" i="5"/>
  <c r="P40" i="5"/>
  <c r="O40" i="5"/>
  <c r="N40" i="5"/>
  <c r="L40" i="5"/>
  <c r="AL39" i="5"/>
  <c r="Q39" i="5"/>
  <c r="P39" i="5"/>
  <c r="O39" i="5"/>
  <c r="N39" i="5"/>
  <c r="L39" i="5"/>
  <c r="AL38" i="5"/>
  <c r="Q38" i="5"/>
  <c r="P38" i="5"/>
  <c r="O38" i="5"/>
  <c r="N38" i="5"/>
  <c r="L38" i="5"/>
  <c r="AL37" i="5"/>
  <c r="Q37" i="5"/>
  <c r="P37" i="5"/>
  <c r="O37" i="5"/>
  <c r="N37" i="5"/>
  <c r="L37" i="5"/>
  <c r="AL36" i="5"/>
  <c r="Q36" i="5"/>
  <c r="P36" i="5"/>
  <c r="O36" i="5"/>
  <c r="N36" i="5"/>
  <c r="L36" i="5"/>
  <c r="AL35" i="5"/>
  <c r="Q35" i="5"/>
  <c r="P35" i="5"/>
  <c r="O35" i="5"/>
  <c r="N35" i="5"/>
  <c r="L35" i="5"/>
  <c r="AL34" i="5"/>
  <c r="Q34" i="5"/>
  <c r="P34" i="5"/>
  <c r="O34" i="5"/>
  <c r="N34" i="5"/>
  <c r="L34" i="5"/>
  <c r="AL33" i="5"/>
  <c r="Q33" i="5"/>
  <c r="P33" i="5"/>
  <c r="O33" i="5"/>
  <c r="N33" i="5"/>
  <c r="L33" i="5"/>
  <c r="AL32" i="5"/>
  <c r="Q32" i="5"/>
  <c r="P32" i="5"/>
  <c r="O32" i="5"/>
  <c r="N32" i="5"/>
  <c r="L32" i="5"/>
  <c r="AL31" i="5"/>
  <c r="AA31" i="5"/>
  <c r="Y31" i="5"/>
  <c r="Q31" i="5"/>
  <c r="P31" i="5"/>
  <c r="O31" i="5"/>
  <c r="N31" i="5"/>
  <c r="L31" i="5"/>
  <c r="AL30" i="5"/>
  <c r="AA30" i="5"/>
  <c r="Y30" i="5"/>
  <c r="Q30" i="5"/>
  <c r="P30" i="5"/>
  <c r="O30" i="5"/>
  <c r="N30" i="5"/>
  <c r="L30" i="5"/>
  <c r="AL29" i="5"/>
  <c r="AA29" i="5"/>
  <c r="Z29" i="5"/>
  <c r="Y29" i="5"/>
  <c r="Q29" i="5"/>
  <c r="P29" i="5"/>
  <c r="O29" i="5"/>
  <c r="F29" i="5" s="1"/>
  <c r="N29" i="5"/>
  <c r="L29" i="5"/>
  <c r="AL28" i="5"/>
  <c r="AA28" i="5"/>
  <c r="Z28" i="5"/>
  <c r="Q28" i="5"/>
  <c r="P28" i="5"/>
  <c r="F28" i="5" s="1"/>
  <c r="O28" i="5"/>
  <c r="N28" i="5"/>
  <c r="L28" i="5"/>
  <c r="AL27" i="5"/>
  <c r="AA27" i="5"/>
  <c r="Z27" i="5"/>
  <c r="Y27" i="5"/>
  <c r="Q27" i="5"/>
  <c r="P27" i="5"/>
  <c r="O27" i="5"/>
  <c r="N27" i="5"/>
  <c r="L27" i="5"/>
  <c r="AL26" i="5"/>
  <c r="AA26" i="5"/>
  <c r="Z26" i="5"/>
  <c r="Y26" i="5"/>
  <c r="Q26" i="5"/>
  <c r="P26" i="5"/>
  <c r="O26" i="5"/>
  <c r="N26" i="5"/>
  <c r="L26" i="5"/>
  <c r="AL25" i="5"/>
  <c r="Q25" i="5"/>
  <c r="P25" i="5"/>
  <c r="O25" i="5"/>
  <c r="N25" i="5"/>
  <c r="L25" i="5"/>
  <c r="AL24" i="5"/>
  <c r="Q24" i="5"/>
  <c r="P24" i="5"/>
  <c r="O24" i="5"/>
  <c r="N24" i="5"/>
  <c r="L24" i="5"/>
  <c r="AL23" i="5"/>
  <c r="AA23" i="5"/>
  <c r="Z23" i="5"/>
  <c r="Y23" i="5"/>
  <c r="Q23" i="5"/>
  <c r="P23" i="5"/>
  <c r="O23" i="5"/>
  <c r="N23" i="5"/>
  <c r="L23" i="5"/>
  <c r="AL22" i="5"/>
  <c r="AA22" i="5"/>
  <c r="Z22" i="5"/>
  <c r="Y22" i="5"/>
  <c r="Q22" i="5"/>
  <c r="P22" i="5"/>
  <c r="O22" i="5"/>
  <c r="F22" i="5" s="1"/>
  <c r="N22" i="5"/>
  <c r="L22" i="5"/>
  <c r="AL21" i="5"/>
  <c r="AA21" i="5"/>
  <c r="Z21" i="5"/>
  <c r="V21" i="5"/>
  <c r="Q21" i="5"/>
  <c r="P21" i="5"/>
  <c r="O21" i="5"/>
  <c r="N21" i="5"/>
  <c r="L21" i="5"/>
  <c r="AL20" i="5"/>
  <c r="V20" i="5"/>
  <c r="Q20" i="5"/>
  <c r="P20" i="5"/>
  <c r="O20" i="5"/>
  <c r="F20" i="5" s="1"/>
  <c r="N20" i="5"/>
  <c r="L20" i="5"/>
  <c r="AL19" i="5"/>
  <c r="V19" i="5"/>
  <c r="Q19" i="5"/>
  <c r="P19" i="5"/>
  <c r="O19" i="5"/>
  <c r="F19" i="5" s="1"/>
  <c r="N19" i="5"/>
  <c r="L19" i="5"/>
  <c r="AL18" i="5"/>
  <c r="AA18" i="5"/>
  <c r="Z18" i="5"/>
  <c r="Y18" i="5"/>
  <c r="Q18" i="5"/>
  <c r="P18" i="5"/>
  <c r="O18" i="5"/>
  <c r="N18" i="5"/>
  <c r="L18" i="5"/>
  <c r="AL17" i="5"/>
  <c r="AA17" i="5"/>
  <c r="Z17" i="5"/>
  <c r="Y17" i="5"/>
  <c r="Q17" i="5"/>
  <c r="P17" i="5"/>
  <c r="O17" i="5"/>
  <c r="N17" i="5"/>
  <c r="L17" i="5"/>
  <c r="AL16" i="5"/>
  <c r="AA16" i="5"/>
  <c r="Z16" i="5"/>
  <c r="Y16" i="5"/>
  <c r="Q16" i="5"/>
  <c r="P16" i="5"/>
  <c r="O16" i="5"/>
  <c r="N16" i="5"/>
  <c r="L16" i="5"/>
  <c r="AL15" i="5"/>
  <c r="AA15" i="5"/>
  <c r="Z15" i="5"/>
  <c r="Y15" i="5"/>
  <c r="Q15" i="5"/>
  <c r="P15" i="5"/>
  <c r="O15" i="5"/>
  <c r="N15" i="5"/>
  <c r="L15" i="5"/>
  <c r="AL14" i="5"/>
  <c r="AA14" i="5"/>
  <c r="Z14" i="5"/>
  <c r="Y14" i="5"/>
  <c r="Q14" i="5"/>
  <c r="P14" i="5"/>
  <c r="O14" i="5"/>
  <c r="N14" i="5"/>
  <c r="L14" i="5"/>
  <c r="AL13" i="5"/>
  <c r="AA13" i="5"/>
  <c r="Z13" i="5"/>
  <c r="Q13" i="5"/>
  <c r="P13" i="5"/>
  <c r="F13" i="5" s="1"/>
  <c r="O13" i="5"/>
  <c r="N13" i="5"/>
  <c r="L13" i="5"/>
  <c r="AL12" i="5"/>
  <c r="AA12" i="5"/>
  <c r="Z12" i="5"/>
  <c r="Y12" i="5"/>
  <c r="V12" i="5"/>
  <c r="AL11" i="5"/>
  <c r="AL10" i="5"/>
  <c r="AL9" i="5"/>
  <c r="AA9" i="5"/>
  <c r="Z9" i="5"/>
  <c r="Y9" i="5"/>
  <c r="AL8" i="5"/>
  <c r="AA8" i="5"/>
  <c r="Z8" i="5"/>
  <c r="Y8" i="5"/>
  <c r="AL7" i="5"/>
  <c r="AA7" i="5"/>
  <c r="Z7" i="5"/>
  <c r="Y7" i="5"/>
  <c r="AL6" i="5"/>
  <c r="AA6" i="5"/>
  <c r="Z6" i="5"/>
  <c r="Y6" i="5"/>
  <c r="V6" i="5"/>
  <c r="AL5" i="5"/>
  <c r="AA5" i="5"/>
  <c r="Z5" i="5"/>
  <c r="Y5" i="5"/>
  <c r="AL4" i="5"/>
  <c r="AA4" i="5"/>
  <c r="Z4" i="5"/>
  <c r="Y4" i="5"/>
  <c r="AL3" i="5"/>
  <c r="AA3" i="5"/>
  <c r="Z3" i="5"/>
  <c r="Y3" i="5"/>
  <c r="AL581" i="80"/>
  <c r="AL580" i="80"/>
  <c r="AL579" i="80"/>
  <c r="AL578" i="80"/>
  <c r="AL577" i="80"/>
  <c r="AL576" i="80"/>
  <c r="AL575" i="80"/>
  <c r="AL574" i="80"/>
  <c r="AL573" i="80"/>
  <c r="AL572" i="80"/>
  <c r="AL571" i="80"/>
  <c r="AL570" i="80"/>
  <c r="AL569" i="80"/>
  <c r="AL568" i="80"/>
  <c r="AL567" i="80"/>
  <c r="AL566" i="80"/>
  <c r="AL565" i="80"/>
  <c r="AL564" i="80"/>
  <c r="AL563" i="80"/>
  <c r="AL562" i="80"/>
  <c r="AL561" i="80"/>
  <c r="AL560" i="80"/>
  <c r="AL559" i="80"/>
  <c r="AL558" i="80"/>
  <c r="AL557" i="80"/>
  <c r="AL556" i="80"/>
  <c r="AL555" i="80"/>
  <c r="AL554" i="80"/>
  <c r="AL553" i="80"/>
  <c r="AL552" i="80"/>
  <c r="AL551" i="80"/>
  <c r="AL550" i="80"/>
  <c r="AL549" i="80"/>
  <c r="AL548" i="80"/>
  <c r="AL547" i="80"/>
  <c r="AL546" i="80"/>
  <c r="AL545" i="80"/>
  <c r="AL544" i="80"/>
  <c r="AL543" i="80"/>
  <c r="AL542" i="80"/>
  <c r="AL541" i="80"/>
  <c r="AL540" i="80"/>
  <c r="AL539" i="80"/>
  <c r="AL538" i="80"/>
  <c r="AL537" i="80"/>
  <c r="AL536" i="80"/>
  <c r="AL535" i="80"/>
  <c r="AL534" i="80"/>
  <c r="AL533" i="80"/>
  <c r="AL532" i="80"/>
  <c r="AL531" i="80"/>
  <c r="AL530" i="80"/>
  <c r="AL529" i="80"/>
  <c r="AL528" i="80"/>
  <c r="AL527" i="80"/>
  <c r="AL526" i="80"/>
  <c r="AL525" i="80"/>
  <c r="AL524" i="80"/>
  <c r="AL523" i="80"/>
  <c r="AL522" i="80"/>
  <c r="AL521" i="80"/>
  <c r="AL520" i="80"/>
  <c r="AL519" i="80"/>
  <c r="AL518" i="80"/>
  <c r="AL517" i="80"/>
  <c r="AL516" i="80"/>
  <c r="AL515" i="80"/>
  <c r="AL514" i="80"/>
  <c r="AL513" i="80"/>
  <c r="AL512" i="80"/>
  <c r="AL511" i="80"/>
  <c r="AL510" i="80"/>
  <c r="AL509" i="80"/>
  <c r="AL508" i="80"/>
  <c r="AL507" i="80"/>
  <c r="AL506" i="80"/>
  <c r="AL505" i="80"/>
  <c r="AL504" i="80"/>
  <c r="AL503" i="80"/>
  <c r="AL502" i="80"/>
  <c r="AL501" i="80"/>
  <c r="AL500" i="80"/>
  <c r="AL499" i="80"/>
  <c r="AL498" i="80"/>
  <c r="AL497" i="80"/>
  <c r="AL496" i="80"/>
  <c r="AL495" i="80"/>
  <c r="AL494" i="80"/>
  <c r="AL493" i="80"/>
  <c r="AL492" i="80"/>
  <c r="AL491" i="80"/>
  <c r="AL490" i="80"/>
  <c r="AL489" i="80"/>
  <c r="AL488" i="80"/>
  <c r="AL487" i="80"/>
  <c r="AL486" i="80"/>
  <c r="AL485" i="80"/>
  <c r="AL484" i="80"/>
  <c r="AL483" i="80"/>
  <c r="AL482" i="80"/>
  <c r="AL481" i="80"/>
  <c r="AL480" i="80"/>
  <c r="AL479" i="80"/>
  <c r="AL478" i="80"/>
  <c r="AL477" i="80"/>
  <c r="AL476" i="80"/>
  <c r="AL475" i="80"/>
  <c r="AL474" i="80"/>
  <c r="AL473" i="80"/>
  <c r="AL472" i="80"/>
  <c r="AL471" i="80"/>
  <c r="AL470" i="80"/>
  <c r="AL469" i="80"/>
  <c r="AL468" i="80"/>
  <c r="AL467" i="80"/>
  <c r="AL466" i="80"/>
  <c r="AL465" i="80"/>
  <c r="AL464" i="80"/>
  <c r="AL463" i="80"/>
  <c r="AL462" i="80"/>
  <c r="AL461" i="80"/>
  <c r="AL460" i="80"/>
  <c r="AL459" i="80"/>
  <c r="AL458" i="80"/>
  <c r="AL457" i="80"/>
  <c r="AL456" i="80"/>
  <c r="AL455" i="80"/>
  <c r="AL454" i="80"/>
  <c r="AL453" i="80"/>
  <c r="AL452" i="80"/>
  <c r="AL451" i="80"/>
  <c r="AL450" i="80"/>
  <c r="AL449" i="80"/>
  <c r="AL448" i="80"/>
  <c r="AL447" i="80"/>
  <c r="AL446" i="80"/>
  <c r="AL445" i="80"/>
  <c r="AL444" i="80"/>
  <c r="AL443" i="80"/>
  <c r="AL442" i="80"/>
  <c r="AL441" i="80"/>
  <c r="AL440" i="80"/>
  <c r="AL439" i="80"/>
  <c r="AL438" i="80"/>
  <c r="AL437" i="80"/>
  <c r="AL436" i="80"/>
  <c r="AL435" i="80"/>
  <c r="AL434" i="80"/>
  <c r="AL433" i="80"/>
  <c r="AL432" i="80"/>
  <c r="AL431" i="80"/>
  <c r="AL430" i="80"/>
  <c r="AL429" i="80"/>
  <c r="AL428" i="80"/>
  <c r="AL427" i="80"/>
  <c r="AL426" i="80"/>
  <c r="AL425" i="80"/>
  <c r="AL424" i="80"/>
  <c r="AL423" i="80"/>
  <c r="AL422" i="80"/>
  <c r="AL421" i="80"/>
  <c r="AL420" i="80"/>
  <c r="AL419" i="80"/>
  <c r="AL418" i="80"/>
  <c r="AL417" i="80"/>
  <c r="AL416" i="80"/>
  <c r="AL415" i="80"/>
  <c r="AL414" i="80"/>
  <c r="AL413" i="80"/>
  <c r="AL412" i="80"/>
  <c r="AL411" i="80"/>
  <c r="AL410" i="80"/>
  <c r="AL409" i="80"/>
  <c r="AL408" i="80"/>
  <c r="AL407" i="80"/>
  <c r="AL406" i="80"/>
  <c r="AL405" i="80"/>
  <c r="AL404" i="80"/>
  <c r="AL403" i="80"/>
  <c r="AL402" i="80"/>
  <c r="AL401" i="80"/>
  <c r="AL400" i="80"/>
  <c r="AL399" i="80"/>
  <c r="AL398" i="80"/>
  <c r="AL397" i="80"/>
  <c r="AL396" i="80"/>
  <c r="AL395" i="80"/>
  <c r="AL394" i="80"/>
  <c r="AL393" i="80"/>
  <c r="AL392" i="80"/>
  <c r="AL391" i="80"/>
  <c r="AL390" i="80"/>
  <c r="AL389" i="80"/>
  <c r="AL388" i="80"/>
  <c r="AL387" i="80"/>
  <c r="AL386" i="80"/>
  <c r="AL385" i="80"/>
  <c r="AL384" i="80"/>
  <c r="AL383" i="80"/>
  <c r="AL382" i="80"/>
  <c r="AL381" i="80"/>
  <c r="AL380" i="80"/>
  <c r="AL379" i="80"/>
  <c r="AL378" i="80"/>
  <c r="AL377" i="80"/>
  <c r="AL376" i="80"/>
  <c r="AL375" i="80"/>
  <c r="AL374" i="80"/>
  <c r="AL373" i="80"/>
  <c r="AL372" i="80"/>
  <c r="AL371" i="80"/>
  <c r="AL370" i="80"/>
  <c r="AL369" i="80"/>
  <c r="AL368" i="80"/>
  <c r="AL367" i="80"/>
  <c r="AL366" i="80"/>
  <c r="AL365" i="80"/>
  <c r="AL364" i="80"/>
  <c r="AL363" i="80"/>
  <c r="AL362" i="80"/>
  <c r="AL361" i="80"/>
  <c r="AL360" i="80"/>
  <c r="AL359" i="80"/>
  <c r="AL358" i="80"/>
  <c r="AL357" i="80"/>
  <c r="AL356" i="80"/>
  <c r="AL355" i="80"/>
  <c r="AL354" i="80"/>
  <c r="AL353" i="80"/>
  <c r="AL352" i="80"/>
  <c r="AL351" i="80"/>
  <c r="AL350" i="80"/>
  <c r="AL349" i="80"/>
  <c r="AL348" i="80"/>
  <c r="AL347" i="80"/>
  <c r="AL346" i="80"/>
  <c r="AL345" i="80"/>
  <c r="AL344" i="80"/>
  <c r="AL343" i="80"/>
  <c r="AL342" i="80"/>
  <c r="AL341" i="80"/>
  <c r="AL340" i="80"/>
  <c r="AL339" i="80"/>
  <c r="AL338" i="80"/>
  <c r="AL337" i="80"/>
  <c r="AL336" i="80"/>
  <c r="AL335" i="80"/>
  <c r="AL334" i="80"/>
  <c r="AL333" i="80"/>
  <c r="AL332" i="80"/>
  <c r="AL331" i="80"/>
  <c r="AL330" i="80"/>
  <c r="AL329" i="80"/>
  <c r="AL328" i="80"/>
  <c r="AL327" i="80"/>
  <c r="AL326" i="80"/>
  <c r="AL325" i="80"/>
  <c r="AL324" i="80"/>
  <c r="AL323" i="80"/>
  <c r="AL322" i="80"/>
  <c r="AL321" i="80"/>
  <c r="AL320" i="80"/>
  <c r="AL319" i="80"/>
  <c r="AL318" i="80"/>
  <c r="AL317" i="80"/>
  <c r="AL316" i="80"/>
  <c r="AL315" i="80"/>
  <c r="AL314" i="80"/>
  <c r="AL313" i="80"/>
  <c r="AL312" i="80"/>
  <c r="AL311" i="80"/>
  <c r="AL310" i="80"/>
  <c r="AL309" i="80"/>
  <c r="AL308" i="80"/>
  <c r="AL307" i="80"/>
  <c r="AL306" i="80"/>
  <c r="AL305" i="80"/>
  <c r="AL304" i="80"/>
  <c r="AL303" i="80"/>
  <c r="AL302" i="80"/>
  <c r="AL301" i="80"/>
  <c r="AL300" i="80"/>
  <c r="AL299" i="80"/>
  <c r="AL298" i="80"/>
  <c r="AL297" i="80"/>
  <c r="AL296" i="80"/>
  <c r="AL295" i="80"/>
  <c r="AL294" i="80"/>
  <c r="AL293" i="80"/>
  <c r="AL292" i="80"/>
  <c r="AL291" i="80"/>
  <c r="AL290" i="80"/>
  <c r="AL289" i="80"/>
  <c r="AL288" i="80"/>
  <c r="AL287" i="80"/>
  <c r="AL286" i="80"/>
  <c r="AL285" i="80"/>
  <c r="AL284" i="80"/>
  <c r="AL283" i="80"/>
  <c r="AL282" i="80"/>
  <c r="AL281" i="80"/>
  <c r="AL280" i="80"/>
  <c r="AL279" i="80"/>
  <c r="AL278" i="80"/>
  <c r="AL277" i="80"/>
  <c r="AL276" i="80"/>
  <c r="AL275" i="80"/>
  <c r="AL274" i="80"/>
  <c r="AL273" i="80"/>
  <c r="AL272" i="80"/>
  <c r="AL271" i="80"/>
  <c r="AL270" i="80"/>
  <c r="AL269" i="80"/>
  <c r="AL268" i="80"/>
  <c r="AL267" i="80"/>
  <c r="AL266" i="80"/>
  <c r="AL265" i="80"/>
  <c r="AL264" i="80"/>
  <c r="AL263" i="80"/>
  <c r="AL262" i="80"/>
  <c r="AL261" i="80"/>
  <c r="AL260" i="80"/>
  <c r="AL259" i="80"/>
  <c r="AL258" i="80"/>
  <c r="AL257" i="80"/>
  <c r="AL256" i="80"/>
  <c r="AL255" i="80"/>
  <c r="AL254" i="80"/>
  <c r="AL253" i="80"/>
  <c r="AL252" i="80"/>
  <c r="AL251" i="80"/>
  <c r="AL250" i="80"/>
  <c r="AL249" i="80"/>
  <c r="AL248" i="80"/>
  <c r="AL247" i="80"/>
  <c r="AL246" i="80"/>
  <c r="AL245" i="80"/>
  <c r="AL244" i="80"/>
  <c r="AL243" i="80"/>
  <c r="AL242" i="80"/>
  <c r="AL241" i="80"/>
  <c r="AL240" i="80"/>
  <c r="AL239" i="80"/>
  <c r="AL238" i="80"/>
  <c r="AL237" i="80"/>
  <c r="AL236" i="80"/>
  <c r="AL235" i="80"/>
  <c r="AL234" i="80"/>
  <c r="AL233" i="80"/>
  <c r="AL232" i="80"/>
  <c r="AL231" i="80"/>
  <c r="AL230" i="80"/>
  <c r="AL229" i="80"/>
  <c r="AL228" i="80"/>
  <c r="AL227" i="80"/>
  <c r="AL226" i="80"/>
  <c r="AL225" i="80"/>
  <c r="AL224" i="80"/>
  <c r="AL223" i="80"/>
  <c r="AL222" i="80"/>
  <c r="AL221" i="80"/>
  <c r="AL220" i="80"/>
  <c r="AL219" i="80"/>
  <c r="AL218" i="80"/>
  <c r="AL217" i="80"/>
  <c r="AL216" i="80"/>
  <c r="AL215" i="80"/>
  <c r="AL214" i="80"/>
  <c r="AL213" i="80"/>
  <c r="AL212" i="80"/>
  <c r="AL211" i="80"/>
  <c r="AL210" i="80"/>
  <c r="AL209" i="80"/>
  <c r="AL208" i="80"/>
  <c r="AL207" i="80"/>
  <c r="AL206" i="80"/>
  <c r="AL205" i="80"/>
  <c r="AL204" i="80"/>
  <c r="AL203" i="80"/>
  <c r="AL202" i="80"/>
  <c r="AL201" i="80"/>
  <c r="AL200" i="80"/>
  <c r="AL199" i="80"/>
  <c r="AL198" i="80"/>
  <c r="AL197" i="80"/>
  <c r="AL196" i="80"/>
  <c r="AL195" i="80"/>
  <c r="AL194" i="80"/>
  <c r="AL193" i="80"/>
  <c r="AL192" i="80"/>
  <c r="AL191" i="80"/>
  <c r="AL190" i="80"/>
  <c r="AL189" i="80"/>
  <c r="AL188" i="80"/>
  <c r="AL187" i="80"/>
  <c r="AL186" i="80"/>
  <c r="AL185" i="80"/>
  <c r="AL184" i="80"/>
  <c r="AL183" i="80"/>
  <c r="AL182" i="80"/>
  <c r="AL181" i="80"/>
  <c r="AL180" i="80"/>
  <c r="AL179" i="80"/>
  <c r="AL178" i="80"/>
  <c r="AL177" i="80"/>
  <c r="AL176" i="80"/>
  <c r="AL175" i="80"/>
  <c r="AL174" i="80"/>
  <c r="AL173" i="80"/>
  <c r="AL172" i="80"/>
  <c r="AL171" i="80"/>
  <c r="AL170" i="80"/>
  <c r="AL169" i="80"/>
  <c r="AL168" i="80"/>
  <c r="AL167" i="80"/>
  <c r="AL166" i="80"/>
  <c r="AL165" i="80"/>
  <c r="AL164" i="80"/>
  <c r="AL163" i="80"/>
  <c r="AL162" i="80"/>
  <c r="AL161" i="80"/>
  <c r="AL160" i="80"/>
  <c r="AL159" i="80"/>
  <c r="AL158" i="80"/>
  <c r="AL157" i="80"/>
  <c r="AL156" i="80"/>
  <c r="AL155" i="80"/>
  <c r="AL154" i="80"/>
  <c r="AL153" i="80"/>
  <c r="AL152" i="80"/>
  <c r="AL151" i="80"/>
  <c r="AL150" i="80"/>
  <c r="AL149" i="80"/>
  <c r="AL148" i="80"/>
  <c r="AL147" i="80"/>
  <c r="AL146" i="80"/>
  <c r="AL145" i="80"/>
  <c r="AL144" i="80"/>
  <c r="AL143" i="80"/>
  <c r="Q143" i="80"/>
  <c r="P143" i="80"/>
  <c r="O143" i="80"/>
  <c r="N143" i="80"/>
  <c r="L143" i="80"/>
  <c r="AL142" i="80"/>
  <c r="Q142" i="80"/>
  <c r="P142" i="80"/>
  <c r="O142" i="80"/>
  <c r="N142" i="80"/>
  <c r="L142" i="80"/>
  <c r="AL141" i="80"/>
  <c r="Q141" i="80"/>
  <c r="P141" i="80"/>
  <c r="O141" i="80"/>
  <c r="N141" i="80"/>
  <c r="L141" i="80"/>
  <c r="AL140" i="80"/>
  <c r="Q140" i="80"/>
  <c r="P140" i="80"/>
  <c r="O140" i="80"/>
  <c r="N140" i="80"/>
  <c r="L140" i="80"/>
  <c r="AL139" i="80"/>
  <c r="Q139" i="80"/>
  <c r="P139" i="80"/>
  <c r="O139" i="80"/>
  <c r="N139" i="80"/>
  <c r="L139" i="80"/>
  <c r="AL138" i="80"/>
  <c r="Q138" i="80"/>
  <c r="P138" i="80"/>
  <c r="O138" i="80"/>
  <c r="N138" i="80"/>
  <c r="L138" i="80"/>
  <c r="AL137" i="80"/>
  <c r="Q137" i="80"/>
  <c r="P137" i="80"/>
  <c r="O137" i="80"/>
  <c r="N137" i="80"/>
  <c r="L137" i="80"/>
  <c r="AL136" i="80"/>
  <c r="Q136" i="80"/>
  <c r="P136" i="80"/>
  <c r="O136" i="80"/>
  <c r="N136" i="80"/>
  <c r="L136" i="80"/>
  <c r="AL135" i="80"/>
  <c r="Q135" i="80"/>
  <c r="P135" i="80"/>
  <c r="O135" i="80"/>
  <c r="N135" i="80"/>
  <c r="L135" i="80"/>
  <c r="AL134" i="80"/>
  <c r="Q134" i="80"/>
  <c r="P134" i="80"/>
  <c r="O134" i="80"/>
  <c r="N134" i="80"/>
  <c r="L134" i="80"/>
  <c r="AL133" i="80"/>
  <c r="Q133" i="80"/>
  <c r="P133" i="80"/>
  <c r="O133" i="80"/>
  <c r="N133" i="80"/>
  <c r="L133" i="80"/>
  <c r="AL132" i="80"/>
  <c r="Q132" i="80"/>
  <c r="P132" i="80"/>
  <c r="O132" i="80"/>
  <c r="N132" i="80"/>
  <c r="L132" i="80"/>
  <c r="AL131" i="80"/>
  <c r="Q131" i="80"/>
  <c r="P131" i="80"/>
  <c r="O131" i="80"/>
  <c r="N131" i="80"/>
  <c r="L131" i="80"/>
  <c r="AL130" i="80"/>
  <c r="Q130" i="80"/>
  <c r="P130" i="80"/>
  <c r="O130" i="80"/>
  <c r="N130" i="80"/>
  <c r="L130" i="80"/>
  <c r="AL129" i="80"/>
  <c r="Q129" i="80"/>
  <c r="P129" i="80"/>
  <c r="O129" i="80"/>
  <c r="N129" i="80"/>
  <c r="L129" i="80"/>
  <c r="AL128" i="80"/>
  <c r="Q128" i="80"/>
  <c r="P128" i="80"/>
  <c r="O128" i="80"/>
  <c r="N128" i="80"/>
  <c r="L128" i="80"/>
  <c r="AL127" i="80"/>
  <c r="Q127" i="80"/>
  <c r="P127" i="80"/>
  <c r="O127" i="80"/>
  <c r="N127" i="80"/>
  <c r="L127" i="80"/>
  <c r="AL126" i="80"/>
  <c r="Q126" i="80"/>
  <c r="P126" i="80"/>
  <c r="O126" i="80"/>
  <c r="N126" i="80"/>
  <c r="L126" i="80"/>
  <c r="AL125" i="80"/>
  <c r="Q125" i="80"/>
  <c r="P125" i="80"/>
  <c r="O125" i="80"/>
  <c r="N125" i="80"/>
  <c r="L125" i="80"/>
  <c r="AL124" i="80"/>
  <c r="Q124" i="80"/>
  <c r="P124" i="80"/>
  <c r="O124" i="80"/>
  <c r="N124" i="80"/>
  <c r="L124" i="80"/>
  <c r="AL123" i="80"/>
  <c r="Q123" i="80"/>
  <c r="P123" i="80"/>
  <c r="O123" i="80"/>
  <c r="N123" i="80"/>
  <c r="L123" i="80"/>
  <c r="AL122" i="80"/>
  <c r="Q122" i="80"/>
  <c r="P122" i="80"/>
  <c r="O122" i="80"/>
  <c r="N122" i="80"/>
  <c r="L122" i="80"/>
  <c r="AL121" i="80"/>
  <c r="Q121" i="80"/>
  <c r="P121" i="80"/>
  <c r="O121" i="80"/>
  <c r="N121" i="80"/>
  <c r="L121" i="80"/>
  <c r="AL120" i="80"/>
  <c r="Q120" i="80"/>
  <c r="P120" i="80"/>
  <c r="O120" i="80"/>
  <c r="N120" i="80"/>
  <c r="L120" i="80"/>
  <c r="AL119" i="80"/>
  <c r="Q119" i="80"/>
  <c r="P119" i="80"/>
  <c r="O119" i="80"/>
  <c r="N119" i="80"/>
  <c r="L119" i="80"/>
  <c r="AL118" i="80"/>
  <c r="Q118" i="80"/>
  <c r="P118" i="80"/>
  <c r="O118" i="80"/>
  <c r="N118" i="80"/>
  <c r="L118" i="80"/>
  <c r="AL117" i="80"/>
  <c r="Q117" i="80"/>
  <c r="P117" i="80"/>
  <c r="O117" i="80"/>
  <c r="N117" i="80"/>
  <c r="L117" i="80"/>
  <c r="AL116" i="80"/>
  <c r="Q116" i="80"/>
  <c r="P116" i="80"/>
  <c r="O116" i="80"/>
  <c r="N116" i="80"/>
  <c r="L116" i="80"/>
  <c r="AL115" i="80"/>
  <c r="Q115" i="80"/>
  <c r="P115" i="80"/>
  <c r="O115" i="80"/>
  <c r="N115" i="80"/>
  <c r="L115" i="80"/>
  <c r="AL114" i="80"/>
  <c r="Q114" i="80"/>
  <c r="P114" i="80"/>
  <c r="O114" i="80"/>
  <c r="N114" i="80"/>
  <c r="L114" i="80"/>
  <c r="AL113" i="80"/>
  <c r="Q113" i="80"/>
  <c r="P113" i="80"/>
  <c r="O113" i="80"/>
  <c r="N113" i="80"/>
  <c r="L113" i="80"/>
  <c r="AL112" i="80"/>
  <c r="Q112" i="80"/>
  <c r="P112" i="80"/>
  <c r="O112" i="80"/>
  <c r="N112" i="80"/>
  <c r="L112" i="80"/>
  <c r="AL111" i="80"/>
  <c r="Q111" i="80"/>
  <c r="P111" i="80"/>
  <c r="O111" i="80"/>
  <c r="N111" i="80"/>
  <c r="L111" i="80"/>
  <c r="AL110" i="80"/>
  <c r="Q110" i="80"/>
  <c r="P110" i="80"/>
  <c r="O110" i="80"/>
  <c r="N110" i="80"/>
  <c r="L110" i="80"/>
  <c r="AL109" i="80"/>
  <c r="Q109" i="80"/>
  <c r="P109" i="80"/>
  <c r="O109" i="80"/>
  <c r="N109" i="80"/>
  <c r="L109" i="80"/>
  <c r="AL108" i="80"/>
  <c r="Q108" i="80"/>
  <c r="P108" i="80"/>
  <c r="O108" i="80"/>
  <c r="N108" i="80"/>
  <c r="L108" i="80"/>
  <c r="AL107" i="80"/>
  <c r="Q107" i="80"/>
  <c r="P107" i="80"/>
  <c r="O107" i="80"/>
  <c r="N107" i="80"/>
  <c r="L107" i="80"/>
  <c r="AL106" i="80"/>
  <c r="Q106" i="80"/>
  <c r="P106" i="80"/>
  <c r="O106" i="80"/>
  <c r="N106" i="80"/>
  <c r="L106" i="80"/>
  <c r="AL105" i="80"/>
  <c r="Q105" i="80"/>
  <c r="P105" i="80"/>
  <c r="O105" i="80"/>
  <c r="N105" i="80"/>
  <c r="L105" i="80"/>
  <c r="AL104" i="80"/>
  <c r="Q104" i="80"/>
  <c r="P104" i="80"/>
  <c r="O104" i="80"/>
  <c r="N104" i="80"/>
  <c r="L104" i="80"/>
  <c r="AL103" i="80"/>
  <c r="Q103" i="80"/>
  <c r="P103" i="80"/>
  <c r="O103" i="80"/>
  <c r="N103" i="80"/>
  <c r="L103" i="80"/>
  <c r="AL102" i="80"/>
  <c r="Q102" i="80"/>
  <c r="P102" i="80"/>
  <c r="O102" i="80"/>
  <c r="N102" i="80"/>
  <c r="L102" i="80"/>
  <c r="AL101" i="80"/>
  <c r="Q101" i="80"/>
  <c r="P101" i="80"/>
  <c r="O101" i="80"/>
  <c r="N101" i="80"/>
  <c r="L101" i="80"/>
  <c r="AL100" i="80"/>
  <c r="Q100" i="80"/>
  <c r="P100" i="80"/>
  <c r="O100" i="80"/>
  <c r="N100" i="80"/>
  <c r="L100" i="80"/>
  <c r="AL99" i="80"/>
  <c r="Q99" i="80"/>
  <c r="P99" i="80"/>
  <c r="O99" i="80"/>
  <c r="N99" i="80"/>
  <c r="L99" i="80"/>
  <c r="AL98" i="80"/>
  <c r="Q98" i="80"/>
  <c r="P98" i="80"/>
  <c r="O98" i="80"/>
  <c r="N98" i="80"/>
  <c r="L98" i="80"/>
  <c r="AL97" i="80"/>
  <c r="Q97" i="80"/>
  <c r="P97" i="80"/>
  <c r="O97" i="80"/>
  <c r="N97" i="80"/>
  <c r="L97" i="80"/>
  <c r="AL96" i="80"/>
  <c r="Q96" i="80"/>
  <c r="P96" i="80"/>
  <c r="O96" i="80"/>
  <c r="N96" i="80"/>
  <c r="L96" i="80"/>
  <c r="AL95" i="80"/>
  <c r="Q95" i="80"/>
  <c r="P95" i="80"/>
  <c r="O95" i="80"/>
  <c r="N95" i="80"/>
  <c r="L95" i="80"/>
  <c r="AL94" i="80"/>
  <c r="Q94" i="80"/>
  <c r="P94" i="80"/>
  <c r="O94" i="80"/>
  <c r="N94" i="80"/>
  <c r="L94" i="80"/>
  <c r="AL93" i="80"/>
  <c r="Q93" i="80"/>
  <c r="P93" i="80"/>
  <c r="O93" i="80"/>
  <c r="N93" i="80"/>
  <c r="L93" i="80"/>
  <c r="AL92" i="80"/>
  <c r="Q92" i="80"/>
  <c r="P92" i="80"/>
  <c r="O92" i="80"/>
  <c r="N92" i="80"/>
  <c r="L92" i="80"/>
  <c r="AL91" i="80"/>
  <c r="Q91" i="80"/>
  <c r="P91" i="80"/>
  <c r="O91" i="80"/>
  <c r="N91" i="80"/>
  <c r="L91" i="80"/>
  <c r="AL90" i="80"/>
  <c r="Q90" i="80"/>
  <c r="P90" i="80"/>
  <c r="O90" i="80"/>
  <c r="N90" i="80"/>
  <c r="L90" i="80"/>
  <c r="AL89" i="80"/>
  <c r="Q89" i="80"/>
  <c r="P89" i="80"/>
  <c r="O89" i="80"/>
  <c r="N89" i="80"/>
  <c r="L89" i="80"/>
  <c r="AL88" i="80"/>
  <c r="Q88" i="80"/>
  <c r="P88" i="80"/>
  <c r="O88" i="80"/>
  <c r="N88" i="80"/>
  <c r="L88" i="80"/>
  <c r="AL87" i="80"/>
  <c r="Q87" i="80"/>
  <c r="P87" i="80"/>
  <c r="O87" i="80"/>
  <c r="N87" i="80"/>
  <c r="L87" i="80"/>
  <c r="AL86" i="80"/>
  <c r="Q86" i="80"/>
  <c r="P86" i="80"/>
  <c r="O86" i="80"/>
  <c r="N86" i="80"/>
  <c r="L86" i="80"/>
  <c r="AL85" i="80"/>
  <c r="Q85" i="80"/>
  <c r="P85" i="80"/>
  <c r="O85" i="80"/>
  <c r="N85" i="80"/>
  <c r="L85" i="80"/>
  <c r="AL84" i="80"/>
  <c r="Q84" i="80"/>
  <c r="P84" i="80"/>
  <c r="O84" i="80"/>
  <c r="N84" i="80"/>
  <c r="L84" i="80"/>
  <c r="AL83" i="80"/>
  <c r="Q83" i="80"/>
  <c r="P83" i="80"/>
  <c r="O83" i="80"/>
  <c r="N83" i="80"/>
  <c r="L83" i="80"/>
  <c r="AL82" i="80"/>
  <c r="Q82" i="80"/>
  <c r="P82" i="80"/>
  <c r="O82" i="80"/>
  <c r="N82" i="80"/>
  <c r="L82" i="80"/>
  <c r="AL81" i="80"/>
  <c r="Q81" i="80"/>
  <c r="P81" i="80"/>
  <c r="O81" i="80"/>
  <c r="N81" i="80"/>
  <c r="L81" i="80"/>
  <c r="AL80" i="80"/>
  <c r="Q80" i="80"/>
  <c r="P80" i="80"/>
  <c r="O80" i="80"/>
  <c r="N80" i="80"/>
  <c r="L80" i="80"/>
  <c r="AL79" i="80"/>
  <c r="Q79" i="80"/>
  <c r="P79" i="80"/>
  <c r="O79" i="80"/>
  <c r="N79" i="80"/>
  <c r="L79" i="80"/>
  <c r="AL78" i="80"/>
  <c r="Q78" i="80"/>
  <c r="P78" i="80"/>
  <c r="O78" i="80"/>
  <c r="N78" i="80"/>
  <c r="L78" i="80"/>
  <c r="AL77" i="80"/>
  <c r="Q77" i="80"/>
  <c r="P77" i="80"/>
  <c r="O77" i="80"/>
  <c r="N77" i="80"/>
  <c r="L77" i="80"/>
  <c r="AL76" i="80"/>
  <c r="Q76" i="80"/>
  <c r="P76" i="80"/>
  <c r="O76" i="80"/>
  <c r="N76" i="80"/>
  <c r="L76" i="80"/>
  <c r="AL75" i="80"/>
  <c r="Q75" i="80"/>
  <c r="P75" i="80"/>
  <c r="O75" i="80"/>
  <c r="N75" i="80"/>
  <c r="L75" i="80"/>
  <c r="AL74" i="80"/>
  <c r="Q74" i="80"/>
  <c r="P74" i="80"/>
  <c r="O74" i="80"/>
  <c r="N74" i="80"/>
  <c r="L74" i="80"/>
  <c r="AL73" i="80"/>
  <c r="Q73" i="80"/>
  <c r="P73" i="80"/>
  <c r="O73" i="80"/>
  <c r="N73" i="80"/>
  <c r="L73" i="80"/>
  <c r="AL72" i="80"/>
  <c r="Q72" i="80"/>
  <c r="P72" i="80"/>
  <c r="O72" i="80"/>
  <c r="N72" i="80"/>
  <c r="L72" i="80"/>
  <c r="AL71" i="80"/>
  <c r="Q71" i="80"/>
  <c r="P71" i="80"/>
  <c r="O71" i="80"/>
  <c r="N71" i="80"/>
  <c r="L71" i="80"/>
  <c r="AL70" i="80"/>
  <c r="Q70" i="80"/>
  <c r="P70" i="80"/>
  <c r="O70" i="80"/>
  <c r="N70" i="80"/>
  <c r="L70" i="80"/>
  <c r="AL69" i="80"/>
  <c r="Q69" i="80"/>
  <c r="P69" i="80"/>
  <c r="O69" i="80"/>
  <c r="N69" i="80"/>
  <c r="L69" i="80"/>
  <c r="AL68" i="80"/>
  <c r="Q68" i="80"/>
  <c r="P68" i="80"/>
  <c r="O68" i="80"/>
  <c r="N68" i="80"/>
  <c r="L68" i="80"/>
  <c r="AL67" i="80"/>
  <c r="Q67" i="80"/>
  <c r="P67" i="80"/>
  <c r="O67" i="80"/>
  <c r="N67" i="80"/>
  <c r="L67" i="80"/>
  <c r="AL66" i="80"/>
  <c r="Q66" i="80"/>
  <c r="P66" i="80"/>
  <c r="O66" i="80"/>
  <c r="N66" i="80"/>
  <c r="L66" i="80"/>
  <c r="AL65" i="80"/>
  <c r="Q65" i="80"/>
  <c r="P65" i="80"/>
  <c r="O65" i="80"/>
  <c r="N65" i="80"/>
  <c r="L65" i="80"/>
  <c r="AL64" i="80"/>
  <c r="Q64" i="80"/>
  <c r="P64" i="80"/>
  <c r="O64" i="80"/>
  <c r="N64" i="80"/>
  <c r="L64" i="80"/>
  <c r="AL63" i="80"/>
  <c r="Q63" i="80"/>
  <c r="P63" i="80"/>
  <c r="O63" i="80"/>
  <c r="N63" i="80"/>
  <c r="L63" i="80"/>
  <c r="AL62" i="80"/>
  <c r="Q62" i="80"/>
  <c r="P62" i="80"/>
  <c r="O62" i="80"/>
  <c r="N62" i="80"/>
  <c r="L62" i="80"/>
  <c r="AL61" i="80"/>
  <c r="Q61" i="80"/>
  <c r="P61" i="80"/>
  <c r="O61" i="80"/>
  <c r="N61" i="80"/>
  <c r="L61" i="80"/>
  <c r="AL60" i="80"/>
  <c r="Q60" i="80"/>
  <c r="P60" i="80"/>
  <c r="O60" i="80"/>
  <c r="N60" i="80"/>
  <c r="L60" i="80"/>
  <c r="AL59" i="80"/>
  <c r="Q59" i="80"/>
  <c r="P59" i="80"/>
  <c r="O59" i="80"/>
  <c r="N59" i="80"/>
  <c r="L59" i="80"/>
  <c r="AL58" i="80"/>
  <c r="Q58" i="80"/>
  <c r="P58" i="80"/>
  <c r="O58" i="80"/>
  <c r="N58" i="80"/>
  <c r="L58" i="80"/>
  <c r="F58" i="80"/>
  <c r="AL57" i="80"/>
  <c r="Q57" i="80"/>
  <c r="P57" i="80"/>
  <c r="O57" i="80"/>
  <c r="N57" i="80"/>
  <c r="L57" i="80"/>
  <c r="AL56" i="80"/>
  <c r="Q56" i="80"/>
  <c r="P56" i="80"/>
  <c r="O56" i="80"/>
  <c r="F56" i="80" s="1"/>
  <c r="N56" i="80"/>
  <c r="L56" i="80"/>
  <c r="AL55" i="80"/>
  <c r="Q55" i="80"/>
  <c r="P55" i="80"/>
  <c r="O55" i="80"/>
  <c r="F55" i="80" s="1"/>
  <c r="N55" i="80"/>
  <c r="L55" i="80"/>
  <c r="AL54" i="80"/>
  <c r="Q54" i="80"/>
  <c r="P54" i="80"/>
  <c r="O54" i="80"/>
  <c r="N54" i="80"/>
  <c r="L54" i="80"/>
  <c r="AL53" i="80"/>
  <c r="Q53" i="80"/>
  <c r="P53" i="80"/>
  <c r="O53" i="80"/>
  <c r="N53" i="80"/>
  <c r="L53" i="80"/>
  <c r="F53" i="80"/>
  <c r="AL52" i="80"/>
  <c r="Q52" i="80"/>
  <c r="P52" i="80"/>
  <c r="F52" i="80" s="1"/>
  <c r="O52" i="80"/>
  <c r="N52" i="80"/>
  <c r="L52" i="80"/>
  <c r="AL51" i="80"/>
  <c r="Q51" i="80"/>
  <c r="P51" i="80"/>
  <c r="O51" i="80"/>
  <c r="F51" i="80" s="1"/>
  <c r="N51" i="80"/>
  <c r="L51" i="80"/>
  <c r="AL50" i="80"/>
  <c r="Q50" i="80"/>
  <c r="P50" i="80"/>
  <c r="O50" i="80"/>
  <c r="N50" i="80"/>
  <c r="L50" i="80"/>
  <c r="F50" i="80"/>
  <c r="AL49" i="80"/>
  <c r="Q49" i="80"/>
  <c r="P49" i="80"/>
  <c r="O49" i="80"/>
  <c r="F49" i="80" s="1"/>
  <c r="N49" i="80"/>
  <c r="L49" i="80"/>
  <c r="AL48" i="80"/>
  <c r="Q48" i="80"/>
  <c r="P48" i="80"/>
  <c r="O48" i="80"/>
  <c r="F48" i="80" s="1"/>
  <c r="N48" i="80"/>
  <c r="L48" i="80"/>
  <c r="AL47" i="80"/>
  <c r="Q47" i="80"/>
  <c r="P47" i="80"/>
  <c r="O47" i="80"/>
  <c r="F47" i="80" s="1"/>
  <c r="N47" i="80"/>
  <c r="L47" i="80"/>
  <c r="AL46" i="80"/>
  <c r="Q46" i="80"/>
  <c r="P46" i="80"/>
  <c r="O46" i="80"/>
  <c r="N46" i="80"/>
  <c r="L46" i="80"/>
  <c r="AL45" i="80"/>
  <c r="Q45" i="80"/>
  <c r="P45" i="80"/>
  <c r="O45" i="80"/>
  <c r="N45" i="80"/>
  <c r="L45" i="80"/>
  <c r="AL44" i="80"/>
  <c r="Q44" i="80"/>
  <c r="P44" i="80"/>
  <c r="O44" i="80"/>
  <c r="N44" i="80"/>
  <c r="L44" i="80"/>
  <c r="AL43" i="80"/>
  <c r="Q43" i="80"/>
  <c r="P43" i="80"/>
  <c r="O43" i="80"/>
  <c r="N43" i="80"/>
  <c r="L43" i="80"/>
  <c r="F43" i="80"/>
  <c r="AL42" i="80"/>
  <c r="Q42" i="80"/>
  <c r="P42" i="80"/>
  <c r="O42" i="80"/>
  <c r="F42" i="80" s="1"/>
  <c r="N42" i="80"/>
  <c r="L42" i="80"/>
  <c r="AL41" i="80"/>
  <c r="Q41" i="80"/>
  <c r="P41" i="80"/>
  <c r="O41" i="80"/>
  <c r="N41" i="80"/>
  <c r="L41" i="80"/>
  <c r="AL40" i="80"/>
  <c r="Q40" i="80"/>
  <c r="P40" i="80"/>
  <c r="O40" i="80"/>
  <c r="N40" i="80"/>
  <c r="L40" i="80"/>
  <c r="AL39" i="80"/>
  <c r="Q39" i="80"/>
  <c r="P39" i="80"/>
  <c r="O39" i="80"/>
  <c r="N39" i="80"/>
  <c r="L39" i="80"/>
  <c r="AL38" i="80"/>
  <c r="Q38" i="80"/>
  <c r="P38" i="80"/>
  <c r="O38" i="80"/>
  <c r="F38" i="80" s="1"/>
  <c r="N38" i="80"/>
  <c r="L38" i="80"/>
  <c r="AL37" i="80"/>
  <c r="Q37" i="80"/>
  <c r="P37" i="80"/>
  <c r="O37" i="80"/>
  <c r="N37" i="80"/>
  <c r="L37" i="80"/>
  <c r="AL36" i="80"/>
  <c r="Q36" i="80"/>
  <c r="P36" i="80"/>
  <c r="O36" i="80"/>
  <c r="N36" i="80"/>
  <c r="L36" i="80"/>
  <c r="F36" i="80"/>
  <c r="AL35" i="80"/>
  <c r="Q35" i="80"/>
  <c r="P35" i="80"/>
  <c r="O35" i="80"/>
  <c r="F35" i="80" s="1"/>
  <c r="N35" i="80"/>
  <c r="L35" i="80"/>
  <c r="AL34" i="80"/>
  <c r="Q34" i="80"/>
  <c r="P34" i="80"/>
  <c r="O34" i="80"/>
  <c r="N34" i="80"/>
  <c r="L34" i="80"/>
  <c r="AL33" i="80"/>
  <c r="Q33" i="80"/>
  <c r="P33" i="80"/>
  <c r="O33" i="80"/>
  <c r="N33" i="80"/>
  <c r="L33" i="80"/>
  <c r="AL32" i="80"/>
  <c r="Q32" i="80"/>
  <c r="P32" i="80"/>
  <c r="O32" i="80"/>
  <c r="N32" i="80"/>
  <c r="L32" i="80"/>
  <c r="AL31" i="80"/>
  <c r="Q31" i="80"/>
  <c r="P31" i="80"/>
  <c r="O31" i="80"/>
  <c r="N31" i="80"/>
  <c r="L31" i="80"/>
  <c r="F31" i="80"/>
  <c r="AL30" i="80"/>
  <c r="Q30" i="80"/>
  <c r="P30" i="80"/>
  <c r="O30" i="80"/>
  <c r="F30" i="80" s="1"/>
  <c r="N30" i="80"/>
  <c r="L30" i="80"/>
  <c r="AL29" i="80"/>
  <c r="Q29" i="80"/>
  <c r="P29" i="80"/>
  <c r="O29" i="80"/>
  <c r="N29" i="80"/>
  <c r="L29" i="80"/>
  <c r="F29" i="80"/>
  <c r="AL28" i="80"/>
  <c r="Q28" i="80"/>
  <c r="P28" i="80"/>
  <c r="O28" i="80"/>
  <c r="N28" i="80"/>
  <c r="L28" i="80"/>
  <c r="AL27" i="80"/>
  <c r="Q27" i="80"/>
  <c r="P27" i="80"/>
  <c r="O27" i="80"/>
  <c r="F27" i="80" s="1"/>
  <c r="N27" i="80"/>
  <c r="L27" i="80"/>
  <c r="AL26" i="80"/>
  <c r="Q26" i="80"/>
  <c r="P26" i="80"/>
  <c r="O26" i="80"/>
  <c r="F26" i="80" s="1"/>
  <c r="N26" i="80"/>
  <c r="L26" i="80"/>
  <c r="AL25" i="80"/>
  <c r="Q25" i="80"/>
  <c r="P25" i="80"/>
  <c r="O25" i="80"/>
  <c r="F25" i="80" s="1"/>
  <c r="N25" i="80"/>
  <c r="L25" i="80"/>
  <c r="AL24" i="80"/>
  <c r="Q24" i="80"/>
  <c r="P24" i="80"/>
  <c r="O24" i="80"/>
  <c r="N24" i="80"/>
  <c r="L24" i="80"/>
  <c r="AL23" i="80"/>
  <c r="Q23" i="80"/>
  <c r="P23" i="80"/>
  <c r="O23" i="80"/>
  <c r="N23" i="80"/>
  <c r="L23" i="80"/>
  <c r="AL22" i="80"/>
  <c r="Q22" i="80"/>
  <c r="P22" i="80"/>
  <c r="O22" i="80"/>
  <c r="N22" i="80"/>
  <c r="L22" i="80"/>
  <c r="AL21" i="80"/>
  <c r="V21" i="80"/>
  <c r="Q21" i="80"/>
  <c r="P21" i="80"/>
  <c r="O21" i="80"/>
  <c r="F21" i="80" s="1"/>
  <c r="N21" i="80"/>
  <c r="L21" i="80"/>
  <c r="AL20" i="80"/>
  <c r="V20" i="80"/>
  <c r="Q20" i="80"/>
  <c r="P20" i="80"/>
  <c r="O20" i="80"/>
  <c r="N20" i="80"/>
  <c r="L20" i="80"/>
  <c r="AL19" i="80"/>
  <c r="V19" i="80"/>
  <c r="Q19" i="80"/>
  <c r="P19" i="80"/>
  <c r="O19" i="80"/>
  <c r="N19" i="80"/>
  <c r="L19" i="80"/>
  <c r="AL18" i="80"/>
  <c r="Q18" i="80"/>
  <c r="P18" i="80"/>
  <c r="O18" i="80"/>
  <c r="N18" i="80"/>
  <c r="L18" i="80"/>
  <c r="AL17" i="80"/>
  <c r="Q17" i="80"/>
  <c r="P17" i="80"/>
  <c r="O17" i="80"/>
  <c r="N17" i="80"/>
  <c r="L17" i="80"/>
  <c r="AL16" i="80"/>
  <c r="Q16" i="80"/>
  <c r="P16" i="80"/>
  <c r="O16" i="80"/>
  <c r="F16" i="80" s="1"/>
  <c r="N16" i="80"/>
  <c r="L16" i="80"/>
  <c r="AL15" i="80"/>
  <c r="Q15" i="80"/>
  <c r="P15" i="80"/>
  <c r="O15" i="80"/>
  <c r="N15" i="80"/>
  <c r="L15" i="80"/>
  <c r="AL14" i="80"/>
  <c r="Q14" i="80"/>
  <c r="P14" i="80"/>
  <c r="O14" i="80"/>
  <c r="N14" i="80"/>
  <c r="L14" i="80"/>
  <c r="AL13" i="80"/>
  <c r="Q13" i="80"/>
  <c r="P13" i="80"/>
  <c r="F13" i="80" s="1"/>
  <c r="O13" i="80"/>
  <c r="N13" i="80"/>
  <c r="L13" i="80"/>
  <c r="AL12" i="80"/>
  <c r="V12" i="80"/>
  <c r="Q12" i="80"/>
  <c r="P12" i="80"/>
  <c r="F12" i="80" s="1"/>
  <c r="O12" i="80"/>
  <c r="N12" i="80"/>
  <c r="L12" i="80"/>
  <c r="AL11" i="80"/>
  <c r="Q11" i="80"/>
  <c r="P11" i="80"/>
  <c r="O11" i="80"/>
  <c r="N11" i="80"/>
  <c r="V4" i="80" s="1"/>
  <c r="L5" i="78" s="1"/>
  <c r="L11" i="80"/>
  <c r="AL10" i="80"/>
  <c r="AL9" i="80"/>
  <c r="AL8" i="80"/>
  <c r="AL7" i="80"/>
  <c r="AL6" i="80"/>
  <c r="V6" i="80"/>
  <c r="AL5" i="80"/>
  <c r="AL4" i="80"/>
  <c r="AL3" i="80"/>
  <c r="AL581" i="81"/>
  <c r="AL580" i="81"/>
  <c r="AL579" i="81"/>
  <c r="AL578" i="81"/>
  <c r="AL577" i="81"/>
  <c r="AL576" i="81"/>
  <c r="AL575" i="81"/>
  <c r="AL574" i="81"/>
  <c r="AL573" i="81"/>
  <c r="AL572" i="81"/>
  <c r="AL571" i="81"/>
  <c r="AL570" i="81"/>
  <c r="AL569" i="81"/>
  <c r="AL568" i="81"/>
  <c r="AL567" i="81"/>
  <c r="AL566" i="81"/>
  <c r="AL565" i="81"/>
  <c r="AL564" i="81"/>
  <c r="AL563" i="81"/>
  <c r="AL562" i="81"/>
  <c r="AL561" i="81"/>
  <c r="AL560" i="81"/>
  <c r="AL559" i="81"/>
  <c r="AL558" i="81"/>
  <c r="AL557" i="81"/>
  <c r="AL556" i="81"/>
  <c r="AL555" i="81"/>
  <c r="AL554" i="81"/>
  <c r="AL553" i="81"/>
  <c r="AL552" i="81"/>
  <c r="AL551" i="81"/>
  <c r="AL550" i="81"/>
  <c r="AL549" i="81"/>
  <c r="AL548" i="81"/>
  <c r="AL547" i="81"/>
  <c r="AL546" i="81"/>
  <c r="AL545" i="81"/>
  <c r="AL544" i="81"/>
  <c r="AL543" i="81"/>
  <c r="AL542" i="81"/>
  <c r="AL541" i="81"/>
  <c r="AL540" i="81"/>
  <c r="AL539" i="81"/>
  <c r="AL538" i="81"/>
  <c r="AL537" i="81"/>
  <c r="AL536" i="81"/>
  <c r="AL535" i="81"/>
  <c r="AL534" i="81"/>
  <c r="AL533" i="81"/>
  <c r="AL532" i="81"/>
  <c r="AL531" i="81"/>
  <c r="AL530" i="81"/>
  <c r="AL529" i="81"/>
  <c r="AL528" i="81"/>
  <c r="AL527" i="81"/>
  <c r="AL526" i="81"/>
  <c r="AL525" i="81"/>
  <c r="AL524" i="81"/>
  <c r="AL523" i="81"/>
  <c r="AL522" i="81"/>
  <c r="AL521" i="81"/>
  <c r="AL520" i="81"/>
  <c r="AL519" i="81"/>
  <c r="AL518" i="81"/>
  <c r="AL517" i="81"/>
  <c r="AL516" i="81"/>
  <c r="AL515" i="81"/>
  <c r="AL514" i="81"/>
  <c r="AL513" i="81"/>
  <c r="AL512" i="81"/>
  <c r="AL511" i="81"/>
  <c r="AL510" i="81"/>
  <c r="AL509" i="81"/>
  <c r="AL508" i="81"/>
  <c r="AL507" i="81"/>
  <c r="AL506" i="81"/>
  <c r="AL505" i="81"/>
  <c r="AL504" i="81"/>
  <c r="AL503" i="81"/>
  <c r="AL502" i="81"/>
  <c r="AL501" i="81"/>
  <c r="AL500" i="81"/>
  <c r="AL499" i="81"/>
  <c r="AL498" i="81"/>
  <c r="AL497" i="81"/>
  <c r="AL496" i="81"/>
  <c r="AL495" i="81"/>
  <c r="AL494" i="81"/>
  <c r="AL493" i="81"/>
  <c r="AL492" i="81"/>
  <c r="AL491" i="81"/>
  <c r="AL490" i="81"/>
  <c r="AL489" i="81"/>
  <c r="AL488" i="81"/>
  <c r="AL487" i="81"/>
  <c r="AL486" i="81"/>
  <c r="AL485" i="81"/>
  <c r="AL484" i="81"/>
  <c r="AL483" i="81"/>
  <c r="AL482" i="81"/>
  <c r="AL481" i="81"/>
  <c r="AL480" i="81"/>
  <c r="AL479" i="81"/>
  <c r="AL478" i="81"/>
  <c r="AL477" i="81"/>
  <c r="AL476" i="81"/>
  <c r="AL475" i="81"/>
  <c r="AL474" i="81"/>
  <c r="AL473" i="81"/>
  <c r="AL472" i="81"/>
  <c r="AL471" i="81"/>
  <c r="AL470" i="81"/>
  <c r="AL469" i="81"/>
  <c r="AL468" i="81"/>
  <c r="AL467" i="81"/>
  <c r="AL466" i="81"/>
  <c r="AL465" i="81"/>
  <c r="AL464" i="81"/>
  <c r="AL463" i="81"/>
  <c r="AL462" i="81"/>
  <c r="AL461" i="81"/>
  <c r="AL460" i="81"/>
  <c r="AL459" i="81"/>
  <c r="AL458" i="81"/>
  <c r="AL457" i="81"/>
  <c r="AL456" i="81"/>
  <c r="AL455" i="81"/>
  <c r="AL454" i="81"/>
  <c r="AL453" i="81"/>
  <c r="AL452" i="81"/>
  <c r="AL451" i="81"/>
  <c r="AL450" i="81"/>
  <c r="AL449" i="81"/>
  <c r="AL448" i="81"/>
  <c r="AL447" i="81"/>
  <c r="AL446" i="81"/>
  <c r="AL445" i="81"/>
  <c r="AL444" i="81"/>
  <c r="AL443" i="81"/>
  <c r="AL442" i="81"/>
  <c r="AL441" i="81"/>
  <c r="AL440" i="81"/>
  <c r="AL439" i="81"/>
  <c r="AL438" i="81"/>
  <c r="AL437" i="81"/>
  <c r="AL436" i="81"/>
  <c r="AL435" i="81"/>
  <c r="AL434" i="81"/>
  <c r="AL433" i="81"/>
  <c r="AL432" i="81"/>
  <c r="AL431" i="81"/>
  <c r="AL430" i="81"/>
  <c r="AL429" i="81"/>
  <c r="AL428" i="81"/>
  <c r="AL427" i="81"/>
  <c r="AL426" i="81"/>
  <c r="AL425" i="81"/>
  <c r="AL424" i="81"/>
  <c r="AL423" i="81"/>
  <c r="AL422" i="81"/>
  <c r="AL421" i="81"/>
  <c r="AL420" i="81"/>
  <c r="AL419" i="81"/>
  <c r="AL418" i="81"/>
  <c r="AL417" i="81"/>
  <c r="AL416" i="81"/>
  <c r="AL415" i="81"/>
  <c r="AL414" i="81"/>
  <c r="AL413" i="81"/>
  <c r="AL412" i="81"/>
  <c r="AL411" i="81"/>
  <c r="AL410" i="81"/>
  <c r="AL409" i="81"/>
  <c r="AL408" i="81"/>
  <c r="AL407" i="81"/>
  <c r="AL406" i="81"/>
  <c r="AL405" i="81"/>
  <c r="AL404" i="81"/>
  <c r="AL403" i="81"/>
  <c r="AL402" i="81"/>
  <c r="AL401" i="81"/>
  <c r="AL400" i="81"/>
  <c r="AL399" i="81"/>
  <c r="AL398" i="81"/>
  <c r="AL397" i="81"/>
  <c r="AL396" i="81"/>
  <c r="AL395" i="81"/>
  <c r="AL394" i="81"/>
  <c r="AL393" i="81"/>
  <c r="AL392" i="81"/>
  <c r="AL391" i="81"/>
  <c r="AL390" i="81"/>
  <c r="AL389" i="81"/>
  <c r="AL388" i="81"/>
  <c r="AL387" i="81"/>
  <c r="AL386" i="81"/>
  <c r="AL385" i="81"/>
  <c r="AL384" i="81"/>
  <c r="AL383" i="81"/>
  <c r="AL382" i="81"/>
  <c r="AL381" i="81"/>
  <c r="AL380" i="81"/>
  <c r="AL379" i="81"/>
  <c r="AL378" i="81"/>
  <c r="AL377" i="81"/>
  <c r="AL376" i="81"/>
  <c r="AL375" i="81"/>
  <c r="AL374" i="81"/>
  <c r="AL373" i="81"/>
  <c r="AL372" i="81"/>
  <c r="AL371" i="81"/>
  <c r="AL370" i="81"/>
  <c r="AL369" i="81"/>
  <c r="AL368" i="81"/>
  <c r="AL367" i="81"/>
  <c r="AL366" i="81"/>
  <c r="AL365" i="81"/>
  <c r="AL364" i="81"/>
  <c r="AL363" i="81"/>
  <c r="AL362" i="81"/>
  <c r="AL361" i="81"/>
  <c r="AL360" i="81"/>
  <c r="AL359" i="81"/>
  <c r="AL358" i="81"/>
  <c r="AL357" i="81"/>
  <c r="AL356" i="81"/>
  <c r="AL355" i="81"/>
  <c r="AL354" i="81"/>
  <c r="AL353" i="81"/>
  <c r="AL352" i="81"/>
  <c r="AL351" i="81"/>
  <c r="AL350" i="81"/>
  <c r="AL349" i="81"/>
  <c r="AL348" i="81"/>
  <c r="AL347" i="81"/>
  <c r="AL346" i="81"/>
  <c r="AL345" i="81"/>
  <c r="AL344" i="81"/>
  <c r="AL343" i="81"/>
  <c r="AL342" i="81"/>
  <c r="AL341" i="81"/>
  <c r="AL340" i="81"/>
  <c r="AL339" i="81"/>
  <c r="AL338" i="81"/>
  <c r="AL337" i="81"/>
  <c r="AL336" i="81"/>
  <c r="AL335" i="81"/>
  <c r="AL334" i="81"/>
  <c r="AL333" i="81"/>
  <c r="AL332" i="81"/>
  <c r="AL331" i="81"/>
  <c r="AL330" i="81"/>
  <c r="AL329" i="81"/>
  <c r="AL328" i="81"/>
  <c r="AL327" i="81"/>
  <c r="AL326" i="81"/>
  <c r="AL325" i="81"/>
  <c r="AL324" i="81"/>
  <c r="AL323" i="81"/>
  <c r="AL322" i="81"/>
  <c r="AL321" i="81"/>
  <c r="AL320" i="81"/>
  <c r="AL319" i="81"/>
  <c r="AL318" i="81"/>
  <c r="AL317" i="81"/>
  <c r="AL316" i="81"/>
  <c r="AL315" i="81"/>
  <c r="AL314" i="81"/>
  <c r="AL313" i="81"/>
  <c r="AL312" i="81"/>
  <c r="AL311" i="81"/>
  <c r="AL310" i="81"/>
  <c r="AL309" i="81"/>
  <c r="AL308" i="81"/>
  <c r="AL307" i="81"/>
  <c r="AL306" i="81"/>
  <c r="AL305" i="81"/>
  <c r="AL304" i="81"/>
  <c r="AL303" i="81"/>
  <c r="AL302" i="81"/>
  <c r="AL301" i="81"/>
  <c r="AL300" i="81"/>
  <c r="AL299" i="81"/>
  <c r="AL298" i="81"/>
  <c r="AL297" i="81"/>
  <c r="AL296" i="81"/>
  <c r="AL295" i="81"/>
  <c r="AL294" i="81"/>
  <c r="AL293" i="81"/>
  <c r="AL292" i="81"/>
  <c r="AL291" i="81"/>
  <c r="AL290" i="81"/>
  <c r="AL289" i="81"/>
  <c r="AL288" i="81"/>
  <c r="AL287" i="81"/>
  <c r="AL286" i="81"/>
  <c r="AL285" i="81"/>
  <c r="AL284" i="81"/>
  <c r="AL283" i="81"/>
  <c r="AL282" i="81"/>
  <c r="AL281" i="81"/>
  <c r="AL280" i="81"/>
  <c r="AL279" i="81"/>
  <c r="AL278" i="81"/>
  <c r="AL277" i="81"/>
  <c r="AL276" i="81"/>
  <c r="AL275" i="81"/>
  <c r="AL274" i="81"/>
  <c r="AL273" i="81"/>
  <c r="AL272" i="81"/>
  <c r="AL271" i="81"/>
  <c r="AL270" i="81"/>
  <c r="AL269" i="81"/>
  <c r="AL268" i="81"/>
  <c r="AL267" i="81"/>
  <c r="AL266" i="81"/>
  <c r="AL265" i="81"/>
  <c r="AL264" i="81"/>
  <c r="AL263" i="81"/>
  <c r="AL262" i="81"/>
  <c r="AL261" i="81"/>
  <c r="AL260" i="81"/>
  <c r="AL259" i="81"/>
  <c r="AL258" i="81"/>
  <c r="AL257" i="81"/>
  <c r="AL256" i="81"/>
  <c r="AL255" i="81"/>
  <c r="AL254" i="81"/>
  <c r="AL253" i="81"/>
  <c r="AL252" i="81"/>
  <c r="AL251" i="81"/>
  <c r="AL250" i="81"/>
  <c r="AL249" i="81"/>
  <c r="AL248" i="81"/>
  <c r="AL247" i="81"/>
  <c r="AL246" i="81"/>
  <c r="AL245" i="81"/>
  <c r="AL244" i="81"/>
  <c r="AL243" i="81"/>
  <c r="AL242" i="81"/>
  <c r="AL241" i="81"/>
  <c r="AL240" i="81"/>
  <c r="AL239" i="81"/>
  <c r="AL238" i="81"/>
  <c r="AL237" i="81"/>
  <c r="AL236" i="81"/>
  <c r="AL235" i="81"/>
  <c r="AL234" i="81"/>
  <c r="AL233" i="81"/>
  <c r="AL232" i="81"/>
  <c r="AL231" i="81"/>
  <c r="AL230" i="81"/>
  <c r="AL229" i="81"/>
  <c r="AL228" i="81"/>
  <c r="AL227" i="81"/>
  <c r="AL226" i="81"/>
  <c r="AL225" i="81"/>
  <c r="AL224" i="81"/>
  <c r="AL223" i="81"/>
  <c r="AL222" i="81"/>
  <c r="AL221" i="81"/>
  <c r="AL220" i="81"/>
  <c r="AL219" i="81"/>
  <c r="AL218" i="81"/>
  <c r="AL217" i="81"/>
  <c r="AL216" i="81"/>
  <c r="AL215" i="81"/>
  <c r="AL214" i="81"/>
  <c r="AL213" i="81"/>
  <c r="AL212" i="81"/>
  <c r="AL211" i="81"/>
  <c r="AL210" i="81"/>
  <c r="AL209" i="81"/>
  <c r="AL208" i="81"/>
  <c r="AL207" i="81"/>
  <c r="AL206" i="81"/>
  <c r="AL205" i="81"/>
  <c r="AL204" i="81"/>
  <c r="AL203" i="81"/>
  <c r="AL202" i="81"/>
  <c r="AL201" i="81"/>
  <c r="AL200" i="81"/>
  <c r="AL199" i="81"/>
  <c r="AL198" i="81"/>
  <c r="AL197" i="81"/>
  <c r="AL196" i="81"/>
  <c r="AL195" i="81"/>
  <c r="AL194" i="81"/>
  <c r="AL193" i="81"/>
  <c r="AL192" i="81"/>
  <c r="AL191" i="81"/>
  <c r="AL190" i="81"/>
  <c r="AL189" i="81"/>
  <c r="AL188" i="81"/>
  <c r="AL187" i="81"/>
  <c r="AL186" i="81"/>
  <c r="AL185" i="81"/>
  <c r="AL184" i="81"/>
  <c r="AL183" i="81"/>
  <c r="AL182" i="81"/>
  <c r="AL181" i="81"/>
  <c r="AL180" i="81"/>
  <c r="AL179" i="81"/>
  <c r="AL178" i="81"/>
  <c r="AL177" i="81"/>
  <c r="AL176" i="81"/>
  <c r="AL175" i="81"/>
  <c r="AL174" i="81"/>
  <c r="AL173" i="81"/>
  <c r="AL172" i="81"/>
  <c r="AL171" i="81"/>
  <c r="AL170" i="81"/>
  <c r="AL169" i="81"/>
  <c r="AL168" i="81"/>
  <c r="AL167" i="81"/>
  <c r="AL166" i="81"/>
  <c r="AL165" i="81"/>
  <c r="AL164" i="81"/>
  <c r="AL163" i="81"/>
  <c r="AL162" i="81"/>
  <c r="AL161" i="81"/>
  <c r="AL160" i="81"/>
  <c r="AL159" i="81"/>
  <c r="AL158" i="81"/>
  <c r="AL157" i="81"/>
  <c r="AL156" i="81"/>
  <c r="AL155" i="81"/>
  <c r="AL154" i="81"/>
  <c r="AL153" i="81"/>
  <c r="AL152" i="81"/>
  <c r="AL151" i="81"/>
  <c r="AL150" i="81"/>
  <c r="AL149" i="81"/>
  <c r="AL148" i="81"/>
  <c r="AL147" i="81"/>
  <c r="AL146" i="81"/>
  <c r="AL145" i="81"/>
  <c r="AL144" i="81"/>
  <c r="AL143" i="81"/>
  <c r="Q143" i="81"/>
  <c r="P143" i="81"/>
  <c r="O143" i="81"/>
  <c r="N143" i="81"/>
  <c r="L143" i="81"/>
  <c r="AL142" i="81"/>
  <c r="Q142" i="81"/>
  <c r="P142" i="81"/>
  <c r="O142" i="81"/>
  <c r="N142" i="81"/>
  <c r="L142" i="81"/>
  <c r="AL141" i="81"/>
  <c r="Q141" i="81"/>
  <c r="P141" i="81"/>
  <c r="O141" i="81"/>
  <c r="N141" i="81"/>
  <c r="L141" i="81"/>
  <c r="AL140" i="81"/>
  <c r="Q140" i="81"/>
  <c r="P140" i="81"/>
  <c r="O140" i="81"/>
  <c r="F140" i="81" s="1"/>
  <c r="N140" i="81"/>
  <c r="L140" i="81"/>
  <c r="AL139" i="81"/>
  <c r="Q139" i="81"/>
  <c r="P139" i="81"/>
  <c r="O139" i="81"/>
  <c r="N139" i="81"/>
  <c r="L139" i="81"/>
  <c r="AL138" i="81"/>
  <c r="Q138" i="81"/>
  <c r="P138" i="81"/>
  <c r="O138" i="81"/>
  <c r="N138" i="81"/>
  <c r="L138" i="81"/>
  <c r="AL137" i="81"/>
  <c r="Q137" i="81"/>
  <c r="P137" i="81"/>
  <c r="O137" i="81"/>
  <c r="N137" i="81"/>
  <c r="L137" i="81"/>
  <c r="AL136" i="81"/>
  <c r="Q136" i="81"/>
  <c r="P136" i="81"/>
  <c r="O136" i="81"/>
  <c r="F136" i="81" s="1"/>
  <c r="N136" i="81"/>
  <c r="L136" i="81"/>
  <c r="AL135" i="81"/>
  <c r="Q135" i="81"/>
  <c r="P135" i="81"/>
  <c r="O135" i="81"/>
  <c r="N135" i="81"/>
  <c r="L135" i="81"/>
  <c r="AL134" i="81"/>
  <c r="Q134" i="81"/>
  <c r="P134" i="81"/>
  <c r="O134" i="81"/>
  <c r="N134" i="81"/>
  <c r="L134" i="81"/>
  <c r="AL133" i="81"/>
  <c r="Q133" i="81"/>
  <c r="P133" i="81"/>
  <c r="O133" i="81"/>
  <c r="N133" i="81"/>
  <c r="L133" i="81"/>
  <c r="AL132" i="81"/>
  <c r="Q132" i="81"/>
  <c r="P132" i="81"/>
  <c r="O132" i="81"/>
  <c r="F132" i="81" s="1"/>
  <c r="N132" i="81"/>
  <c r="L132" i="81"/>
  <c r="AL131" i="81"/>
  <c r="Q131" i="81"/>
  <c r="P131" i="81"/>
  <c r="O131" i="81"/>
  <c r="N131" i="81"/>
  <c r="L131" i="81"/>
  <c r="AL130" i="81"/>
  <c r="Q130" i="81"/>
  <c r="P130" i="81"/>
  <c r="O130" i="81"/>
  <c r="N130" i="81"/>
  <c r="L130" i="81"/>
  <c r="AL129" i="81"/>
  <c r="Q129" i="81"/>
  <c r="P129" i="81"/>
  <c r="O129" i="81"/>
  <c r="N129" i="81"/>
  <c r="L129" i="81"/>
  <c r="AL128" i="81"/>
  <c r="Q128" i="81"/>
  <c r="P128" i="81"/>
  <c r="O128" i="81"/>
  <c r="F128" i="81" s="1"/>
  <c r="N128" i="81"/>
  <c r="L128" i="81"/>
  <c r="AL127" i="81"/>
  <c r="Q127" i="81"/>
  <c r="P127" i="81"/>
  <c r="O127" i="81"/>
  <c r="N127" i="81"/>
  <c r="L127" i="81"/>
  <c r="AL126" i="81"/>
  <c r="Q126" i="81"/>
  <c r="P126" i="81"/>
  <c r="O126" i="81"/>
  <c r="N126" i="81"/>
  <c r="L126" i="81"/>
  <c r="AL125" i="81"/>
  <c r="Q125" i="81"/>
  <c r="P125" i="81"/>
  <c r="O125" i="81"/>
  <c r="N125" i="81"/>
  <c r="L125" i="81"/>
  <c r="AL124" i="81"/>
  <c r="Q124" i="81"/>
  <c r="P124" i="81"/>
  <c r="O124" i="81"/>
  <c r="F124" i="81" s="1"/>
  <c r="N124" i="81"/>
  <c r="L124" i="81"/>
  <c r="AL123" i="81"/>
  <c r="Q123" i="81"/>
  <c r="P123" i="81"/>
  <c r="O123" i="81"/>
  <c r="N123" i="81"/>
  <c r="L123" i="81"/>
  <c r="AL122" i="81"/>
  <c r="Q122" i="81"/>
  <c r="P122" i="81"/>
  <c r="O122" i="81"/>
  <c r="N122" i="81"/>
  <c r="L122" i="81"/>
  <c r="AL121" i="81"/>
  <c r="Q121" i="81"/>
  <c r="P121" i="81"/>
  <c r="O121" i="81"/>
  <c r="N121" i="81"/>
  <c r="L121" i="81"/>
  <c r="AL120" i="81"/>
  <c r="Q120" i="81"/>
  <c r="P120" i="81"/>
  <c r="O120" i="81"/>
  <c r="F120" i="81" s="1"/>
  <c r="N120" i="81"/>
  <c r="L120" i="81"/>
  <c r="AL119" i="81"/>
  <c r="Q119" i="81"/>
  <c r="P119" i="81"/>
  <c r="O119" i="81"/>
  <c r="N119" i="81"/>
  <c r="L119" i="81"/>
  <c r="AL118" i="81"/>
  <c r="Q118" i="81"/>
  <c r="P118" i="81"/>
  <c r="O118" i="81"/>
  <c r="N118" i="81"/>
  <c r="L118" i="81"/>
  <c r="AL117" i="81"/>
  <c r="Q117" i="81"/>
  <c r="P117" i="81"/>
  <c r="O117" i="81"/>
  <c r="N117" i="81"/>
  <c r="L117" i="81"/>
  <c r="AL116" i="81"/>
  <c r="Q116" i="81"/>
  <c r="P116" i="81"/>
  <c r="O116" i="81"/>
  <c r="F116" i="81" s="1"/>
  <c r="N116" i="81"/>
  <c r="L116" i="81"/>
  <c r="AL115" i="81"/>
  <c r="Q115" i="81"/>
  <c r="P115" i="81"/>
  <c r="O115" i="81"/>
  <c r="N115" i="81"/>
  <c r="L115" i="81"/>
  <c r="AL114" i="81"/>
  <c r="Q114" i="81"/>
  <c r="P114" i="81"/>
  <c r="O114" i="81"/>
  <c r="N114" i="81"/>
  <c r="L114" i="81"/>
  <c r="AL113" i="81"/>
  <c r="Q113" i="81"/>
  <c r="P113" i="81"/>
  <c r="O113" i="81"/>
  <c r="N113" i="81"/>
  <c r="L113" i="81"/>
  <c r="AL112" i="81"/>
  <c r="Q112" i="81"/>
  <c r="P112" i="81"/>
  <c r="O112" i="81"/>
  <c r="F112" i="81" s="1"/>
  <c r="N112" i="81"/>
  <c r="L112" i="81"/>
  <c r="AL111" i="81"/>
  <c r="Q111" i="81"/>
  <c r="P111" i="81"/>
  <c r="O111" i="81"/>
  <c r="N111" i="81"/>
  <c r="L111" i="81"/>
  <c r="AL110" i="81"/>
  <c r="Q110" i="81"/>
  <c r="P110" i="81"/>
  <c r="O110" i="81"/>
  <c r="N110" i="81"/>
  <c r="L110" i="81"/>
  <c r="AL109" i="81"/>
  <c r="Q109" i="81"/>
  <c r="P109" i="81"/>
  <c r="O109" i="81"/>
  <c r="N109" i="81"/>
  <c r="L109" i="81"/>
  <c r="AL108" i="81"/>
  <c r="Q108" i="81"/>
  <c r="P108" i="81"/>
  <c r="O108" i="81"/>
  <c r="F108" i="81" s="1"/>
  <c r="N108" i="81"/>
  <c r="L108" i="81"/>
  <c r="AL107" i="81"/>
  <c r="Q107" i="81"/>
  <c r="P107" i="81"/>
  <c r="O107" i="81"/>
  <c r="N107" i="81"/>
  <c r="L107" i="81"/>
  <c r="AL106" i="81"/>
  <c r="Q106" i="81"/>
  <c r="P106" i="81"/>
  <c r="O106" i="81"/>
  <c r="N106" i="81"/>
  <c r="L106" i="81"/>
  <c r="AL105" i="81"/>
  <c r="Q105" i="81"/>
  <c r="P105" i="81"/>
  <c r="O105" i="81"/>
  <c r="N105" i="81"/>
  <c r="L105" i="81"/>
  <c r="AL104" i="81"/>
  <c r="Q104" i="81"/>
  <c r="P104" i="81"/>
  <c r="O104" i="81"/>
  <c r="F104" i="81" s="1"/>
  <c r="N104" i="81"/>
  <c r="L104" i="81"/>
  <c r="AL103" i="81"/>
  <c r="Q103" i="81"/>
  <c r="P103" i="81"/>
  <c r="O103" i="81"/>
  <c r="N103" i="81"/>
  <c r="L103" i="81"/>
  <c r="AL102" i="81"/>
  <c r="Q102" i="81"/>
  <c r="P102" i="81"/>
  <c r="O102" i="81"/>
  <c r="N102" i="81"/>
  <c r="L102" i="81"/>
  <c r="AL101" i="81"/>
  <c r="Q101" i="81"/>
  <c r="P101" i="81"/>
  <c r="O101" i="81"/>
  <c r="N101" i="81"/>
  <c r="L101" i="81"/>
  <c r="AL100" i="81"/>
  <c r="Q100" i="81"/>
  <c r="P100" i="81"/>
  <c r="O100" i="81"/>
  <c r="F100" i="81" s="1"/>
  <c r="N100" i="81"/>
  <c r="L100" i="81"/>
  <c r="AL99" i="81"/>
  <c r="Q99" i="81"/>
  <c r="P99" i="81"/>
  <c r="O99" i="81"/>
  <c r="N99" i="81"/>
  <c r="L99" i="81"/>
  <c r="AL98" i="81"/>
  <c r="Q98" i="81"/>
  <c r="P98" i="81"/>
  <c r="O98" i="81"/>
  <c r="N98" i="81"/>
  <c r="L98" i="81"/>
  <c r="AL97" i="81"/>
  <c r="Q97" i="81"/>
  <c r="P97" i="81"/>
  <c r="O97" i="81"/>
  <c r="N97" i="81"/>
  <c r="L97" i="81"/>
  <c r="AL96" i="81"/>
  <c r="Q96" i="81"/>
  <c r="P96" i="81"/>
  <c r="O96" i="81"/>
  <c r="F96" i="81" s="1"/>
  <c r="N96" i="81"/>
  <c r="L96" i="81"/>
  <c r="AL95" i="81"/>
  <c r="Q95" i="81"/>
  <c r="P95" i="81"/>
  <c r="O95" i="81"/>
  <c r="N95" i="81"/>
  <c r="L95" i="81"/>
  <c r="AL94" i="81"/>
  <c r="Q94" i="81"/>
  <c r="P94" i="81"/>
  <c r="O94" i="81"/>
  <c r="N94" i="81"/>
  <c r="L94" i="81"/>
  <c r="AL93" i="81"/>
  <c r="Q93" i="81"/>
  <c r="P93" i="81"/>
  <c r="O93" i="81"/>
  <c r="N93" i="81"/>
  <c r="L93" i="81"/>
  <c r="AL92" i="81"/>
  <c r="Q92" i="81"/>
  <c r="P92" i="81"/>
  <c r="O92" i="81"/>
  <c r="F92" i="81" s="1"/>
  <c r="N92" i="81"/>
  <c r="L92" i="81"/>
  <c r="AL91" i="81"/>
  <c r="Q91" i="81"/>
  <c r="P91" i="81"/>
  <c r="O91" i="81"/>
  <c r="N91" i="81"/>
  <c r="L91" i="81"/>
  <c r="AL90" i="81"/>
  <c r="Q90" i="81"/>
  <c r="P90" i="81"/>
  <c r="O90" i="81"/>
  <c r="N90" i="81"/>
  <c r="L90" i="81"/>
  <c r="AL89" i="81"/>
  <c r="Q89" i="81"/>
  <c r="P89" i="81"/>
  <c r="O89" i="81"/>
  <c r="N89" i="81"/>
  <c r="L89" i="81"/>
  <c r="AL88" i="81"/>
  <c r="Q88" i="81"/>
  <c r="P88" i="81"/>
  <c r="O88" i="81"/>
  <c r="F88" i="81" s="1"/>
  <c r="N88" i="81"/>
  <c r="L88" i="81"/>
  <c r="AL87" i="81"/>
  <c r="Q87" i="81"/>
  <c r="P87" i="81"/>
  <c r="O87" i="81"/>
  <c r="N87" i="81"/>
  <c r="L87" i="81"/>
  <c r="AL86" i="81"/>
  <c r="Q86" i="81"/>
  <c r="P86" i="81"/>
  <c r="O86" i="81"/>
  <c r="N86" i="81"/>
  <c r="L86" i="81"/>
  <c r="AL85" i="81"/>
  <c r="Q85" i="81"/>
  <c r="P85" i="81"/>
  <c r="O85" i="81"/>
  <c r="N85" i="81"/>
  <c r="L85" i="81"/>
  <c r="AL84" i="81"/>
  <c r="Q84" i="81"/>
  <c r="P84" i="81"/>
  <c r="O84" i="81"/>
  <c r="F84" i="81" s="1"/>
  <c r="N84" i="81"/>
  <c r="L84" i="81"/>
  <c r="AL83" i="81"/>
  <c r="Q83" i="81"/>
  <c r="P83" i="81"/>
  <c r="O83" i="81"/>
  <c r="N83" i="81"/>
  <c r="L83" i="81"/>
  <c r="AL82" i="81"/>
  <c r="Q82" i="81"/>
  <c r="P82" i="81"/>
  <c r="O82" i="81"/>
  <c r="N82" i="81"/>
  <c r="L82" i="81"/>
  <c r="AL81" i="81"/>
  <c r="Q81" i="81"/>
  <c r="P81" i="81"/>
  <c r="O81" i="81"/>
  <c r="N81" i="81"/>
  <c r="L81" i="81"/>
  <c r="AL80" i="81"/>
  <c r="Q80" i="81"/>
  <c r="P80" i="81"/>
  <c r="O80" i="81"/>
  <c r="F80" i="81" s="1"/>
  <c r="N80" i="81"/>
  <c r="L80" i="81"/>
  <c r="AL79" i="81"/>
  <c r="Q79" i="81"/>
  <c r="P79" i="81"/>
  <c r="O79" i="81"/>
  <c r="N79" i="81"/>
  <c r="L79" i="81"/>
  <c r="AL78" i="81"/>
  <c r="Q78" i="81"/>
  <c r="P78" i="81"/>
  <c r="O78" i="81"/>
  <c r="N78" i="81"/>
  <c r="L78" i="81"/>
  <c r="AL77" i="81"/>
  <c r="Q77" i="81"/>
  <c r="P77" i="81"/>
  <c r="O77" i="81"/>
  <c r="N77" i="81"/>
  <c r="L77" i="81"/>
  <c r="AL76" i="81"/>
  <c r="Q76" i="81"/>
  <c r="P76" i="81"/>
  <c r="O76" i="81"/>
  <c r="F76" i="81" s="1"/>
  <c r="N76" i="81"/>
  <c r="L76" i="81"/>
  <c r="AL75" i="81"/>
  <c r="Q75" i="81"/>
  <c r="P75" i="81"/>
  <c r="O75" i="81"/>
  <c r="N75" i="81"/>
  <c r="L75" i="81"/>
  <c r="AL74" i="81"/>
  <c r="Q74" i="81"/>
  <c r="P74" i="81"/>
  <c r="O74" i="81"/>
  <c r="N74" i="81"/>
  <c r="L74" i="81"/>
  <c r="AL73" i="81"/>
  <c r="Q73" i="81"/>
  <c r="P73" i="81"/>
  <c r="O73" i="81"/>
  <c r="N73" i="81"/>
  <c r="L73" i="81"/>
  <c r="AL72" i="81"/>
  <c r="Q72" i="81"/>
  <c r="P72" i="81"/>
  <c r="O72" i="81"/>
  <c r="F72" i="81" s="1"/>
  <c r="N72" i="81"/>
  <c r="L72" i="81"/>
  <c r="AL71" i="81"/>
  <c r="Q71" i="81"/>
  <c r="P71" i="81"/>
  <c r="O71" i="81"/>
  <c r="N71" i="81"/>
  <c r="L71" i="81"/>
  <c r="AL70" i="81"/>
  <c r="Q70" i="81"/>
  <c r="P70" i="81"/>
  <c r="O70" i="81"/>
  <c r="N70" i="81"/>
  <c r="L70" i="81"/>
  <c r="AL69" i="81"/>
  <c r="Q69" i="81"/>
  <c r="P69" i="81"/>
  <c r="O69" i="81"/>
  <c r="N69" i="81"/>
  <c r="L69" i="81"/>
  <c r="AL68" i="81"/>
  <c r="Q68" i="81"/>
  <c r="P68" i="81"/>
  <c r="O68" i="81"/>
  <c r="F68" i="81" s="1"/>
  <c r="N68" i="81"/>
  <c r="L68" i="81"/>
  <c r="AL67" i="81"/>
  <c r="Q67" i="81"/>
  <c r="P67" i="81"/>
  <c r="O67" i="81"/>
  <c r="N67" i="81"/>
  <c r="L67" i="81"/>
  <c r="AL66" i="81"/>
  <c r="Q66" i="81"/>
  <c r="P66" i="81"/>
  <c r="O66" i="81"/>
  <c r="N66" i="81"/>
  <c r="L66" i="81"/>
  <c r="AL65" i="81"/>
  <c r="Q65" i="81"/>
  <c r="P65" i="81"/>
  <c r="O65" i="81"/>
  <c r="N65" i="81"/>
  <c r="L65" i="81"/>
  <c r="AL64" i="81"/>
  <c r="Q64" i="81"/>
  <c r="P64" i="81"/>
  <c r="O64" i="81"/>
  <c r="F64" i="81" s="1"/>
  <c r="N64" i="81"/>
  <c r="L64" i="81"/>
  <c r="AL63" i="81"/>
  <c r="Q63" i="81"/>
  <c r="P63" i="81"/>
  <c r="O63" i="81"/>
  <c r="N63" i="81"/>
  <c r="L63" i="81"/>
  <c r="AL62" i="81"/>
  <c r="Q62" i="81"/>
  <c r="P62" i="81"/>
  <c r="O62" i="81"/>
  <c r="N62" i="81"/>
  <c r="L62" i="81"/>
  <c r="AL61" i="81"/>
  <c r="Q61" i="81"/>
  <c r="P61" i="81"/>
  <c r="O61" i="81"/>
  <c r="N61" i="81"/>
  <c r="L61" i="81"/>
  <c r="AL60" i="81"/>
  <c r="Q60" i="81"/>
  <c r="P60" i="81"/>
  <c r="O60" i="81"/>
  <c r="F60" i="81" s="1"/>
  <c r="N60" i="81"/>
  <c r="L60" i="81"/>
  <c r="AL59" i="81"/>
  <c r="Q59" i="81"/>
  <c r="P59" i="81"/>
  <c r="O59" i="81"/>
  <c r="N59" i="81"/>
  <c r="L59" i="81"/>
  <c r="AL58" i="81"/>
  <c r="Q58" i="81"/>
  <c r="P58" i="81"/>
  <c r="F58" i="81" s="1"/>
  <c r="O58" i="81"/>
  <c r="N58" i="81"/>
  <c r="L58" i="81"/>
  <c r="AL57" i="81"/>
  <c r="Q57" i="81"/>
  <c r="P57" i="81"/>
  <c r="O57" i="81"/>
  <c r="F57" i="81" s="1"/>
  <c r="N57" i="81"/>
  <c r="L57" i="81"/>
  <c r="AL56" i="81"/>
  <c r="Q56" i="81"/>
  <c r="P56" i="81"/>
  <c r="O56" i="81"/>
  <c r="N56" i="81"/>
  <c r="L56" i="81"/>
  <c r="F56" i="81"/>
  <c r="AL55" i="81"/>
  <c r="Q55" i="81"/>
  <c r="P55" i="81"/>
  <c r="O55" i="81"/>
  <c r="N55" i="81"/>
  <c r="L55" i="81"/>
  <c r="AL54" i="81"/>
  <c r="Q54" i="81"/>
  <c r="P54" i="81"/>
  <c r="O54" i="81"/>
  <c r="F54" i="81" s="1"/>
  <c r="N54" i="81"/>
  <c r="L54" i="81"/>
  <c r="AL53" i="81"/>
  <c r="Q53" i="81"/>
  <c r="P53" i="81"/>
  <c r="O53" i="81"/>
  <c r="N53" i="81"/>
  <c r="L53" i="81"/>
  <c r="AL52" i="81"/>
  <c r="Q52" i="81"/>
  <c r="P52" i="81"/>
  <c r="O52" i="81"/>
  <c r="N52" i="81"/>
  <c r="L52" i="81"/>
  <c r="AL51" i="81"/>
  <c r="Q51" i="81"/>
  <c r="P51" i="81"/>
  <c r="O51" i="81"/>
  <c r="F51" i="81" s="1"/>
  <c r="N51" i="81"/>
  <c r="L51" i="81"/>
  <c r="AL50" i="81"/>
  <c r="Q50" i="81"/>
  <c r="P50" i="81"/>
  <c r="F50" i="81" s="1"/>
  <c r="O50" i="81"/>
  <c r="N50" i="81"/>
  <c r="L50" i="81"/>
  <c r="AL49" i="81"/>
  <c r="Q49" i="81"/>
  <c r="P49" i="81"/>
  <c r="O49" i="81"/>
  <c r="N49" i="81"/>
  <c r="L49" i="81"/>
  <c r="F49" i="81"/>
  <c r="AL48" i="81"/>
  <c r="Q48" i="81"/>
  <c r="P48" i="81"/>
  <c r="O48" i="81"/>
  <c r="N48" i="81"/>
  <c r="L48" i="81"/>
  <c r="F48" i="81"/>
  <c r="AL47" i="81"/>
  <c r="Q47" i="81"/>
  <c r="P47" i="81"/>
  <c r="O47" i="81"/>
  <c r="N47" i="81"/>
  <c r="L47" i="81"/>
  <c r="AL46" i="81"/>
  <c r="Q46" i="81"/>
  <c r="P46" i="81"/>
  <c r="O46" i="81"/>
  <c r="N46" i="81"/>
  <c r="L46" i="81"/>
  <c r="AL45" i="81"/>
  <c r="Q45" i="81"/>
  <c r="P45" i="81"/>
  <c r="O45" i="81"/>
  <c r="N45" i="81"/>
  <c r="L45" i="81"/>
  <c r="AL44" i="81"/>
  <c r="Q44" i="81"/>
  <c r="P44" i="81"/>
  <c r="O44" i="81"/>
  <c r="N44" i="81"/>
  <c r="L44" i="81"/>
  <c r="AL43" i="81"/>
  <c r="Q43" i="81"/>
  <c r="P43" i="81"/>
  <c r="O43" i="81"/>
  <c r="N43" i="81"/>
  <c r="L43" i="81"/>
  <c r="F43" i="81"/>
  <c r="AL42" i="81"/>
  <c r="Q42" i="81"/>
  <c r="P42" i="81"/>
  <c r="O42" i="81"/>
  <c r="N42" i="81"/>
  <c r="L42" i="81"/>
  <c r="AL41" i="81"/>
  <c r="Q41" i="81"/>
  <c r="P41" i="81"/>
  <c r="O41" i="81"/>
  <c r="F41" i="81" s="1"/>
  <c r="N41" i="81"/>
  <c r="L41" i="81"/>
  <c r="AL40" i="81"/>
  <c r="Q40" i="81"/>
  <c r="P40" i="81"/>
  <c r="O40" i="81"/>
  <c r="F40" i="81" s="1"/>
  <c r="N40" i="81"/>
  <c r="L40" i="81"/>
  <c r="AL39" i="81"/>
  <c r="Q39" i="81"/>
  <c r="P39" i="81"/>
  <c r="O39" i="81"/>
  <c r="F39" i="81" s="1"/>
  <c r="N39" i="81"/>
  <c r="L39" i="81"/>
  <c r="AL38" i="81"/>
  <c r="Q38" i="81"/>
  <c r="P38" i="81"/>
  <c r="O38" i="81"/>
  <c r="N38" i="81"/>
  <c r="L38" i="81"/>
  <c r="AL37" i="81"/>
  <c r="Q37" i="81"/>
  <c r="P37" i="81"/>
  <c r="O37" i="81"/>
  <c r="F37" i="81" s="1"/>
  <c r="N37" i="81"/>
  <c r="L37" i="81"/>
  <c r="AL36" i="81"/>
  <c r="Q36" i="81"/>
  <c r="P36" i="81"/>
  <c r="O36" i="81"/>
  <c r="N36" i="81"/>
  <c r="L36" i="81"/>
  <c r="AL35" i="81"/>
  <c r="Q35" i="81"/>
  <c r="P35" i="81"/>
  <c r="O35" i="81"/>
  <c r="F35" i="81" s="1"/>
  <c r="N35" i="81"/>
  <c r="L35" i="81"/>
  <c r="AL34" i="81"/>
  <c r="Q34" i="81"/>
  <c r="P34" i="81"/>
  <c r="O34" i="81"/>
  <c r="N34" i="81"/>
  <c r="L34" i="81"/>
  <c r="F34" i="81"/>
  <c r="AL33" i="81"/>
  <c r="Q33" i="81"/>
  <c r="P33" i="81"/>
  <c r="F33" i="81" s="1"/>
  <c r="O33" i="81"/>
  <c r="N33" i="81"/>
  <c r="L33" i="81"/>
  <c r="AL32" i="81"/>
  <c r="Q32" i="81"/>
  <c r="P32" i="81"/>
  <c r="O32" i="81"/>
  <c r="N32" i="81"/>
  <c r="L32" i="81"/>
  <c r="AL31" i="81"/>
  <c r="Q31" i="81"/>
  <c r="P31" i="81"/>
  <c r="O31" i="81"/>
  <c r="F31" i="81" s="1"/>
  <c r="N31" i="81"/>
  <c r="L31" i="81"/>
  <c r="AL30" i="81"/>
  <c r="Q30" i="81"/>
  <c r="P30" i="81"/>
  <c r="O30" i="81"/>
  <c r="N30" i="81"/>
  <c r="L30" i="81"/>
  <c r="F30" i="81"/>
  <c r="AL29" i="81"/>
  <c r="Q29" i="81"/>
  <c r="P29" i="81"/>
  <c r="O29" i="81"/>
  <c r="N29" i="81"/>
  <c r="L29" i="81"/>
  <c r="F29" i="81"/>
  <c r="AL28" i="81"/>
  <c r="Q28" i="81"/>
  <c r="P28" i="81"/>
  <c r="O28" i="81"/>
  <c r="F28" i="81" s="1"/>
  <c r="N28" i="81"/>
  <c r="L28" i="81"/>
  <c r="AL27" i="81"/>
  <c r="Q27" i="81"/>
  <c r="P27" i="81"/>
  <c r="O27" i="81"/>
  <c r="N27" i="81"/>
  <c r="L27" i="81"/>
  <c r="F27" i="81"/>
  <c r="AL26" i="81"/>
  <c r="Q26" i="81"/>
  <c r="P26" i="81"/>
  <c r="O26" i="81"/>
  <c r="N26" i="81"/>
  <c r="L26" i="81"/>
  <c r="AL25" i="81"/>
  <c r="Q25" i="81"/>
  <c r="P25" i="81"/>
  <c r="O25" i="81"/>
  <c r="F25" i="81" s="1"/>
  <c r="N25" i="81"/>
  <c r="L25" i="81"/>
  <c r="AL24" i="81"/>
  <c r="Q24" i="81"/>
  <c r="P24" i="81"/>
  <c r="O24" i="81"/>
  <c r="N24" i="81"/>
  <c r="L24" i="81"/>
  <c r="AL23" i="81"/>
  <c r="Q23" i="81"/>
  <c r="P23" i="81"/>
  <c r="O23" i="81"/>
  <c r="N23" i="81"/>
  <c r="L23" i="81"/>
  <c r="AL22" i="81"/>
  <c r="Q22" i="81"/>
  <c r="P22" i="81"/>
  <c r="O22" i="81"/>
  <c r="N22" i="81"/>
  <c r="L22" i="81"/>
  <c r="AL21" i="81"/>
  <c r="V21" i="81"/>
  <c r="Q21" i="81"/>
  <c r="P21" i="81"/>
  <c r="O21" i="81"/>
  <c r="N21" i="81"/>
  <c r="L21" i="81"/>
  <c r="AL20" i="81"/>
  <c r="V20" i="81"/>
  <c r="Q20" i="81"/>
  <c r="P20" i="81"/>
  <c r="O20" i="81"/>
  <c r="N20" i="81"/>
  <c r="L20" i="81"/>
  <c r="F20" i="81"/>
  <c r="AL19" i="81"/>
  <c r="V19" i="81"/>
  <c r="Q19" i="81"/>
  <c r="P19" i="81"/>
  <c r="O19" i="81"/>
  <c r="F19" i="81" s="1"/>
  <c r="N19" i="81"/>
  <c r="L19" i="81"/>
  <c r="AL18" i="81"/>
  <c r="Q18" i="81"/>
  <c r="P18" i="81"/>
  <c r="O18" i="81"/>
  <c r="N18" i="81"/>
  <c r="L18" i="81"/>
  <c r="AL17" i="81"/>
  <c r="Q17" i="81"/>
  <c r="P17" i="81"/>
  <c r="O17" i="81"/>
  <c r="N17" i="81"/>
  <c r="L17" i="81"/>
  <c r="AL16" i="81"/>
  <c r="Q16" i="81"/>
  <c r="P16" i="81"/>
  <c r="O16" i="81"/>
  <c r="N16" i="81"/>
  <c r="L16" i="81"/>
  <c r="AL15" i="81"/>
  <c r="Q15" i="81"/>
  <c r="P15" i="81"/>
  <c r="O15" i="81"/>
  <c r="F15" i="81" s="1"/>
  <c r="N15" i="81"/>
  <c r="L15" i="81"/>
  <c r="AL14" i="81"/>
  <c r="Q14" i="81"/>
  <c r="P14" i="81"/>
  <c r="O14" i="81"/>
  <c r="N14" i="81"/>
  <c r="L14" i="81"/>
  <c r="AL13" i="81"/>
  <c r="Q13" i="81"/>
  <c r="P13" i="81"/>
  <c r="F13" i="81" s="1"/>
  <c r="O13" i="81"/>
  <c r="N13" i="81"/>
  <c r="L13" i="81"/>
  <c r="AL12" i="81"/>
  <c r="V12" i="81"/>
  <c r="Q12" i="81"/>
  <c r="P12" i="81"/>
  <c r="O12" i="81"/>
  <c r="N12" i="81"/>
  <c r="L12" i="81"/>
  <c r="AL11" i="81"/>
  <c r="Q11" i="81"/>
  <c r="P11" i="81"/>
  <c r="O11" i="81"/>
  <c r="N11" i="81"/>
  <c r="L11" i="81"/>
  <c r="AL10" i="81"/>
  <c r="Q10" i="81"/>
  <c r="P10" i="81"/>
  <c r="O10" i="81"/>
  <c r="F10" i="81" s="1"/>
  <c r="N10" i="81"/>
  <c r="L10" i="81"/>
  <c r="AL9" i="81"/>
  <c r="Q9" i="81"/>
  <c r="P9" i="81"/>
  <c r="O9" i="81"/>
  <c r="N9" i="81"/>
  <c r="L9" i="81"/>
  <c r="AL8" i="81"/>
  <c r="Q8" i="81"/>
  <c r="P8" i="81"/>
  <c r="O8" i="81"/>
  <c r="N8" i="81"/>
  <c r="L8" i="81"/>
  <c r="AL7" i="81"/>
  <c r="Q7" i="81"/>
  <c r="P7" i="81"/>
  <c r="O7" i="81"/>
  <c r="F7" i="81" s="1"/>
  <c r="N7" i="81"/>
  <c r="L7" i="81"/>
  <c r="AL6" i="81"/>
  <c r="V6" i="81"/>
  <c r="Q6" i="81"/>
  <c r="P6" i="81"/>
  <c r="O6" i="81"/>
  <c r="F6" i="81" s="1"/>
  <c r="N6" i="81"/>
  <c r="V4" i="81" s="1"/>
  <c r="L6" i="78" s="1"/>
  <c r="L6" i="81"/>
  <c r="AL5" i="81"/>
  <c r="AL4" i="81"/>
  <c r="AL3" i="81"/>
  <c r="AL581" i="82"/>
  <c r="AL580" i="82"/>
  <c r="AL579" i="82"/>
  <c r="AL578" i="82"/>
  <c r="AL577" i="82"/>
  <c r="AL576" i="82"/>
  <c r="AL575" i="82"/>
  <c r="AL574" i="82"/>
  <c r="AL573" i="82"/>
  <c r="AL572" i="82"/>
  <c r="AL571" i="82"/>
  <c r="AL570" i="82"/>
  <c r="AL569" i="82"/>
  <c r="AL568" i="82"/>
  <c r="AL567" i="82"/>
  <c r="AL566" i="82"/>
  <c r="AL565" i="82"/>
  <c r="AL564" i="82"/>
  <c r="AL563" i="82"/>
  <c r="AL562" i="82"/>
  <c r="AL561" i="82"/>
  <c r="AL560" i="82"/>
  <c r="AL559" i="82"/>
  <c r="AL558" i="82"/>
  <c r="AL557" i="82"/>
  <c r="AL556" i="82"/>
  <c r="AL555" i="82"/>
  <c r="AL554" i="82"/>
  <c r="AL553" i="82"/>
  <c r="AL552" i="82"/>
  <c r="AL551" i="82"/>
  <c r="AL550" i="82"/>
  <c r="AL549" i="82"/>
  <c r="AL548" i="82"/>
  <c r="AL547" i="82"/>
  <c r="AL546" i="82"/>
  <c r="AL545" i="82"/>
  <c r="AL544" i="82"/>
  <c r="AL543" i="82"/>
  <c r="AL542" i="82"/>
  <c r="AL541" i="82"/>
  <c r="AL540" i="82"/>
  <c r="AL539" i="82"/>
  <c r="AL538" i="82"/>
  <c r="AL537" i="82"/>
  <c r="AL536" i="82"/>
  <c r="AL535" i="82"/>
  <c r="AL534" i="82"/>
  <c r="AL533" i="82"/>
  <c r="AL532" i="82"/>
  <c r="AL531" i="82"/>
  <c r="AL530" i="82"/>
  <c r="AL529" i="82"/>
  <c r="AL528" i="82"/>
  <c r="AL527" i="82"/>
  <c r="AL526" i="82"/>
  <c r="AL525" i="82"/>
  <c r="AL524" i="82"/>
  <c r="AL523" i="82"/>
  <c r="AL522" i="82"/>
  <c r="AL521" i="82"/>
  <c r="AL520" i="82"/>
  <c r="AL519" i="82"/>
  <c r="AL518" i="82"/>
  <c r="AL517" i="82"/>
  <c r="AL516" i="82"/>
  <c r="AL515" i="82"/>
  <c r="AL514" i="82"/>
  <c r="AL513" i="82"/>
  <c r="AL512" i="82"/>
  <c r="AL511" i="82"/>
  <c r="AL510" i="82"/>
  <c r="AL509" i="82"/>
  <c r="AL508" i="82"/>
  <c r="AL507" i="82"/>
  <c r="AL506" i="82"/>
  <c r="AL505" i="82"/>
  <c r="AL504" i="82"/>
  <c r="AL503" i="82"/>
  <c r="AL502" i="82"/>
  <c r="AL501" i="82"/>
  <c r="AL500" i="82"/>
  <c r="AL499" i="82"/>
  <c r="AL498" i="82"/>
  <c r="AL497" i="82"/>
  <c r="AL496" i="82"/>
  <c r="AL495" i="82"/>
  <c r="AL494" i="82"/>
  <c r="AL493" i="82"/>
  <c r="AL492" i="82"/>
  <c r="AL491" i="82"/>
  <c r="AL490" i="82"/>
  <c r="AL489" i="82"/>
  <c r="AL488" i="82"/>
  <c r="AL487" i="82"/>
  <c r="AL486" i="82"/>
  <c r="AL485" i="82"/>
  <c r="AL484" i="82"/>
  <c r="AL483" i="82"/>
  <c r="AL482" i="82"/>
  <c r="AL481" i="82"/>
  <c r="AL480" i="82"/>
  <c r="AL479" i="82"/>
  <c r="AL478" i="82"/>
  <c r="AL477" i="82"/>
  <c r="AL476" i="82"/>
  <c r="AL475" i="82"/>
  <c r="AL474" i="82"/>
  <c r="AL473" i="82"/>
  <c r="AL472" i="82"/>
  <c r="AL471" i="82"/>
  <c r="AL470" i="82"/>
  <c r="AL469" i="82"/>
  <c r="AL468" i="82"/>
  <c r="AL467" i="82"/>
  <c r="AL466" i="82"/>
  <c r="AL465" i="82"/>
  <c r="AL464" i="82"/>
  <c r="AL463" i="82"/>
  <c r="AL462" i="82"/>
  <c r="AL461" i="82"/>
  <c r="AL460" i="82"/>
  <c r="AL459" i="82"/>
  <c r="AL458" i="82"/>
  <c r="AL457" i="82"/>
  <c r="AL456" i="82"/>
  <c r="AL455" i="82"/>
  <c r="AL454" i="82"/>
  <c r="AL453" i="82"/>
  <c r="AL452" i="82"/>
  <c r="AL451" i="82"/>
  <c r="AL450" i="82"/>
  <c r="AL449" i="82"/>
  <c r="AL448" i="82"/>
  <c r="AL447" i="82"/>
  <c r="AL446" i="82"/>
  <c r="AL445" i="82"/>
  <c r="AL444" i="82"/>
  <c r="AL443" i="82"/>
  <c r="AL442" i="82"/>
  <c r="AL441" i="82"/>
  <c r="AL440" i="82"/>
  <c r="AL439" i="82"/>
  <c r="AL438" i="82"/>
  <c r="AL437" i="82"/>
  <c r="AL436" i="82"/>
  <c r="AL435" i="82"/>
  <c r="AL434" i="82"/>
  <c r="AL433" i="82"/>
  <c r="AL432" i="82"/>
  <c r="AL431" i="82"/>
  <c r="AL430" i="82"/>
  <c r="AL429" i="82"/>
  <c r="AL428" i="82"/>
  <c r="AL427" i="82"/>
  <c r="AL426" i="82"/>
  <c r="AL425" i="82"/>
  <c r="AL424" i="82"/>
  <c r="AL423" i="82"/>
  <c r="AL422" i="82"/>
  <c r="AL421" i="82"/>
  <c r="AL420" i="82"/>
  <c r="AL419" i="82"/>
  <c r="AL418" i="82"/>
  <c r="AL417" i="82"/>
  <c r="AL416" i="82"/>
  <c r="AL415" i="82"/>
  <c r="AL414" i="82"/>
  <c r="AL413" i="82"/>
  <c r="AL412" i="82"/>
  <c r="AL411" i="82"/>
  <c r="AL410" i="82"/>
  <c r="AL409" i="82"/>
  <c r="AL408" i="82"/>
  <c r="AL407" i="82"/>
  <c r="AL406" i="82"/>
  <c r="AL405" i="82"/>
  <c r="AL404" i="82"/>
  <c r="AL403" i="82"/>
  <c r="AL402" i="82"/>
  <c r="AL401" i="82"/>
  <c r="AL400" i="82"/>
  <c r="AL399" i="82"/>
  <c r="AL398" i="82"/>
  <c r="AL397" i="82"/>
  <c r="AL396" i="82"/>
  <c r="AL395" i="82"/>
  <c r="AL394" i="82"/>
  <c r="AL393" i="82"/>
  <c r="AL392" i="82"/>
  <c r="AL391" i="82"/>
  <c r="AL390" i="82"/>
  <c r="AL389" i="82"/>
  <c r="AL388" i="82"/>
  <c r="AL387" i="82"/>
  <c r="AL386" i="82"/>
  <c r="AL385" i="82"/>
  <c r="AL384" i="82"/>
  <c r="AL383" i="82"/>
  <c r="AL382" i="82"/>
  <c r="AL381" i="82"/>
  <c r="AL380" i="82"/>
  <c r="AL379" i="82"/>
  <c r="AL378" i="82"/>
  <c r="AL377" i="82"/>
  <c r="AL376" i="82"/>
  <c r="AL375" i="82"/>
  <c r="AL374" i="82"/>
  <c r="AL373" i="82"/>
  <c r="AL372" i="82"/>
  <c r="AL371" i="82"/>
  <c r="AL370" i="82"/>
  <c r="AL369" i="82"/>
  <c r="AL368" i="82"/>
  <c r="AL367" i="82"/>
  <c r="AL366" i="82"/>
  <c r="AL365" i="82"/>
  <c r="AL364" i="82"/>
  <c r="AL363" i="82"/>
  <c r="AL362" i="82"/>
  <c r="AL361" i="82"/>
  <c r="AL360" i="82"/>
  <c r="AL359" i="82"/>
  <c r="AL358" i="82"/>
  <c r="AL357" i="82"/>
  <c r="AL356" i="82"/>
  <c r="AL355" i="82"/>
  <c r="AL354" i="82"/>
  <c r="AL353" i="82"/>
  <c r="AL352" i="82"/>
  <c r="AL351" i="82"/>
  <c r="AL350" i="82"/>
  <c r="AL349" i="82"/>
  <c r="AL348" i="82"/>
  <c r="AL347" i="82"/>
  <c r="AL346" i="82"/>
  <c r="AL345" i="82"/>
  <c r="AL344" i="82"/>
  <c r="AL343" i="82"/>
  <c r="AL342" i="82"/>
  <c r="AL341" i="82"/>
  <c r="AL340" i="82"/>
  <c r="AL339" i="82"/>
  <c r="AL338" i="82"/>
  <c r="AL337" i="82"/>
  <c r="AL336" i="82"/>
  <c r="AL335" i="82"/>
  <c r="AL334" i="82"/>
  <c r="AL333" i="82"/>
  <c r="AL332" i="82"/>
  <c r="AL331" i="82"/>
  <c r="AL330" i="82"/>
  <c r="AL329" i="82"/>
  <c r="AL328" i="82"/>
  <c r="AL327" i="82"/>
  <c r="AL326" i="82"/>
  <c r="AL325" i="82"/>
  <c r="AL324" i="82"/>
  <c r="AL323" i="82"/>
  <c r="AL322" i="82"/>
  <c r="AL321" i="82"/>
  <c r="AL320" i="82"/>
  <c r="AL319" i="82"/>
  <c r="AL318" i="82"/>
  <c r="AL317" i="82"/>
  <c r="AL316" i="82"/>
  <c r="AL315" i="82"/>
  <c r="AL314" i="82"/>
  <c r="AL313" i="82"/>
  <c r="AL312" i="82"/>
  <c r="AL311" i="82"/>
  <c r="AL310" i="82"/>
  <c r="AL309" i="82"/>
  <c r="AL308" i="82"/>
  <c r="AL307" i="82"/>
  <c r="AL306" i="82"/>
  <c r="AL305" i="82"/>
  <c r="AL304" i="82"/>
  <c r="AL303" i="82"/>
  <c r="AL302" i="82"/>
  <c r="AL301" i="82"/>
  <c r="AL300" i="82"/>
  <c r="AL299" i="82"/>
  <c r="AL298" i="82"/>
  <c r="AL297" i="82"/>
  <c r="AL296" i="82"/>
  <c r="AL295" i="82"/>
  <c r="AL294" i="82"/>
  <c r="AL293" i="82"/>
  <c r="AL292" i="82"/>
  <c r="AL291" i="82"/>
  <c r="AL290" i="82"/>
  <c r="AL289" i="82"/>
  <c r="AL288" i="82"/>
  <c r="AL287" i="82"/>
  <c r="AL286" i="82"/>
  <c r="AL285" i="82"/>
  <c r="AL284" i="82"/>
  <c r="AL283" i="82"/>
  <c r="AL282" i="82"/>
  <c r="AL281" i="82"/>
  <c r="AL280" i="82"/>
  <c r="AL279" i="82"/>
  <c r="AL278" i="82"/>
  <c r="AL277" i="82"/>
  <c r="AL276" i="82"/>
  <c r="AL275" i="82"/>
  <c r="AL274" i="82"/>
  <c r="AL273" i="82"/>
  <c r="AL272" i="82"/>
  <c r="AL271" i="82"/>
  <c r="AL270" i="82"/>
  <c r="AL269" i="82"/>
  <c r="AL268" i="82"/>
  <c r="AL267" i="82"/>
  <c r="AL266" i="82"/>
  <c r="AL265" i="82"/>
  <c r="AL264" i="82"/>
  <c r="AL263" i="82"/>
  <c r="AL262" i="82"/>
  <c r="AL261" i="82"/>
  <c r="AL260" i="82"/>
  <c r="AL259" i="82"/>
  <c r="AL258" i="82"/>
  <c r="AL257" i="82"/>
  <c r="AL256" i="82"/>
  <c r="AL255" i="82"/>
  <c r="AL254" i="82"/>
  <c r="AL253" i="82"/>
  <c r="AL252" i="82"/>
  <c r="AL251" i="82"/>
  <c r="AL250" i="82"/>
  <c r="AL249" i="82"/>
  <c r="AL248" i="82"/>
  <c r="AL247" i="82"/>
  <c r="AL246" i="82"/>
  <c r="AL245" i="82"/>
  <c r="AL244" i="82"/>
  <c r="AL243" i="82"/>
  <c r="AL242" i="82"/>
  <c r="AL241" i="82"/>
  <c r="AL240" i="82"/>
  <c r="AL239" i="82"/>
  <c r="AL238" i="82"/>
  <c r="AL237" i="82"/>
  <c r="AL236" i="82"/>
  <c r="AL235" i="82"/>
  <c r="AL234" i="82"/>
  <c r="AL233" i="82"/>
  <c r="AL232" i="82"/>
  <c r="AL231" i="82"/>
  <c r="AL230" i="82"/>
  <c r="AL229" i="82"/>
  <c r="AL228" i="82"/>
  <c r="AL227" i="82"/>
  <c r="AL226" i="82"/>
  <c r="AL225" i="82"/>
  <c r="AL224" i="82"/>
  <c r="AL223" i="82"/>
  <c r="AL222" i="82"/>
  <c r="AL221" i="82"/>
  <c r="AL220" i="82"/>
  <c r="AL219" i="82"/>
  <c r="AL218" i="82"/>
  <c r="AL217" i="82"/>
  <c r="AL216" i="82"/>
  <c r="AL215" i="82"/>
  <c r="AL214" i="82"/>
  <c r="AL213" i="82"/>
  <c r="AL212" i="82"/>
  <c r="AL211" i="82"/>
  <c r="AL210" i="82"/>
  <c r="AL209" i="82"/>
  <c r="AL208" i="82"/>
  <c r="AL207" i="82"/>
  <c r="AL206" i="82"/>
  <c r="AL205" i="82"/>
  <c r="AL204" i="82"/>
  <c r="AL203" i="82"/>
  <c r="AL202" i="82"/>
  <c r="AL201" i="82"/>
  <c r="AL200" i="82"/>
  <c r="AL199" i="82"/>
  <c r="AL198" i="82"/>
  <c r="AL197" i="82"/>
  <c r="AL196" i="82"/>
  <c r="AL195" i="82"/>
  <c r="AL194" i="82"/>
  <c r="AL193" i="82"/>
  <c r="AL192" i="82"/>
  <c r="AL191" i="82"/>
  <c r="AL190" i="82"/>
  <c r="AL189" i="82"/>
  <c r="AL188" i="82"/>
  <c r="AL187" i="82"/>
  <c r="AL186" i="82"/>
  <c r="AL185" i="82"/>
  <c r="AL184" i="82"/>
  <c r="AL183" i="82"/>
  <c r="AL182" i="82"/>
  <c r="AL181" i="82"/>
  <c r="AL180" i="82"/>
  <c r="AL179" i="82"/>
  <c r="AL178" i="82"/>
  <c r="AL177" i="82"/>
  <c r="AL176" i="82"/>
  <c r="AL175" i="82"/>
  <c r="AL174" i="82"/>
  <c r="AL173" i="82"/>
  <c r="AL172" i="82"/>
  <c r="AL171" i="82"/>
  <c r="AL170" i="82"/>
  <c r="AL169" i="82"/>
  <c r="AL168" i="82"/>
  <c r="AL167" i="82"/>
  <c r="AL166" i="82"/>
  <c r="AL165" i="82"/>
  <c r="AL164" i="82"/>
  <c r="AL163" i="82"/>
  <c r="AL162" i="82"/>
  <c r="AL161" i="82"/>
  <c r="AL160" i="82"/>
  <c r="AL159" i="82"/>
  <c r="AL158" i="82"/>
  <c r="AL157" i="82"/>
  <c r="AL156" i="82"/>
  <c r="AL155" i="82"/>
  <c r="AL154" i="82"/>
  <c r="AL153" i="82"/>
  <c r="AL152" i="82"/>
  <c r="AL151" i="82"/>
  <c r="AL150" i="82"/>
  <c r="AL149" i="82"/>
  <c r="AL148" i="82"/>
  <c r="AL147" i="82"/>
  <c r="AL146" i="82"/>
  <c r="AL145" i="82"/>
  <c r="AL144" i="82"/>
  <c r="AL143" i="82"/>
  <c r="Q143" i="82"/>
  <c r="P143" i="82"/>
  <c r="O143" i="82"/>
  <c r="N143" i="82"/>
  <c r="L143" i="82"/>
  <c r="AL142" i="82"/>
  <c r="Q142" i="82"/>
  <c r="P142" i="82"/>
  <c r="O142" i="82"/>
  <c r="N142" i="82"/>
  <c r="L142" i="82"/>
  <c r="AL141" i="82"/>
  <c r="Q141" i="82"/>
  <c r="P141" i="82"/>
  <c r="O141" i="82"/>
  <c r="F141" i="82" s="1"/>
  <c r="N141" i="82"/>
  <c r="L141" i="82"/>
  <c r="AL140" i="82"/>
  <c r="Q140" i="82"/>
  <c r="P140" i="82"/>
  <c r="O140" i="82"/>
  <c r="N140" i="82"/>
  <c r="L140" i="82"/>
  <c r="AL139" i="82"/>
  <c r="Q139" i="82"/>
  <c r="P139" i="82"/>
  <c r="O139" i="82"/>
  <c r="F139" i="82" s="1"/>
  <c r="N139" i="82"/>
  <c r="L139" i="82"/>
  <c r="AL138" i="82"/>
  <c r="Q138" i="82"/>
  <c r="P138" i="82"/>
  <c r="O138" i="82"/>
  <c r="N138" i="82"/>
  <c r="L138" i="82"/>
  <c r="AL137" i="82"/>
  <c r="Q137" i="82"/>
  <c r="P137" i="82"/>
  <c r="O137" i="82"/>
  <c r="F137" i="82" s="1"/>
  <c r="N137" i="82"/>
  <c r="L137" i="82"/>
  <c r="AL136" i="82"/>
  <c r="Q136" i="82"/>
  <c r="P136" i="82"/>
  <c r="O136" i="82"/>
  <c r="N136" i="82"/>
  <c r="L136" i="82"/>
  <c r="AL135" i="82"/>
  <c r="Q135" i="82"/>
  <c r="P135" i="82"/>
  <c r="O135" i="82"/>
  <c r="N135" i="82"/>
  <c r="L135" i="82"/>
  <c r="AL134" i="82"/>
  <c r="Q134" i="82"/>
  <c r="P134" i="82"/>
  <c r="O134" i="82"/>
  <c r="N134" i="82"/>
  <c r="L134" i="82"/>
  <c r="AL133" i="82"/>
  <c r="Q133" i="82"/>
  <c r="P133" i="82"/>
  <c r="O133" i="82"/>
  <c r="F133" i="82" s="1"/>
  <c r="N133" i="82"/>
  <c r="L133" i="82"/>
  <c r="AL132" i="82"/>
  <c r="Q132" i="82"/>
  <c r="P132" i="82"/>
  <c r="O132" i="82"/>
  <c r="N132" i="82"/>
  <c r="L132" i="82"/>
  <c r="AL131" i="82"/>
  <c r="Q131" i="82"/>
  <c r="P131" i="82"/>
  <c r="O131" i="82"/>
  <c r="F131" i="82" s="1"/>
  <c r="N131" i="82"/>
  <c r="L131" i="82"/>
  <c r="AL130" i="82"/>
  <c r="Q130" i="82"/>
  <c r="P130" i="82"/>
  <c r="O130" i="82"/>
  <c r="N130" i="82"/>
  <c r="L130" i="82"/>
  <c r="AL129" i="82"/>
  <c r="Q129" i="82"/>
  <c r="P129" i="82"/>
  <c r="O129" i="82"/>
  <c r="F129" i="82" s="1"/>
  <c r="N129" i="82"/>
  <c r="L129" i="82"/>
  <c r="AL128" i="82"/>
  <c r="Q128" i="82"/>
  <c r="P128" i="82"/>
  <c r="O128" i="82"/>
  <c r="N128" i="82"/>
  <c r="L128" i="82"/>
  <c r="AL127" i="82"/>
  <c r="Q127" i="82"/>
  <c r="P127" i="82"/>
  <c r="O127" i="82"/>
  <c r="N127" i="82"/>
  <c r="L127" i="82"/>
  <c r="AL126" i="82"/>
  <c r="Q126" i="82"/>
  <c r="P126" i="82"/>
  <c r="O126" i="82"/>
  <c r="N126" i="82"/>
  <c r="L126" i="82"/>
  <c r="AL125" i="82"/>
  <c r="Q125" i="82"/>
  <c r="P125" i="82"/>
  <c r="O125" i="82"/>
  <c r="F125" i="82" s="1"/>
  <c r="N125" i="82"/>
  <c r="L125" i="82"/>
  <c r="AL124" i="82"/>
  <c r="Q124" i="82"/>
  <c r="P124" i="82"/>
  <c r="O124" i="82"/>
  <c r="N124" i="82"/>
  <c r="L124" i="82"/>
  <c r="AL123" i="82"/>
  <c r="Q123" i="82"/>
  <c r="P123" i="82"/>
  <c r="O123" i="82"/>
  <c r="F123" i="82" s="1"/>
  <c r="N123" i="82"/>
  <c r="L123" i="82"/>
  <c r="AL122" i="82"/>
  <c r="Q122" i="82"/>
  <c r="P122" i="82"/>
  <c r="O122" i="82"/>
  <c r="N122" i="82"/>
  <c r="L122" i="82"/>
  <c r="AL121" i="82"/>
  <c r="Q121" i="82"/>
  <c r="P121" i="82"/>
  <c r="O121" i="82"/>
  <c r="F121" i="82" s="1"/>
  <c r="N121" i="82"/>
  <c r="L121" i="82"/>
  <c r="AL120" i="82"/>
  <c r="Q120" i="82"/>
  <c r="P120" i="82"/>
  <c r="O120" i="82"/>
  <c r="N120" i="82"/>
  <c r="L120" i="82"/>
  <c r="AL119" i="82"/>
  <c r="Q119" i="82"/>
  <c r="P119" i="82"/>
  <c r="O119" i="82"/>
  <c r="N119" i="82"/>
  <c r="L119" i="82"/>
  <c r="AL118" i="82"/>
  <c r="Q118" i="82"/>
  <c r="P118" i="82"/>
  <c r="O118" i="82"/>
  <c r="N118" i="82"/>
  <c r="L118" i="82"/>
  <c r="AL117" i="82"/>
  <c r="Q117" i="82"/>
  <c r="P117" i="82"/>
  <c r="O117" i="82"/>
  <c r="F117" i="82" s="1"/>
  <c r="N117" i="82"/>
  <c r="L117" i="82"/>
  <c r="AL116" i="82"/>
  <c r="Q116" i="82"/>
  <c r="P116" i="82"/>
  <c r="O116" i="82"/>
  <c r="N116" i="82"/>
  <c r="L116" i="82"/>
  <c r="AL115" i="82"/>
  <c r="Q115" i="82"/>
  <c r="P115" i="82"/>
  <c r="O115" i="82"/>
  <c r="F115" i="82" s="1"/>
  <c r="N115" i="82"/>
  <c r="L115" i="82"/>
  <c r="AL114" i="82"/>
  <c r="Q114" i="82"/>
  <c r="P114" i="82"/>
  <c r="O114" i="82"/>
  <c r="N114" i="82"/>
  <c r="L114" i="82"/>
  <c r="AL113" i="82"/>
  <c r="Q113" i="82"/>
  <c r="P113" i="82"/>
  <c r="O113" i="82"/>
  <c r="F113" i="82" s="1"/>
  <c r="N113" i="82"/>
  <c r="L113" i="82"/>
  <c r="AL112" i="82"/>
  <c r="Q112" i="82"/>
  <c r="P112" i="82"/>
  <c r="O112" i="82"/>
  <c r="N112" i="82"/>
  <c r="L112" i="82"/>
  <c r="AL111" i="82"/>
  <c r="Q111" i="82"/>
  <c r="P111" i="82"/>
  <c r="O111" i="82"/>
  <c r="N111" i="82"/>
  <c r="L111" i="82"/>
  <c r="AL110" i="82"/>
  <c r="Q110" i="82"/>
  <c r="P110" i="82"/>
  <c r="O110" i="82"/>
  <c r="N110" i="82"/>
  <c r="L110" i="82"/>
  <c r="AL109" i="82"/>
  <c r="Q109" i="82"/>
  <c r="P109" i="82"/>
  <c r="O109" i="82"/>
  <c r="F109" i="82" s="1"/>
  <c r="N109" i="82"/>
  <c r="L109" i="82"/>
  <c r="AL108" i="82"/>
  <c r="Q108" i="82"/>
  <c r="P108" i="82"/>
  <c r="O108" i="82"/>
  <c r="N108" i="82"/>
  <c r="L108" i="82"/>
  <c r="AL107" i="82"/>
  <c r="Q107" i="82"/>
  <c r="P107" i="82"/>
  <c r="O107" i="82"/>
  <c r="F107" i="82" s="1"/>
  <c r="N107" i="82"/>
  <c r="L107" i="82"/>
  <c r="AL106" i="82"/>
  <c r="Q106" i="82"/>
  <c r="P106" i="82"/>
  <c r="O106" i="82"/>
  <c r="N106" i="82"/>
  <c r="L106" i="82"/>
  <c r="AL105" i="82"/>
  <c r="Q105" i="82"/>
  <c r="P105" i="82"/>
  <c r="O105" i="82"/>
  <c r="F105" i="82" s="1"/>
  <c r="N105" i="82"/>
  <c r="L105" i="82"/>
  <c r="AL104" i="82"/>
  <c r="Q104" i="82"/>
  <c r="P104" i="82"/>
  <c r="O104" i="82"/>
  <c r="N104" i="82"/>
  <c r="L104" i="82"/>
  <c r="AL103" i="82"/>
  <c r="Q103" i="82"/>
  <c r="P103" i="82"/>
  <c r="O103" i="82"/>
  <c r="N103" i="82"/>
  <c r="L103" i="82"/>
  <c r="AL102" i="82"/>
  <c r="Q102" i="82"/>
  <c r="P102" i="82"/>
  <c r="O102" i="82"/>
  <c r="N102" i="82"/>
  <c r="L102" i="82"/>
  <c r="AL101" i="82"/>
  <c r="Q101" i="82"/>
  <c r="P101" i="82"/>
  <c r="O101" i="82"/>
  <c r="F101" i="82" s="1"/>
  <c r="N101" i="82"/>
  <c r="L101" i="82"/>
  <c r="AL100" i="82"/>
  <c r="Q100" i="82"/>
  <c r="P100" i="82"/>
  <c r="O100" i="82"/>
  <c r="N100" i="82"/>
  <c r="L100" i="82"/>
  <c r="AL99" i="82"/>
  <c r="Q99" i="82"/>
  <c r="P99" i="82"/>
  <c r="O99" i="82"/>
  <c r="F99" i="82" s="1"/>
  <c r="N99" i="82"/>
  <c r="L99" i="82"/>
  <c r="AL98" i="82"/>
  <c r="Q98" i="82"/>
  <c r="P98" i="82"/>
  <c r="O98" i="82"/>
  <c r="N98" i="82"/>
  <c r="L98" i="82"/>
  <c r="AL97" i="82"/>
  <c r="Q97" i="82"/>
  <c r="P97" i="82"/>
  <c r="O97" i="82"/>
  <c r="F97" i="82" s="1"/>
  <c r="N97" i="82"/>
  <c r="L97" i="82"/>
  <c r="AL96" i="82"/>
  <c r="Q96" i="82"/>
  <c r="P96" i="82"/>
  <c r="O96" i="82"/>
  <c r="N96" i="82"/>
  <c r="L96" i="82"/>
  <c r="AL95" i="82"/>
  <c r="Q95" i="82"/>
  <c r="P95" i="82"/>
  <c r="O95" i="82"/>
  <c r="N95" i="82"/>
  <c r="L95" i="82"/>
  <c r="AL94" i="82"/>
  <c r="Q94" i="82"/>
  <c r="P94" i="82"/>
  <c r="O94" i="82"/>
  <c r="N94" i="82"/>
  <c r="L94" i="82"/>
  <c r="AL93" i="82"/>
  <c r="Q93" i="82"/>
  <c r="P93" i="82"/>
  <c r="O93" i="82"/>
  <c r="F93" i="82" s="1"/>
  <c r="N93" i="82"/>
  <c r="L93" i="82"/>
  <c r="AL92" i="82"/>
  <c r="Q92" i="82"/>
  <c r="P92" i="82"/>
  <c r="O92" i="82"/>
  <c r="N92" i="82"/>
  <c r="L92" i="82"/>
  <c r="AL91" i="82"/>
  <c r="Q91" i="82"/>
  <c r="P91" i="82"/>
  <c r="O91" i="82"/>
  <c r="F91" i="82" s="1"/>
  <c r="N91" i="82"/>
  <c r="L91" i="82"/>
  <c r="AL90" i="82"/>
  <c r="Q90" i="82"/>
  <c r="P90" i="82"/>
  <c r="O90" i="82"/>
  <c r="N90" i="82"/>
  <c r="L90" i="82"/>
  <c r="AL89" i="82"/>
  <c r="Q89" i="82"/>
  <c r="P89" i="82"/>
  <c r="O89" i="82"/>
  <c r="F89" i="82" s="1"/>
  <c r="N89" i="82"/>
  <c r="L89" i="82"/>
  <c r="AL88" i="82"/>
  <c r="Q88" i="82"/>
  <c r="P88" i="82"/>
  <c r="O88" i="82"/>
  <c r="N88" i="82"/>
  <c r="L88" i="82"/>
  <c r="AL87" i="82"/>
  <c r="Q87" i="82"/>
  <c r="P87" i="82"/>
  <c r="O87" i="82"/>
  <c r="N87" i="82"/>
  <c r="L87" i="82"/>
  <c r="AL86" i="82"/>
  <c r="Q86" i="82"/>
  <c r="P86" i="82"/>
  <c r="O86" i="82"/>
  <c r="N86" i="82"/>
  <c r="L86" i="82"/>
  <c r="AL85" i="82"/>
  <c r="Q85" i="82"/>
  <c r="P85" i="82"/>
  <c r="O85" i="82"/>
  <c r="F85" i="82" s="1"/>
  <c r="N85" i="82"/>
  <c r="L85" i="82"/>
  <c r="AL84" i="82"/>
  <c r="Q84" i="82"/>
  <c r="P84" i="82"/>
  <c r="O84" i="82"/>
  <c r="N84" i="82"/>
  <c r="L84" i="82"/>
  <c r="AL83" i="82"/>
  <c r="Q83" i="82"/>
  <c r="P83" i="82"/>
  <c r="O83" i="82"/>
  <c r="F83" i="82" s="1"/>
  <c r="N83" i="82"/>
  <c r="L83" i="82"/>
  <c r="AL82" i="82"/>
  <c r="Q82" i="82"/>
  <c r="P82" i="82"/>
  <c r="O82" i="82"/>
  <c r="N82" i="82"/>
  <c r="L82" i="82"/>
  <c r="AL81" i="82"/>
  <c r="Q81" i="82"/>
  <c r="P81" i="82"/>
  <c r="O81" i="82"/>
  <c r="F81" i="82" s="1"/>
  <c r="N81" i="82"/>
  <c r="L81" i="82"/>
  <c r="AL80" i="82"/>
  <c r="Q80" i="82"/>
  <c r="P80" i="82"/>
  <c r="O80" i="82"/>
  <c r="N80" i="82"/>
  <c r="L80" i="82"/>
  <c r="AL79" i="82"/>
  <c r="Q79" i="82"/>
  <c r="P79" i="82"/>
  <c r="O79" i="82"/>
  <c r="N79" i="82"/>
  <c r="L79" i="82"/>
  <c r="AL78" i="82"/>
  <c r="Q78" i="82"/>
  <c r="P78" i="82"/>
  <c r="O78" i="82"/>
  <c r="N78" i="82"/>
  <c r="L78" i="82"/>
  <c r="AL77" i="82"/>
  <c r="Q77" i="82"/>
  <c r="P77" i="82"/>
  <c r="O77" i="82"/>
  <c r="F77" i="82" s="1"/>
  <c r="N77" i="82"/>
  <c r="L77" i="82"/>
  <c r="AL76" i="82"/>
  <c r="Q76" i="82"/>
  <c r="P76" i="82"/>
  <c r="O76" i="82"/>
  <c r="N76" i="82"/>
  <c r="L76" i="82"/>
  <c r="AL75" i="82"/>
  <c r="Q75" i="82"/>
  <c r="P75" i="82"/>
  <c r="O75" i="82"/>
  <c r="F75" i="82" s="1"/>
  <c r="N75" i="82"/>
  <c r="L75" i="82"/>
  <c r="AL74" i="82"/>
  <c r="Q74" i="82"/>
  <c r="P74" i="82"/>
  <c r="O74" i="82"/>
  <c r="N74" i="82"/>
  <c r="L74" i="82"/>
  <c r="AL73" i="82"/>
  <c r="Q73" i="82"/>
  <c r="P73" i="82"/>
  <c r="O73" i="82"/>
  <c r="F73" i="82" s="1"/>
  <c r="N73" i="82"/>
  <c r="L73" i="82"/>
  <c r="AL72" i="82"/>
  <c r="Q72" i="82"/>
  <c r="P72" i="82"/>
  <c r="O72" i="82"/>
  <c r="N72" i="82"/>
  <c r="L72" i="82"/>
  <c r="AL71" i="82"/>
  <c r="Q71" i="82"/>
  <c r="P71" i="82"/>
  <c r="O71" i="82"/>
  <c r="N71" i="82"/>
  <c r="L71" i="82"/>
  <c r="AL70" i="82"/>
  <c r="Q70" i="82"/>
  <c r="P70" i="82"/>
  <c r="O70" i="82"/>
  <c r="N70" i="82"/>
  <c r="L70" i="82"/>
  <c r="AL69" i="82"/>
  <c r="Q69" i="82"/>
  <c r="P69" i="82"/>
  <c r="O69" i="82"/>
  <c r="F69" i="82" s="1"/>
  <c r="N69" i="82"/>
  <c r="L69" i="82"/>
  <c r="AL68" i="82"/>
  <c r="Q68" i="82"/>
  <c r="P68" i="82"/>
  <c r="O68" i="82"/>
  <c r="N68" i="82"/>
  <c r="L68" i="82"/>
  <c r="AL67" i="82"/>
  <c r="Q67" i="82"/>
  <c r="P67" i="82"/>
  <c r="O67" i="82"/>
  <c r="F67" i="82" s="1"/>
  <c r="N67" i="82"/>
  <c r="L67" i="82"/>
  <c r="AL66" i="82"/>
  <c r="Q66" i="82"/>
  <c r="P66" i="82"/>
  <c r="O66" i="82"/>
  <c r="N66" i="82"/>
  <c r="L66" i="82"/>
  <c r="AL65" i="82"/>
  <c r="Q65" i="82"/>
  <c r="P65" i="82"/>
  <c r="O65" i="82"/>
  <c r="F65" i="82" s="1"/>
  <c r="N65" i="82"/>
  <c r="L65" i="82"/>
  <c r="AL64" i="82"/>
  <c r="Q64" i="82"/>
  <c r="P64" i="82"/>
  <c r="O64" i="82"/>
  <c r="N64" i="82"/>
  <c r="L64" i="82"/>
  <c r="AL63" i="82"/>
  <c r="Q63" i="82"/>
  <c r="P63" i="82"/>
  <c r="O63" i="82"/>
  <c r="N63" i="82"/>
  <c r="L63" i="82"/>
  <c r="AL62" i="82"/>
  <c r="Q62" i="82"/>
  <c r="P62" i="82"/>
  <c r="O62" i="82"/>
  <c r="N62" i="82"/>
  <c r="L62" i="82"/>
  <c r="AL61" i="82"/>
  <c r="Q61" i="82"/>
  <c r="P61" i="82"/>
  <c r="O61" i="82"/>
  <c r="F61" i="82" s="1"/>
  <c r="N61" i="82"/>
  <c r="L61" i="82"/>
  <c r="AL60" i="82"/>
  <c r="Q60" i="82"/>
  <c r="P60" i="82"/>
  <c r="O60" i="82"/>
  <c r="N60" i="82"/>
  <c r="L60" i="82"/>
  <c r="AL59" i="82"/>
  <c r="Q59" i="82"/>
  <c r="P59" i="82"/>
  <c r="O59" i="82"/>
  <c r="F59" i="82" s="1"/>
  <c r="N59" i="82"/>
  <c r="L59" i="82"/>
  <c r="AL58" i="82"/>
  <c r="Q58" i="82"/>
  <c r="P58" i="82"/>
  <c r="F58" i="82" s="1"/>
  <c r="O58" i="82"/>
  <c r="N58" i="82"/>
  <c r="L58" i="82"/>
  <c r="AL57" i="82"/>
  <c r="Q57" i="82"/>
  <c r="P57" i="82"/>
  <c r="O57" i="82"/>
  <c r="N57" i="82"/>
  <c r="L57" i="82"/>
  <c r="AL56" i="82"/>
  <c r="Q56" i="82"/>
  <c r="P56" i="82"/>
  <c r="F56" i="82" s="1"/>
  <c r="O56" i="82"/>
  <c r="N56" i="82"/>
  <c r="L56" i="82"/>
  <c r="AL55" i="82"/>
  <c r="Q55" i="82"/>
  <c r="P55" i="82"/>
  <c r="O55" i="82"/>
  <c r="N55" i="82"/>
  <c r="L55" i="82"/>
  <c r="AL54" i="82"/>
  <c r="Q54" i="82"/>
  <c r="P54" i="82"/>
  <c r="F54" i="82" s="1"/>
  <c r="O54" i="82"/>
  <c r="N54" i="82"/>
  <c r="L54" i="82"/>
  <c r="AL53" i="82"/>
  <c r="Q53" i="82"/>
  <c r="P53" i="82"/>
  <c r="O53" i="82"/>
  <c r="N53" i="82"/>
  <c r="L53" i="82"/>
  <c r="AL52" i="82"/>
  <c r="Q52" i="82"/>
  <c r="P52" i="82"/>
  <c r="F52" i="82" s="1"/>
  <c r="O52" i="82"/>
  <c r="N52" i="82"/>
  <c r="L52" i="82"/>
  <c r="AL51" i="82"/>
  <c r="Q51" i="82"/>
  <c r="P51" i="82"/>
  <c r="O51" i="82"/>
  <c r="N51" i="82"/>
  <c r="L51" i="82"/>
  <c r="AL50" i="82"/>
  <c r="Q50" i="82"/>
  <c r="P50" i="82"/>
  <c r="F50" i="82" s="1"/>
  <c r="O50" i="82"/>
  <c r="N50" i="82"/>
  <c r="L50" i="82"/>
  <c r="AL49" i="82"/>
  <c r="Q49" i="82"/>
  <c r="P49" i="82"/>
  <c r="O49" i="82"/>
  <c r="N49" i="82"/>
  <c r="L49" i="82"/>
  <c r="AL48" i="82"/>
  <c r="Q48" i="82"/>
  <c r="P48" i="82"/>
  <c r="F48" i="82" s="1"/>
  <c r="O48" i="82"/>
  <c r="N48" i="82"/>
  <c r="L48" i="82"/>
  <c r="AL47" i="82"/>
  <c r="Q47" i="82"/>
  <c r="P47" i="82"/>
  <c r="O47" i="82"/>
  <c r="F47" i="82" s="1"/>
  <c r="N47" i="82"/>
  <c r="L47" i="82"/>
  <c r="AL46" i="82"/>
  <c r="Q46" i="82"/>
  <c r="P46" i="82"/>
  <c r="O46" i="82"/>
  <c r="N46" i="82"/>
  <c r="L46" i="82"/>
  <c r="AL45" i="82"/>
  <c r="Q45" i="82"/>
  <c r="P45" i="82"/>
  <c r="O45" i="82"/>
  <c r="F45" i="82" s="1"/>
  <c r="N45" i="82"/>
  <c r="L45" i="82"/>
  <c r="AL44" i="82"/>
  <c r="Q44" i="82"/>
  <c r="P44" i="82"/>
  <c r="O44" i="82"/>
  <c r="N44" i="82"/>
  <c r="L44" i="82"/>
  <c r="AL43" i="82"/>
  <c r="Q43" i="82"/>
  <c r="P43" i="82"/>
  <c r="O43" i="82"/>
  <c r="F43" i="82" s="1"/>
  <c r="N43" i="82"/>
  <c r="L43" i="82"/>
  <c r="AL42" i="82"/>
  <c r="Q42" i="82"/>
  <c r="P42" i="82"/>
  <c r="O42" i="82"/>
  <c r="F42" i="82" s="1"/>
  <c r="N42" i="82"/>
  <c r="L42" i="82"/>
  <c r="AL41" i="82"/>
  <c r="Q41" i="82"/>
  <c r="P41" i="82"/>
  <c r="O41" i="82"/>
  <c r="F41" i="82" s="1"/>
  <c r="N41" i="82"/>
  <c r="L41" i="82"/>
  <c r="AL40" i="82"/>
  <c r="Q40" i="82"/>
  <c r="P40" i="82"/>
  <c r="O40" i="82"/>
  <c r="N40" i="82"/>
  <c r="L40" i="82"/>
  <c r="AL39" i="82"/>
  <c r="Q39" i="82"/>
  <c r="P39" i="82"/>
  <c r="O39" i="82"/>
  <c r="F39" i="82" s="1"/>
  <c r="N39" i="82"/>
  <c r="L39" i="82"/>
  <c r="AL38" i="82"/>
  <c r="Q38" i="82"/>
  <c r="P38" i="82"/>
  <c r="O38" i="82"/>
  <c r="N38" i="82"/>
  <c r="L38" i="82"/>
  <c r="F38" i="82"/>
  <c r="AL37" i="82"/>
  <c r="Q37" i="82"/>
  <c r="P37" i="82"/>
  <c r="O37" i="82"/>
  <c r="N37" i="82"/>
  <c r="L37" i="82"/>
  <c r="AL36" i="82"/>
  <c r="Q36" i="82"/>
  <c r="P36" i="82"/>
  <c r="O36" i="82"/>
  <c r="N36" i="82"/>
  <c r="L36" i="82"/>
  <c r="F36" i="82"/>
  <c r="AL35" i="82"/>
  <c r="Q35" i="82"/>
  <c r="P35" i="82"/>
  <c r="O35" i="82"/>
  <c r="N35" i="82"/>
  <c r="L35" i="82"/>
  <c r="AL34" i="82"/>
  <c r="Q34" i="82"/>
  <c r="P34" i="82"/>
  <c r="O34" i="82"/>
  <c r="F34" i="82" s="1"/>
  <c r="N34" i="82"/>
  <c r="L34" i="82"/>
  <c r="AL33" i="82"/>
  <c r="Q33" i="82"/>
  <c r="P33" i="82"/>
  <c r="O33" i="82"/>
  <c r="N33" i="82"/>
  <c r="L33" i="82"/>
  <c r="AL32" i="82"/>
  <c r="Q32" i="82"/>
  <c r="P32" i="82"/>
  <c r="O32" i="82"/>
  <c r="N32" i="82"/>
  <c r="L32" i="82"/>
  <c r="AL31" i="82"/>
  <c r="Q31" i="82"/>
  <c r="P31" i="82"/>
  <c r="O31" i="82"/>
  <c r="F31" i="82" s="1"/>
  <c r="N31" i="82"/>
  <c r="L31" i="82"/>
  <c r="AL30" i="82"/>
  <c r="Q30" i="82"/>
  <c r="P30" i="82"/>
  <c r="O30" i="82"/>
  <c r="F30" i="82" s="1"/>
  <c r="N30" i="82"/>
  <c r="L30" i="82"/>
  <c r="AL29" i="82"/>
  <c r="Q29" i="82"/>
  <c r="P29" i="82"/>
  <c r="F29" i="82" s="1"/>
  <c r="O29" i="82"/>
  <c r="N29" i="82"/>
  <c r="L29" i="82"/>
  <c r="AL28" i="82"/>
  <c r="Q28" i="82"/>
  <c r="P28" i="82"/>
  <c r="O28" i="82"/>
  <c r="N28" i="82"/>
  <c r="L28" i="82"/>
  <c r="F28" i="82"/>
  <c r="AL27" i="82"/>
  <c r="Q27" i="82"/>
  <c r="P27" i="82"/>
  <c r="O27" i="82"/>
  <c r="N27" i="82"/>
  <c r="L27" i="82"/>
  <c r="F27" i="82"/>
  <c r="AL26" i="82"/>
  <c r="Q26" i="82"/>
  <c r="P26" i="82"/>
  <c r="O26" i="82"/>
  <c r="F26" i="82" s="1"/>
  <c r="N26" i="82"/>
  <c r="L26" i="82"/>
  <c r="AL25" i="82"/>
  <c r="Q25" i="82"/>
  <c r="P25" i="82"/>
  <c r="O25" i="82"/>
  <c r="N25" i="82"/>
  <c r="L25" i="82"/>
  <c r="AL24" i="82"/>
  <c r="Q24" i="82"/>
  <c r="P24" i="82"/>
  <c r="O24" i="82"/>
  <c r="N24" i="82"/>
  <c r="L24" i="82"/>
  <c r="AL23" i="82"/>
  <c r="Q23" i="82"/>
  <c r="P23" i="82"/>
  <c r="O23" i="82"/>
  <c r="F23" i="82" s="1"/>
  <c r="N23" i="82"/>
  <c r="L23" i="82"/>
  <c r="AL22" i="82"/>
  <c r="Q22" i="82"/>
  <c r="P22" i="82"/>
  <c r="O22" i="82"/>
  <c r="N22" i="82"/>
  <c r="L22" i="82"/>
  <c r="AL21" i="82"/>
  <c r="V21" i="82"/>
  <c r="Q21" i="82"/>
  <c r="P21" i="82"/>
  <c r="O21" i="82"/>
  <c r="F21" i="82" s="1"/>
  <c r="N21" i="82"/>
  <c r="L21" i="82"/>
  <c r="AL20" i="82"/>
  <c r="V20" i="82"/>
  <c r="Q20" i="82"/>
  <c r="P20" i="82"/>
  <c r="O20" i="82"/>
  <c r="N20" i="82"/>
  <c r="L20" i="82"/>
  <c r="F20" i="82"/>
  <c r="AL19" i="82"/>
  <c r="V19" i="82"/>
  <c r="Q19" i="82"/>
  <c r="P19" i="82"/>
  <c r="O19" i="82"/>
  <c r="F19" i="82" s="1"/>
  <c r="N19" i="82"/>
  <c r="L19" i="82"/>
  <c r="AL18" i="82"/>
  <c r="Q18" i="82"/>
  <c r="P18" i="82"/>
  <c r="O18" i="82"/>
  <c r="N18" i="82"/>
  <c r="L18" i="82"/>
  <c r="AL17" i="82"/>
  <c r="Q17" i="82"/>
  <c r="P17" i="82"/>
  <c r="O17" i="82"/>
  <c r="F17" i="82" s="1"/>
  <c r="N17" i="82"/>
  <c r="L17" i="82"/>
  <c r="AL16" i="82"/>
  <c r="Q16" i="82"/>
  <c r="P16" i="82"/>
  <c r="O16" i="82"/>
  <c r="N16" i="82"/>
  <c r="L16" i="82"/>
  <c r="AL15" i="82"/>
  <c r="Q15" i="82"/>
  <c r="P15" i="82"/>
  <c r="O15" i="82"/>
  <c r="F15" i="82" s="1"/>
  <c r="N15" i="82"/>
  <c r="L15" i="82"/>
  <c r="AL14" i="82"/>
  <c r="Q14" i="82"/>
  <c r="P14" i="82"/>
  <c r="O14" i="82"/>
  <c r="N14" i="82"/>
  <c r="L14" i="82"/>
  <c r="AL13" i="82"/>
  <c r="Q13" i="82"/>
  <c r="P13" i="82"/>
  <c r="O13" i="82"/>
  <c r="N13" i="82"/>
  <c r="L13" i="82"/>
  <c r="AL12" i="82"/>
  <c r="V12" i="82"/>
  <c r="Q12" i="82"/>
  <c r="P12" i="82"/>
  <c r="O12" i="82"/>
  <c r="N12" i="82"/>
  <c r="V4" i="82" s="1"/>
  <c r="L7" i="78" s="1"/>
  <c r="L12" i="82"/>
  <c r="AL11" i="82"/>
  <c r="Q11" i="82"/>
  <c r="P11" i="82"/>
  <c r="O11" i="82"/>
  <c r="N11" i="82"/>
  <c r="L11" i="82"/>
  <c r="F11" i="82"/>
  <c r="AL10" i="82"/>
  <c r="AL9" i="82"/>
  <c r="AL8" i="82"/>
  <c r="AL7" i="82"/>
  <c r="AL6" i="82"/>
  <c r="V6" i="82"/>
  <c r="AL5" i="82"/>
  <c r="AL4" i="82"/>
  <c r="AL3" i="82"/>
  <c r="AL581" i="83"/>
  <c r="AL580" i="83"/>
  <c r="AL579" i="83"/>
  <c r="AL578" i="83"/>
  <c r="AL577" i="83"/>
  <c r="AL576" i="83"/>
  <c r="AL575" i="83"/>
  <c r="AL574" i="83"/>
  <c r="AL573" i="83"/>
  <c r="AL572" i="83"/>
  <c r="AL571" i="83"/>
  <c r="AL570" i="83"/>
  <c r="AL569" i="83"/>
  <c r="AL568" i="83"/>
  <c r="AL567" i="83"/>
  <c r="AL566" i="83"/>
  <c r="AL565" i="83"/>
  <c r="AL564" i="83"/>
  <c r="AL563" i="83"/>
  <c r="AL562" i="83"/>
  <c r="AL561" i="83"/>
  <c r="AL560" i="83"/>
  <c r="AL559" i="83"/>
  <c r="AL558" i="83"/>
  <c r="AL557" i="83"/>
  <c r="AL556" i="83"/>
  <c r="AL555" i="83"/>
  <c r="AL554" i="83"/>
  <c r="AL553" i="83"/>
  <c r="AL552" i="83"/>
  <c r="AL551" i="83"/>
  <c r="AL550" i="83"/>
  <c r="AL549" i="83"/>
  <c r="AL548" i="83"/>
  <c r="AL547" i="83"/>
  <c r="AL546" i="83"/>
  <c r="AL545" i="83"/>
  <c r="AL544" i="83"/>
  <c r="AL543" i="83"/>
  <c r="AL542" i="83"/>
  <c r="AL541" i="83"/>
  <c r="AL540" i="83"/>
  <c r="AL539" i="83"/>
  <c r="AL538" i="83"/>
  <c r="AL537" i="83"/>
  <c r="AL536" i="83"/>
  <c r="AL535" i="83"/>
  <c r="AL534" i="83"/>
  <c r="AL533" i="83"/>
  <c r="AL532" i="83"/>
  <c r="AL531" i="83"/>
  <c r="AL530" i="83"/>
  <c r="AL529" i="83"/>
  <c r="AL528" i="83"/>
  <c r="AL527" i="83"/>
  <c r="AL526" i="83"/>
  <c r="AL525" i="83"/>
  <c r="AL524" i="83"/>
  <c r="AL523" i="83"/>
  <c r="AL522" i="83"/>
  <c r="AL521" i="83"/>
  <c r="AL520" i="83"/>
  <c r="AL519" i="83"/>
  <c r="AL518" i="83"/>
  <c r="AL517" i="83"/>
  <c r="AL516" i="83"/>
  <c r="AL515" i="83"/>
  <c r="AL514" i="83"/>
  <c r="AL513" i="83"/>
  <c r="AL512" i="83"/>
  <c r="AL511" i="83"/>
  <c r="AL510" i="83"/>
  <c r="AL509" i="83"/>
  <c r="AL508" i="83"/>
  <c r="AL507" i="83"/>
  <c r="AL506" i="83"/>
  <c r="AL505" i="83"/>
  <c r="AL504" i="83"/>
  <c r="AL503" i="83"/>
  <c r="AL502" i="83"/>
  <c r="AL501" i="83"/>
  <c r="AL500" i="83"/>
  <c r="AL499" i="83"/>
  <c r="AL498" i="83"/>
  <c r="AL497" i="83"/>
  <c r="AL496" i="83"/>
  <c r="AL495" i="83"/>
  <c r="AL494" i="83"/>
  <c r="AL493" i="83"/>
  <c r="AL492" i="83"/>
  <c r="AL491" i="83"/>
  <c r="AL490" i="83"/>
  <c r="AL489" i="83"/>
  <c r="AL488" i="83"/>
  <c r="AL487" i="83"/>
  <c r="AL486" i="83"/>
  <c r="AL485" i="83"/>
  <c r="AL484" i="83"/>
  <c r="AL483" i="83"/>
  <c r="AL482" i="83"/>
  <c r="AL481" i="83"/>
  <c r="AL480" i="83"/>
  <c r="AL479" i="83"/>
  <c r="AL478" i="83"/>
  <c r="AL477" i="83"/>
  <c r="AL476" i="83"/>
  <c r="AL475" i="83"/>
  <c r="AL474" i="83"/>
  <c r="AL473" i="83"/>
  <c r="AL472" i="83"/>
  <c r="AL471" i="83"/>
  <c r="AL470" i="83"/>
  <c r="AL469" i="83"/>
  <c r="AL468" i="83"/>
  <c r="AL467" i="83"/>
  <c r="AL466" i="83"/>
  <c r="AL465" i="83"/>
  <c r="AL464" i="83"/>
  <c r="AL463" i="83"/>
  <c r="AL462" i="83"/>
  <c r="AL461" i="83"/>
  <c r="AL460" i="83"/>
  <c r="AL459" i="83"/>
  <c r="AL458" i="83"/>
  <c r="AL457" i="83"/>
  <c r="AL456" i="83"/>
  <c r="AL455" i="83"/>
  <c r="AL454" i="83"/>
  <c r="AL453" i="83"/>
  <c r="AL452" i="83"/>
  <c r="AL451" i="83"/>
  <c r="AL450" i="83"/>
  <c r="AL449" i="83"/>
  <c r="AL448" i="83"/>
  <c r="AL447" i="83"/>
  <c r="AL446" i="83"/>
  <c r="AL445" i="83"/>
  <c r="AL444" i="83"/>
  <c r="AL443" i="83"/>
  <c r="AL442" i="83"/>
  <c r="AL441" i="83"/>
  <c r="AL440" i="83"/>
  <c r="AL439" i="83"/>
  <c r="AL438" i="83"/>
  <c r="AL437" i="83"/>
  <c r="AL436" i="83"/>
  <c r="AL435" i="83"/>
  <c r="AL434" i="83"/>
  <c r="AL433" i="83"/>
  <c r="AL432" i="83"/>
  <c r="AL431" i="83"/>
  <c r="AL430" i="83"/>
  <c r="AL429" i="83"/>
  <c r="AL428" i="83"/>
  <c r="AL427" i="83"/>
  <c r="AL426" i="83"/>
  <c r="AL425" i="83"/>
  <c r="AL424" i="83"/>
  <c r="AL423" i="83"/>
  <c r="AL422" i="83"/>
  <c r="AL421" i="83"/>
  <c r="AL420" i="83"/>
  <c r="AL419" i="83"/>
  <c r="AL418" i="83"/>
  <c r="AL417" i="83"/>
  <c r="AL416" i="83"/>
  <c r="AL415" i="83"/>
  <c r="AL414" i="83"/>
  <c r="AL413" i="83"/>
  <c r="AL412" i="83"/>
  <c r="AL411" i="83"/>
  <c r="AL410" i="83"/>
  <c r="AL409" i="83"/>
  <c r="AL408" i="83"/>
  <c r="AL407" i="83"/>
  <c r="AL406" i="83"/>
  <c r="AL405" i="83"/>
  <c r="AL404" i="83"/>
  <c r="AL403" i="83"/>
  <c r="AL402" i="83"/>
  <c r="AL401" i="83"/>
  <c r="AL400" i="83"/>
  <c r="AL399" i="83"/>
  <c r="AL398" i="83"/>
  <c r="AL397" i="83"/>
  <c r="AL396" i="83"/>
  <c r="AL395" i="83"/>
  <c r="AL394" i="83"/>
  <c r="AL393" i="83"/>
  <c r="AL392" i="83"/>
  <c r="AL391" i="83"/>
  <c r="AL390" i="83"/>
  <c r="AL389" i="83"/>
  <c r="AL388" i="83"/>
  <c r="AL387" i="83"/>
  <c r="AL386" i="83"/>
  <c r="AL385" i="83"/>
  <c r="AL384" i="83"/>
  <c r="AL383" i="83"/>
  <c r="AL382" i="83"/>
  <c r="AL381" i="83"/>
  <c r="AL380" i="83"/>
  <c r="AL379" i="83"/>
  <c r="AL378" i="83"/>
  <c r="AL377" i="83"/>
  <c r="AL376" i="83"/>
  <c r="AL375" i="83"/>
  <c r="AL374" i="83"/>
  <c r="AL373" i="83"/>
  <c r="AL372" i="83"/>
  <c r="AL371" i="83"/>
  <c r="AL370" i="83"/>
  <c r="AL369" i="83"/>
  <c r="AL368" i="83"/>
  <c r="AL367" i="83"/>
  <c r="AL366" i="83"/>
  <c r="AL365" i="83"/>
  <c r="AL364" i="83"/>
  <c r="AL363" i="83"/>
  <c r="AL362" i="83"/>
  <c r="AL361" i="83"/>
  <c r="AL360" i="83"/>
  <c r="AL359" i="83"/>
  <c r="AL358" i="83"/>
  <c r="AL357" i="83"/>
  <c r="AL356" i="83"/>
  <c r="AL355" i="83"/>
  <c r="AL354" i="83"/>
  <c r="AL353" i="83"/>
  <c r="AL352" i="83"/>
  <c r="AL351" i="83"/>
  <c r="AL350" i="83"/>
  <c r="AL349" i="83"/>
  <c r="AL348" i="83"/>
  <c r="AL347" i="83"/>
  <c r="AL346" i="83"/>
  <c r="AL345" i="83"/>
  <c r="AL344" i="83"/>
  <c r="AL343" i="83"/>
  <c r="AL342" i="83"/>
  <c r="AL341" i="83"/>
  <c r="AL340" i="83"/>
  <c r="AL339" i="83"/>
  <c r="AL338" i="83"/>
  <c r="AL337" i="83"/>
  <c r="AL336" i="83"/>
  <c r="AL335" i="83"/>
  <c r="AL334" i="83"/>
  <c r="AL333" i="83"/>
  <c r="AL332" i="83"/>
  <c r="AL331" i="83"/>
  <c r="AL330" i="83"/>
  <c r="AL329" i="83"/>
  <c r="AL328" i="83"/>
  <c r="AL327" i="83"/>
  <c r="AL326" i="83"/>
  <c r="AL325" i="83"/>
  <c r="AL324" i="83"/>
  <c r="AL323" i="83"/>
  <c r="AL322" i="83"/>
  <c r="AL321" i="83"/>
  <c r="AL320" i="83"/>
  <c r="AL319" i="83"/>
  <c r="AL318" i="83"/>
  <c r="AL317" i="83"/>
  <c r="AL316" i="83"/>
  <c r="AL315" i="83"/>
  <c r="AL314" i="83"/>
  <c r="AL313" i="83"/>
  <c r="AL312" i="83"/>
  <c r="AL311" i="83"/>
  <c r="AL310" i="83"/>
  <c r="AL309" i="83"/>
  <c r="AL308" i="83"/>
  <c r="AL307" i="83"/>
  <c r="AL306" i="83"/>
  <c r="AL305" i="83"/>
  <c r="AL304" i="83"/>
  <c r="AL303" i="83"/>
  <c r="AL302" i="83"/>
  <c r="AL301" i="83"/>
  <c r="AL300" i="83"/>
  <c r="AL299" i="83"/>
  <c r="AL298" i="83"/>
  <c r="AL297" i="83"/>
  <c r="AL296" i="83"/>
  <c r="AL295" i="83"/>
  <c r="AL294" i="83"/>
  <c r="AL293" i="83"/>
  <c r="AL292" i="83"/>
  <c r="AL291" i="83"/>
  <c r="AL290" i="83"/>
  <c r="AL289" i="83"/>
  <c r="AL288" i="83"/>
  <c r="AL287" i="83"/>
  <c r="AL286" i="83"/>
  <c r="AL285" i="83"/>
  <c r="AL284" i="83"/>
  <c r="AL283" i="83"/>
  <c r="AL282" i="83"/>
  <c r="AL281" i="83"/>
  <c r="AL280" i="83"/>
  <c r="AL279" i="83"/>
  <c r="AL278" i="83"/>
  <c r="AL277" i="83"/>
  <c r="AL276" i="83"/>
  <c r="AL275" i="83"/>
  <c r="AL274" i="83"/>
  <c r="AL273" i="83"/>
  <c r="AL272" i="83"/>
  <c r="AL271" i="83"/>
  <c r="AL270" i="83"/>
  <c r="AL269" i="83"/>
  <c r="AL268" i="83"/>
  <c r="AL267" i="83"/>
  <c r="AL266" i="83"/>
  <c r="AL265" i="83"/>
  <c r="AL264" i="83"/>
  <c r="AL263" i="83"/>
  <c r="AL262" i="83"/>
  <c r="AL261" i="83"/>
  <c r="AL260" i="83"/>
  <c r="AL259" i="83"/>
  <c r="AL258" i="83"/>
  <c r="AL257" i="83"/>
  <c r="AL256" i="83"/>
  <c r="AL255" i="83"/>
  <c r="AL254" i="83"/>
  <c r="AL253" i="83"/>
  <c r="AL252" i="83"/>
  <c r="AL251" i="83"/>
  <c r="AL250" i="83"/>
  <c r="AL249" i="83"/>
  <c r="AL248" i="83"/>
  <c r="AL247" i="83"/>
  <c r="AL246" i="83"/>
  <c r="AL245" i="83"/>
  <c r="AL244" i="83"/>
  <c r="AL243" i="83"/>
  <c r="AL242" i="83"/>
  <c r="AL241" i="83"/>
  <c r="AL240" i="83"/>
  <c r="AL239" i="83"/>
  <c r="AL238" i="83"/>
  <c r="AL237" i="83"/>
  <c r="AL236" i="83"/>
  <c r="AL235" i="83"/>
  <c r="AL234" i="83"/>
  <c r="AL233" i="83"/>
  <c r="AL232" i="83"/>
  <c r="AL231" i="83"/>
  <c r="AL230" i="83"/>
  <c r="AL229" i="83"/>
  <c r="AL228" i="83"/>
  <c r="AL227" i="83"/>
  <c r="AL226" i="83"/>
  <c r="AL225" i="83"/>
  <c r="AL224" i="83"/>
  <c r="AL223" i="83"/>
  <c r="AL222" i="83"/>
  <c r="AL221" i="83"/>
  <c r="AL220" i="83"/>
  <c r="AL219" i="83"/>
  <c r="AL218" i="83"/>
  <c r="AL217" i="83"/>
  <c r="AL216" i="83"/>
  <c r="AL215" i="83"/>
  <c r="AL214" i="83"/>
  <c r="AL213" i="83"/>
  <c r="AL212" i="83"/>
  <c r="AL211" i="83"/>
  <c r="AL210" i="83"/>
  <c r="AL209" i="83"/>
  <c r="AL208" i="83"/>
  <c r="AL207" i="83"/>
  <c r="AL206" i="83"/>
  <c r="AL205" i="83"/>
  <c r="AL204" i="83"/>
  <c r="AL203" i="83"/>
  <c r="AL202" i="83"/>
  <c r="AL201" i="83"/>
  <c r="AL200" i="83"/>
  <c r="AL199" i="83"/>
  <c r="AL198" i="83"/>
  <c r="AL197" i="83"/>
  <c r="AL196" i="83"/>
  <c r="AL195" i="83"/>
  <c r="AL194" i="83"/>
  <c r="AL193" i="83"/>
  <c r="AL192" i="83"/>
  <c r="AL191" i="83"/>
  <c r="AL190" i="83"/>
  <c r="AL189" i="83"/>
  <c r="AL188" i="83"/>
  <c r="AL187" i="83"/>
  <c r="AL186" i="83"/>
  <c r="AL185" i="83"/>
  <c r="AL184" i="83"/>
  <c r="AL183" i="83"/>
  <c r="AL182" i="83"/>
  <c r="AL181" i="83"/>
  <c r="AL180" i="83"/>
  <c r="AL179" i="83"/>
  <c r="AL178" i="83"/>
  <c r="AL177" i="83"/>
  <c r="AL176" i="83"/>
  <c r="AL175" i="83"/>
  <c r="AL174" i="83"/>
  <c r="AL173" i="83"/>
  <c r="AL172" i="83"/>
  <c r="AL171" i="83"/>
  <c r="AL170" i="83"/>
  <c r="AL169" i="83"/>
  <c r="AL168" i="83"/>
  <c r="AL167" i="83"/>
  <c r="AL166" i="83"/>
  <c r="AL165" i="83"/>
  <c r="AL164" i="83"/>
  <c r="AL163" i="83"/>
  <c r="AL162" i="83"/>
  <c r="AL161" i="83"/>
  <c r="AL160" i="83"/>
  <c r="AL159" i="83"/>
  <c r="AL158" i="83"/>
  <c r="AL157" i="83"/>
  <c r="AL156" i="83"/>
  <c r="AL155" i="83"/>
  <c r="AL154" i="83"/>
  <c r="AL153" i="83"/>
  <c r="AL152" i="83"/>
  <c r="AL151" i="83"/>
  <c r="AL150" i="83"/>
  <c r="AL149" i="83"/>
  <c r="AL148" i="83"/>
  <c r="AL147" i="83"/>
  <c r="AL146" i="83"/>
  <c r="AL145" i="83"/>
  <c r="AL144" i="83"/>
  <c r="AL143" i="83"/>
  <c r="Q143" i="83"/>
  <c r="P143" i="83"/>
  <c r="O143" i="83"/>
  <c r="N143" i="83"/>
  <c r="L143" i="83"/>
  <c r="AL142" i="83"/>
  <c r="Q142" i="83"/>
  <c r="P142" i="83"/>
  <c r="O142" i="83"/>
  <c r="F142" i="83" s="1"/>
  <c r="N142" i="83"/>
  <c r="L142" i="83"/>
  <c r="AL141" i="83"/>
  <c r="Q141" i="83"/>
  <c r="P141" i="83"/>
  <c r="O141" i="83"/>
  <c r="F141" i="83" s="1"/>
  <c r="N141" i="83"/>
  <c r="L141" i="83"/>
  <c r="AL140" i="83"/>
  <c r="Q140" i="83"/>
  <c r="P140" i="83"/>
  <c r="O140" i="83"/>
  <c r="N140" i="83"/>
  <c r="L140" i="83"/>
  <c r="AL139" i="83"/>
  <c r="Q139" i="83"/>
  <c r="P139" i="83"/>
  <c r="O139" i="83"/>
  <c r="N139" i="83"/>
  <c r="L139" i="83"/>
  <c r="AL138" i="83"/>
  <c r="Q138" i="83"/>
  <c r="P138" i="83"/>
  <c r="O138" i="83"/>
  <c r="N138" i="83"/>
  <c r="L138" i="83"/>
  <c r="AL137" i="83"/>
  <c r="Q137" i="83"/>
  <c r="P137" i="83"/>
  <c r="O137" i="83"/>
  <c r="N137" i="83"/>
  <c r="L137" i="83"/>
  <c r="AL136" i="83"/>
  <c r="Q136" i="83"/>
  <c r="P136" i="83"/>
  <c r="O136" i="83"/>
  <c r="N136" i="83"/>
  <c r="L136" i="83"/>
  <c r="AL135" i="83"/>
  <c r="Q135" i="83"/>
  <c r="P135" i="83"/>
  <c r="O135" i="83"/>
  <c r="N135" i="83"/>
  <c r="L135" i="83"/>
  <c r="AL134" i="83"/>
  <c r="Q134" i="83"/>
  <c r="P134" i="83"/>
  <c r="O134" i="83"/>
  <c r="F134" i="83" s="1"/>
  <c r="N134" i="83"/>
  <c r="L134" i="83"/>
  <c r="AL133" i="83"/>
  <c r="Q133" i="83"/>
  <c r="P133" i="83"/>
  <c r="O133" i="83"/>
  <c r="F133" i="83" s="1"/>
  <c r="N133" i="83"/>
  <c r="L133" i="83"/>
  <c r="AL132" i="83"/>
  <c r="Q132" i="83"/>
  <c r="P132" i="83"/>
  <c r="O132" i="83"/>
  <c r="N132" i="83"/>
  <c r="L132" i="83"/>
  <c r="AL131" i="83"/>
  <c r="Q131" i="83"/>
  <c r="P131" i="83"/>
  <c r="O131" i="83"/>
  <c r="N131" i="83"/>
  <c r="L131" i="83"/>
  <c r="AL130" i="83"/>
  <c r="Q130" i="83"/>
  <c r="P130" i="83"/>
  <c r="O130" i="83"/>
  <c r="N130" i="83"/>
  <c r="L130" i="83"/>
  <c r="AL129" i="83"/>
  <c r="Q129" i="83"/>
  <c r="P129" i="83"/>
  <c r="O129" i="83"/>
  <c r="N129" i="83"/>
  <c r="L129" i="83"/>
  <c r="AL128" i="83"/>
  <c r="Q128" i="83"/>
  <c r="P128" i="83"/>
  <c r="O128" i="83"/>
  <c r="N128" i="83"/>
  <c r="L128" i="83"/>
  <c r="AL127" i="83"/>
  <c r="Q127" i="83"/>
  <c r="P127" i="83"/>
  <c r="O127" i="83"/>
  <c r="N127" i="83"/>
  <c r="L127" i="83"/>
  <c r="AL126" i="83"/>
  <c r="Q126" i="83"/>
  <c r="P126" i="83"/>
  <c r="O126" i="83"/>
  <c r="F126" i="83" s="1"/>
  <c r="N126" i="83"/>
  <c r="L126" i="83"/>
  <c r="AL125" i="83"/>
  <c r="Q125" i="83"/>
  <c r="P125" i="83"/>
  <c r="O125" i="83"/>
  <c r="F125" i="83" s="1"/>
  <c r="N125" i="83"/>
  <c r="L125" i="83"/>
  <c r="AL124" i="83"/>
  <c r="Q124" i="83"/>
  <c r="P124" i="83"/>
  <c r="O124" i="83"/>
  <c r="N124" i="83"/>
  <c r="L124" i="83"/>
  <c r="AL123" i="83"/>
  <c r="Q123" i="83"/>
  <c r="P123" i="83"/>
  <c r="O123" i="83"/>
  <c r="N123" i="83"/>
  <c r="L123" i="83"/>
  <c r="AL122" i="83"/>
  <c r="Q122" i="83"/>
  <c r="P122" i="83"/>
  <c r="O122" i="83"/>
  <c r="N122" i="83"/>
  <c r="L122" i="83"/>
  <c r="AL121" i="83"/>
  <c r="Q121" i="83"/>
  <c r="P121" i="83"/>
  <c r="O121" i="83"/>
  <c r="N121" i="83"/>
  <c r="L121" i="83"/>
  <c r="AL120" i="83"/>
  <c r="Q120" i="83"/>
  <c r="P120" i="83"/>
  <c r="O120" i="83"/>
  <c r="N120" i="83"/>
  <c r="L120" i="83"/>
  <c r="AL119" i="83"/>
  <c r="Q119" i="83"/>
  <c r="P119" i="83"/>
  <c r="O119" i="83"/>
  <c r="N119" i="83"/>
  <c r="L119" i="83"/>
  <c r="AL118" i="83"/>
  <c r="Q118" i="83"/>
  <c r="P118" i="83"/>
  <c r="O118" i="83"/>
  <c r="F118" i="83" s="1"/>
  <c r="N118" i="83"/>
  <c r="L118" i="83"/>
  <c r="AL117" i="83"/>
  <c r="Q117" i="83"/>
  <c r="P117" i="83"/>
  <c r="O117" i="83"/>
  <c r="F117" i="83" s="1"/>
  <c r="N117" i="83"/>
  <c r="L117" i="83"/>
  <c r="AL116" i="83"/>
  <c r="Q116" i="83"/>
  <c r="P116" i="83"/>
  <c r="O116" i="83"/>
  <c r="N116" i="83"/>
  <c r="L116" i="83"/>
  <c r="AL115" i="83"/>
  <c r="Q115" i="83"/>
  <c r="P115" i="83"/>
  <c r="O115" i="83"/>
  <c r="N115" i="83"/>
  <c r="L115" i="83"/>
  <c r="AL114" i="83"/>
  <c r="Q114" i="83"/>
  <c r="P114" i="83"/>
  <c r="O114" i="83"/>
  <c r="N114" i="83"/>
  <c r="L114" i="83"/>
  <c r="AL113" i="83"/>
  <c r="Q113" i="83"/>
  <c r="P113" i="83"/>
  <c r="O113" i="83"/>
  <c r="N113" i="83"/>
  <c r="L113" i="83"/>
  <c r="AL112" i="83"/>
  <c r="Q112" i="83"/>
  <c r="P112" i="83"/>
  <c r="O112" i="83"/>
  <c r="N112" i="83"/>
  <c r="L112" i="83"/>
  <c r="AL111" i="83"/>
  <c r="Q111" i="83"/>
  <c r="P111" i="83"/>
  <c r="O111" i="83"/>
  <c r="N111" i="83"/>
  <c r="L111" i="83"/>
  <c r="AL110" i="83"/>
  <c r="Q110" i="83"/>
  <c r="P110" i="83"/>
  <c r="O110" i="83"/>
  <c r="F110" i="83" s="1"/>
  <c r="N110" i="83"/>
  <c r="L110" i="83"/>
  <c r="AL109" i="83"/>
  <c r="Q109" i="83"/>
  <c r="P109" i="83"/>
  <c r="O109" i="83"/>
  <c r="F109" i="83" s="1"/>
  <c r="N109" i="83"/>
  <c r="L109" i="83"/>
  <c r="AL108" i="83"/>
  <c r="Q108" i="83"/>
  <c r="P108" i="83"/>
  <c r="O108" i="83"/>
  <c r="N108" i="83"/>
  <c r="L108" i="83"/>
  <c r="AL107" i="83"/>
  <c r="Q107" i="83"/>
  <c r="P107" i="83"/>
  <c r="O107" i="83"/>
  <c r="N107" i="83"/>
  <c r="L107" i="83"/>
  <c r="AL106" i="83"/>
  <c r="Q106" i="83"/>
  <c r="P106" i="83"/>
  <c r="O106" i="83"/>
  <c r="N106" i="83"/>
  <c r="L106" i="83"/>
  <c r="AL105" i="83"/>
  <c r="Q105" i="83"/>
  <c r="P105" i="83"/>
  <c r="O105" i="83"/>
  <c r="N105" i="83"/>
  <c r="L105" i="83"/>
  <c r="AL104" i="83"/>
  <c r="Q104" i="83"/>
  <c r="P104" i="83"/>
  <c r="O104" i="83"/>
  <c r="N104" i="83"/>
  <c r="L104" i="83"/>
  <c r="AL103" i="83"/>
  <c r="Q103" i="83"/>
  <c r="P103" i="83"/>
  <c r="O103" i="83"/>
  <c r="N103" i="83"/>
  <c r="L103" i="83"/>
  <c r="AL102" i="83"/>
  <c r="Q102" i="83"/>
  <c r="P102" i="83"/>
  <c r="O102" i="83"/>
  <c r="F102" i="83" s="1"/>
  <c r="N102" i="83"/>
  <c r="L102" i="83"/>
  <c r="AL101" i="83"/>
  <c r="Q101" i="83"/>
  <c r="P101" i="83"/>
  <c r="O101" i="83"/>
  <c r="F101" i="83" s="1"/>
  <c r="N101" i="83"/>
  <c r="L101" i="83"/>
  <c r="AL100" i="83"/>
  <c r="Q100" i="83"/>
  <c r="P100" i="83"/>
  <c r="O100" i="83"/>
  <c r="N100" i="83"/>
  <c r="L100" i="83"/>
  <c r="AL99" i="83"/>
  <c r="Q99" i="83"/>
  <c r="P99" i="83"/>
  <c r="O99" i="83"/>
  <c r="N99" i="83"/>
  <c r="L99" i="83"/>
  <c r="AL98" i="83"/>
  <c r="Q98" i="83"/>
  <c r="P98" i="83"/>
  <c r="O98" i="83"/>
  <c r="N98" i="83"/>
  <c r="L98" i="83"/>
  <c r="AL97" i="83"/>
  <c r="Q97" i="83"/>
  <c r="P97" i="83"/>
  <c r="O97" i="83"/>
  <c r="N97" i="83"/>
  <c r="L97" i="83"/>
  <c r="AL96" i="83"/>
  <c r="Q96" i="83"/>
  <c r="P96" i="83"/>
  <c r="O96" i="83"/>
  <c r="N96" i="83"/>
  <c r="L96" i="83"/>
  <c r="AL95" i="83"/>
  <c r="Q95" i="83"/>
  <c r="P95" i="83"/>
  <c r="O95" i="83"/>
  <c r="N95" i="83"/>
  <c r="L95" i="83"/>
  <c r="AL94" i="83"/>
  <c r="Q94" i="83"/>
  <c r="P94" i="83"/>
  <c r="O94" i="83"/>
  <c r="F94" i="83" s="1"/>
  <c r="N94" i="83"/>
  <c r="L94" i="83"/>
  <c r="AL93" i="83"/>
  <c r="Q93" i="83"/>
  <c r="P93" i="83"/>
  <c r="O93" i="83"/>
  <c r="F93" i="83" s="1"/>
  <c r="N93" i="83"/>
  <c r="L93" i="83"/>
  <c r="AL92" i="83"/>
  <c r="Q92" i="83"/>
  <c r="P92" i="83"/>
  <c r="O92" i="83"/>
  <c r="N92" i="83"/>
  <c r="L92" i="83"/>
  <c r="AL91" i="83"/>
  <c r="Q91" i="83"/>
  <c r="P91" i="83"/>
  <c r="O91" i="83"/>
  <c r="N91" i="83"/>
  <c r="L91" i="83"/>
  <c r="AL90" i="83"/>
  <c r="Q90" i="83"/>
  <c r="P90" i="83"/>
  <c r="O90" i="83"/>
  <c r="N90" i="83"/>
  <c r="L90" i="83"/>
  <c r="AL89" i="83"/>
  <c r="Q89" i="83"/>
  <c r="P89" i="83"/>
  <c r="O89" i="83"/>
  <c r="N89" i="83"/>
  <c r="L89" i="83"/>
  <c r="AL88" i="83"/>
  <c r="Q88" i="83"/>
  <c r="P88" i="83"/>
  <c r="O88" i="83"/>
  <c r="N88" i="83"/>
  <c r="L88" i="83"/>
  <c r="AL87" i="83"/>
  <c r="Q87" i="83"/>
  <c r="P87" i="83"/>
  <c r="O87" i="83"/>
  <c r="N87" i="83"/>
  <c r="L87" i="83"/>
  <c r="AL86" i="83"/>
  <c r="Q86" i="83"/>
  <c r="P86" i="83"/>
  <c r="O86" i="83"/>
  <c r="F86" i="83" s="1"/>
  <c r="N86" i="83"/>
  <c r="L86" i="83"/>
  <c r="AL85" i="83"/>
  <c r="Q85" i="83"/>
  <c r="P85" i="83"/>
  <c r="O85" i="83"/>
  <c r="F85" i="83" s="1"/>
  <c r="N85" i="83"/>
  <c r="L85" i="83"/>
  <c r="AL84" i="83"/>
  <c r="Q84" i="83"/>
  <c r="P84" i="83"/>
  <c r="O84" i="83"/>
  <c r="N84" i="83"/>
  <c r="L84" i="83"/>
  <c r="AL83" i="83"/>
  <c r="Q83" i="83"/>
  <c r="P83" i="83"/>
  <c r="O83" i="83"/>
  <c r="N83" i="83"/>
  <c r="L83" i="83"/>
  <c r="AL82" i="83"/>
  <c r="Q82" i="83"/>
  <c r="P82" i="83"/>
  <c r="O82" i="83"/>
  <c r="N82" i="83"/>
  <c r="L82" i="83"/>
  <c r="AL81" i="83"/>
  <c r="Q81" i="83"/>
  <c r="P81" i="83"/>
  <c r="O81" i="83"/>
  <c r="N81" i="83"/>
  <c r="L81" i="83"/>
  <c r="AL80" i="83"/>
  <c r="Q80" i="83"/>
  <c r="P80" i="83"/>
  <c r="O80" i="83"/>
  <c r="N80" i="83"/>
  <c r="L80" i="83"/>
  <c r="AL79" i="83"/>
  <c r="Q79" i="83"/>
  <c r="P79" i="83"/>
  <c r="O79" i="83"/>
  <c r="N79" i="83"/>
  <c r="L79" i="83"/>
  <c r="AL78" i="83"/>
  <c r="Q78" i="83"/>
  <c r="P78" i="83"/>
  <c r="O78" i="83"/>
  <c r="F78" i="83" s="1"/>
  <c r="N78" i="83"/>
  <c r="L78" i="83"/>
  <c r="AL77" i="83"/>
  <c r="Q77" i="83"/>
  <c r="P77" i="83"/>
  <c r="O77" i="83"/>
  <c r="F77" i="83" s="1"/>
  <c r="N77" i="83"/>
  <c r="L77" i="83"/>
  <c r="AL76" i="83"/>
  <c r="Q76" i="83"/>
  <c r="P76" i="83"/>
  <c r="O76" i="83"/>
  <c r="N76" i="83"/>
  <c r="L76" i="83"/>
  <c r="AL75" i="83"/>
  <c r="Q75" i="83"/>
  <c r="P75" i="83"/>
  <c r="O75" i="83"/>
  <c r="N75" i="83"/>
  <c r="L75" i="83"/>
  <c r="AL74" i="83"/>
  <c r="Q74" i="83"/>
  <c r="P74" i="83"/>
  <c r="O74" i="83"/>
  <c r="N74" i="83"/>
  <c r="L74" i="83"/>
  <c r="AL73" i="83"/>
  <c r="Q73" i="83"/>
  <c r="P73" i="83"/>
  <c r="O73" i="83"/>
  <c r="N73" i="83"/>
  <c r="L73" i="83"/>
  <c r="AL72" i="83"/>
  <c r="Q72" i="83"/>
  <c r="P72" i="83"/>
  <c r="O72" i="83"/>
  <c r="N72" i="83"/>
  <c r="L72" i="83"/>
  <c r="AL71" i="83"/>
  <c r="Q71" i="83"/>
  <c r="P71" i="83"/>
  <c r="O71" i="83"/>
  <c r="N71" i="83"/>
  <c r="L71" i="83"/>
  <c r="AL70" i="83"/>
  <c r="Q70" i="83"/>
  <c r="P70" i="83"/>
  <c r="O70" i="83"/>
  <c r="F70" i="83" s="1"/>
  <c r="N70" i="83"/>
  <c r="L70" i="83"/>
  <c r="AL69" i="83"/>
  <c r="Q69" i="83"/>
  <c r="P69" i="83"/>
  <c r="O69" i="83"/>
  <c r="F69" i="83" s="1"/>
  <c r="N69" i="83"/>
  <c r="L69" i="83"/>
  <c r="AL68" i="83"/>
  <c r="Q68" i="83"/>
  <c r="P68" i="83"/>
  <c r="O68" i="83"/>
  <c r="N68" i="83"/>
  <c r="L68" i="83"/>
  <c r="AL67" i="83"/>
  <c r="Q67" i="83"/>
  <c r="P67" i="83"/>
  <c r="O67" i="83"/>
  <c r="N67" i="83"/>
  <c r="L67" i="83"/>
  <c r="AL66" i="83"/>
  <c r="Q66" i="83"/>
  <c r="P66" i="83"/>
  <c r="O66" i="83"/>
  <c r="N66" i="83"/>
  <c r="L66" i="83"/>
  <c r="AL65" i="83"/>
  <c r="Q65" i="83"/>
  <c r="P65" i="83"/>
  <c r="O65" i="83"/>
  <c r="N65" i="83"/>
  <c r="L65" i="83"/>
  <c r="AL64" i="83"/>
  <c r="Q64" i="83"/>
  <c r="P64" i="83"/>
  <c r="O64" i="83"/>
  <c r="N64" i="83"/>
  <c r="L64" i="83"/>
  <c r="AL63" i="83"/>
  <c r="Q63" i="83"/>
  <c r="P63" i="83"/>
  <c r="O63" i="83"/>
  <c r="N63" i="83"/>
  <c r="L63" i="83"/>
  <c r="AL62" i="83"/>
  <c r="Q62" i="83"/>
  <c r="P62" i="83"/>
  <c r="O62" i="83"/>
  <c r="F62" i="83" s="1"/>
  <c r="N62" i="83"/>
  <c r="L62" i="83"/>
  <c r="AL61" i="83"/>
  <c r="Q61" i="83"/>
  <c r="P61" i="83"/>
  <c r="O61" i="83"/>
  <c r="F61" i="83" s="1"/>
  <c r="N61" i="83"/>
  <c r="L61" i="83"/>
  <c r="AL60" i="83"/>
  <c r="Q60" i="83"/>
  <c r="P60" i="83"/>
  <c r="O60" i="83"/>
  <c r="N60" i="83"/>
  <c r="L60" i="83"/>
  <c r="AL59" i="83"/>
  <c r="Q59" i="83"/>
  <c r="P59" i="83"/>
  <c r="O59" i="83"/>
  <c r="N59" i="83"/>
  <c r="L59" i="83"/>
  <c r="AL58" i="83"/>
  <c r="Q58" i="83"/>
  <c r="P58" i="83"/>
  <c r="O58" i="83"/>
  <c r="F58" i="83" s="1"/>
  <c r="N58" i="83"/>
  <c r="L58" i="83"/>
  <c r="AL57" i="83"/>
  <c r="Q57" i="83"/>
  <c r="P57" i="83"/>
  <c r="O57" i="83"/>
  <c r="N57" i="83"/>
  <c r="L57" i="83"/>
  <c r="AL56" i="83"/>
  <c r="Q56" i="83"/>
  <c r="P56" i="83"/>
  <c r="O56" i="83"/>
  <c r="N56" i="83"/>
  <c r="L56" i="83"/>
  <c r="F56" i="83"/>
  <c r="AL55" i="83"/>
  <c r="Q55" i="83"/>
  <c r="P55" i="83"/>
  <c r="O55" i="83"/>
  <c r="N55" i="83"/>
  <c r="L55" i="83"/>
  <c r="F55" i="83"/>
  <c r="AL54" i="83"/>
  <c r="Q54" i="83"/>
  <c r="P54" i="83"/>
  <c r="O54" i="83"/>
  <c r="N54" i="83"/>
  <c r="L54" i="83"/>
  <c r="F54" i="83"/>
  <c r="AL53" i="83"/>
  <c r="Q53" i="83"/>
  <c r="P53" i="83"/>
  <c r="O53" i="83"/>
  <c r="F53" i="83" s="1"/>
  <c r="N53" i="83"/>
  <c r="L53" i="83"/>
  <c r="AL52" i="83"/>
  <c r="Q52" i="83"/>
  <c r="P52" i="83"/>
  <c r="O52" i="83"/>
  <c r="F52" i="83" s="1"/>
  <c r="N52" i="83"/>
  <c r="L52" i="83"/>
  <c r="AL51" i="83"/>
  <c r="Q51" i="83"/>
  <c r="P51" i="83"/>
  <c r="O51" i="83"/>
  <c r="F51" i="83" s="1"/>
  <c r="N51" i="83"/>
  <c r="L51" i="83"/>
  <c r="AL50" i="83"/>
  <c r="Q50" i="83"/>
  <c r="P50" i="83"/>
  <c r="O50" i="83"/>
  <c r="N50" i="83"/>
  <c r="L50" i="83"/>
  <c r="F50" i="83"/>
  <c r="AL49" i="83"/>
  <c r="Q49" i="83"/>
  <c r="P49" i="83"/>
  <c r="O49" i="83"/>
  <c r="N49" i="83"/>
  <c r="L49" i="83"/>
  <c r="F49" i="83"/>
  <c r="AL48" i="83"/>
  <c r="Q48" i="83"/>
  <c r="P48" i="83"/>
  <c r="O48" i="83"/>
  <c r="N48" i="83"/>
  <c r="L48" i="83"/>
  <c r="F48" i="83"/>
  <c r="AL47" i="83"/>
  <c r="Q47" i="83"/>
  <c r="P47" i="83"/>
  <c r="O47" i="83"/>
  <c r="N47" i="83"/>
  <c r="L47" i="83"/>
  <c r="F47" i="83"/>
  <c r="AL46" i="83"/>
  <c r="Q46" i="83"/>
  <c r="P46" i="83"/>
  <c r="O46" i="83"/>
  <c r="N46" i="83"/>
  <c r="L46" i="83"/>
  <c r="AL45" i="83"/>
  <c r="Q45" i="83"/>
  <c r="P45" i="83"/>
  <c r="O45" i="83"/>
  <c r="F45" i="83" s="1"/>
  <c r="N45" i="83"/>
  <c r="L45" i="83"/>
  <c r="AL44" i="83"/>
  <c r="Q44" i="83"/>
  <c r="P44" i="83"/>
  <c r="O44" i="83"/>
  <c r="F44" i="83" s="1"/>
  <c r="N44" i="83"/>
  <c r="L44" i="83"/>
  <c r="AL43" i="83"/>
  <c r="Q43" i="83"/>
  <c r="P43" i="83"/>
  <c r="O43" i="83"/>
  <c r="N43" i="83"/>
  <c r="L43" i="83"/>
  <c r="F43" i="83"/>
  <c r="AL42" i="83"/>
  <c r="Q42" i="83"/>
  <c r="P42" i="83"/>
  <c r="O42" i="83"/>
  <c r="F42" i="83" s="1"/>
  <c r="N42" i="83"/>
  <c r="L42" i="83"/>
  <c r="AL41" i="83"/>
  <c r="Q41" i="83"/>
  <c r="P41" i="83"/>
  <c r="O41" i="83"/>
  <c r="N41" i="83"/>
  <c r="L41" i="83"/>
  <c r="AL40" i="83"/>
  <c r="Q40" i="83"/>
  <c r="P40" i="83"/>
  <c r="F40" i="83" s="1"/>
  <c r="O40" i="83"/>
  <c r="N40" i="83"/>
  <c r="L40" i="83"/>
  <c r="AL39" i="83"/>
  <c r="Q39" i="83"/>
  <c r="P39" i="83"/>
  <c r="O39" i="83"/>
  <c r="N39" i="83"/>
  <c r="L39" i="83"/>
  <c r="AL38" i="83"/>
  <c r="Q38" i="83"/>
  <c r="P38" i="83"/>
  <c r="O38" i="83"/>
  <c r="N38" i="83"/>
  <c r="L38" i="83"/>
  <c r="F38" i="83"/>
  <c r="AL37" i="83"/>
  <c r="Q37" i="83"/>
  <c r="P37" i="83"/>
  <c r="O37" i="83"/>
  <c r="N37" i="83"/>
  <c r="L37" i="83"/>
  <c r="AL36" i="83"/>
  <c r="Q36" i="83"/>
  <c r="P36" i="83"/>
  <c r="O36" i="83"/>
  <c r="F36" i="83" s="1"/>
  <c r="N36" i="83"/>
  <c r="L36" i="83"/>
  <c r="AL35" i="83"/>
  <c r="Q35" i="83"/>
  <c r="P35" i="83"/>
  <c r="O35" i="83"/>
  <c r="N35" i="83"/>
  <c r="L35" i="83"/>
  <c r="AL34" i="83"/>
  <c r="Q34" i="83"/>
  <c r="P34" i="83"/>
  <c r="O34" i="83"/>
  <c r="N34" i="83"/>
  <c r="L34" i="83"/>
  <c r="F34" i="83"/>
  <c r="AL33" i="83"/>
  <c r="Q33" i="83"/>
  <c r="P33" i="83"/>
  <c r="O33" i="83"/>
  <c r="N33" i="83"/>
  <c r="L33" i="83"/>
  <c r="AL32" i="83"/>
  <c r="Q32" i="83"/>
  <c r="P32" i="83"/>
  <c r="O32" i="83"/>
  <c r="N32" i="83"/>
  <c r="L32" i="83"/>
  <c r="AL31" i="83"/>
  <c r="Q31" i="83"/>
  <c r="P31" i="83"/>
  <c r="O31" i="83"/>
  <c r="F31" i="83" s="1"/>
  <c r="N31" i="83"/>
  <c r="L31" i="83"/>
  <c r="AL30" i="83"/>
  <c r="Q30" i="83"/>
  <c r="P30" i="83"/>
  <c r="O30" i="83"/>
  <c r="N30" i="83"/>
  <c r="L30" i="83"/>
  <c r="AL29" i="83"/>
  <c r="Q29" i="83"/>
  <c r="P29" i="83"/>
  <c r="O29" i="83"/>
  <c r="N29" i="83"/>
  <c r="L29" i="83"/>
  <c r="F29" i="83"/>
  <c r="AL28" i="83"/>
  <c r="Q28" i="83"/>
  <c r="P28" i="83"/>
  <c r="O28" i="83"/>
  <c r="N28" i="83"/>
  <c r="L28" i="83"/>
  <c r="F28" i="83"/>
  <c r="AL27" i="83"/>
  <c r="Q27" i="83"/>
  <c r="P27" i="83"/>
  <c r="O27" i="83"/>
  <c r="N27" i="83"/>
  <c r="L27" i="83"/>
  <c r="F27" i="83"/>
  <c r="AL26" i="83"/>
  <c r="Q26" i="83"/>
  <c r="P26" i="83"/>
  <c r="O26" i="83"/>
  <c r="N26" i="83"/>
  <c r="L26" i="83"/>
  <c r="AL25" i="83"/>
  <c r="Q25" i="83"/>
  <c r="P25" i="83"/>
  <c r="O25" i="83"/>
  <c r="F25" i="83" s="1"/>
  <c r="N25" i="83"/>
  <c r="L25" i="83"/>
  <c r="AL24" i="83"/>
  <c r="Q24" i="83"/>
  <c r="P24" i="83"/>
  <c r="O24" i="83"/>
  <c r="N24" i="83"/>
  <c r="L24" i="83"/>
  <c r="AL23" i="83"/>
  <c r="Q23" i="83"/>
  <c r="P23" i="83"/>
  <c r="O23" i="83"/>
  <c r="N23" i="83"/>
  <c r="L23" i="83"/>
  <c r="AL22" i="83"/>
  <c r="Q22" i="83"/>
  <c r="P22" i="83"/>
  <c r="O22" i="83"/>
  <c r="N22" i="83"/>
  <c r="L22" i="83"/>
  <c r="AL21" i="83"/>
  <c r="V21" i="83"/>
  <c r="Q21" i="83"/>
  <c r="P21" i="83"/>
  <c r="O21" i="83"/>
  <c r="F21" i="83" s="1"/>
  <c r="N21" i="83"/>
  <c r="L21" i="83"/>
  <c r="AL20" i="83"/>
  <c r="V20" i="83"/>
  <c r="Q20" i="83"/>
  <c r="P20" i="83"/>
  <c r="F20" i="83" s="1"/>
  <c r="O20" i="83"/>
  <c r="N20" i="83"/>
  <c r="L20" i="83"/>
  <c r="AL19" i="83"/>
  <c r="V19" i="83"/>
  <c r="Q19" i="83"/>
  <c r="P19" i="83"/>
  <c r="O19" i="83"/>
  <c r="N19" i="83"/>
  <c r="L19" i="83"/>
  <c r="AL18" i="83"/>
  <c r="Q18" i="83"/>
  <c r="P18" i="83"/>
  <c r="O18" i="83"/>
  <c r="N18" i="83"/>
  <c r="L18" i="83"/>
  <c r="AL17" i="83"/>
  <c r="Q17" i="83"/>
  <c r="P17" i="83"/>
  <c r="O17" i="83"/>
  <c r="N17" i="83"/>
  <c r="L17" i="83"/>
  <c r="AL16" i="83"/>
  <c r="Q16" i="83"/>
  <c r="P16" i="83"/>
  <c r="O16" i="83"/>
  <c r="N16" i="83"/>
  <c r="L16" i="83"/>
  <c r="AL15" i="83"/>
  <c r="Q15" i="83"/>
  <c r="P15" i="83"/>
  <c r="O15" i="83"/>
  <c r="N15" i="83"/>
  <c r="L15" i="83"/>
  <c r="AL14" i="83"/>
  <c r="Q14" i="83"/>
  <c r="P14" i="83"/>
  <c r="O14" i="83"/>
  <c r="N14" i="83"/>
  <c r="L14" i="83"/>
  <c r="AL13" i="83"/>
  <c r="Q13" i="83"/>
  <c r="P13" i="83"/>
  <c r="O13" i="83"/>
  <c r="N13" i="83"/>
  <c r="L13" i="83"/>
  <c r="AL12" i="83"/>
  <c r="V12" i="83"/>
  <c r="Q12" i="83"/>
  <c r="P12" i="83"/>
  <c r="F12" i="83" s="1"/>
  <c r="O12" i="83"/>
  <c r="N12" i="83"/>
  <c r="L12" i="83"/>
  <c r="AL11" i="83"/>
  <c r="Q11" i="83"/>
  <c r="P11" i="83"/>
  <c r="O11" i="83"/>
  <c r="F11" i="83" s="1"/>
  <c r="N11" i="83"/>
  <c r="L11" i="83"/>
  <c r="AL10" i="83"/>
  <c r="Q10" i="83"/>
  <c r="P10" i="83"/>
  <c r="O10" i="83"/>
  <c r="F10" i="83" s="1"/>
  <c r="N10" i="83"/>
  <c r="L10" i="83"/>
  <c r="AL9" i="83"/>
  <c r="Q9" i="83"/>
  <c r="P9" i="83"/>
  <c r="O9" i="83"/>
  <c r="F9" i="83" s="1"/>
  <c r="N9" i="83"/>
  <c r="L9" i="83"/>
  <c r="AL8" i="83"/>
  <c r="Q8" i="83"/>
  <c r="P8" i="83"/>
  <c r="O8" i="83"/>
  <c r="F8" i="83" s="1"/>
  <c r="N8" i="83"/>
  <c r="L8" i="83"/>
  <c r="AL7" i="83"/>
  <c r="Q7" i="83"/>
  <c r="P7" i="83"/>
  <c r="O7" i="83"/>
  <c r="N7" i="83"/>
  <c r="L7" i="83"/>
  <c r="F7" i="83"/>
  <c r="AL6" i="83"/>
  <c r="V6" i="83"/>
  <c r="V10" i="83" s="1" a="1"/>
  <c r="V10" i="83" s="1"/>
  <c r="Q6" i="83"/>
  <c r="P6" i="83"/>
  <c r="O6" i="83"/>
  <c r="N6" i="83"/>
  <c r="L6" i="83"/>
  <c r="AL5" i="83"/>
  <c r="Q5" i="83"/>
  <c r="P5" i="83"/>
  <c r="O5" i="83"/>
  <c r="F5" i="83" s="1"/>
  <c r="N5" i="83"/>
  <c r="L5" i="83"/>
  <c r="AL4" i="83"/>
  <c r="AL3" i="83"/>
  <c r="AL581" i="84"/>
  <c r="AL580" i="84"/>
  <c r="AL579" i="84"/>
  <c r="AL578" i="84"/>
  <c r="AL577" i="84"/>
  <c r="AL576" i="84"/>
  <c r="AL575" i="84"/>
  <c r="AL574" i="84"/>
  <c r="AL573" i="84"/>
  <c r="AL572" i="84"/>
  <c r="AL571" i="84"/>
  <c r="AL570" i="84"/>
  <c r="AL569" i="84"/>
  <c r="AL568" i="84"/>
  <c r="AL567" i="84"/>
  <c r="AL566" i="84"/>
  <c r="AL565" i="84"/>
  <c r="AL564" i="84"/>
  <c r="AL563" i="84"/>
  <c r="AL562" i="84"/>
  <c r="AL561" i="84"/>
  <c r="AL560" i="84"/>
  <c r="AL559" i="84"/>
  <c r="AL558" i="84"/>
  <c r="AL557" i="84"/>
  <c r="AL556" i="84"/>
  <c r="AL555" i="84"/>
  <c r="AL554" i="84"/>
  <c r="AL553" i="84"/>
  <c r="AL552" i="84"/>
  <c r="AL551" i="84"/>
  <c r="AL550" i="84"/>
  <c r="AL549" i="84"/>
  <c r="AL548" i="84"/>
  <c r="AL547" i="84"/>
  <c r="AL546" i="84"/>
  <c r="AL545" i="84"/>
  <c r="AL544" i="84"/>
  <c r="AL543" i="84"/>
  <c r="AL542" i="84"/>
  <c r="AL541" i="84"/>
  <c r="AL540" i="84"/>
  <c r="AL539" i="84"/>
  <c r="AL538" i="84"/>
  <c r="AL537" i="84"/>
  <c r="AL536" i="84"/>
  <c r="AL535" i="84"/>
  <c r="AL534" i="84"/>
  <c r="AL533" i="84"/>
  <c r="AL532" i="84"/>
  <c r="AL531" i="84"/>
  <c r="AL530" i="84"/>
  <c r="AL529" i="84"/>
  <c r="AL528" i="84"/>
  <c r="AL527" i="84"/>
  <c r="AL526" i="84"/>
  <c r="AL525" i="84"/>
  <c r="AL524" i="84"/>
  <c r="AL523" i="84"/>
  <c r="AL522" i="84"/>
  <c r="AL521" i="84"/>
  <c r="AL520" i="84"/>
  <c r="AL519" i="84"/>
  <c r="AL518" i="84"/>
  <c r="AL517" i="84"/>
  <c r="AL516" i="84"/>
  <c r="AL515" i="84"/>
  <c r="AL514" i="84"/>
  <c r="AL513" i="84"/>
  <c r="AL512" i="84"/>
  <c r="AL511" i="84"/>
  <c r="AL510" i="84"/>
  <c r="AL509" i="84"/>
  <c r="AL508" i="84"/>
  <c r="AL507" i="84"/>
  <c r="AL506" i="84"/>
  <c r="AL505" i="84"/>
  <c r="AL504" i="84"/>
  <c r="AL503" i="84"/>
  <c r="AL502" i="84"/>
  <c r="AL501" i="84"/>
  <c r="AL500" i="84"/>
  <c r="AL499" i="84"/>
  <c r="AL498" i="84"/>
  <c r="AL497" i="84"/>
  <c r="AL496" i="84"/>
  <c r="AL495" i="84"/>
  <c r="AL494" i="84"/>
  <c r="AL493" i="84"/>
  <c r="AL492" i="84"/>
  <c r="AL491" i="84"/>
  <c r="AL490" i="84"/>
  <c r="AL489" i="84"/>
  <c r="AL488" i="84"/>
  <c r="AL487" i="84"/>
  <c r="AL486" i="84"/>
  <c r="AL485" i="84"/>
  <c r="AL484" i="84"/>
  <c r="AL483" i="84"/>
  <c r="AL482" i="84"/>
  <c r="AL481" i="84"/>
  <c r="AL480" i="84"/>
  <c r="AL479" i="84"/>
  <c r="AL478" i="84"/>
  <c r="AL477" i="84"/>
  <c r="AL476" i="84"/>
  <c r="AL475" i="84"/>
  <c r="AL474" i="84"/>
  <c r="AL473" i="84"/>
  <c r="AL472" i="84"/>
  <c r="AL471" i="84"/>
  <c r="AL470" i="84"/>
  <c r="AL469" i="84"/>
  <c r="AL468" i="84"/>
  <c r="AL467" i="84"/>
  <c r="AL466" i="84"/>
  <c r="AL465" i="84"/>
  <c r="AL464" i="84"/>
  <c r="AL463" i="84"/>
  <c r="AL462" i="84"/>
  <c r="AL461" i="84"/>
  <c r="AL460" i="84"/>
  <c r="AL459" i="84"/>
  <c r="AL458" i="84"/>
  <c r="AL457" i="84"/>
  <c r="AL456" i="84"/>
  <c r="AL455" i="84"/>
  <c r="AL454" i="84"/>
  <c r="AL453" i="84"/>
  <c r="AL452" i="84"/>
  <c r="AL451" i="84"/>
  <c r="AL450" i="84"/>
  <c r="AL449" i="84"/>
  <c r="AL448" i="84"/>
  <c r="AL447" i="84"/>
  <c r="AL446" i="84"/>
  <c r="AL445" i="84"/>
  <c r="AL444" i="84"/>
  <c r="AL443" i="84"/>
  <c r="AL442" i="84"/>
  <c r="AL441" i="84"/>
  <c r="AL440" i="84"/>
  <c r="AL439" i="84"/>
  <c r="AL438" i="84"/>
  <c r="AL437" i="84"/>
  <c r="AL436" i="84"/>
  <c r="AL435" i="84"/>
  <c r="AL434" i="84"/>
  <c r="AL433" i="84"/>
  <c r="AL432" i="84"/>
  <c r="AL431" i="84"/>
  <c r="AL430" i="84"/>
  <c r="AL429" i="84"/>
  <c r="AL428" i="84"/>
  <c r="AL427" i="84"/>
  <c r="AL426" i="84"/>
  <c r="AL425" i="84"/>
  <c r="AL424" i="84"/>
  <c r="AL423" i="84"/>
  <c r="AL422" i="84"/>
  <c r="AL421" i="84"/>
  <c r="AL420" i="84"/>
  <c r="AL419" i="84"/>
  <c r="AL418" i="84"/>
  <c r="AL417" i="84"/>
  <c r="AL416" i="84"/>
  <c r="AL415" i="84"/>
  <c r="AL414" i="84"/>
  <c r="AL413" i="84"/>
  <c r="AL412" i="84"/>
  <c r="AL411" i="84"/>
  <c r="AL410" i="84"/>
  <c r="AL409" i="84"/>
  <c r="AL408" i="84"/>
  <c r="AL407" i="84"/>
  <c r="AL406" i="84"/>
  <c r="AL405" i="84"/>
  <c r="AL404" i="84"/>
  <c r="AL403" i="84"/>
  <c r="AL402" i="84"/>
  <c r="AL401" i="84"/>
  <c r="AL400" i="84"/>
  <c r="AL399" i="84"/>
  <c r="AL398" i="84"/>
  <c r="AL397" i="84"/>
  <c r="AL396" i="84"/>
  <c r="AL395" i="84"/>
  <c r="AL394" i="84"/>
  <c r="AL393" i="84"/>
  <c r="AL392" i="84"/>
  <c r="AL391" i="84"/>
  <c r="AL390" i="84"/>
  <c r="AL389" i="84"/>
  <c r="AL388" i="84"/>
  <c r="AL387" i="84"/>
  <c r="AL386" i="84"/>
  <c r="AL385" i="84"/>
  <c r="AL384" i="84"/>
  <c r="AL383" i="84"/>
  <c r="AL382" i="84"/>
  <c r="AL381" i="84"/>
  <c r="AL380" i="84"/>
  <c r="AL379" i="84"/>
  <c r="AL378" i="84"/>
  <c r="AL377" i="84"/>
  <c r="AL376" i="84"/>
  <c r="AL375" i="84"/>
  <c r="AL374" i="84"/>
  <c r="AL373" i="84"/>
  <c r="AL372" i="84"/>
  <c r="AL371" i="84"/>
  <c r="AL370" i="84"/>
  <c r="AL369" i="84"/>
  <c r="AL368" i="84"/>
  <c r="AL367" i="84"/>
  <c r="AL366" i="84"/>
  <c r="AL365" i="84"/>
  <c r="AL364" i="84"/>
  <c r="AL363" i="84"/>
  <c r="AL362" i="84"/>
  <c r="AL361" i="84"/>
  <c r="AL360" i="84"/>
  <c r="AL359" i="84"/>
  <c r="AL358" i="84"/>
  <c r="AL357" i="84"/>
  <c r="AL356" i="84"/>
  <c r="AL355" i="84"/>
  <c r="AL354" i="84"/>
  <c r="AL353" i="84"/>
  <c r="AL352" i="84"/>
  <c r="AL351" i="84"/>
  <c r="AL350" i="84"/>
  <c r="AL349" i="84"/>
  <c r="AL348" i="84"/>
  <c r="AL347" i="84"/>
  <c r="AL346" i="84"/>
  <c r="AL345" i="84"/>
  <c r="AL344" i="84"/>
  <c r="AL343" i="84"/>
  <c r="AL342" i="84"/>
  <c r="AL341" i="84"/>
  <c r="AL340" i="84"/>
  <c r="AL339" i="84"/>
  <c r="AL338" i="84"/>
  <c r="AL337" i="84"/>
  <c r="AL336" i="84"/>
  <c r="AL335" i="84"/>
  <c r="AL334" i="84"/>
  <c r="AL333" i="84"/>
  <c r="AL332" i="84"/>
  <c r="AL331" i="84"/>
  <c r="AL330" i="84"/>
  <c r="AL329" i="84"/>
  <c r="AL328" i="84"/>
  <c r="AL327" i="84"/>
  <c r="AL326" i="84"/>
  <c r="AL325" i="84"/>
  <c r="AL324" i="84"/>
  <c r="AL323" i="84"/>
  <c r="AL322" i="84"/>
  <c r="AL321" i="84"/>
  <c r="AL320" i="84"/>
  <c r="AL319" i="84"/>
  <c r="AL318" i="84"/>
  <c r="AL317" i="84"/>
  <c r="AL316" i="84"/>
  <c r="AL315" i="84"/>
  <c r="AL314" i="84"/>
  <c r="AL313" i="84"/>
  <c r="AL312" i="84"/>
  <c r="AL311" i="84"/>
  <c r="AL310" i="84"/>
  <c r="AL309" i="84"/>
  <c r="AL308" i="84"/>
  <c r="AL307" i="84"/>
  <c r="AL306" i="84"/>
  <c r="AL305" i="84"/>
  <c r="AL304" i="84"/>
  <c r="AL303" i="84"/>
  <c r="AL302" i="84"/>
  <c r="AL301" i="84"/>
  <c r="AL300" i="84"/>
  <c r="AL299" i="84"/>
  <c r="AL298" i="84"/>
  <c r="AL297" i="84"/>
  <c r="AL296" i="84"/>
  <c r="AL295" i="84"/>
  <c r="AL294" i="84"/>
  <c r="AL293" i="84"/>
  <c r="AL292" i="84"/>
  <c r="AL291" i="84"/>
  <c r="AL290" i="84"/>
  <c r="AL289" i="84"/>
  <c r="AL288" i="84"/>
  <c r="AL287" i="84"/>
  <c r="AL286" i="84"/>
  <c r="AL285" i="84"/>
  <c r="AL284" i="84"/>
  <c r="AL283" i="84"/>
  <c r="AL282" i="84"/>
  <c r="AL281" i="84"/>
  <c r="AL280" i="84"/>
  <c r="AL279" i="84"/>
  <c r="AL278" i="84"/>
  <c r="AL277" i="84"/>
  <c r="AL276" i="84"/>
  <c r="AL275" i="84"/>
  <c r="AL274" i="84"/>
  <c r="AL273" i="84"/>
  <c r="AL272" i="84"/>
  <c r="AL271" i="84"/>
  <c r="AL270" i="84"/>
  <c r="AL269" i="84"/>
  <c r="AL268" i="84"/>
  <c r="AL267" i="84"/>
  <c r="AL266" i="84"/>
  <c r="AL265" i="84"/>
  <c r="AL264" i="84"/>
  <c r="AL263" i="84"/>
  <c r="AL262" i="84"/>
  <c r="AL261" i="84"/>
  <c r="AL260" i="84"/>
  <c r="AL259" i="84"/>
  <c r="AL258" i="84"/>
  <c r="AL257" i="84"/>
  <c r="AL256" i="84"/>
  <c r="AL255" i="84"/>
  <c r="AL254" i="84"/>
  <c r="AL253" i="84"/>
  <c r="AL252" i="84"/>
  <c r="AL251" i="84"/>
  <c r="AL250" i="84"/>
  <c r="AL249" i="84"/>
  <c r="AL248" i="84"/>
  <c r="AL247" i="84"/>
  <c r="AL246" i="84"/>
  <c r="AL245" i="84"/>
  <c r="AL244" i="84"/>
  <c r="AL243" i="84"/>
  <c r="AL242" i="84"/>
  <c r="AL241" i="84"/>
  <c r="AL240" i="84"/>
  <c r="AL239" i="84"/>
  <c r="AL238" i="84"/>
  <c r="AL237" i="84"/>
  <c r="AL236" i="84"/>
  <c r="AL235" i="84"/>
  <c r="AL234" i="84"/>
  <c r="AL233" i="84"/>
  <c r="AL232" i="84"/>
  <c r="AL231" i="84"/>
  <c r="AL230" i="84"/>
  <c r="AL229" i="84"/>
  <c r="AL228" i="84"/>
  <c r="AL227" i="84"/>
  <c r="AL226" i="84"/>
  <c r="AL225" i="84"/>
  <c r="AL224" i="84"/>
  <c r="AL223" i="84"/>
  <c r="AL222" i="84"/>
  <c r="AL221" i="84"/>
  <c r="AL220" i="84"/>
  <c r="AL219" i="84"/>
  <c r="AL218" i="84"/>
  <c r="AL217" i="84"/>
  <c r="AL216" i="84"/>
  <c r="AL215" i="84"/>
  <c r="AL214" i="84"/>
  <c r="AL213" i="84"/>
  <c r="AL212" i="84"/>
  <c r="AL211" i="84"/>
  <c r="AL210" i="84"/>
  <c r="AL209" i="84"/>
  <c r="AL208" i="84"/>
  <c r="AL207" i="84"/>
  <c r="AL206" i="84"/>
  <c r="AL205" i="84"/>
  <c r="AL204" i="84"/>
  <c r="AL203" i="84"/>
  <c r="AL202" i="84"/>
  <c r="AL201" i="84"/>
  <c r="AL200" i="84"/>
  <c r="AL199" i="84"/>
  <c r="AL198" i="84"/>
  <c r="AL197" i="84"/>
  <c r="AL196" i="84"/>
  <c r="AL195" i="84"/>
  <c r="AL194" i="84"/>
  <c r="AL193" i="84"/>
  <c r="AL192" i="84"/>
  <c r="AL191" i="84"/>
  <c r="AL190" i="84"/>
  <c r="AL189" i="84"/>
  <c r="AL188" i="84"/>
  <c r="AL187" i="84"/>
  <c r="AL186" i="84"/>
  <c r="AL185" i="84"/>
  <c r="AL184" i="84"/>
  <c r="AL183" i="84"/>
  <c r="AL182" i="84"/>
  <c r="AL181" i="84"/>
  <c r="AL180" i="84"/>
  <c r="AL179" i="84"/>
  <c r="AL178" i="84"/>
  <c r="AL177" i="84"/>
  <c r="AL176" i="84"/>
  <c r="AL175" i="84"/>
  <c r="AL174" i="84"/>
  <c r="AL173" i="84"/>
  <c r="AL172" i="84"/>
  <c r="AL171" i="84"/>
  <c r="AL170" i="84"/>
  <c r="AL169" i="84"/>
  <c r="AL168" i="84"/>
  <c r="AL167" i="84"/>
  <c r="AL166" i="84"/>
  <c r="AL165" i="84"/>
  <c r="AL164" i="84"/>
  <c r="AL163" i="84"/>
  <c r="AL162" i="84"/>
  <c r="AL161" i="84"/>
  <c r="AL160" i="84"/>
  <c r="AL159" i="84"/>
  <c r="AL158" i="84"/>
  <c r="AL157" i="84"/>
  <c r="AL156" i="84"/>
  <c r="AL155" i="84"/>
  <c r="AL154" i="84"/>
  <c r="AL153" i="84"/>
  <c r="AL152" i="84"/>
  <c r="AL151" i="84"/>
  <c r="AL150" i="84"/>
  <c r="AL149" i="84"/>
  <c r="AL148" i="84"/>
  <c r="AL147" i="84"/>
  <c r="AL146" i="84"/>
  <c r="AL145" i="84"/>
  <c r="AL144" i="84"/>
  <c r="AL143" i="84"/>
  <c r="Q143" i="84"/>
  <c r="P143" i="84"/>
  <c r="O143" i="84"/>
  <c r="N143" i="84"/>
  <c r="L143" i="84"/>
  <c r="AL142" i="84"/>
  <c r="Q142" i="84"/>
  <c r="P142" i="84"/>
  <c r="O142" i="84"/>
  <c r="N142" i="84"/>
  <c r="L142" i="84"/>
  <c r="AL141" i="84"/>
  <c r="Q141" i="84"/>
  <c r="P141" i="84"/>
  <c r="O141" i="84"/>
  <c r="F141" i="84" s="1"/>
  <c r="N141" i="84"/>
  <c r="L141" i="84"/>
  <c r="AL140" i="84"/>
  <c r="Q140" i="84"/>
  <c r="P140" i="84"/>
  <c r="O140" i="84"/>
  <c r="N140" i="84"/>
  <c r="L140" i="84"/>
  <c r="AL139" i="84"/>
  <c r="Q139" i="84"/>
  <c r="P139" i="84"/>
  <c r="O139" i="84"/>
  <c r="F139" i="84" s="1"/>
  <c r="N139" i="84"/>
  <c r="L139" i="84"/>
  <c r="AL138" i="84"/>
  <c r="Q138" i="84"/>
  <c r="P138" i="84"/>
  <c r="O138" i="84"/>
  <c r="N138" i="84"/>
  <c r="L138" i="84"/>
  <c r="AL137" i="84"/>
  <c r="Q137" i="84"/>
  <c r="P137" i="84"/>
  <c r="O137" i="84"/>
  <c r="N137" i="84"/>
  <c r="L137" i="84"/>
  <c r="AL136" i="84"/>
  <c r="Q136" i="84"/>
  <c r="P136" i="84"/>
  <c r="O136" i="84"/>
  <c r="N136" i="84"/>
  <c r="L136" i="84"/>
  <c r="AL135" i="84"/>
  <c r="Q135" i="84"/>
  <c r="P135" i="84"/>
  <c r="O135" i="84"/>
  <c r="N135" i="84"/>
  <c r="L135" i="84"/>
  <c r="AL134" i="84"/>
  <c r="Q134" i="84"/>
  <c r="P134" i="84"/>
  <c r="O134" i="84"/>
  <c r="N134" i="84"/>
  <c r="L134" i="84"/>
  <c r="AL133" i="84"/>
  <c r="Q133" i="84"/>
  <c r="P133" i="84"/>
  <c r="O133" i="84"/>
  <c r="F133" i="84" s="1"/>
  <c r="N133" i="84"/>
  <c r="L133" i="84"/>
  <c r="AL132" i="84"/>
  <c r="Q132" i="84"/>
  <c r="P132" i="84"/>
  <c r="O132" i="84"/>
  <c r="N132" i="84"/>
  <c r="L132" i="84"/>
  <c r="AL131" i="84"/>
  <c r="Q131" i="84"/>
  <c r="P131" i="84"/>
  <c r="O131" i="84"/>
  <c r="F131" i="84" s="1"/>
  <c r="N131" i="84"/>
  <c r="L131" i="84"/>
  <c r="AL130" i="84"/>
  <c r="Q130" i="84"/>
  <c r="P130" i="84"/>
  <c r="O130" i="84"/>
  <c r="N130" i="84"/>
  <c r="L130" i="84"/>
  <c r="AL129" i="84"/>
  <c r="Q129" i="84"/>
  <c r="P129" i="84"/>
  <c r="O129" i="84"/>
  <c r="N129" i="84"/>
  <c r="L129" i="84"/>
  <c r="AL128" i="84"/>
  <c r="Q128" i="84"/>
  <c r="P128" i="84"/>
  <c r="O128" i="84"/>
  <c r="N128" i="84"/>
  <c r="L128" i="84"/>
  <c r="AL127" i="84"/>
  <c r="Q127" i="84"/>
  <c r="P127" i="84"/>
  <c r="O127" i="84"/>
  <c r="N127" i="84"/>
  <c r="L127" i="84"/>
  <c r="AL126" i="84"/>
  <c r="Q126" i="84"/>
  <c r="P126" i="84"/>
  <c r="O126" i="84"/>
  <c r="N126" i="84"/>
  <c r="L126" i="84"/>
  <c r="AL125" i="84"/>
  <c r="Q125" i="84"/>
  <c r="P125" i="84"/>
  <c r="O125" i="84"/>
  <c r="F125" i="84" s="1"/>
  <c r="N125" i="84"/>
  <c r="L125" i="84"/>
  <c r="AL124" i="84"/>
  <c r="Q124" i="84"/>
  <c r="P124" i="84"/>
  <c r="O124" i="84"/>
  <c r="N124" i="84"/>
  <c r="L124" i="84"/>
  <c r="AL123" i="84"/>
  <c r="Q123" i="84"/>
  <c r="P123" i="84"/>
  <c r="O123" i="84"/>
  <c r="F123" i="84" s="1"/>
  <c r="N123" i="84"/>
  <c r="L123" i="84"/>
  <c r="AL122" i="84"/>
  <c r="Q122" i="84"/>
  <c r="P122" i="84"/>
  <c r="O122" i="84"/>
  <c r="N122" i="84"/>
  <c r="L122" i="84"/>
  <c r="AL121" i="84"/>
  <c r="Q121" i="84"/>
  <c r="P121" i="84"/>
  <c r="O121" i="84"/>
  <c r="N121" i="84"/>
  <c r="L121" i="84"/>
  <c r="AL120" i="84"/>
  <c r="Q120" i="84"/>
  <c r="P120" i="84"/>
  <c r="O120" i="84"/>
  <c r="N120" i="84"/>
  <c r="L120" i="84"/>
  <c r="AL119" i="84"/>
  <c r="Q119" i="84"/>
  <c r="P119" i="84"/>
  <c r="O119" i="84"/>
  <c r="N119" i="84"/>
  <c r="L119" i="84"/>
  <c r="AL118" i="84"/>
  <c r="Q118" i="84"/>
  <c r="P118" i="84"/>
  <c r="O118" i="84"/>
  <c r="N118" i="84"/>
  <c r="L118" i="84"/>
  <c r="AL117" i="84"/>
  <c r="Q117" i="84"/>
  <c r="P117" i="84"/>
  <c r="O117" i="84"/>
  <c r="F117" i="84" s="1"/>
  <c r="N117" i="84"/>
  <c r="L117" i="84"/>
  <c r="AL116" i="84"/>
  <c r="Q116" i="84"/>
  <c r="P116" i="84"/>
  <c r="O116" i="84"/>
  <c r="N116" i="84"/>
  <c r="L116" i="84"/>
  <c r="AL115" i="84"/>
  <c r="Q115" i="84"/>
  <c r="P115" i="84"/>
  <c r="O115" i="84"/>
  <c r="F115" i="84" s="1"/>
  <c r="N115" i="84"/>
  <c r="L115" i="84"/>
  <c r="AL114" i="84"/>
  <c r="Q114" i="84"/>
  <c r="P114" i="84"/>
  <c r="O114" i="84"/>
  <c r="N114" i="84"/>
  <c r="L114" i="84"/>
  <c r="AL113" i="84"/>
  <c r="Q113" i="84"/>
  <c r="P113" i="84"/>
  <c r="O113" i="84"/>
  <c r="N113" i="84"/>
  <c r="L113" i="84"/>
  <c r="AL112" i="84"/>
  <c r="Q112" i="84"/>
  <c r="P112" i="84"/>
  <c r="O112" i="84"/>
  <c r="N112" i="84"/>
  <c r="L112" i="84"/>
  <c r="AL111" i="84"/>
  <c r="Q111" i="84"/>
  <c r="P111" i="84"/>
  <c r="O111" i="84"/>
  <c r="N111" i="84"/>
  <c r="L111" i="84"/>
  <c r="AL110" i="84"/>
  <c r="Q110" i="84"/>
  <c r="P110" i="84"/>
  <c r="O110" i="84"/>
  <c r="N110" i="84"/>
  <c r="L110" i="84"/>
  <c r="AL109" i="84"/>
  <c r="Q109" i="84"/>
  <c r="P109" i="84"/>
  <c r="O109" i="84"/>
  <c r="F109" i="84" s="1"/>
  <c r="N109" i="84"/>
  <c r="L109" i="84"/>
  <c r="AL108" i="84"/>
  <c r="Q108" i="84"/>
  <c r="P108" i="84"/>
  <c r="O108" i="84"/>
  <c r="N108" i="84"/>
  <c r="L108" i="84"/>
  <c r="AL107" i="84"/>
  <c r="Q107" i="84"/>
  <c r="P107" i="84"/>
  <c r="O107" i="84"/>
  <c r="F107" i="84" s="1"/>
  <c r="N107" i="84"/>
  <c r="L107" i="84"/>
  <c r="AL106" i="84"/>
  <c r="Q106" i="84"/>
  <c r="P106" i="84"/>
  <c r="O106" i="84"/>
  <c r="N106" i="84"/>
  <c r="L106" i="84"/>
  <c r="AL105" i="84"/>
  <c r="Q105" i="84"/>
  <c r="P105" i="84"/>
  <c r="O105" i="84"/>
  <c r="N105" i="84"/>
  <c r="L105" i="84"/>
  <c r="AL104" i="84"/>
  <c r="Q104" i="84"/>
  <c r="P104" i="84"/>
  <c r="O104" i="84"/>
  <c r="N104" i="84"/>
  <c r="L104" i="84"/>
  <c r="AL103" i="84"/>
  <c r="Q103" i="84"/>
  <c r="P103" i="84"/>
  <c r="O103" i="84"/>
  <c r="N103" i="84"/>
  <c r="L103" i="84"/>
  <c r="AL102" i="84"/>
  <c r="Q102" i="84"/>
  <c r="P102" i="84"/>
  <c r="O102" i="84"/>
  <c r="N102" i="84"/>
  <c r="L102" i="84"/>
  <c r="AL101" i="84"/>
  <c r="Q101" i="84"/>
  <c r="P101" i="84"/>
  <c r="O101" i="84"/>
  <c r="F101" i="84" s="1"/>
  <c r="N101" i="84"/>
  <c r="L101" i="84"/>
  <c r="AL100" i="84"/>
  <c r="Q100" i="84"/>
  <c r="P100" i="84"/>
  <c r="O100" i="84"/>
  <c r="N100" i="84"/>
  <c r="L100" i="84"/>
  <c r="AL99" i="84"/>
  <c r="Q99" i="84"/>
  <c r="P99" i="84"/>
  <c r="O99" i="84"/>
  <c r="F99" i="84" s="1"/>
  <c r="N99" i="84"/>
  <c r="L99" i="84"/>
  <c r="AL98" i="84"/>
  <c r="Q98" i="84"/>
  <c r="P98" i="84"/>
  <c r="O98" i="84"/>
  <c r="N98" i="84"/>
  <c r="L98" i="84"/>
  <c r="AL97" i="84"/>
  <c r="Q97" i="84"/>
  <c r="P97" i="84"/>
  <c r="O97" i="84"/>
  <c r="N97" i="84"/>
  <c r="L97" i="84"/>
  <c r="AL96" i="84"/>
  <c r="Q96" i="84"/>
  <c r="P96" i="84"/>
  <c r="O96" i="84"/>
  <c r="N96" i="84"/>
  <c r="L96" i="84"/>
  <c r="AL95" i="84"/>
  <c r="Q95" i="84"/>
  <c r="P95" i="84"/>
  <c r="O95" i="84"/>
  <c r="N95" i="84"/>
  <c r="L95" i="84"/>
  <c r="AL94" i="84"/>
  <c r="Q94" i="84"/>
  <c r="P94" i="84"/>
  <c r="O94" i="84"/>
  <c r="N94" i="84"/>
  <c r="L94" i="84"/>
  <c r="AL93" i="84"/>
  <c r="Q93" i="84"/>
  <c r="P93" i="84"/>
  <c r="O93" i="84"/>
  <c r="F93" i="84" s="1"/>
  <c r="N93" i="84"/>
  <c r="L93" i="84"/>
  <c r="AL92" i="84"/>
  <c r="Q92" i="84"/>
  <c r="P92" i="84"/>
  <c r="O92" i="84"/>
  <c r="N92" i="84"/>
  <c r="L92" i="84"/>
  <c r="AL91" i="84"/>
  <c r="Q91" i="84"/>
  <c r="P91" i="84"/>
  <c r="O91" i="84"/>
  <c r="F91" i="84" s="1"/>
  <c r="N91" i="84"/>
  <c r="L91" i="84"/>
  <c r="AL90" i="84"/>
  <c r="Q90" i="84"/>
  <c r="P90" i="84"/>
  <c r="O90" i="84"/>
  <c r="N90" i="84"/>
  <c r="L90" i="84"/>
  <c r="AL89" i="84"/>
  <c r="Q89" i="84"/>
  <c r="P89" i="84"/>
  <c r="O89" i="84"/>
  <c r="N89" i="84"/>
  <c r="L89" i="84"/>
  <c r="AL88" i="84"/>
  <c r="Q88" i="84"/>
  <c r="P88" i="84"/>
  <c r="O88" i="84"/>
  <c r="N88" i="84"/>
  <c r="L88" i="84"/>
  <c r="AL87" i="84"/>
  <c r="Q87" i="84"/>
  <c r="P87" i="84"/>
  <c r="O87" i="84"/>
  <c r="N87" i="84"/>
  <c r="L87" i="84"/>
  <c r="AL86" i="84"/>
  <c r="Q86" i="84"/>
  <c r="P86" i="84"/>
  <c r="O86" i="84"/>
  <c r="N86" i="84"/>
  <c r="L86" i="84"/>
  <c r="AL85" i="84"/>
  <c r="Q85" i="84"/>
  <c r="P85" i="84"/>
  <c r="O85" i="84"/>
  <c r="F85" i="84" s="1"/>
  <c r="N85" i="84"/>
  <c r="L85" i="84"/>
  <c r="AL84" i="84"/>
  <c r="Q84" i="84"/>
  <c r="P84" i="84"/>
  <c r="O84" i="84"/>
  <c r="N84" i="84"/>
  <c r="L84" i="84"/>
  <c r="AL83" i="84"/>
  <c r="Q83" i="84"/>
  <c r="P83" i="84"/>
  <c r="O83" i="84"/>
  <c r="F83" i="84" s="1"/>
  <c r="N83" i="84"/>
  <c r="L83" i="84"/>
  <c r="AL82" i="84"/>
  <c r="Q82" i="84"/>
  <c r="P82" i="84"/>
  <c r="O82" i="84"/>
  <c r="N82" i="84"/>
  <c r="L82" i="84"/>
  <c r="AL81" i="84"/>
  <c r="Q81" i="84"/>
  <c r="P81" i="84"/>
  <c r="O81" i="84"/>
  <c r="N81" i="84"/>
  <c r="L81" i="84"/>
  <c r="AL80" i="84"/>
  <c r="Q80" i="84"/>
  <c r="P80" i="84"/>
  <c r="O80" i="84"/>
  <c r="N80" i="84"/>
  <c r="L80" i="84"/>
  <c r="AL79" i="84"/>
  <c r="Q79" i="84"/>
  <c r="P79" i="84"/>
  <c r="O79" i="84"/>
  <c r="N79" i="84"/>
  <c r="L79" i="84"/>
  <c r="AL78" i="84"/>
  <c r="Q78" i="84"/>
  <c r="P78" i="84"/>
  <c r="O78" i="84"/>
  <c r="N78" i="84"/>
  <c r="L78" i="84"/>
  <c r="AL77" i="84"/>
  <c r="Q77" i="84"/>
  <c r="P77" i="84"/>
  <c r="O77" i="84"/>
  <c r="F77" i="84" s="1"/>
  <c r="N77" i="84"/>
  <c r="L77" i="84"/>
  <c r="AL76" i="84"/>
  <c r="Q76" i="84"/>
  <c r="P76" i="84"/>
  <c r="O76" i="84"/>
  <c r="N76" i="84"/>
  <c r="L76" i="84"/>
  <c r="AL75" i="84"/>
  <c r="Q75" i="84"/>
  <c r="P75" i="84"/>
  <c r="O75" i="84"/>
  <c r="F75" i="84" s="1"/>
  <c r="N75" i="84"/>
  <c r="L75" i="84"/>
  <c r="AL74" i="84"/>
  <c r="Q74" i="84"/>
  <c r="P74" i="84"/>
  <c r="O74" i="84"/>
  <c r="N74" i="84"/>
  <c r="L74" i="84"/>
  <c r="AL73" i="84"/>
  <c r="Q73" i="84"/>
  <c r="P73" i="84"/>
  <c r="O73" i="84"/>
  <c r="N73" i="84"/>
  <c r="L73" i="84"/>
  <c r="AL72" i="84"/>
  <c r="Q72" i="84"/>
  <c r="P72" i="84"/>
  <c r="O72" i="84"/>
  <c r="N72" i="84"/>
  <c r="L72" i="84"/>
  <c r="AL71" i="84"/>
  <c r="Q71" i="84"/>
  <c r="P71" i="84"/>
  <c r="O71" i="84"/>
  <c r="N71" i="84"/>
  <c r="L71" i="84"/>
  <c r="AL70" i="84"/>
  <c r="Q70" i="84"/>
  <c r="P70" i="84"/>
  <c r="O70" i="84"/>
  <c r="N70" i="84"/>
  <c r="L70" i="84"/>
  <c r="AL69" i="84"/>
  <c r="Q69" i="84"/>
  <c r="P69" i="84"/>
  <c r="O69" i="84"/>
  <c r="F69" i="84" s="1"/>
  <c r="N69" i="84"/>
  <c r="L69" i="84"/>
  <c r="AL68" i="84"/>
  <c r="Q68" i="84"/>
  <c r="P68" i="84"/>
  <c r="O68" i="84"/>
  <c r="N68" i="84"/>
  <c r="L68" i="84"/>
  <c r="AL67" i="84"/>
  <c r="Q67" i="84"/>
  <c r="P67" i="84"/>
  <c r="O67" i="84"/>
  <c r="F67" i="84" s="1"/>
  <c r="N67" i="84"/>
  <c r="L67" i="84"/>
  <c r="AL66" i="84"/>
  <c r="Q66" i="84"/>
  <c r="P66" i="84"/>
  <c r="O66" i="84"/>
  <c r="N66" i="84"/>
  <c r="L66" i="84"/>
  <c r="AL65" i="84"/>
  <c r="Q65" i="84"/>
  <c r="P65" i="84"/>
  <c r="O65" i="84"/>
  <c r="N65" i="84"/>
  <c r="L65" i="84"/>
  <c r="AL64" i="84"/>
  <c r="Q64" i="84"/>
  <c r="P64" i="84"/>
  <c r="O64" i="84"/>
  <c r="N64" i="84"/>
  <c r="L64" i="84"/>
  <c r="AL63" i="84"/>
  <c r="Q63" i="84"/>
  <c r="P63" i="84"/>
  <c r="O63" i="84"/>
  <c r="N63" i="84"/>
  <c r="L63" i="84"/>
  <c r="AL62" i="84"/>
  <c r="Q62" i="84"/>
  <c r="P62" i="84"/>
  <c r="O62" i="84"/>
  <c r="N62" i="84"/>
  <c r="L62" i="84"/>
  <c r="AL61" i="84"/>
  <c r="Q61" i="84"/>
  <c r="P61" i="84"/>
  <c r="O61" i="84"/>
  <c r="F61" i="84" s="1"/>
  <c r="N61" i="84"/>
  <c r="L61" i="84"/>
  <c r="AL60" i="84"/>
  <c r="Q60" i="84"/>
  <c r="P60" i="84"/>
  <c r="O60" i="84"/>
  <c r="N60" i="84"/>
  <c r="L60" i="84"/>
  <c r="AL59" i="84"/>
  <c r="Q59" i="84"/>
  <c r="P59" i="84"/>
  <c r="O59" i="84"/>
  <c r="F59" i="84" s="1"/>
  <c r="N59" i="84"/>
  <c r="L59" i="84"/>
  <c r="AL58" i="84"/>
  <c r="Q58" i="84"/>
  <c r="P58" i="84"/>
  <c r="O58" i="84"/>
  <c r="F58" i="84" s="1"/>
  <c r="N58" i="84"/>
  <c r="L58" i="84"/>
  <c r="AL57" i="84"/>
  <c r="Q57" i="84"/>
  <c r="P57" i="84"/>
  <c r="O57" i="84"/>
  <c r="N57" i="84"/>
  <c r="L57" i="84"/>
  <c r="F57" i="84"/>
  <c r="AL56" i="84"/>
  <c r="Q56" i="84"/>
  <c r="P56" i="84"/>
  <c r="O56" i="84"/>
  <c r="N56" i="84"/>
  <c r="L56" i="84"/>
  <c r="F56" i="84"/>
  <c r="AL55" i="84"/>
  <c r="Q55" i="84"/>
  <c r="P55" i="84"/>
  <c r="O55" i="84"/>
  <c r="N55" i="84"/>
  <c r="L55" i="84"/>
  <c r="F55" i="84"/>
  <c r="AL54" i="84"/>
  <c r="Q54" i="84"/>
  <c r="P54" i="84"/>
  <c r="O54" i="84"/>
  <c r="N54" i="84"/>
  <c r="L54" i="84"/>
  <c r="F54" i="84"/>
  <c r="AL53" i="84"/>
  <c r="Q53" i="84"/>
  <c r="P53" i="84"/>
  <c r="O53" i="84"/>
  <c r="F53" i="84" s="1"/>
  <c r="N53" i="84"/>
  <c r="L53" i="84"/>
  <c r="AL52" i="84"/>
  <c r="Q52" i="84"/>
  <c r="P52" i="84"/>
  <c r="O52" i="84"/>
  <c r="F52" i="84" s="1"/>
  <c r="N52" i="84"/>
  <c r="L52" i="84"/>
  <c r="AL51" i="84"/>
  <c r="Q51" i="84"/>
  <c r="P51" i="84"/>
  <c r="O51" i="84"/>
  <c r="F51" i="84" s="1"/>
  <c r="N51" i="84"/>
  <c r="L51" i="84"/>
  <c r="AL50" i="84"/>
  <c r="Q50" i="84"/>
  <c r="P50" i="84"/>
  <c r="O50" i="84"/>
  <c r="F50" i="84" s="1"/>
  <c r="N50" i="84"/>
  <c r="L50" i="84"/>
  <c r="AL49" i="84"/>
  <c r="Q49" i="84"/>
  <c r="P49" i="84"/>
  <c r="O49" i="84"/>
  <c r="N49" i="84"/>
  <c r="L49" i="84"/>
  <c r="F49" i="84"/>
  <c r="AL48" i="84"/>
  <c r="Q48" i="84"/>
  <c r="P48" i="84"/>
  <c r="O48" i="84"/>
  <c r="N48" i="84"/>
  <c r="L48" i="84"/>
  <c r="F48" i="84"/>
  <c r="AL47" i="84"/>
  <c r="Q47" i="84"/>
  <c r="P47" i="84"/>
  <c r="O47" i="84"/>
  <c r="N47" i="84"/>
  <c r="L47" i="84"/>
  <c r="F47" i="84"/>
  <c r="AL46" i="84"/>
  <c r="Q46" i="84"/>
  <c r="P46" i="84"/>
  <c r="O46" i="84"/>
  <c r="N46" i="84"/>
  <c r="L46" i="84"/>
  <c r="AL45" i="84"/>
  <c r="Q45" i="84"/>
  <c r="P45" i="84"/>
  <c r="O45" i="84"/>
  <c r="F45" i="84" s="1"/>
  <c r="N45" i="84"/>
  <c r="L45" i="84"/>
  <c r="AL44" i="84"/>
  <c r="Q44" i="84"/>
  <c r="P44" i="84"/>
  <c r="O44" i="84"/>
  <c r="N44" i="84"/>
  <c r="L44" i="84"/>
  <c r="AL43" i="84"/>
  <c r="Q43" i="84"/>
  <c r="P43" i="84"/>
  <c r="O43" i="84"/>
  <c r="N43" i="84"/>
  <c r="L43" i="84"/>
  <c r="F43" i="84"/>
  <c r="AL42" i="84"/>
  <c r="Q42" i="84"/>
  <c r="P42" i="84"/>
  <c r="O42" i="84"/>
  <c r="N42" i="84"/>
  <c r="L42" i="84"/>
  <c r="AL41" i="84"/>
  <c r="Q41" i="84"/>
  <c r="P41" i="84"/>
  <c r="O41" i="84"/>
  <c r="N41" i="84"/>
  <c r="L41" i="84"/>
  <c r="AL40" i="84"/>
  <c r="Q40" i="84"/>
  <c r="P40" i="84"/>
  <c r="O40" i="84"/>
  <c r="F40" i="84" s="1"/>
  <c r="N40" i="84"/>
  <c r="L40" i="84"/>
  <c r="AL39" i="84"/>
  <c r="Q39" i="84"/>
  <c r="P39" i="84"/>
  <c r="O39" i="84"/>
  <c r="F39" i="84" s="1"/>
  <c r="N39" i="84"/>
  <c r="L39" i="84"/>
  <c r="AL38" i="84"/>
  <c r="Q38" i="84"/>
  <c r="P38" i="84"/>
  <c r="O38" i="84"/>
  <c r="N38" i="84"/>
  <c r="L38" i="84"/>
  <c r="F38" i="84"/>
  <c r="AL37" i="84"/>
  <c r="Q37" i="84"/>
  <c r="P37" i="84"/>
  <c r="O37" i="84"/>
  <c r="N37" i="84"/>
  <c r="L37" i="84"/>
  <c r="AL36" i="84"/>
  <c r="Q36" i="84"/>
  <c r="P36" i="84"/>
  <c r="O36" i="84"/>
  <c r="F36" i="84" s="1"/>
  <c r="N36" i="84"/>
  <c r="L36" i="84"/>
  <c r="AL35" i="84"/>
  <c r="Q35" i="84"/>
  <c r="P35" i="84"/>
  <c r="O35" i="84"/>
  <c r="F35" i="84" s="1"/>
  <c r="N35" i="84"/>
  <c r="L35" i="84"/>
  <c r="AL34" i="84"/>
  <c r="Q34" i="84"/>
  <c r="P34" i="84"/>
  <c r="O34" i="84"/>
  <c r="N34" i="84"/>
  <c r="L34" i="84"/>
  <c r="F34" i="84"/>
  <c r="AL33" i="84"/>
  <c r="Q33" i="84"/>
  <c r="P33" i="84"/>
  <c r="O33" i="84"/>
  <c r="F33" i="84" s="1"/>
  <c r="N33" i="84"/>
  <c r="L33" i="84"/>
  <c r="AL32" i="84"/>
  <c r="Q32" i="84"/>
  <c r="P32" i="84"/>
  <c r="O32" i="84"/>
  <c r="N32" i="84"/>
  <c r="L32" i="84"/>
  <c r="AL31" i="84"/>
  <c r="Q31" i="84"/>
  <c r="P31" i="84"/>
  <c r="O31" i="84"/>
  <c r="F31" i="84" s="1"/>
  <c r="N31" i="84"/>
  <c r="L31" i="84"/>
  <c r="AL30" i="84"/>
  <c r="Q30" i="84"/>
  <c r="P30" i="84"/>
  <c r="O30" i="84"/>
  <c r="F30" i="84" s="1"/>
  <c r="N30" i="84"/>
  <c r="L30" i="84"/>
  <c r="AL29" i="84"/>
  <c r="Q29" i="84"/>
  <c r="P29" i="84"/>
  <c r="O29" i="84"/>
  <c r="F29" i="84" s="1"/>
  <c r="N29" i="84"/>
  <c r="L29" i="84"/>
  <c r="AL28" i="84"/>
  <c r="Q28" i="84"/>
  <c r="P28" i="84"/>
  <c r="O28" i="84"/>
  <c r="N28" i="84"/>
  <c r="L28" i="84"/>
  <c r="F28" i="84"/>
  <c r="AL27" i="84"/>
  <c r="Q27" i="84"/>
  <c r="P27" i="84"/>
  <c r="O27" i="84"/>
  <c r="N27" i="84"/>
  <c r="L27" i="84"/>
  <c r="F27" i="84"/>
  <c r="AL26" i="84"/>
  <c r="Q26" i="84"/>
  <c r="P26" i="84"/>
  <c r="O26" i="84"/>
  <c r="N26" i="84"/>
  <c r="L26" i="84"/>
  <c r="AL25" i="84"/>
  <c r="Q25" i="84"/>
  <c r="P25" i="84"/>
  <c r="O25" i="84"/>
  <c r="F25" i="84" s="1"/>
  <c r="N25" i="84"/>
  <c r="L25" i="84"/>
  <c r="AL24" i="84"/>
  <c r="Q24" i="84"/>
  <c r="P24" i="84"/>
  <c r="O24" i="84"/>
  <c r="F24" i="84" s="1"/>
  <c r="N24" i="84"/>
  <c r="L24" i="84"/>
  <c r="AL23" i="84"/>
  <c r="Q23" i="84"/>
  <c r="P23" i="84"/>
  <c r="O23" i="84"/>
  <c r="N23" i="84"/>
  <c r="L23" i="84"/>
  <c r="AL22" i="84"/>
  <c r="Q22" i="84"/>
  <c r="P22" i="84"/>
  <c r="O22" i="84"/>
  <c r="F22" i="84" s="1"/>
  <c r="N22" i="84"/>
  <c r="L22" i="84"/>
  <c r="AL21" i="84"/>
  <c r="V21" i="84"/>
  <c r="Q21" i="84"/>
  <c r="P21" i="84"/>
  <c r="O21" i="84"/>
  <c r="N21" i="84"/>
  <c r="L21" i="84"/>
  <c r="AL20" i="84"/>
  <c r="V20" i="84"/>
  <c r="Q20" i="84"/>
  <c r="P20" i="84"/>
  <c r="O20" i="84"/>
  <c r="N20" i="84"/>
  <c r="L20" i="84"/>
  <c r="F20" i="84"/>
  <c r="AL19" i="84"/>
  <c r="V19" i="84"/>
  <c r="Q19" i="84"/>
  <c r="P19" i="84"/>
  <c r="O19" i="84"/>
  <c r="N19" i="84"/>
  <c r="L19" i="84"/>
  <c r="AL18" i="84"/>
  <c r="Q18" i="84"/>
  <c r="P18" i="84"/>
  <c r="O18" i="84"/>
  <c r="F18" i="84" s="1"/>
  <c r="N18" i="84"/>
  <c r="L18" i="84"/>
  <c r="AL17" i="84"/>
  <c r="Q17" i="84"/>
  <c r="P17" i="84"/>
  <c r="O17" i="84"/>
  <c r="N17" i="84"/>
  <c r="L17" i="84"/>
  <c r="AL16" i="84"/>
  <c r="Q16" i="84"/>
  <c r="P16" i="84"/>
  <c r="O16" i="84"/>
  <c r="F16" i="84" s="1"/>
  <c r="N16" i="84"/>
  <c r="L16" i="84"/>
  <c r="AL15" i="84"/>
  <c r="Q15" i="84"/>
  <c r="P15" i="84"/>
  <c r="O15" i="84"/>
  <c r="N15" i="84"/>
  <c r="L15" i="84"/>
  <c r="AL14" i="84"/>
  <c r="Q14" i="84"/>
  <c r="P14" i="84"/>
  <c r="O14" i="84"/>
  <c r="F14" i="84" s="1"/>
  <c r="N14" i="84"/>
  <c r="L14" i="84"/>
  <c r="AL13" i="84"/>
  <c r="Q13" i="84"/>
  <c r="P13" i="84"/>
  <c r="F13" i="84" s="1"/>
  <c r="O13" i="84"/>
  <c r="N13" i="84"/>
  <c r="L13" i="84"/>
  <c r="AL12" i="84"/>
  <c r="V12" i="84"/>
  <c r="Q12" i="84"/>
  <c r="P12" i="84"/>
  <c r="O12" i="84"/>
  <c r="N12" i="84"/>
  <c r="L12" i="84"/>
  <c r="AL11" i="84"/>
  <c r="Q11" i="84"/>
  <c r="P11" i="84"/>
  <c r="O11" i="84"/>
  <c r="N11" i="84"/>
  <c r="L11" i="84"/>
  <c r="F11" i="84"/>
  <c r="AL10" i="84"/>
  <c r="Q10" i="84"/>
  <c r="P10" i="84"/>
  <c r="O10" i="84"/>
  <c r="N10" i="84"/>
  <c r="L10" i="84"/>
  <c r="F10" i="84"/>
  <c r="AL9" i="84"/>
  <c r="Q9" i="84"/>
  <c r="P9" i="84"/>
  <c r="O9" i="84"/>
  <c r="F9" i="84" s="1"/>
  <c r="N9" i="84"/>
  <c r="L9" i="84"/>
  <c r="AL8" i="84"/>
  <c r="Q8" i="84"/>
  <c r="P8" i="84"/>
  <c r="O8" i="84"/>
  <c r="F8" i="84" s="1"/>
  <c r="N8" i="84"/>
  <c r="L8" i="84"/>
  <c r="AL7" i="84"/>
  <c r="Q7" i="84"/>
  <c r="P7" i="84"/>
  <c r="O7" i="84"/>
  <c r="F7" i="84" s="1"/>
  <c r="N7" i="84"/>
  <c r="L7" i="84"/>
  <c r="AL6" i="84"/>
  <c r="V6" i="84"/>
  <c r="Q6" i="84"/>
  <c r="P6" i="84"/>
  <c r="O6" i="84"/>
  <c r="F6" i="84" s="1"/>
  <c r="N6" i="84"/>
  <c r="L6" i="84"/>
  <c r="AL5" i="84"/>
  <c r="Q5" i="84"/>
  <c r="P5" i="84"/>
  <c r="O5" i="84"/>
  <c r="F5" i="84" s="1"/>
  <c r="N5" i="84"/>
  <c r="L5" i="84"/>
  <c r="AL4" i="84"/>
  <c r="Q4" i="84"/>
  <c r="P4" i="84"/>
  <c r="O4" i="84"/>
  <c r="F4" i="84" s="1"/>
  <c r="N4" i="84"/>
  <c r="L4" i="84"/>
  <c r="AL3" i="84"/>
  <c r="Q2" i="84"/>
  <c r="P2" i="84"/>
  <c r="O2" i="84"/>
  <c r="N2" i="84"/>
  <c r="V4" i="84" s="1"/>
  <c r="L9" i="78" s="1"/>
  <c r="L2" i="84"/>
  <c r="F2" i="84"/>
  <c r="AL581" i="85"/>
  <c r="AL580" i="85"/>
  <c r="AL579" i="85"/>
  <c r="AL578" i="85"/>
  <c r="AL577" i="85"/>
  <c r="AL576" i="85"/>
  <c r="AL575" i="85"/>
  <c r="AL574" i="85"/>
  <c r="AL573" i="85"/>
  <c r="AL572" i="85"/>
  <c r="AL571" i="85"/>
  <c r="AL570" i="85"/>
  <c r="AL569" i="85"/>
  <c r="AL568" i="85"/>
  <c r="AL567" i="85"/>
  <c r="AL566" i="85"/>
  <c r="AL565" i="85"/>
  <c r="AL564" i="85"/>
  <c r="AL563" i="85"/>
  <c r="AL562" i="85"/>
  <c r="AL561" i="85"/>
  <c r="AL560" i="85"/>
  <c r="AL559" i="85"/>
  <c r="AL558" i="85"/>
  <c r="AL557" i="85"/>
  <c r="AL556" i="85"/>
  <c r="AL555" i="85"/>
  <c r="AL554" i="85"/>
  <c r="AL553" i="85"/>
  <c r="AL552" i="85"/>
  <c r="AL551" i="85"/>
  <c r="AL550" i="85"/>
  <c r="AL549" i="85"/>
  <c r="AL548" i="85"/>
  <c r="AL547" i="85"/>
  <c r="AL546" i="85"/>
  <c r="AL545" i="85"/>
  <c r="AL544" i="85"/>
  <c r="AL543" i="85"/>
  <c r="AL542" i="85"/>
  <c r="AL541" i="85"/>
  <c r="AL540" i="85"/>
  <c r="AL539" i="85"/>
  <c r="AL538" i="85"/>
  <c r="AL537" i="85"/>
  <c r="AL536" i="85"/>
  <c r="AL535" i="85"/>
  <c r="AL534" i="85"/>
  <c r="AL533" i="85"/>
  <c r="AL532" i="85"/>
  <c r="AL531" i="85"/>
  <c r="AL530" i="85"/>
  <c r="AL529" i="85"/>
  <c r="AL528" i="85"/>
  <c r="AL527" i="85"/>
  <c r="AL526" i="85"/>
  <c r="AL525" i="85"/>
  <c r="AL524" i="85"/>
  <c r="AL523" i="85"/>
  <c r="AL522" i="85"/>
  <c r="AL521" i="85"/>
  <c r="AL520" i="85"/>
  <c r="AL519" i="85"/>
  <c r="AL518" i="85"/>
  <c r="AL517" i="85"/>
  <c r="AL516" i="85"/>
  <c r="AL515" i="85"/>
  <c r="AL514" i="85"/>
  <c r="AL513" i="85"/>
  <c r="AL512" i="85"/>
  <c r="AL511" i="85"/>
  <c r="AL510" i="85"/>
  <c r="AL509" i="85"/>
  <c r="AL508" i="85"/>
  <c r="AL507" i="85"/>
  <c r="AL506" i="85"/>
  <c r="AL505" i="85"/>
  <c r="AL504" i="85"/>
  <c r="AL503" i="85"/>
  <c r="AL502" i="85"/>
  <c r="AL501" i="85"/>
  <c r="AL500" i="85"/>
  <c r="AL499" i="85"/>
  <c r="AL498" i="85"/>
  <c r="AL497" i="85"/>
  <c r="AL496" i="85"/>
  <c r="AL495" i="85"/>
  <c r="AL494" i="85"/>
  <c r="AL493" i="85"/>
  <c r="AL492" i="85"/>
  <c r="AL491" i="85"/>
  <c r="AL490" i="85"/>
  <c r="AL489" i="85"/>
  <c r="AL488" i="85"/>
  <c r="AL487" i="85"/>
  <c r="AL486" i="85"/>
  <c r="AL485" i="85"/>
  <c r="AL484" i="85"/>
  <c r="AL483" i="85"/>
  <c r="AL482" i="85"/>
  <c r="AL481" i="85"/>
  <c r="AL480" i="85"/>
  <c r="AL479" i="85"/>
  <c r="AL478" i="85"/>
  <c r="AL477" i="85"/>
  <c r="AL476" i="85"/>
  <c r="AL475" i="85"/>
  <c r="AL474" i="85"/>
  <c r="AL473" i="85"/>
  <c r="AL472" i="85"/>
  <c r="AL471" i="85"/>
  <c r="AL470" i="85"/>
  <c r="AL469" i="85"/>
  <c r="AL468" i="85"/>
  <c r="AL467" i="85"/>
  <c r="AL466" i="85"/>
  <c r="AL465" i="85"/>
  <c r="AL464" i="85"/>
  <c r="AL463" i="85"/>
  <c r="AL462" i="85"/>
  <c r="AL461" i="85"/>
  <c r="AL460" i="85"/>
  <c r="AL459" i="85"/>
  <c r="AL458" i="85"/>
  <c r="AL457" i="85"/>
  <c r="AL456" i="85"/>
  <c r="AL455" i="85"/>
  <c r="AL454" i="85"/>
  <c r="AL453" i="85"/>
  <c r="AL452" i="85"/>
  <c r="AL451" i="85"/>
  <c r="AL450" i="85"/>
  <c r="AL449" i="85"/>
  <c r="AL448" i="85"/>
  <c r="AL447" i="85"/>
  <c r="AL446" i="85"/>
  <c r="AL445" i="85"/>
  <c r="AL444" i="85"/>
  <c r="AL443" i="85"/>
  <c r="AL442" i="85"/>
  <c r="AL441" i="85"/>
  <c r="AL440" i="85"/>
  <c r="AL439" i="85"/>
  <c r="AL438" i="85"/>
  <c r="AL437" i="85"/>
  <c r="AL436" i="85"/>
  <c r="AL435" i="85"/>
  <c r="AL434" i="85"/>
  <c r="AL433" i="85"/>
  <c r="AL432" i="85"/>
  <c r="AL431" i="85"/>
  <c r="AL430" i="85"/>
  <c r="AL429" i="85"/>
  <c r="AL428" i="85"/>
  <c r="AL427" i="85"/>
  <c r="AL426" i="85"/>
  <c r="AL425" i="85"/>
  <c r="AL424" i="85"/>
  <c r="AL423" i="85"/>
  <c r="AL422" i="85"/>
  <c r="AL421" i="85"/>
  <c r="AL420" i="85"/>
  <c r="AL419" i="85"/>
  <c r="AL418" i="85"/>
  <c r="AL417" i="85"/>
  <c r="AL416" i="85"/>
  <c r="AL415" i="85"/>
  <c r="AL414" i="85"/>
  <c r="AL413" i="85"/>
  <c r="AL412" i="85"/>
  <c r="AL411" i="85"/>
  <c r="AL410" i="85"/>
  <c r="AL409" i="85"/>
  <c r="AL408" i="85"/>
  <c r="AL407" i="85"/>
  <c r="AL406" i="85"/>
  <c r="AL405" i="85"/>
  <c r="AL404" i="85"/>
  <c r="AL403" i="85"/>
  <c r="AL402" i="85"/>
  <c r="AL401" i="85"/>
  <c r="AL400" i="85"/>
  <c r="AL399" i="85"/>
  <c r="AL398" i="85"/>
  <c r="AL397" i="85"/>
  <c r="AL396" i="85"/>
  <c r="AL395" i="85"/>
  <c r="AL394" i="85"/>
  <c r="AL393" i="85"/>
  <c r="AL392" i="85"/>
  <c r="AL391" i="85"/>
  <c r="AL390" i="85"/>
  <c r="AL389" i="85"/>
  <c r="AL388" i="85"/>
  <c r="AL387" i="85"/>
  <c r="AL386" i="85"/>
  <c r="AL385" i="85"/>
  <c r="AL384" i="85"/>
  <c r="AL383" i="85"/>
  <c r="AL382" i="85"/>
  <c r="AL381" i="85"/>
  <c r="AL380" i="85"/>
  <c r="AL379" i="85"/>
  <c r="AL378" i="85"/>
  <c r="AL377" i="85"/>
  <c r="AL376" i="85"/>
  <c r="AL375" i="85"/>
  <c r="AL374" i="85"/>
  <c r="AL373" i="85"/>
  <c r="AL372" i="85"/>
  <c r="AL371" i="85"/>
  <c r="AL370" i="85"/>
  <c r="AL369" i="85"/>
  <c r="AL368" i="85"/>
  <c r="AL367" i="85"/>
  <c r="AL366" i="85"/>
  <c r="AL365" i="85"/>
  <c r="AL364" i="85"/>
  <c r="AL363" i="85"/>
  <c r="AL362" i="85"/>
  <c r="AL361" i="85"/>
  <c r="AL360" i="85"/>
  <c r="AL359" i="85"/>
  <c r="AL358" i="85"/>
  <c r="AL357" i="85"/>
  <c r="AL356" i="85"/>
  <c r="AL355" i="85"/>
  <c r="AL354" i="85"/>
  <c r="AL353" i="85"/>
  <c r="AL352" i="85"/>
  <c r="AL351" i="85"/>
  <c r="AL350" i="85"/>
  <c r="AL349" i="85"/>
  <c r="AL348" i="85"/>
  <c r="AL347" i="85"/>
  <c r="AL346" i="85"/>
  <c r="AL345" i="85"/>
  <c r="AL344" i="85"/>
  <c r="AL343" i="85"/>
  <c r="AL342" i="85"/>
  <c r="AL341" i="85"/>
  <c r="AL340" i="85"/>
  <c r="AL339" i="85"/>
  <c r="AL338" i="85"/>
  <c r="AL337" i="85"/>
  <c r="AL336" i="85"/>
  <c r="AL335" i="85"/>
  <c r="AL334" i="85"/>
  <c r="AL333" i="85"/>
  <c r="AL332" i="85"/>
  <c r="AL331" i="85"/>
  <c r="AL330" i="85"/>
  <c r="AL329" i="85"/>
  <c r="AL328" i="85"/>
  <c r="AL327" i="85"/>
  <c r="AL326" i="85"/>
  <c r="AL325" i="85"/>
  <c r="AL324" i="85"/>
  <c r="AL323" i="85"/>
  <c r="AL322" i="85"/>
  <c r="AL321" i="85"/>
  <c r="AL320" i="85"/>
  <c r="AL319" i="85"/>
  <c r="AL318" i="85"/>
  <c r="AL317" i="85"/>
  <c r="AL316" i="85"/>
  <c r="AL315" i="85"/>
  <c r="AL314" i="85"/>
  <c r="AL313" i="85"/>
  <c r="AL312" i="85"/>
  <c r="AL311" i="85"/>
  <c r="AL310" i="85"/>
  <c r="AL309" i="85"/>
  <c r="AL308" i="85"/>
  <c r="AL307" i="85"/>
  <c r="AL306" i="85"/>
  <c r="AL305" i="85"/>
  <c r="AL304" i="85"/>
  <c r="AL303" i="85"/>
  <c r="AL302" i="85"/>
  <c r="AL301" i="85"/>
  <c r="AL300" i="85"/>
  <c r="AL299" i="85"/>
  <c r="AL298" i="85"/>
  <c r="AL297" i="85"/>
  <c r="AL296" i="85"/>
  <c r="AL295" i="85"/>
  <c r="AL294" i="85"/>
  <c r="AL293" i="85"/>
  <c r="AL292" i="85"/>
  <c r="AL291" i="85"/>
  <c r="AL290" i="85"/>
  <c r="AL289" i="85"/>
  <c r="AL288" i="85"/>
  <c r="AL287" i="85"/>
  <c r="AL286" i="85"/>
  <c r="AL285" i="85"/>
  <c r="AL284" i="85"/>
  <c r="AL283" i="85"/>
  <c r="AL282" i="85"/>
  <c r="AL281" i="85"/>
  <c r="AL280" i="85"/>
  <c r="AL279" i="85"/>
  <c r="AL278" i="85"/>
  <c r="AL277" i="85"/>
  <c r="AL276" i="85"/>
  <c r="AL275" i="85"/>
  <c r="AL274" i="85"/>
  <c r="AL273" i="85"/>
  <c r="AL272" i="85"/>
  <c r="AL271" i="85"/>
  <c r="AL270" i="85"/>
  <c r="AL269" i="85"/>
  <c r="AL268" i="85"/>
  <c r="AL267" i="85"/>
  <c r="AL266" i="85"/>
  <c r="AL265" i="85"/>
  <c r="AL264" i="85"/>
  <c r="AL263" i="85"/>
  <c r="AL262" i="85"/>
  <c r="AL261" i="85"/>
  <c r="AL260" i="85"/>
  <c r="AL259" i="85"/>
  <c r="AL258" i="85"/>
  <c r="AL257" i="85"/>
  <c r="AL256" i="85"/>
  <c r="AL255" i="85"/>
  <c r="AL254" i="85"/>
  <c r="AL253" i="85"/>
  <c r="AL252" i="85"/>
  <c r="AL251" i="85"/>
  <c r="AL250" i="85"/>
  <c r="AL249" i="85"/>
  <c r="AL248" i="85"/>
  <c r="AL247" i="85"/>
  <c r="AL246" i="85"/>
  <c r="AL245" i="85"/>
  <c r="AL244" i="85"/>
  <c r="AL243" i="85"/>
  <c r="AL242" i="85"/>
  <c r="AL241" i="85"/>
  <c r="AL240" i="85"/>
  <c r="AL239" i="85"/>
  <c r="AL238" i="85"/>
  <c r="AL237" i="85"/>
  <c r="AL236" i="85"/>
  <c r="AL235" i="85"/>
  <c r="AL234" i="85"/>
  <c r="AL233" i="85"/>
  <c r="AL232" i="85"/>
  <c r="AL231" i="85"/>
  <c r="AL230" i="85"/>
  <c r="AL229" i="85"/>
  <c r="AL228" i="85"/>
  <c r="AL227" i="85"/>
  <c r="AL226" i="85"/>
  <c r="AL225" i="85"/>
  <c r="AL224" i="85"/>
  <c r="AL223" i="85"/>
  <c r="AL222" i="85"/>
  <c r="AL221" i="85"/>
  <c r="AL220" i="85"/>
  <c r="AL219" i="85"/>
  <c r="AL218" i="85"/>
  <c r="AL217" i="85"/>
  <c r="AL216" i="85"/>
  <c r="AL215" i="85"/>
  <c r="AL214" i="85"/>
  <c r="AL213" i="85"/>
  <c r="AL212" i="85"/>
  <c r="AL211" i="85"/>
  <c r="AL210" i="85"/>
  <c r="AL209" i="85"/>
  <c r="AL208" i="85"/>
  <c r="AL207" i="85"/>
  <c r="AL206" i="85"/>
  <c r="AL205" i="85"/>
  <c r="AL204" i="85"/>
  <c r="AL203" i="85"/>
  <c r="AL202" i="85"/>
  <c r="AL201" i="85"/>
  <c r="AL200" i="85"/>
  <c r="AL199" i="85"/>
  <c r="AL198" i="85"/>
  <c r="AL197" i="85"/>
  <c r="AL196" i="85"/>
  <c r="AL195" i="85"/>
  <c r="AL194" i="85"/>
  <c r="AL193" i="85"/>
  <c r="AL192" i="85"/>
  <c r="AL191" i="85"/>
  <c r="AL190" i="85"/>
  <c r="AL189" i="85"/>
  <c r="AL188" i="85"/>
  <c r="AL187" i="85"/>
  <c r="AL186" i="85"/>
  <c r="AL185" i="85"/>
  <c r="AL184" i="85"/>
  <c r="AL183" i="85"/>
  <c r="AL182" i="85"/>
  <c r="AL181" i="85"/>
  <c r="AL180" i="85"/>
  <c r="AL179" i="85"/>
  <c r="AL178" i="85"/>
  <c r="AL177" i="85"/>
  <c r="AL176" i="85"/>
  <c r="AL175" i="85"/>
  <c r="AL174" i="85"/>
  <c r="AL173" i="85"/>
  <c r="AL172" i="85"/>
  <c r="AL171" i="85"/>
  <c r="AL170" i="85"/>
  <c r="AL169" i="85"/>
  <c r="AL168" i="85"/>
  <c r="AL167" i="85"/>
  <c r="AL166" i="85"/>
  <c r="AL165" i="85"/>
  <c r="AL164" i="85"/>
  <c r="AL163" i="85"/>
  <c r="AL162" i="85"/>
  <c r="AL161" i="85"/>
  <c r="AL160" i="85"/>
  <c r="AL159" i="85"/>
  <c r="AL158" i="85"/>
  <c r="AL157" i="85"/>
  <c r="AL156" i="85"/>
  <c r="AL155" i="85"/>
  <c r="AL154" i="85"/>
  <c r="AL153" i="85"/>
  <c r="AL152" i="85"/>
  <c r="AL151" i="85"/>
  <c r="AL150" i="85"/>
  <c r="AL149" i="85"/>
  <c r="AL148" i="85"/>
  <c r="AL147" i="85"/>
  <c r="AL146" i="85"/>
  <c r="AL145" i="85"/>
  <c r="AL144" i="85"/>
  <c r="AL143" i="85"/>
  <c r="Q143" i="85"/>
  <c r="P143" i="85"/>
  <c r="O143" i="85"/>
  <c r="N143" i="85"/>
  <c r="L143" i="85"/>
  <c r="AL142" i="85"/>
  <c r="Q142" i="85"/>
  <c r="P142" i="85"/>
  <c r="O142" i="85"/>
  <c r="F142" i="85" s="1"/>
  <c r="N142" i="85"/>
  <c r="L142" i="85"/>
  <c r="AL141" i="85"/>
  <c r="Q141" i="85"/>
  <c r="P141" i="85"/>
  <c r="O141" i="85"/>
  <c r="F141" i="85" s="1"/>
  <c r="N141" i="85"/>
  <c r="L141" i="85"/>
  <c r="AL140" i="85"/>
  <c r="Q140" i="85"/>
  <c r="P140" i="85"/>
  <c r="O140" i="85"/>
  <c r="F140" i="85" s="1"/>
  <c r="N140" i="85"/>
  <c r="L140" i="85"/>
  <c r="AL139" i="85"/>
  <c r="Q139" i="85"/>
  <c r="P139" i="85"/>
  <c r="O139" i="85"/>
  <c r="N139" i="85"/>
  <c r="L139" i="85"/>
  <c r="AL138" i="85"/>
  <c r="Q138" i="85"/>
  <c r="P138" i="85"/>
  <c r="O138" i="85"/>
  <c r="N138" i="85"/>
  <c r="L138" i="85"/>
  <c r="AL137" i="85"/>
  <c r="Q137" i="85"/>
  <c r="P137" i="85"/>
  <c r="O137" i="85"/>
  <c r="F137" i="85" s="1"/>
  <c r="N137" i="85"/>
  <c r="L137" i="85"/>
  <c r="AL136" i="85"/>
  <c r="Q136" i="85"/>
  <c r="P136" i="85"/>
  <c r="O136" i="85"/>
  <c r="N136" i="85"/>
  <c r="L136" i="85"/>
  <c r="AL135" i="85"/>
  <c r="Q135" i="85"/>
  <c r="P135" i="85"/>
  <c r="O135" i="85"/>
  <c r="N135" i="85"/>
  <c r="L135" i="85"/>
  <c r="AL134" i="85"/>
  <c r="Q134" i="85"/>
  <c r="P134" i="85"/>
  <c r="O134" i="85"/>
  <c r="F134" i="85" s="1"/>
  <c r="N134" i="85"/>
  <c r="L134" i="85"/>
  <c r="AL133" i="85"/>
  <c r="Q133" i="85"/>
  <c r="P133" i="85"/>
  <c r="O133" i="85"/>
  <c r="F133" i="85" s="1"/>
  <c r="N133" i="85"/>
  <c r="L133" i="85"/>
  <c r="AL132" i="85"/>
  <c r="Q132" i="85"/>
  <c r="P132" i="85"/>
  <c r="O132" i="85"/>
  <c r="F132" i="85" s="1"/>
  <c r="N132" i="85"/>
  <c r="L132" i="85"/>
  <c r="AL131" i="85"/>
  <c r="Q131" i="85"/>
  <c r="P131" i="85"/>
  <c r="O131" i="85"/>
  <c r="N131" i="85"/>
  <c r="L131" i="85"/>
  <c r="AL130" i="85"/>
  <c r="Q130" i="85"/>
  <c r="P130" i="85"/>
  <c r="O130" i="85"/>
  <c r="N130" i="85"/>
  <c r="L130" i="85"/>
  <c r="AL129" i="85"/>
  <c r="Q129" i="85"/>
  <c r="P129" i="85"/>
  <c r="O129" i="85"/>
  <c r="F129" i="85" s="1"/>
  <c r="N129" i="85"/>
  <c r="L129" i="85"/>
  <c r="AL128" i="85"/>
  <c r="Q128" i="85"/>
  <c r="P128" i="85"/>
  <c r="O128" i="85"/>
  <c r="N128" i="85"/>
  <c r="L128" i="85"/>
  <c r="AL127" i="85"/>
  <c r="Q127" i="85"/>
  <c r="P127" i="85"/>
  <c r="O127" i="85"/>
  <c r="N127" i="85"/>
  <c r="L127" i="85"/>
  <c r="AL126" i="85"/>
  <c r="Q126" i="85"/>
  <c r="P126" i="85"/>
  <c r="O126" i="85"/>
  <c r="F126" i="85" s="1"/>
  <c r="N126" i="85"/>
  <c r="L126" i="85"/>
  <c r="AL125" i="85"/>
  <c r="Q125" i="85"/>
  <c r="P125" i="85"/>
  <c r="O125" i="85"/>
  <c r="F125" i="85" s="1"/>
  <c r="N125" i="85"/>
  <c r="L125" i="85"/>
  <c r="AL124" i="85"/>
  <c r="Q124" i="85"/>
  <c r="P124" i="85"/>
  <c r="O124" i="85"/>
  <c r="F124" i="85" s="1"/>
  <c r="N124" i="85"/>
  <c r="L124" i="85"/>
  <c r="AL123" i="85"/>
  <c r="Q123" i="85"/>
  <c r="P123" i="85"/>
  <c r="O123" i="85"/>
  <c r="N123" i="85"/>
  <c r="L123" i="85"/>
  <c r="AL122" i="85"/>
  <c r="Q122" i="85"/>
  <c r="P122" i="85"/>
  <c r="O122" i="85"/>
  <c r="N122" i="85"/>
  <c r="L122" i="85"/>
  <c r="AL121" i="85"/>
  <c r="Q121" i="85"/>
  <c r="P121" i="85"/>
  <c r="O121" i="85"/>
  <c r="F121" i="85" s="1"/>
  <c r="N121" i="85"/>
  <c r="L121" i="85"/>
  <c r="AL120" i="85"/>
  <c r="Q120" i="85"/>
  <c r="P120" i="85"/>
  <c r="O120" i="85"/>
  <c r="N120" i="85"/>
  <c r="L120" i="85"/>
  <c r="AL119" i="85"/>
  <c r="Q119" i="85"/>
  <c r="P119" i="85"/>
  <c r="O119" i="85"/>
  <c r="N119" i="85"/>
  <c r="L119" i="85"/>
  <c r="AL118" i="85"/>
  <c r="Q118" i="85"/>
  <c r="P118" i="85"/>
  <c r="O118" i="85"/>
  <c r="F118" i="85" s="1"/>
  <c r="N118" i="85"/>
  <c r="L118" i="85"/>
  <c r="AL117" i="85"/>
  <c r="Q117" i="85"/>
  <c r="P117" i="85"/>
  <c r="O117" i="85"/>
  <c r="F117" i="85" s="1"/>
  <c r="N117" i="85"/>
  <c r="L117" i="85"/>
  <c r="AL116" i="85"/>
  <c r="Q116" i="85"/>
  <c r="P116" i="85"/>
  <c r="O116" i="85"/>
  <c r="F116" i="85" s="1"/>
  <c r="N116" i="85"/>
  <c r="L116" i="85"/>
  <c r="AL115" i="85"/>
  <c r="Q115" i="85"/>
  <c r="P115" i="85"/>
  <c r="O115" i="85"/>
  <c r="N115" i="85"/>
  <c r="L115" i="85"/>
  <c r="AL114" i="85"/>
  <c r="Q114" i="85"/>
  <c r="P114" i="85"/>
  <c r="O114" i="85"/>
  <c r="N114" i="85"/>
  <c r="L114" i="85"/>
  <c r="AL113" i="85"/>
  <c r="Q113" i="85"/>
  <c r="P113" i="85"/>
  <c r="O113" i="85"/>
  <c r="F113" i="85" s="1"/>
  <c r="N113" i="85"/>
  <c r="L113" i="85"/>
  <c r="AL112" i="85"/>
  <c r="Q112" i="85"/>
  <c r="P112" i="85"/>
  <c r="O112" i="85"/>
  <c r="N112" i="85"/>
  <c r="L112" i="85"/>
  <c r="AL111" i="85"/>
  <c r="Q111" i="85"/>
  <c r="P111" i="85"/>
  <c r="O111" i="85"/>
  <c r="N111" i="85"/>
  <c r="L111" i="85"/>
  <c r="AL110" i="85"/>
  <c r="Q110" i="85"/>
  <c r="P110" i="85"/>
  <c r="O110" i="85"/>
  <c r="F110" i="85" s="1"/>
  <c r="N110" i="85"/>
  <c r="L110" i="85"/>
  <c r="AL109" i="85"/>
  <c r="Q109" i="85"/>
  <c r="P109" i="85"/>
  <c r="O109" i="85"/>
  <c r="F109" i="85" s="1"/>
  <c r="N109" i="85"/>
  <c r="L109" i="85"/>
  <c r="AL108" i="85"/>
  <c r="Q108" i="85"/>
  <c r="P108" i="85"/>
  <c r="O108" i="85"/>
  <c r="N108" i="85"/>
  <c r="L108" i="85"/>
  <c r="AL107" i="85"/>
  <c r="Q107" i="85"/>
  <c r="P107" i="85"/>
  <c r="O107" i="85"/>
  <c r="N107" i="85"/>
  <c r="L107" i="85"/>
  <c r="AL106" i="85"/>
  <c r="Q106" i="85"/>
  <c r="P106" i="85"/>
  <c r="O106" i="85"/>
  <c r="N106" i="85"/>
  <c r="L106" i="85"/>
  <c r="AL105" i="85"/>
  <c r="Q105" i="85"/>
  <c r="P105" i="85"/>
  <c r="O105" i="85"/>
  <c r="F105" i="85" s="1"/>
  <c r="N105" i="85"/>
  <c r="L105" i="85"/>
  <c r="AL104" i="85"/>
  <c r="Q104" i="85"/>
  <c r="P104" i="85"/>
  <c r="O104" i="85"/>
  <c r="N104" i="85"/>
  <c r="L104" i="85"/>
  <c r="AL103" i="85"/>
  <c r="Q103" i="85"/>
  <c r="P103" i="85"/>
  <c r="O103" i="85"/>
  <c r="N103" i="85"/>
  <c r="L103" i="85"/>
  <c r="AL102" i="85"/>
  <c r="Q102" i="85"/>
  <c r="P102" i="85"/>
  <c r="O102" i="85"/>
  <c r="F102" i="85" s="1"/>
  <c r="N102" i="85"/>
  <c r="L102" i="85"/>
  <c r="AL101" i="85"/>
  <c r="Q101" i="85"/>
  <c r="P101" i="85"/>
  <c r="O101" i="85"/>
  <c r="F101" i="85" s="1"/>
  <c r="N101" i="85"/>
  <c r="L101" i="85"/>
  <c r="AL100" i="85"/>
  <c r="Q100" i="85"/>
  <c r="P100" i="85"/>
  <c r="O100" i="85"/>
  <c r="N100" i="85"/>
  <c r="L100" i="85"/>
  <c r="AL99" i="85"/>
  <c r="Q99" i="85"/>
  <c r="P99" i="85"/>
  <c r="O99" i="85"/>
  <c r="N99" i="85"/>
  <c r="L99" i="85"/>
  <c r="AL98" i="85"/>
  <c r="Q98" i="85"/>
  <c r="P98" i="85"/>
  <c r="O98" i="85"/>
  <c r="N98" i="85"/>
  <c r="L98" i="85"/>
  <c r="AL97" i="85"/>
  <c r="Q97" i="85"/>
  <c r="P97" i="85"/>
  <c r="O97" i="85"/>
  <c r="F97" i="85" s="1"/>
  <c r="N97" i="85"/>
  <c r="L97" i="85"/>
  <c r="AL96" i="85"/>
  <c r="Q96" i="85"/>
  <c r="P96" i="85"/>
  <c r="O96" i="85"/>
  <c r="N96" i="85"/>
  <c r="L96" i="85"/>
  <c r="AL95" i="85"/>
  <c r="Q95" i="85"/>
  <c r="P95" i="85"/>
  <c r="O95" i="85"/>
  <c r="N95" i="85"/>
  <c r="L95" i="85"/>
  <c r="AL94" i="85"/>
  <c r="Q94" i="85"/>
  <c r="P94" i="85"/>
  <c r="O94" i="85"/>
  <c r="F94" i="85" s="1"/>
  <c r="N94" i="85"/>
  <c r="L94" i="85"/>
  <c r="AL93" i="85"/>
  <c r="Q93" i="85"/>
  <c r="P93" i="85"/>
  <c r="O93" i="85"/>
  <c r="F93" i="85" s="1"/>
  <c r="N93" i="85"/>
  <c r="L93" i="85"/>
  <c r="AL92" i="85"/>
  <c r="Q92" i="85"/>
  <c r="P92" i="85"/>
  <c r="O92" i="85"/>
  <c r="N92" i="85"/>
  <c r="L92" i="85"/>
  <c r="AL91" i="85"/>
  <c r="Q91" i="85"/>
  <c r="P91" i="85"/>
  <c r="O91" i="85"/>
  <c r="N91" i="85"/>
  <c r="L91" i="85"/>
  <c r="AL90" i="85"/>
  <c r="Q90" i="85"/>
  <c r="P90" i="85"/>
  <c r="O90" i="85"/>
  <c r="N90" i="85"/>
  <c r="L90" i="85"/>
  <c r="AL89" i="85"/>
  <c r="Q89" i="85"/>
  <c r="P89" i="85"/>
  <c r="O89" i="85"/>
  <c r="F89" i="85" s="1"/>
  <c r="N89" i="85"/>
  <c r="L89" i="85"/>
  <c r="AL88" i="85"/>
  <c r="Q88" i="85"/>
  <c r="P88" i="85"/>
  <c r="O88" i="85"/>
  <c r="N88" i="85"/>
  <c r="L88" i="85"/>
  <c r="AL87" i="85"/>
  <c r="Q87" i="85"/>
  <c r="P87" i="85"/>
  <c r="O87" i="85"/>
  <c r="N87" i="85"/>
  <c r="L87" i="85"/>
  <c r="AL86" i="85"/>
  <c r="Q86" i="85"/>
  <c r="P86" i="85"/>
  <c r="O86" i="85"/>
  <c r="F86" i="85" s="1"/>
  <c r="N86" i="85"/>
  <c r="L86" i="85"/>
  <c r="AL85" i="85"/>
  <c r="Q85" i="85"/>
  <c r="P85" i="85"/>
  <c r="O85" i="85"/>
  <c r="F85" i="85" s="1"/>
  <c r="N85" i="85"/>
  <c r="L85" i="85"/>
  <c r="AL84" i="85"/>
  <c r="Q84" i="85"/>
  <c r="P84" i="85"/>
  <c r="O84" i="85"/>
  <c r="N84" i="85"/>
  <c r="L84" i="85"/>
  <c r="AL83" i="85"/>
  <c r="Q83" i="85"/>
  <c r="P83" i="85"/>
  <c r="O83" i="85"/>
  <c r="N83" i="85"/>
  <c r="L83" i="85"/>
  <c r="AL82" i="85"/>
  <c r="Q82" i="85"/>
  <c r="P82" i="85"/>
  <c r="O82" i="85"/>
  <c r="N82" i="85"/>
  <c r="L82" i="85"/>
  <c r="AL81" i="85"/>
  <c r="Q81" i="85"/>
  <c r="P81" i="85"/>
  <c r="O81" i="85"/>
  <c r="F81" i="85" s="1"/>
  <c r="N81" i="85"/>
  <c r="L81" i="85"/>
  <c r="AL80" i="85"/>
  <c r="Q80" i="85"/>
  <c r="P80" i="85"/>
  <c r="O80" i="85"/>
  <c r="N80" i="85"/>
  <c r="L80" i="85"/>
  <c r="AL79" i="85"/>
  <c r="Q79" i="85"/>
  <c r="P79" i="85"/>
  <c r="O79" i="85"/>
  <c r="N79" i="85"/>
  <c r="L79" i="85"/>
  <c r="AL78" i="85"/>
  <c r="Q78" i="85"/>
  <c r="P78" i="85"/>
  <c r="O78" i="85"/>
  <c r="F78" i="85" s="1"/>
  <c r="N78" i="85"/>
  <c r="L78" i="85"/>
  <c r="AL77" i="85"/>
  <c r="Q77" i="85"/>
  <c r="P77" i="85"/>
  <c r="O77" i="85"/>
  <c r="F77" i="85" s="1"/>
  <c r="N77" i="85"/>
  <c r="L77" i="85"/>
  <c r="AL76" i="85"/>
  <c r="Q76" i="85"/>
  <c r="P76" i="85"/>
  <c r="O76" i="85"/>
  <c r="F76" i="85" s="1"/>
  <c r="N76" i="85"/>
  <c r="L76" i="85"/>
  <c r="AL75" i="85"/>
  <c r="Q75" i="85"/>
  <c r="P75" i="85"/>
  <c r="O75" i="85"/>
  <c r="N75" i="85"/>
  <c r="L75" i="85"/>
  <c r="AL74" i="85"/>
  <c r="Q74" i="85"/>
  <c r="P74" i="85"/>
  <c r="O74" i="85"/>
  <c r="N74" i="85"/>
  <c r="L74" i="85"/>
  <c r="AL73" i="85"/>
  <c r="Q73" i="85"/>
  <c r="P73" i="85"/>
  <c r="O73" i="85"/>
  <c r="F73" i="85" s="1"/>
  <c r="N73" i="85"/>
  <c r="L73" i="85"/>
  <c r="AL72" i="85"/>
  <c r="Q72" i="85"/>
  <c r="P72" i="85"/>
  <c r="O72" i="85"/>
  <c r="N72" i="85"/>
  <c r="L72" i="85"/>
  <c r="AL71" i="85"/>
  <c r="Q71" i="85"/>
  <c r="P71" i="85"/>
  <c r="O71" i="85"/>
  <c r="N71" i="85"/>
  <c r="L71" i="85"/>
  <c r="AL70" i="85"/>
  <c r="Q70" i="85"/>
  <c r="P70" i="85"/>
  <c r="O70" i="85"/>
  <c r="F70" i="85" s="1"/>
  <c r="N70" i="85"/>
  <c r="L70" i="85"/>
  <c r="AL69" i="85"/>
  <c r="Q69" i="85"/>
  <c r="P69" i="85"/>
  <c r="O69" i="85"/>
  <c r="F69" i="85" s="1"/>
  <c r="N69" i="85"/>
  <c r="L69" i="85"/>
  <c r="AL68" i="85"/>
  <c r="Q68" i="85"/>
  <c r="P68" i="85"/>
  <c r="O68" i="85"/>
  <c r="F68" i="85" s="1"/>
  <c r="N68" i="85"/>
  <c r="L68" i="85"/>
  <c r="AL67" i="85"/>
  <c r="Q67" i="85"/>
  <c r="P67" i="85"/>
  <c r="O67" i="85"/>
  <c r="N67" i="85"/>
  <c r="L67" i="85"/>
  <c r="AL66" i="85"/>
  <c r="Q66" i="85"/>
  <c r="P66" i="85"/>
  <c r="O66" i="85"/>
  <c r="N66" i="85"/>
  <c r="L66" i="85"/>
  <c r="AL65" i="85"/>
  <c r="Q65" i="85"/>
  <c r="P65" i="85"/>
  <c r="O65" i="85"/>
  <c r="F65" i="85" s="1"/>
  <c r="N65" i="85"/>
  <c r="L65" i="85"/>
  <c r="AL64" i="85"/>
  <c r="Q64" i="85"/>
  <c r="P64" i="85"/>
  <c r="O64" i="85"/>
  <c r="N64" i="85"/>
  <c r="L64" i="85"/>
  <c r="AL63" i="85"/>
  <c r="Q63" i="85"/>
  <c r="P63" i="85"/>
  <c r="O63" i="85"/>
  <c r="N63" i="85"/>
  <c r="L63" i="85"/>
  <c r="AL62" i="85"/>
  <c r="Q62" i="85"/>
  <c r="P62" i="85"/>
  <c r="O62" i="85"/>
  <c r="F62" i="85" s="1"/>
  <c r="N62" i="85"/>
  <c r="L62" i="85"/>
  <c r="AL61" i="85"/>
  <c r="Q61" i="85"/>
  <c r="P61" i="85"/>
  <c r="O61" i="85"/>
  <c r="F61" i="85" s="1"/>
  <c r="N61" i="85"/>
  <c r="L61" i="85"/>
  <c r="AL60" i="85"/>
  <c r="Q60" i="85"/>
  <c r="P60" i="85"/>
  <c r="O60" i="85"/>
  <c r="F60" i="85" s="1"/>
  <c r="N60" i="85"/>
  <c r="L60" i="85"/>
  <c r="AL59" i="85"/>
  <c r="Q59" i="85"/>
  <c r="P59" i="85"/>
  <c r="O59" i="85"/>
  <c r="N59" i="85"/>
  <c r="L59" i="85"/>
  <c r="AL58" i="85"/>
  <c r="Q58" i="85"/>
  <c r="P58" i="85"/>
  <c r="O58" i="85"/>
  <c r="N58" i="85"/>
  <c r="L58" i="85"/>
  <c r="AL57" i="85"/>
  <c r="Q57" i="85"/>
  <c r="P57" i="85"/>
  <c r="O57" i="85"/>
  <c r="N57" i="85"/>
  <c r="L57" i="85"/>
  <c r="AL56" i="85"/>
  <c r="Q56" i="85"/>
  <c r="P56" i="85"/>
  <c r="O56" i="85"/>
  <c r="N56" i="85"/>
  <c r="L56" i="85"/>
  <c r="AL55" i="85"/>
  <c r="Q55" i="85"/>
  <c r="P55" i="85"/>
  <c r="F55" i="85" s="1"/>
  <c r="O55" i="85"/>
  <c r="N55" i="85"/>
  <c r="L55" i="85"/>
  <c r="AL54" i="85"/>
  <c r="Q54" i="85"/>
  <c r="P54" i="85"/>
  <c r="O54" i="85"/>
  <c r="N54" i="85"/>
  <c r="L54" i="85"/>
  <c r="AL53" i="85"/>
  <c r="Q53" i="85"/>
  <c r="P53" i="85"/>
  <c r="O53" i="85"/>
  <c r="N53" i="85"/>
  <c r="L53" i="85"/>
  <c r="AL52" i="85"/>
  <c r="Q52" i="85"/>
  <c r="P52" i="85"/>
  <c r="O52" i="85"/>
  <c r="N52" i="85"/>
  <c r="L52" i="85"/>
  <c r="AL51" i="85"/>
  <c r="Q51" i="85"/>
  <c r="P51" i="85"/>
  <c r="F51" i="85" s="1"/>
  <c r="O51" i="85"/>
  <c r="N51" i="85"/>
  <c r="L51" i="85"/>
  <c r="AL50" i="85"/>
  <c r="Q50" i="85"/>
  <c r="P50" i="85"/>
  <c r="O50" i="85"/>
  <c r="N50" i="85"/>
  <c r="L50" i="85"/>
  <c r="AL49" i="85"/>
  <c r="Q49" i="85"/>
  <c r="P49" i="85"/>
  <c r="O49" i="85"/>
  <c r="N49" i="85"/>
  <c r="L49" i="85"/>
  <c r="AL48" i="85"/>
  <c r="Q48" i="85"/>
  <c r="P48" i="85"/>
  <c r="O48" i="85"/>
  <c r="N48" i="85"/>
  <c r="L48" i="85"/>
  <c r="AL47" i="85"/>
  <c r="Q47" i="85"/>
  <c r="P47" i="85"/>
  <c r="O47" i="85"/>
  <c r="N47" i="85"/>
  <c r="L47" i="85"/>
  <c r="AL46" i="85"/>
  <c r="Q46" i="85"/>
  <c r="P46" i="85"/>
  <c r="O46" i="85"/>
  <c r="F46" i="85" s="1"/>
  <c r="N46" i="85"/>
  <c r="L46" i="85"/>
  <c r="AL45" i="85"/>
  <c r="Q45" i="85"/>
  <c r="P45" i="85"/>
  <c r="O45" i="85"/>
  <c r="N45" i="85"/>
  <c r="L45" i="85"/>
  <c r="AL44" i="85"/>
  <c r="Q44" i="85"/>
  <c r="P44" i="85"/>
  <c r="O44" i="85"/>
  <c r="N44" i="85"/>
  <c r="L44" i="85"/>
  <c r="AL43" i="85"/>
  <c r="Q43" i="85"/>
  <c r="P43" i="85"/>
  <c r="F43" i="85" s="1"/>
  <c r="O43" i="85"/>
  <c r="N43" i="85"/>
  <c r="L43" i="85"/>
  <c r="AL42" i="85"/>
  <c r="Q42" i="85"/>
  <c r="P42" i="85"/>
  <c r="O42" i="85"/>
  <c r="F42" i="85" s="1"/>
  <c r="N42" i="85"/>
  <c r="L42" i="85"/>
  <c r="AL41" i="85"/>
  <c r="Q41" i="85"/>
  <c r="P41" i="85"/>
  <c r="O41" i="85"/>
  <c r="F41" i="85" s="1"/>
  <c r="N41" i="85"/>
  <c r="L41" i="85"/>
  <c r="AL40" i="85"/>
  <c r="Q40" i="85"/>
  <c r="P40" i="85"/>
  <c r="O40" i="85"/>
  <c r="F40" i="85" s="1"/>
  <c r="N40" i="85"/>
  <c r="L40" i="85"/>
  <c r="AL39" i="85"/>
  <c r="Q39" i="85"/>
  <c r="P39" i="85"/>
  <c r="O39" i="85"/>
  <c r="F39" i="85" s="1"/>
  <c r="N39" i="85"/>
  <c r="L39" i="85"/>
  <c r="AL38" i="85"/>
  <c r="Q38" i="85"/>
  <c r="P38" i="85"/>
  <c r="F38" i="85" s="1"/>
  <c r="O38" i="85"/>
  <c r="N38" i="85"/>
  <c r="L38" i="85"/>
  <c r="AL37" i="85"/>
  <c r="Q37" i="85"/>
  <c r="P37" i="85"/>
  <c r="O37" i="85"/>
  <c r="N37" i="85"/>
  <c r="L37" i="85"/>
  <c r="AL36" i="85"/>
  <c r="Q36" i="85"/>
  <c r="P36" i="85"/>
  <c r="O36" i="85"/>
  <c r="N36" i="85"/>
  <c r="L36" i="85"/>
  <c r="AL35" i="85"/>
  <c r="Q35" i="85"/>
  <c r="P35" i="85"/>
  <c r="O35" i="85"/>
  <c r="F35" i="85" s="1"/>
  <c r="N35" i="85"/>
  <c r="L35" i="85"/>
  <c r="AL34" i="85"/>
  <c r="Q34" i="85"/>
  <c r="P34" i="85"/>
  <c r="O34" i="85"/>
  <c r="N34" i="85"/>
  <c r="L34" i="85"/>
  <c r="F34" i="85"/>
  <c r="AL33" i="85"/>
  <c r="Q33" i="85"/>
  <c r="P33" i="85"/>
  <c r="O33" i="85"/>
  <c r="N33" i="85"/>
  <c r="L33" i="85"/>
  <c r="AL32" i="85"/>
  <c r="Q32" i="85"/>
  <c r="P32" i="85"/>
  <c r="O32" i="85"/>
  <c r="F32" i="85" s="1"/>
  <c r="N32" i="85"/>
  <c r="L32" i="85"/>
  <c r="AL31" i="85"/>
  <c r="Q31" i="85"/>
  <c r="P31" i="85"/>
  <c r="O31" i="85"/>
  <c r="F31" i="85" s="1"/>
  <c r="N31" i="85"/>
  <c r="L31" i="85"/>
  <c r="AL30" i="85"/>
  <c r="Q30" i="85"/>
  <c r="P30" i="85"/>
  <c r="O30" i="85"/>
  <c r="N30" i="85"/>
  <c r="L30" i="85"/>
  <c r="F30" i="85"/>
  <c r="AL29" i="85"/>
  <c r="Q29" i="85"/>
  <c r="P29" i="85"/>
  <c r="O29" i="85"/>
  <c r="N29" i="85"/>
  <c r="L29" i="85"/>
  <c r="F29" i="85"/>
  <c r="AL28" i="85"/>
  <c r="Q28" i="85"/>
  <c r="P28" i="85"/>
  <c r="F28" i="85" s="1"/>
  <c r="O28" i="85"/>
  <c r="N28" i="85"/>
  <c r="L28" i="85"/>
  <c r="AL27" i="85"/>
  <c r="Q27" i="85"/>
  <c r="P27" i="85"/>
  <c r="O27" i="85"/>
  <c r="F27" i="85" s="1"/>
  <c r="N27" i="85"/>
  <c r="L27" i="85"/>
  <c r="AL26" i="85"/>
  <c r="Q26" i="85"/>
  <c r="P26" i="85"/>
  <c r="O26" i="85"/>
  <c r="F26" i="85" s="1"/>
  <c r="N26" i="85"/>
  <c r="L26" i="85"/>
  <c r="AL25" i="85"/>
  <c r="Q25" i="85"/>
  <c r="P25" i="85"/>
  <c r="O25" i="85"/>
  <c r="F25" i="85" s="1"/>
  <c r="N25" i="85"/>
  <c r="L25" i="85"/>
  <c r="AL24" i="85"/>
  <c r="Q24" i="85"/>
  <c r="P24" i="85"/>
  <c r="O24" i="85"/>
  <c r="F24" i="85" s="1"/>
  <c r="N24" i="85"/>
  <c r="L24" i="85"/>
  <c r="AL23" i="85"/>
  <c r="Q23" i="85"/>
  <c r="P23" i="85"/>
  <c r="O23" i="85"/>
  <c r="N23" i="85"/>
  <c r="L23" i="85"/>
  <c r="AL22" i="85"/>
  <c r="Q22" i="85"/>
  <c r="P22" i="85"/>
  <c r="O22" i="85"/>
  <c r="N22" i="85"/>
  <c r="L22" i="85"/>
  <c r="AL21" i="85"/>
  <c r="V21" i="85"/>
  <c r="Q21" i="85"/>
  <c r="P21" i="85"/>
  <c r="O21" i="85"/>
  <c r="F21" i="85" s="1"/>
  <c r="N21" i="85"/>
  <c r="L21" i="85"/>
  <c r="AL20" i="85"/>
  <c r="V20" i="85"/>
  <c r="Q20" i="85"/>
  <c r="P20" i="85"/>
  <c r="O20" i="85"/>
  <c r="F20" i="85" s="1"/>
  <c r="N20" i="85"/>
  <c r="L20" i="85"/>
  <c r="AL19" i="85"/>
  <c r="V19" i="85"/>
  <c r="Q19" i="85"/>
  <c r="P19" i="85"/>
  <c r="O19" i="85"/>
  <c r="F19" i="85" s="1"/>
  <c r="N19" i="85"/>
  <c r="L19" i="85"/>
  <c r="AL18" i="85"/>
  <c r="Q18" i="85"/>
  <c r="P18" i="85"/>
  <c r="O18" i="85"/>
  <c r="F18" i="85" s="1"/>
  <c r="N18" i="85"/>
  <c r="L18" i="85"/>
  <c r="AL17" i="85"/>
  <c r="Q17" i="85"/>
  <c r="P17" i="85"/>
  <c r="O17" i="85"/>
  <c r="N17" i="85"/>
  <c r="L17" i="85"/>
  <c r="AL16" i="85"/>
  <c r="Q16" i="85"/>
  <c r="P16" i="85"/>
  <c r="O16" i="85"/>
  <c r="N16" i="85"/>
  <c r="L16" i="85"/>
  <c r="AL15" i="85"/>
  <c r="Q15" i="85"/>
  <c r="P15" i="85"/>
  <c r="O15" i="85"/>
  <c r="F15" i="85" s="1"/>
  <c r="N15" i="85"/>
  <c r="L15" i="85"/>
  <c r="AL14" i="85"/>
  <c r="Q14" i="85"/>
  <c r="P14" i="85"/>
  <c r="O14" i="85"/>
  <c r="F14" i="85" s="1"/>
  <c r="N14" i="85"/>
  <c r="L14" i="85"/>
  <c r="AL13" i="85"/>
  <c r="Q13" i="85"/>
  <c r="P13" i="85"/>
  <c r="F13" i="85" s="1"/>
  <c r="O13" i="85"/>
  <c r="N13" i="85"/>
  <c r="L13" i="85"/>
  <c r="AL12" i="85"/>
  <c r="V12" i="85"/>
  <c r="Q12" i="85"/>
  <c r="P12" i="85"/>
  <c r="F12" i="85" s="1"/>
  <c r="O12" i="85"/>
  <c r="N12" i="85"/>
  <c r="L12" i="85"/>
  <c r="AL11" i="85"/>
  <c r="Q11" i="85"/>
  <c r="P11" i="85"/>
  <c r="O11" i="85"/>
  <c r="F11" i="85" s="1"/>
  <c r="N11" i="85"/>
  <c r="L11" i="85"/>
  <c r="AL10" i="85"/>
  <c r="Q10" i="85"/>
  <c r="P10" i="85"/>
  <c r="O10" i="85"/>
  <c r="F10" i="85" s="1"/>
  <c r="N10" i="85"/>
  <c r="L10" i="85"/>
  <c r="AL9" i="85"/>
  <c r="Q9" i="85"/>
  <c r="P9" i="85"/>
  <c r="O9" i="85"/>
  <c r="F9" i="85" s="1"/>
  <c r="N9" i="85"/>
  <c r="L9" i="85"/>
  <c r="AL8" i="85"/>
  <c r="Q8" i="85"/>
  <c r="P8" i="85"/>
  <c r="O8" i="85"/>
  <c r="N8" i="85"/>
  <c r="L8" i="85"/>
  <c r="F8" i="85"/>
  <c r="AL7" i="85"/>
  <c r="Q7" i="85"/>
  <c r="P7" i="85"/>
  <c r="O7" i="85"/>
  <c r="N7" i="85"/>
  <c r="L7" i="85"/>
  <c r="F7" i="85"/>
  <c r="AL6" i="85"/>
  <c r="V6" i="85"/>
  <c r="Q6" i="85"/>
  <c r="P6" i="85"/>
  <c r="O6" i="85"/>
  <c r="N6" i="85"/>
  <c r="L6" i="85"/>
  <c r="F6" i="85"/>
  <c r="AL5" i="85"/>
  <c r="Q5" i="85"/>
  <c r="P5" i="85"/>
  <c r="O5" i="85"/>
  <c r="N5" i="85"/>
  <c r="L5" i="85"/>
  <c r="F5" i="85"/>
  <c r="AL4" i="85"/>
  <c r="V4" i="85"/>
  <c r="L10" i="78" s="1"/>
  <c r="Q4" i="85"/>
  <c r="P4" i="85"/>
  <c r="O4" i="85"/>
  <c r="N4" i="85"/>
  <c r="L4" i="85"/>
  <c r="F4" i="85"/>
  <c r="AL3" i="85"/>
  <c r="Q3" i="85"/>
  <c r="P3" i="85"/>
  <c r="F3" i="85" s="1"/>
  <c r="O3" i="85"/>
  <c r="N3" i="85"/>
  <c r="L3" i="85"/>
  <c r="Q2" i="85"/>
  <c r="P2" i="85"/>
  <c r="O2" i="85"/>
  <c r="F2" i="85" s="1"/>
  <c r="N2" i="85"/>
  <c r="L2" i="85"/>
  <c r="AL581" i="86"/>
  <c r="AL580" i="86"/>
  <c r="AL579" i="86"/>
  <c r="AL578" i="86"/>
  <c r="AL577" i="86"/>
  <c r="AL576" i="86"/>
  <c r="AL575" i="86"/>
  <c r="AL574" i="86"/>
  <c r="AL573" i="86"/>
  <c r="AL572" i="86"/>
  <c r="AL571" i="86"/>
  <c r="AL570" i="86"/>
  <c r="AL569" i="86"/>
  <c r="AL568" i="86"/>
  <c r="AL567" i="86"/>
  <c r="AL566" i="86"/>
  <c r="AL565" i="86"/>
  <c r="AL564" i="86"/>
  <c r="AL563" i="86"/>
  <c r="AL562" i="86"/>
  <c r="AL561" i="86"/>
  <c r="AL560" i="86"/>
  <c r="AL559" i="86"/>
  <c r="AL558" i="86"/>
  <c r="AL557" i="86"/>
  <c r="AL556" i="86"/>
  <c r="AL555" i="86"/>
  <c r="AL554" i="86"/>
  <c r="AL553" i="86"/>
  <c r="AL552" i="86"/>
  <c r="AL551" i="86"/>
  <c r="AL550" i="86"/>
  <c r="AL549" i="86"/>
  <c r="AL548" i="86"/>
  <c r="AL547" i="86"/>
  <c r="AL546" i="86"/>
  <c r="AL545" i="86"/>
  <c r="AL544" i="86"/>
  <c r="AL543" i="86"/>
  <c r="AL542" i="86"/>
  <c r="AL541" i="86"/>
  <c r="AL540" i="86"/>
  <c r="AL539" i="86"/>
  <c r="AL538" i="86"/>
  <c r="AL537" i="86"/>
  <c r="AL536" i="86"/>
  <c r="AL535" i="86"/>
  <c r="AL534" i="86"/>
  <c r="AL533" i="86"/>
  <c r="AL532" i="86"/>
  <c r="AL531" i="86"/>
  <c r="AL530" i="86"/>
  <c r="AL529" i="86"/>
  <c r="AL528" i="86"/>
  <c r="AL527" i="86"/>
  <c r="AL526" i="86"/>
  <c r="AL525" i="86"/>
  <c r="AL524" i="86"/>
  <c r="AL523" i="86"/>
  <c r="AL522" i="86"/>
  <c r="AL521" i="86"/>
  <c r="AL520" i="86"/>
  <c r="AL519" i="86"/>
  <c r="AL518" i="86"/>
  <c r="AL517" i="86"/>
  <c r="AL516" i="86"/>
  <c r="AL515" i="86"/>
  <c r="AL514" i="86"/>
  <c r="AL513" i="86"/>
  <c r="AL512" i="86"/>
  <c r="AL511" i="86"/>
  <c r="AL510" i="86"/>
  <c r="AL509" i="86"/>
  <c r="AL508" i="86"/>
  <c r="AL507" i="86"/>
  <c r="AL506" i="86"/>
  <c r="AL505" i="86"/>
  <c r="AL504" i="86"/>
  <c r="AL503" i="86"/>
  <c r="AL502" i="86"/>
  <c r="AL501" i="86"/>
  <c r="AL500" i="86"/>
  <c r="AL499" i="86"/>
  <c r="AL498" i="86"/>
  <c r="AL497" i="86"/>
  <c r="AL496" i="86"/>
  <c r="AL495" i="86"/>
  <c r="AL494" i="86"/>
  <c r="AL493" i="86"/>
  <c r="AL492" i="86"/>
  <c r="AL491" i="86"/>
  <c r="AL490" i="86"/>
  <c r="AL489" i="86"/>
  <c r="AL488" i="86"/>
  <c r="AL487" i="86"/>
  <c r="AL486" i="86"/>
  <c r="AL485" i="86"/>
  <c r="AL484" i="86"/>
  <c r="AL483" i="86"/>
  <c r="AL482" i="86"/>
  <c r="AL481" i="86"/>
  <c r="AL480" i="86"/>
  <c r="AL479" i="86"/>
  <c r="AL478" i="86"/>
  <c r="AL477" i="86"/>
  <c r="AL476" i="86"/>
  <c r="AL475" i="86"/>
  <c r="AL474" i="86"/>
  <c r="AL473" i="86"/>
  <c r="AL472" i="86"/>
  <c r="AL471" i="86"/>
  <c r="AL470" i="86"/>
  <c r="AL469" i="86"/>
  <c r="AL468" i="86"/>
  <c r="AL467" i="86"/>
  <c r="AL466" i="86"/>
  <c r="AL465" i="86"/>
  <c r="AL464" i="86"/>
  <c r="AL463" i="86"/>
  <c r="AL462" i="86"/>
  <c r="AL461" i="86"/>
  <c r="AL460" i="86"/>
  <c r="AL459" i="86"/>
  <c r="AL458" i="86"/>
  <c r="AL457" i="86"/>
  <c r="AL456" i="86"/>
  <c r="AL455" i="86"/>
  <c r="AL454" i="86"/>
  <c r="AL453" i="86"/>
  <c r="AL452" i="86"/>
  <c r="AL451" i="86"/>
  <c r="AL450" i="86"/>
  <c r="AL449" i="86"/>
  <c r="AL448" i="86"/>
  <c r="AL447" i="86"/>
  <c r="AL446" i="86"/>
  <c r="AL445" i="86"/>
  <c r="AL444" i="86"/>
  <c r="AL443" i="86"/>
  <c r="AL442" i="86"/>
  <c r="AL441" i="86"/>
  <c r="AL440" i="86"/>
  <c r="AL439" i="86"/>
  <c r="AL438" i="86"/>
  <c r="AL437" i="86"/>
  <c r="AL436" i="86"/>
  <c r="AL435" i="86"/>
  <c r="AL434" i="86"/>
  <c r="AL433" i="86"/>
  <c r="AL432" i="86"/>
  <c r="AL431" i="86"/>
  <c r="AL430" i="86"/>
  <c r="AL429" i="86"/>
  <c r="AL428" i="86"/>
  <c r="AL427" i="86"/>
  <c r="AL426" i="86"/>
  <c r="AL425" i="86"/>
  <c r="AL424" i="86"/>
  <c r="AL423" i="86"/>
  <c r="AL422" i="86"/>
  <c r="AL421" i="86"/>
  <c r="AL420" i="86"/>
  <c r="AL419" i="86"/>
  <c r="AL418" i="86"/>
  <c r="AL417" i="86"/>
  <c r="AL416" i="86"/>
  <c r="AL415" i="86"/>
  <c r="AL414" i="86"/>
  <c r="AL413" i="86"/>
  <c r="AL412" i="86"/>
  <c r="AL411" i="86"/>
  <c r="AL410" i="86"/>
  <c r="AL409" i="86"/>
  <c r="AL408" i="86"/>
  <c r="AL407" i="86"/>
  <c r="AL406" i="86"/>
  <c r="AL405" i="86"/>
  <c r="AL404" i="86"/>
  <c r="AL403" i="86"/>
  <c r="AL402" i="86"/>
  <c r="AL401" i="86"/>
  <c r="AL400" i="86"/>
  <c r="AL399" i="86"/>
  <c r="AL398" i="86"/>
  <c r="AL397" i="86"/>
  <c r="AL396" i="86"/>
  <c r="AL395" i="86"/>
  <c r="AL394" i="86"/>
  <c r="AL393" i="86"/>
  <c r="AL392" i="86"/>
  <c r="AL391" i="86"/>
  <c r="AL390" i="86"/>
  <c r="AL389" i="86"/>
  <c r="AL388" i="86"/>
  <c r="AL387" i="86"/>
  <c r="AL386" i="86"/>
  <c r="AL385" i="86"/>
  <c r="AL384" i="86"/>
  <c r="AL383" i="86"/>
  <c r="AL382" i="86"/>
  <c r="AL381" i="86"/>
  <c r="AL380" i="86"/>
  <c r="AL379" i="86"/>
  <c r="AL378" i="86"/>
  <c r="AL377" i="86"/>
  <c r="AL376" i="86"/>
  <c r="AL375" i="86"/>
  <c r="AL374" i="86"/>
  <c r="AL373" i="86"/>
  <c r="AL372" i="86"/>
  <c r="AL371" i="86"/>
  <c r="AL370" i="86"/>
  <c r="AL369" i="86"/>
  <c r="AL368" i="86"/>
  <c r="AL367" i="86"/>
  <c r="AL366" i="86"/>
  <c r="AL365" i="86"/>
  <c r="AL364" i="86"/>
  <c r="AL363" i="86"/>
  <c r="AL362" i="86"/>
  <c r="AL361" i="86"/>
  <c r="AL360" i="86"/>
  <c r="AL359" i="86"/>
  <c r="AL358" i="86"/>
  <c r="AL357" i="86"/>
  <c r="AL356" i="86"/>
  <c r="AL355" i="86"/>
  <c r="AL354" i="86"/>
  <c r="AL353" i="86"/>
  <c r="AL352" i="86"/>
  <c r="AL351" i="86"/>
  <c r="AL350" i="86"/>
  <c r="AL349" i="86"/>
  <c r="AL348" i="86"/>
  <c r="AL347" i="86"/>
  <c r="AL346" i="86"/>
  <c r="AL345" i="86"/>
  <c r="AL344" i="86"/>
  <c r="AL343" i="86"/>
  <c r="AL342" i="86"/>
  <c r="AL341" i="86"/>
  <c r="AL340" i="86"/>
  <c r="AL339" i="86"/>
  <c r="AL338" i="86"/>
  <c r="AL337" i="86"/>
  <c r="AL336" i="86"/>
  <c r="AL335" i="86"/>
  <c r="AL334" i="86"/>
  <c r="AL333" i="86"/>
  <c r="AL332" i="86"/>
  <c r="AL331" i="86"/>
  <c r="AL330" i="86"/>
  <c r="AL329" i="86"/>
  <c r="AL328" i="86"/>
  <c r="AL327" i="86"/>
  <c r="AL326" i="86"/>
  <c r="AL325" i="86"/>
  <c r="AL324" i="86"/>
  <c r="AL323" i="86"/>
  <c r="AL322" i="86"/>
  <c r="AL321" i="86"/>
  <c r="AL320" i="86"/>
  <c r="AL319" i="86"/>
  <c r="AL318" i="86"/>
  <c r="AL317" i="86"/>
  <c r="AL316" i="86"/>
  <c r="AL315" i="86"/>
  <c r="AL314" i="86"/>
  <c r="AL313" i="86"/>
  <c r="AL312" i="86"/>
  <c r="AL311" i="86"/>
  <c r="AL310" i="86"/>
  <c r="AL309" i="86"/>
  <c r="AL308" i="86"/>
  <c r="AL307" i="86"/>
  <c r="AL306" i="86"/>
  <c r="AL305" i="86"/>
  <c r="AL304" i="86"/>
  <c r="AL303" i="86"/>
  <c r="AL302" i="86"/>
  <c r="AL301" i="86"/>
  <c r="AL300" i="86"/>
  <c r="AL299" i="86"/>
  <c r="AL298" i="86"/>
  <c r="AL297" i="86"/>
  <c r="AL296" i="86"/>
  <c r="AL295" i="86"/>
  <c r="AL294" i="86"/>
  <c r="AL293" i="86"/>
  <c r="AL292" i="86"/>
  <c r="AL291" i="86"/>
  <c r="AL290" i="86"/>
  <c r="AL289" i="86"/>
  <c r="AL288" i="86"/>
  <c r="AL287" i="86"/>
  <c r="AL286" i="86"/>
  <c r="AL285" i="86"/>
  <c r="AL284" i="86"/>
  <c r="AL283" i="86"/>
  <c r="AL282" i="86"/>
  <c r="AL281" i="86"/>
  <c r="AL280" i="86"/>
  <c r="AL279" i="86"/>
  <c r="AL278" i="86"/>
  <c r="AL277" i="86"/>
  <c r="AL276" i="86"/>
  <c r="AL275" i="86"/>
  <c r="AL274" i="86"/>
  <c r="AL273" i="86"/>
  <c r="AL272" i="86"/>
  <c r="AL271" i="86"/>
  <c r="AL270" i="86"/>
  <c r="AL269" i="86"/>
  <c r="AL268" i="86"/>
  <c r="AL267" i="86"/>
  <c r="AL266" i="86"/>
  <c r="AL265" i="86"/>
  <c r="AL264" i="86"/>
  <c r="AL263" i="86"/>
  <c r="AL262" i="86"/>
  <c r="AL261" i="86"/>
  <c r="AL260" i="86"/>
  <c r="AL259" i="86"/>
  <c r="AL258" i="86"/>
  <c r="AL257" i="86"/>
  <c r="AL256" i="86"/>
  <c r="AL255" i="86"/>
  <c r="AL254" i="86"/>
  <c r="AL253" i="86"/>
  <c r="AL252" i="86"/>
  <c r="AL251" i="86"/>
  <c r="AL250" i="86"/>
  <c r="AL249" i="86"/>
  <c r="AL248" i="86"/>
  <c r="AL247" i="86"/>
  <c r="AL246" i="86"/>
  <c r="AL245" i="86"/>
  <c r="AL244" i="86"/>
  <c r="AL243" i="86"/>
  <c r="AL242" i="86"/>
  <c r="AL241" i="86"/>
  <c r="AL240" i="86"/>
  <c r="AL239" i="86"/>
  <c r="AL238" i="86"/>
  <c r="AL237" i="86"/>
  <c r="AL236" i="86"/>
  <c r="AL235" i="86"/>
  <c r="AL234" i="86"/>
  <c r="AL233" i="86"/>
  <c r="AL232" i="86"/>
  <c r="AL231" i="86"/>
  <c r="AL230" i="86"/>
  <c r="AL229" i="86"/>
  <c r="AL228" i="86"/>
  <c r="AL227" i="86"/>
  <c r="AL226" i="86"/>
  <c r="AL225" i="86"/>
  <c r="AL224" i="86"/>
  <c r="AL223" i="86"/>
  <c r="AL222" i="86"/>
  <c r="AL221" i="86"/>
  <c r="AL220" i="86"/>
  <c r="AL219" i="86"/>
  <c r="AL218" i="86"/>
  <c r="AL217" i="86"/>
  <c r="AL216" i="86"/>
  <c r="AL215" i="86"/>
  <c r="AL214" i="86"/>
  <c r="AL213" i="86"/>
  <c r="AL212" i="86"/>
  <c r="AL211" i="86"/>
  <c r="AL210" i="86"/>
  <c r="AL209" i="86"/>
  <c r="AL208" i="86"/>
  <c r="AL207" i="86"/>
  <c r="AL206" i="86"/>
  <c r="AL205" i="86"/>
  <c r="AL204" i="86"/>
  <c r="AL203" i="86"/>
  <c r="AL202" i="86"/>
  <c r="AL201" i="86"/>
  <c r="AL200" i="86"/>
  <c r="AL199" i="86"/>
  <c r="AL198" i="86"/>
  <c r="AL197" i="86"/>
  <c r="AL196" i="86"/>
  <c r="AL195" i="86"/>
  <c r="AL194" i="86"/>
  <c r="AL193" i="86"/>
  <c r="AL192" i="86"/>
  <c r="AL191" i="86"/>
  <c r="AL190" i="86"/>
  <c r="AL189" i="86"/>
  <c r="AL188" i="86"/>
  <c r="AL187" i="86"/>
  <c r="AL186" i="86"/>
  <c r="AL185" i="86"/>
  <c r="AL184" i="86"/>
  <c r="AL183" i="86"/>
  <c r="AL182" i="86"/>
  <c r="AL181" i="86"/>
  <c r="AL180" i="86"/>
  <c r="AL179" i="86"/>
  <c r="AL178" i="86"/>
  <c r="AL177" i="86"/>
  <c r="AL176" i="86"/>
  <c r="AL175" i="86"/>
  <c r="AL174" i="86"/>
  <c r="AL173" i="86"/>
  <c r="AL172" i="86"/>
  <c r="AL171" i="86"/>
  <c r="AL170" i="86"/>
  <c r="AL169" i="86"/>
  <c r="AL168" i="86"/>
  <c r="AL167" i="86"/>
  <c r="AL166" i="86"/>
  <c r="AL165" i="86"/>
  <c r="AL164" i="86"/>
  <c r="AL163" i="86"/>
  <c r="AL162" i="86"/>
  <c r="AL161" i="86"/>
  <c r="AL160" i="86"/>
  <c r="AL159" i="86"/>
  <c r="AL158" i="86"/>
  <c r="AL157" i="86"/>
  <c r="AL156" i="86"/>
  <c r="AL155" i="86"/>
  <c r="AL154" i="86"/>
  <c r="AL153" i="86"/>
  <c r="AL152" i="86"/>
  <c r="AL151" i="86"/>
  <c r="AL150" i="86"/>
  <c r="AL149" i="86"/>
  <c r="AL148" i="86"/>
  <c r="AL147" i="86"/>
  <c r="AL146" i="86"/>
  <c r="AL145" i="86"/>
  <c r="AL144" i="86"/>
  <c r="AL143" i="86"/>
  <c r="Q143" i="86"/>
  <c r="P143" i="86"/>
  <c r="O143" i="86"/>
  <c r="N143" i="86"/>
  <c r="L143" i="86"/>
  <c r="F143" i="86"/>
  <c r="AL142" i="86"/>
  <c r="Q142" i="86"/>
  <c r="P142" i="86"/>
  <c r="O142" i="86"/>
  <c r="N142" i="86"/>
  <c r="L142" i="86"/>
  <c r="F142" i="86"/>
  <c r="AL141" i="86"/>
  <c r="Q141" i="86"/>
  <c r="P141" i="86"/>
  <c r="O141" i="86"/>
  <c r="N141" i="86"/>
  <c r="L141" i="86"/>
  <c r="F141" i="86"/>
  <c r="AL140" i="86"/>
  <c r="Q140" i="86"/>
  <c r="P140" i="86"/>
  <c r="F140" i="86" s="1"/>
  <c r="O140" i="86"/>
  <c r="N140" i="86"/>
  <c r="L140" i="86"/>
  <c r="AL139" i="86"/>
  <c r="Q139" i="86"/>
  <c r="P139" i="86"/>
  <c r="O139" i="86"/>
  <c r="F139" i="86" s="1"/>
  <c r="N139" i="86"/>
  <c r="L139" i="86"/>
  <c r="AL138" i="86"/>
  <c r="Q138" i="86"/>
  <c r="P138" i="86"/>
  <c r="O138" i="86"/>
  <c r="F138" i="86" s="1"/>
  <c r="N138" i="86"/>
  <c r="L138" i="86"/>
  <c r="AL137" i="86"/>
  <c r="Q137" i="86"/>
  <c r="P137" i="86"/>
  <c r="O137" i="86"/>
  <c r="F137" i="86" s="1"/>
  <c r="N137" i="86"/>
  <c r="L137" i="86"/>
  <c r="AL136" i="86"/>
  <c r="Q136" i="86"/>
  <c r="P136" i="86"/>
  <c r="O136" i="86"/>
  <c r="N136" i="86"/>
  <c r="L136" i="86"/>
  <c r="F136" i="86"/>
  <c r="AL135" i="86"/>
  <c r="Q135" i="86"/>
  <c r="P135" i="86"/>
  <c r="O135" i="86"/>
  <c r="N135" i="86"/>
  <c r="L135" i="86"/>
  <c r="F135" i="86"/>
  <c r="AL134" i="86"/>
  <c r="Q134" i="86"/>
  <c r="P134" i="86"/>
  <c r="O134" i="86"/>
  <c r="N134" i="86"/>
  <c r="L134" i="86"/>
  <c r="F134" i="86"/>
  <c r="AL133" i="86"/>
  <c r="Q133" i="86"/>
  <c r="P133" i="86"/>
  <c r="O133" i="86"/>
  <c r="N133" i="86"/>
  <c r="L133" i="86"/>
  <c r="F133" i="86"/>
  <c r="AL132" i="86"/>
  <c r="Q132" i="86"/>
  <c r="P132" i="86"/>
  <c r="F132" i="86" s="1"/>
  <c r="O132" i="86"/>
  <c r="N132" i="86"/>
  <c r="L132" i="86"/>
  <c r="AL131" i="86"/>
  <c r="Q131" i="86"/>
  <c r="P131" i="86"/>
  <c r="O131" i="86"/>
  <c r="F131" i="86" s="1"/>
  <c r="N131" i="86"/>
  <c r="L131" i="86"/>
  <c r="AL130" i="86"/>
  <c r="Q130" i="86"/>
  <c r="P130" i="86"/>
  <c r="O130" i="86"/>
  <c r="F130" i="86" s="1"/>
  <c r="N130" i="86"/>
  <c r="L130" i="86"/>
  <c r="AL129" i="86"/>
  <c r="Q129" i="86"/>
  <c r="P129" i="86"/>
  <c r="O129" i="86"/>
  <c r="F129" i="86" s="1"/>
  <c r="N129" i="86"/>
  <c r="L129" i="86"/>
  <c r="AL128" i="86"/>
  <c r="Q128" i="86"/>
  <c r="P128" i="86"/>
  <c r="O128" i="86"/>
  <c r="N128" i="86"/>
  <c r="L128" i="86"/>
  <c r="F128" i="86"/>
  <c r="AL127" i="86"/>
  <c r="Q127" i="86"/>
  <c r="P127" i="86"/>
  <c r="O127" i="86"/>
  <c r="N127" i="86"/>
  <c r="L127" i="86"/>
  <c r="F127" i="86"/>
  <c r="AL126" i="86"/>
  <c r="Q126" i="86"/>
  <c r="P126" i="86"/>
  <c r="O126" i="86"/>
  <c r="N126" i="86"/>
  <c r="L126" i="86"/>
  <c r="F126" i="86"/>
  <c r="AL125" i="86"/>
  <c r="Q125" i="86"/>
  <c r="P125" i="86"/>
  <c r="O125" i="86"/>
  <c r="N125" i="86"/>
  <c r="L125" i="86"/>
  <c r="F125" i="86"/>
  <c r="AL124" i="86"/>
  <c r="Q124" i="86"/>
  <c r="P124" i="86"/>
  <c r="F124" i="86" s="1"/>
  <c r="O124" i="86"/>
  <c r="N124" i="86"/>
  <c r="L124" i="86"/>
  <c r="AL123" i="86"/>
  <c r="Q123" i="86"/>
  <c r="P123" i="86"/>
  <c r="O123" i="86"/>
  <c r="F123" i="86" s="1"/>
  <c r="N123" i="86"/>
  <c r="L123" i="86"/>
  <c r="AL122" i="86"/>
  <c r="Q122" i="86"/>
  <c r="P122" i="86"/>
  <c r="O122" i="86"/>
  <c r="F122" i="86" s="1"/>
  <c r="N122" i="86"/>
  <c r="L122" i="86"/>
  <c r="AL121" i="86"/>
  <c r="Q121" i="86"/>
  <c r="P121" i="86"/>
  <c r="O121" i="86"/>
  <c r="F121" i="86" s="1"/>
  <c r="N121" i="86"/>
  <c r="L121" i="86"/>
  <c r="AL120" i="86"/>
  <c r="Q120" i="86"/>
  <c r="P120" i="86"/>
  <c r="O120" i="86"/>
  <c r="N120" i="86"/>
  <c r="L120" i="86"/>
  <c r="F120" i="86"/>
  <c r="AL119" i="86"/>
  <c r="Q119" i="86"/>
  <c r="P119" i="86"/>
  <c r="O119" i="86"/>
  <c r="N119" i="86"/>
  <c r="L119" i="86"/>
  <c r="F119" i="86"/>
  <c r="AL118" i="86"/>
  <c r="Q118" i="86"/>
  <c r="P118" i="86"/>
  <c r="O118" i="86"/>
  <c r="N118" i="86"/>
  <c r="L118" i="86"/>
  <c r="F118" i="86"/>
  <c r="AL117" i="86"/>
  <c r="Q117" i="86"/>
  <c r="P117" i="86"/>
  <c r="O117" i="86"/>
  <c r="N117" i="86"/>
  <c r="L117" i="86"/>
  <c r="F117" i="86"/>
  <c r="AL116" i="86"/>
  <c r="Q116" i="86"/>
  <c r="P116" i="86"/>
  <c r="F116" i="86" s="1"/>
  <c r="O116" i="86"/>
  <c r="N116" i="86"/>
  <c r="L116" i="86"/>
  <c r="AL115" i="86"/>
  <c r="Q115" i="86"/>
  <c r="P115" i="86"/>
  <c r="O115" i="86"/>
  <c r="F115" i="86" s="1"/>
  <c r="N115" i="86"/>
  <c r="L115" i="86"/>
  <c r="AL114" i="86"/>
  <c r="Q114" i="86"/>
  <c r="P114" i="86"/>
  <c r="O114" i="86"/>
  <c r="F114" i="86" s="1"/>
  <c r="N114" i="86"/>
  <c r="L114" i="86"/>
  <c r="AL113" i="86"/>
  <c r="Q113" i="86"/>
  <c r="P113" i="86"/>
  <c r="O113" i="86"/>
  <c r="F113" i="86" s="1"/>
  <c r="N113" i="86"/>
  <c r="L113" i="86"/>
  <c r="AL112" i="86"/>
  <c r="Q112" i="86"/>
  <c r="P112" i="86"/>
  <c r="O112" i="86"/>
  <c r="N112" i="86"/>
  <c r="L112" i="86"/>
  <c r="F112" i="86"/>
  <c r="AL111" i="86"/>
  <c r="Q111" i="86"/>
  <c r="P111" i="86"/>
  <c r="O111" i="86"/>
  <c r="N111" i="86"/>
  <c r="L111" i="86"/>
  <c r="F111" i="86"/>
  <c r="AL110" i="86"/>
  <c r="Q110" i="86"/>
  <c r="P110" i="86"/>
  <c r="O110" i="86"/>
  <c r="N110" i="86"/>
  <c r="L110" i="86"/>
  <c r="F110" i="86"/>
  <c r="AL109" i="86"/>
  <c r="Q109" i="86"/>
  <c r="P109" i="86"/>
  <c r="O109" i="86"/>
  <c r="N109" i="86"/>
  <c r="L109" i="86"/>
  <c r="F109" i="86"/>
  <c r="AL108" i="86"/>
  <c r="Q108" i="86"/>
  <c r="P108" i="86"/>
  <c r="F108" i="86" s="1"/>
  <c r="O108" i="86"/>
  <c r="N108" i="86"/>
  <c r="L108" i="86"/>
  <c r="AL107" i="86"/>
  <c r="Q107" i="86"/>
  <c r="P107" i="86"/>
  <c r="O107" i="86"/>
  <c r="F107" i="86" s="1"/>
  <c r="N107" i="86"/>
  <c r="L107" i="86"/>
  <c r="AL106" i="86"/>
  <c r="Q106" i="86"/>
  <c r="P106" i="86"/>
  <c r="O106" i="86"/>
  <c r="F106" i="86" s="1"/>
  <c r="N106" i="86"/>
  <c r="L106" i="86"/>
  <c r="AL105" i="86"/>
  <c r="Q105" i="86"/>
  <c r="P105" i="86"/>
  <c r="O105" i="86"/>
  <c r="F105" i="86" s="1"/>
  <c r="N105" i="86"/>
  <c r="L105" i="86"/>
  <c r="AL104" i="86"/>
  <c r="Q104" i="86"/>
  <c r="P104" i="86"/>
  <c r="O104" i="86"/>
  <c r="N104" i="86"/>
  <c r="L104" i="86"/>
  <c r="F104" i="86"/>
  <c r="AL103" i="86"/>
  <c r="Q103" i="86"/>
  <c r="P103" i="86"/>
  <c r="O103" i="86"/>
  <c r="N103" i="86"/>
  <c r="L103" i="86"/>
  <c r="F103" i="86"/>
  <c r="AL102" i="86"/>
  <c r="Q102" i="86"/>
  <c r="P102" i="86"/>
  <c r="O102" i="86"/>
  <c r="N102" i="86"/>
  <c r="L102" i="86"/>
  <c r="F102" i="86"/>
  <c r="AL101" i="86"/>
  <c r="Q101" i="86"/>
  <c r="P101" i="86"/>
  <c r="O101" i="86"/>
  <c r="N101" i="86"/>
  <c r="L101" i="86"/>
  <c r="F101" i="86"/>
  <c r="AL100" i="86"/>
  <c r="Q100" i="86"/>
  <c r="P100" i="86"/>
  <c r="F100" i="86" s="1"/>
  <c r="O100" i="86"/>
  <c r="N100" i="86"/>
  <c r="L100" i="86"/>
  <c r="AL99" i="86"/>
  <c r="Q99" i="86"/>
  <c r="P99" i="86"/>
  <c r="O99" i="86"/>
  <c r="F99" i="86" s="1"/>
  <c r="N99" i="86"/>
  <c r="L99" i="86"/>
  <c r="AL98" i="86"/>
  <c r="Q98" i="86"/>
  <c r="P98" i="86"/>
  <c r="O98" i="86"/>
  <c r="F98" i="86" s="1"/>
  <c r="N98" i="86"/>
  <c r="L98" i="86"/>
  <c r="AL97" i="86"/>
  <c r="Q97" i="86"/>
  <c r="P97" i="86"/>
  <c r="O97" i="86"/>
  <c r="F97" i="86" s="1"/>
  <c r="N97" i="86"/>
  <c r="L97" i="86"/>
  <c r="AL96" i="86"/>
  <c r="Q96" i="86"/>
  <c r="P96" i="86"/>
  <c r="O96" i="86"/>
  <c r="N96" i="86"/>
  <c r="L96" i="86"/>
  <c r="F96" i="86"/>
  <c r="AL95" i="86"/>
  <c r="Q95" i="86"/>
  <c r="P95" i="86"/>
  <c r="O95" i="86"/>
  <c r="N95" i="86"/>
  <c r="L95" i="86"/>
  <c r="F95" i="86"/>
  <c r="AL94" i="86"/>
  <c r="Q94" i="86"/>
  <c r="P94" i="86"/>
  <c r="O94" i="86"/>
  <c r="N94" i="86"/>
  <c r="L94" i="86"/>
  <c r="F94" i="86"/>
  <c r="AL93" i="86"/>
  <c r="Q93" i="86"/>
  <c r="P93" i="86"/>
  <c r="O93" i="86"/>
  <c r="N93" i="86"/>
  <c r="L93" i="86"/>
  <c r="F93" i="86"/>
  <c r="AL92" i="86"/>
  <c r="Q92" i="86"/>
  <c r="P92" i="86"/>
  <c r="F92" i="86" s="1"/>
  <c r="O92" i="86"/>
  <c r="N92" i="86"/>
  <c r="L92" i="86"/>
  <c r="AL91" i="86"/>
  <c r="Q91" i="86"/>
  <c r="P91" i="86"/>
  <c r="O91" i="86"/>
  <c r="F91" i="86" s="1"/>
  <c r="N91" i="86"/>
  <c r="L91" i="86"/>
  <c r="AL90" i="86"/>
  <c r="Q90" i="86"/>
  <c r="P90" i="86"/>
  <c r="O90" i="86"/>
  <c r="F90" i="86" s="1"/>
  <c r="N90" i="86"/>
  <c r="L90" i="86"/>
  <c r="AL89" i="86"/>
  <c r="Q89" i="86"/>
  <c r="P89" i="86"/>
  <c r="O89" i="86"/>
  <c r="F89" i="86" s="1"/>
  <c r="N89" i="86"/>
  <c r="L89" i="86"/>
  <c r="AL88" i="86"/>
  <c r="Q88" i="86"/>
  <c r="P88" i="86"/>
  <c r="O88" i="86"/>
  <c r="N88" i="86"/>
  <c r="L88" i="86"/>
  <c r="F88" i="86"/>
  <c r="AL87" i="86"/>
  <c r="Q87" i="86"/>
  <c r="P87" i="86"/>
  <c r="O87" i="86"/>
  <c r="N87" i="86"/>
  <c r="L87" i="86"/>
  <c r="F87" i="86"/>
  <c r="AL86" i="86"/>
  <c r="Q86" i="86"/>
  <c r="P86" i="86"/>
  <c r="O86" i="86"/>
  <c r="N86" i="86"/>
  <c r="L86" i="86"/>
  <c r="F86" i="86"/>
  <c r="AL85" i="86"/>
  <c r="Q85" i="86"/>
  <c r="P85" i="86"/>
  <c r="O85" i="86"/>
  <c r="N85" i="86"/>
  <c r="L85" i="86"/>
  <c r="F85" i="86"/>
  <c r="AL84" i="86"/>
  <c r="Q84" i="86"/>
  <c r="P84" i="86"/>
  <c r="F84" i="86" s="1"/>
  <c r="O84" i="86"/>
  <c r="N84" i="86"/>
  <c r="L84" i="86"/>
  <c r="AL83" i="86"/>
  <c r="Q83" i="86"/>
  <c r="P83" i="86"/>
  <c r="O83" i="86"/>
  <c r="F83" i="86" s="1"/>
  <c r="N83" i="86"/>
  <c r="L83" i="86"/>
  <c r="AL82" i="86"/>
  <c r="Q82" i="86"/>
  <c r="P82" i="86"/>
  <c r="O82" i="86"/>
  <c r="F82" i="86" s="1"/>
  <c r="N82" i="86"/>
  <c r="L82" i="86"/>
  <c r="AL81" i="86"/>
  <c r="Q81" i="86"/>
  <c r="P81" i="86"/>
  <c r="O81" i="86"/>
  <c r="F81" i="86" s="1"/>
  <c r="N81" i="86"/>
  <c r="L81" i="86"/>
  <c r="AL80" i="86"/>
  <c r="Q80" i="86"/>
  <c r="P80" i="86"/>
  <c r="O80" i="86"/>
  <c r="N80" i="86"/>
  <c r="L80" i="86"/>
  <c r="F80" i="86"/>
  <c r="AL79" i="86"/>
  <c r="Q79" i="86"/>
  <c r="P79" i="86"/>
  <c r="O79" i="86"/>
  <c r="N79" i="86"/>
  <c r="L79" i="86"/>
  <c r="F79" i="86"/>
  <c r="AL78" i="86"/>
  <c r="Q78" i="86"/>
  <c r="P78" i="86"/>
  <c r="O78" i="86"/>
  <c r="N78" i="86"/>
  <c r="L78" i="86"/>
  <c r="F78" i="86"/>
  <c r="AL77" i="86"/>
  <c r="Q77" i="86"/>
  <c r="P77" i="86"/>
  <c r="O77" i="86"/>
  <c r="N77" i="86"/>
  <c r="L77" i="86"/>
  <c r="F77" i="86"/>
  <c r="AL76" i="86"/>
  <c r="Q76" i="86"/>
  <c r="P76" i="86"/>
  <c r="F76" i="86" s="1"/>
  <c r="O76" i="86"/>
  <c r="N76" i="86"/>
  <c r="L76" i="86"/>
  <c r="AL75" i="86"/>
  <c r="Q75" i="86"/>
  <c r="P75" i="86"/>
  <c r="O75" i="86"/>
  <c r="F75" i="86" s="1"/>
  <c r="N75" i="86"/>
  <c r="L75" i="86"/>
  <c r="AL74" i="86"/>
  <c r="Q74" i="86"/>
  <c r="P74" i="86"/>
  <c r="O74" i="86"/>
  <c r="F74" i="86" s="1"/>
  <c r="N74" i="86"/>
  <c r="L74" i="86"/>
  <c r="AL73" i="86"/>
  <c r="Q73" i="86"/>
  <c r="P73" i="86"/>
  <c r="O73" i="86"/>
  <c r="F73" i="86" s="1"/>
  <c r="N73" i="86"/>
  <c r="L73" i="86"/>
  <c r="AL72" i="86"/>
  <c r="Q72" i="86"/>
  <c r="P72" i="86"/>
  <c r="O72" i="86"/>
  <c r="N72" i="86"/>
  <c r="L72" i="86"/>
  <c r="F72" i="86"/>
  <c r="AL71" i="86"/>
  <c r="Q71" i="86"/>
  <c r="P71" i="86"/>
  <c r="O71" i="86"/>
  <c r="N71" i="86"/>
  <c r="L71" i="86"/>
  <c r="F71" i="86"/>
  <c r="AL70" i="86"/>
  <c r="Q70" i="86"/>
  <c r="P70" i="86"/>
  <c r="O70" i="86"/>
  <c r="N70" i="86"/>
  <c r="L70" i="86"/>
  <c r="F70" i="86"/>
  <c r="AL69" i="86"/>
  <c r="Q69" i="86"/>
  <c r="P69" i="86"/>
  <c r="O69" i="86"/>
  <c r="N69" i="86"/>
  <c r="L69" i="86"/>
  <c r="F69" i="86"/>
  <c r="AL68" i="86"/>
  <c r="Q68" i="86"/>
  <c r="P68" i="86"/>
  <c r="F68" i="86" s="1"/>
  <c r="O68" i="86"/>
  <c r="N68" i="86"/>
  <c r="L68" i="86"/>
  <c r="AL67" i="86"/>
  <c r="Q67" i="86"/>
  <c r="P67" i="86"/>
  <c r="O67" i="86"/>
  <c r="F67" i="86" s="1"/>
  <c r="N67" i="86"/>
  <c r="L67" i="86"/>
  <c r="AL66" i="86"/>
  <c r="Q66" i="86"/>
  <c r="P66" i="86"/>
  <c r="O66" i="86"/>
  <c r="F66" i="86" s="1"/>
  <c r="N66" i="86"/>
  <c r="L66" i="86"/>
  <c r="AL65" i="86"/>
  <c r="Q65" i="86"/>
  <c r="P65" i="86"/>
  <c r="O65" i="86"/>
  <c r="F65" i="86" s="1"/>
  <c r="N65" i="86"/>
  <c r="L65" i="86"/>
  <c r="AL64" i="86"/>
  <c r="Q64" i="86"/>
  <c r="P64" i="86"/>
  <c r="O64" i="86"/>
  <c r="N64" i="86"/>
  <c r="L64" i="86"/>
  <c r="F64" i="86"/>
  <c r="AL63" i="86"/>
  <c r="Q63" i="86"/>
  <c r="P63" i="86"/>
  <c r="O63" i="86"/>
  <c r="N63" i="86"/>
  <c r="L63" i="86"/>
  <c r="F63" i="86"/>
  <c r="AL62" i="86"/>
  <c r="Q62" i="86"/>
  <c r="P62" i="86"/>
  <c r="O62" i="86"/>
  <c r="N62" i="86"/>
  <c r="L62" i="86"/>
  <c r="F62" i="86"/>
  <c r="AL61" i="86"/>
  <c r="Q61" i="86"/>
  <c r="P61" i="86"/>
  <c r="O61" i="86"/>
  <c r="N61" i="86"/>
  <c r="L61" i="86"/>
  <c r="F61" i="86"/>
  <c r="AL60" i="86"/>
  <c r="Q60" i="86"/>
  <c r="P60" i="86"/>
  <c r="F60" i="86" s="1"/>
  <c r="O60" i="86"/>
  <c r="N60" i="86"/>
  <c r="L60" i="86"/>
  <c r="AL59" i="86"/>
  <c r="Q59" i="86"/>
  <c r="P59" i="86"/>
  <c r="O59" i="86"/>
  <c r="F59" i="86" s="1"/>
  <c r="N59" i="86"/>
  <c r="L59" i="86"/>
  <c r="AL58" i="86"/>
  <c r="Q58" i="86"/>
  <c r="P58" i="86"/>
  <c r="O58" i="86"/>
  <c r="F58" i="86" s="1"/>
  <c r="N58" i="86"/>
  <c r="L58" i="86"/>
  <c r="AL57" i="86"/>
  <c r="Q57" i="86"/>
  <c r="P57" i="86"/>
  <c r="O57" i="86"/>
  <c r="F57" i="86" s="1"/>
  <c r="N57" i="86"/>
  <c r="L57" i="86"/>
  <c r="AL56" i="86"/>
  <c r="Q56" i="86"/>
  <c r="P56" i="86"/>
  <c r="O56" i="86"/>
  <c r="N56" i="86"/>
  <c r="L56" i="86"/>
  <c r="F56" i="86"/>
  <c r="AL55" i="86"/>
  <c r="Q55" i="86"/>
  <c r="P55" i="86"/>
  <c r="O55" i="86"/>
  <c r="N55" i="86"/>
  <c r="L55" i="86"/>
  <c r="F55" i="86"/>
  <c r="AL54" i="86"/>
  <c r="Q54" i="86"/>
  <c r="P54" i="86"/>
  <c r="O54" i="86"/>
  <c r="N54" i="86"/>
  <c r="L54" i="86"/>
  <c r="F54" i="86"/>
  <c r="AL53" i="86"/>
  <c r="Q53" i="86"/>
  <c r="P53" i="86"/>
  <c r="O53" i="86"/>
  <c r="N53" i="86"/>
  <c r="L53" i="86"/>
  <c r="F53" i="86"/>
  <c r="AL52" i="86"/>
  <c r="Q52" i="86"/>
  <c r="P52" i="86"/>
  <c r="F52" i="86" s="1"/>
  <c r="O52" i="86"/>
  <c r="N52" i="86"/>
  <c r="L52" i="86"/>
  <c r="AL51" i="86"/>
  <c r="Q51" i="86"/>
  <c r="P51" i="86"/>
  <c r="O51" i="86"/>
  <c r="F51" i="86" s="1"/>
  <c r="N51" i="86"/>
  <c r="L51" i="86"/>
  <c r="AL50" i="86"/>
  <c r="Q50" i="86"/>
  <c r="P50" i="86"/>
  <c r="O50" i="86"/>
  <c r="F50" i="86" s="1"/>
  <c r="N50" i="86"/>
  <c r="L50" i="86"/>
  <c r="AL49" i="86"/>
  <c r="Q49" i="86"/>
  <c r="P49" i="86"/>
  <c r="O49" i="86"/>
  <c r="F49" i="86" s="1"/>
  <c r="N49" i="86"/>
  <c r="L49" i="86"/>
  <c r="AL48" i="86"/>
  <c r="Q48" i="86"/>
  <c r="P48" i="86"/>
  <c r="O48" i="86"/>
  <c r="N48" i="86"/>
  <c r="L48" i="86"/>
  <c r="F48" i="86"/>
  <c r="AL47" i="86"/>
  <c r="Q47" i="86"/>
  <c r="P47" i="86"/>
  <c r="O47" i="86"/>
  <c r="F47" i="86" s="1"/>
  <c r="N47" i="86"/>
  <c r="L47" i="86"/>
  <c r="AL46" i="86"/>
  <c r="Q46" i="86"/>
  <c r="P46" i="86"/>
  <c r="O46" i="86"/>
  <c r="N46" i="86"/>
  <c r="L46" i="86"/>
  <c r="F46" i="86"/>
  <c r="AL45" i="86"/>
  <c r="Q45" i="86"/>
  <c r="P45" i="86"/>
  <c r="F45" i="86" s="1"/>
  <c r="O45" i="86"/>
  <c r="N45" i="86"/>
  <c r="L45" i="86"/>
  <c r="AL44" i="86"/>
  <c r="Q44" i="86"/>
  <c r="P44" i="86"/>
  <c r="O44" i="86"/>
  <c r="F44" i="86" s="1"/>
  <c r="N44" i="86"/>
  <c r="L44" i="86"/>
  <c r="AL43" i="86"/>
  <c r="Q43" i="86"/>
  <c r="P43" i="86"/>
  <c r="O43" i="86"/>
  <c r="F43" i="86" s="1"/>
  <c r="N43" i="86"/>
  <c r="L43" i="86"/>
  <c r="AL42" i="86"/>
  <c r="Q42" i="86"/>
  <c r="P42" i="86"/>
  <c r="O42" i="86"/>
  <c r="F42" i="86" s="1"/>
  <c r="N42" i="86"/>
  <c r="L42" i="86"/>
  <c r="AL41" i="86"/>
  <c r="Q41" i="86"/>
  <c r="P41" i="86"/>
  <c r="O41" i="86"/>
  <c r="N41" i="86"/>
  <c r="L41" i="86"/>
  <c r="F41" i="86"/>
  <c r="AL40" i="86"/>
  <c r="Q40" i="86"/>
  <c r="P40" i="86"/>
  <c r="O40" i="86"/>
  <c r="N40" i="86"/>
  <c r="L40" i="86"/>
  <c r="F40" i="86"/>
  <c r="AL39" i="86"/>
  <c r="Q39" i="86"/>
  <c r="P39" i="86"/>
  <c r="F39" i="86" s="1"/>
  <c r="O39" i="86"/>
  <c r="N39" i="86"/>
  <c r="L39" i="86"/>
  <c r="AL38" i="86"/>
  <c r="Q38" i="86"/>
  <c r="P38" i="86"/>
  <c r="F38" i="86" s="1"/>
  <c r="O38" i="86"/>
  <c r="N38" i="86"/>
  <c r="L38" i="86"/>
  <c r="AL37" i="86"/>
  <c r="Q37" i="86"/>
  <c r="P37" i="86"/>
  <c r="O37" i="86"/>
  <c r="N37" i="86"/>
  <c r="L37" i="86"/>
  <c r="AL36" i="86"/>
  <c r="Q36" i="86"/>
  <c r="P36" i="86"/>
  <c r="O36" i="86"/>
  <c r="N36" i="86"/>
  <c r="L36" i="86"/>
  <c r="F36" i="86"/>
  <c r="AL35" i="86"/>
  <c r="Q35" i="86"/>
  <c r="P35" i="86"/>
  <c r="O35" i="86"/>
  <c r="F35" i="86" s="1"/>
  <c r="N35" i="86"/>
  <c r="L35" i="86"/>
  <c r="AL34" i="86"/>
  <c r="Q34" i="86"/>
  <c r="P34" i="86"/>
  <c r="F34" i="86" s="1"/>
  <c r="O34" i="86"/>
  <c r="N34" i="86"/>
  <c r="L34" i="86"/>
  <c r="AL33" i="86"/>
  <c r="Q33" i="86"/>
  <c r="P33" i="86"/>
  <c r="O33" i="86"/>
  <c r="F33" i="86" s="1"/>
  <c r="N33" i="86"/>
  <c r="L33" i="86"/>
  <c r="AL32" i="86"/>
  <c r="Q32" i="86"/>
  <c r="P32" i="86"/>
  <c r="O32" i="86"/>
  <c r="N32" i="86"/>
  <c r="L32" i="86"/>
  <c r="F32" i="86"/>
  <c r="AL31" i="86"/>
  <c r="Q31" i="86"/>
  <c r="P31" i="86"/>
  <c r="O31" i="86"/>
  <c r="F31" i="86" s="1"/>
  <c r="N31" i="86"/>
  <c r="L31" i="86"/>
  <c r="AL30" i="86"/>
  <c r="Q30" i="86"/>
  <c r="P30" i="86"/>
  <c r="O30" i="86"/>
  <c r="N30" i="86"/>
  <c r="L30" i="86"/>
  <c r="F30" i="86"/>
  <c r="AL29" i="86"/>
  <c r="Q29" i="86"/>
  <c r="P29" i="86"/>
  <c r="O29" i="86"/>
  <c r="N29" i="86"/>
  <c r="L29" i="86"/>
  <c r="AL28" i="86"/>
  <c r="Q28" i="86"/>
  <c r="P28" i="86"/>
  <c r="O28" i="86"/>
  <c r="F28" i="86" s="1"/>
  <c r="N28" i="86"/>
  <c r="L28" i="86"/>
  <c r="AL27" i="86"/>
  <c r="Q27" i="86"/>
  <c r="P27" i="86"/>
  <c r="O27" i="86"/>
  <c r="F27" i="86" s="1"/>
  <c r="N27" i="86"/>
  <c r="L27" i="86"/>
  <c r="AL26" i="86"/>
  <c r="Q26" i="86"/>
  <c r="P26" i="86"/>
  <c r="O26" i="86"/>
  <c r="F26" i="86" s="1"/>
  <c r="N26" i="86"/>
  <c r="L26" i="86"/>
  <c r="AL25" i="86"/>
  <c r="Q25" i="86"/>
  <c r="P25" i="86"/>
  <c r="O25" i="86"/>
  <c r="N25" i="86"/>
  <c r="L25" i="86"/>
  <c r="F25" i="86"/>
  <c r="AL24" i="86"/>
  <c r="Q24" i="86"/>
  <c r="P24" i="86"/>
  <c r="O24" i="86"/>
  <c r="N24" i="86"/>
  <c r="L24" i="86"/>
  <c r="AL23" i="86"/>
  <c r="Q23" i="86"/>
  <c r="P23" i="86"/>
  <c r="O23" i="86"/>
  <c r="N23" i="86"/>
  <c r="L23" i="86"/>
  <c r="AL22" i="86"/>
  <c r="Q22" i="86"/>
  <c r="P22" i="86"/>
  <c r="O22" i="86"/>
  <c r="N22" i="86"/>
  <c r="L22" i="86"/>
  <c r="AL21" i="86"/>
  <c r="V21" i="86"/>
  <c r="Q21" i="86"/>
  <c r="P21" i="86"/>
  <c r="O21" i="86"/>
  <c r="F21" i="86" s="1"/>
  <c r="N21" i="86"/>
  <c r="L21" i="86"/>
  <c r="AL20" i="86"/>
  <c r="V20" i="86"/>
  <c r="Q20" i="86"/>
  <c r="P20" i="86"/>
  <c r="O20" i="86"/>
  <c r="N20" i="86"/>
  <c r="L20" i="86"/>
  <c r="F20" i="86"/>
  <c r="AL19" i="86"/>
  <c r="V19" i="86"/>
  <c r="V22" i="86" s="1"/>
  <c r="Q19" i="86"/>
  <c r="P19" i="86"/>
  <c r="O19" i="86"/>
  <c r="F19" i="86" s="1"/>
  <c r="N19" i="86"/>
  <c r="L19" i="86"/>
  <c r="AL18" i="86"/>
  <c r="Q18" i="86"/>
  <c r="P18" i="86"/>
  <c r="O18" i="86"/>
  <c r="N18" i="86"/>
  <c r="L18" i="86"/>
  <c r="AL17" i="86"/>
  <c r="Q17" i="86"/>
  <c r="P17" i="86"/>
  <c r="O17" i="86"/>
  <c r="N17" i="86"/>
  <c r="L17" i="86"/>
  <c r="AL16" i="86"/>
  <c r="Q16" i="86"/>
  <c r="P16" i="86"/>
  <c r="O16" i="86"/>
  <c r="N16" i="86"/>
  <c r="L16" i="86"/>
  <c r="AL15" i="86"/>
  <c r="Q15" i="86"/>
  <c r="P15" i="86"/>
  <c r="O15" i="86"/>
  <c r="F15" i="86" s="1"/>
  <c r="N15" i="86"/>
  <c r="L15" i="86"/>
  <c r="AL14" i="86"/>
  <c r="Q14" i="86"/>
  <c r="P14" i="86"/>
  <c r="O14" i="86"/>
  <c r="N14" i="86"/>
  <c r="L14" i="86"/>
  <c r="AL13" i="86"/>
  <c r="Q13" i="86"/>
  <c r="P13" i="86"/>
  <c r="F13" i="86" s="1"/>
  <c r="O13" i="86"/>
  <c r="N13" i="86"/>
  <c r="L13" i="86"/>
  <c r="AL12" i="86"/>
  <c r="V12" i="86"/>
  <c r="Q12" i="86"/>
  <c r="P12" i="86"/>
  <c r="O12" i="86"/>
  <c r="N12" i="86"/>
  <c r="L12" i="86"/>
  <c r="AL11" i="86"/>
  <c r="Q11" i="86"/>
  <c r="P11" i="86"/>
  <c r="O11" i="86"/>
  <c r="N11" i="86"/>
  <c r="L11" i="86"/>
  <c r="F11" i="86"/>
  <c r="AL10" i="86"/>
  <c r="Q10" i="86"/>
  <c r="P10" i="86"/>
  <c r="O10" i="86"/>
  <c r="N10" i="86"/>
  <c r="L10" i="86"/>
  <c r="F10" i="86"/>
  <c r="AL9" i="86"/>
  <c r="Q9" i="86"/>
  <c r="P9" i="86"/>
  <c r="O9" i="86"/>
  <c r="N9" i="86"/>
  <c r="L9" i="86"/>
  <c r="F9" i="86"/>
  <c r="AL8" i="86"/>
  <c r="Q8" i="86"/>
  <c r="P8" i="86"/>
  <c r="O8" i="86"/>
  <c r="N8" i="86"/>
  <c r="L8" i="86"/>
  <c r="F8" i="86"/>
  <c r="AL7" i="86"/>
  <c r="Q7" i="86"/>
  <c r="P7" i="86"/>
  <c r="F7" i="86" s="1"/>
  <c r="O7" i="86"/>
  <c r="N7" i="86"/>
  <c r="L7" i="86"/>
  <c r="AL6" i="86"/>
  <c r="V6" i="86"/>
  <c r="Q6" i="86"/>
  <c r="P6" i="86"/>
  <c r="F6" i="86" s="1"/>
  <c r="O6" i="86"/>
  <c r="N6" i="86"/>
  <c r="L6" i="86"/>
  <c r="AL5" i="86"/>
  <c r="Q5" i="86"/>
  <c r="P5" i="86"/>
  <c r="O5" i="86"/>
  <c r="F5" i="86" s="1"/>
  <c r="N5" i="86"/>
  <c r="L5" i="86"/>
  <c r="AL4" i="86"/>
  <c r="Q4" i="86"/>
  <c r="P4" i="86"/>
  <c r="O4" i="86"/>
  <c r="F4" i="86" s="1"/>
  <c r="N4" i="86"/>
  <c r="L4" i="86"/>
  <c r="AL3" i="86"/>
  <c r="Q3" i="86"/>
  <c r="P3" i="86"/>
  <c r="O3" i="86"/>
  <c r="F3" i="86" s="1"/>
  <c r="N3" i="86"/>
  <c r="L3" i="86"/>
  <c r="Q2" i="86"/>
  <c r="P2" i="86"/>
  <c r="O2" i="86"/>
  <c r="N2" i="86"/>
  <c r="V4" i="86" s="1"/>
  <c r="L11" i="78" s="1"/>
  <c r="L2" i="86"/>
  <c r="F2" i="86"/>
  <c r="AL581" i="87"/>
  <c r="AL580" i="87"/>
  <c r="AL579" i="87"/>
  <c r="AL578" i="87"/>
  <c r="AL577" i="87"/>
  <c r="AL576" i="87"/>
  <c r="AL575" i="87"/>
  <c r="AL574" i="87"/>
  <c r="AL573" i="87"/>
  <c r="AL572" i="87"/>
  <c r="AL571" i="87"/>
  <c r="AL570" i="87"/>
  <c r="AL569" i="87"/>
  <c r="AL568" i="87"/>
  <c r="AL567" i="87"/>
  <c r="AL566" i="87"/>
  <c r="AL565" i="87"/>
  <c r="AL564" i="87"/>
  <c r="AL563" i="87"/>
  <c r="AL562" i="87"/>
  <c r="AL561" i="87"/>
  <c r="AL560" i="87"/>
  <c r="AL559" i="87"/>
  <c r="AL558" i="87"/>
  <c r="AL557" i="87"/>
  <c r="AL556" i="87"/>
  <c r="AL555" i="87"/>
  <c r="AL554" i="87"/>
  <c r="AL553" i="87"/>
  <c r="AL552" i="87"/>
  <c r="AL551" i="87"/>
  <c r="AL550" i="87"/>
  <c r="AL549" i="87"/>
  <c r="AL548" i="87"/>
  <c r="AL547" i="87"/>
  <c r="AL546" i="87"/>
  <c r="AL545" i="87"/>
  <c r="AL544" i="87"/>
  <c r="AL543" i="87"/>
  <c r="AL542" i="87"/>
  <c r="AL541" i="87"/>
  <c r="AL540" i="87"/>
  <c r="AL539" i="87"/>
  <c r="AL538" i="87"/>
  <c r="AL537" i="87"/>
  <c r="AL536" i="87"/>
  <c r="AL535" i="87"/>
  <c r="AL534" i="87"/>
  <c r="AL533" i="87"/>
  <c r="AL532" i="87"/>
  <c r="AL531" i="87"/>
  <c r="AL530" i="87"/>
  <c r="AL529" i="87"/>
  <c r="AL528" i="87"/>
  <c r="AL527" i="87"/>
  <c r="AL526" i="87"/>
  <c r="AL525" i="87"/>
  <c r="AL524" i="87"/>
  <c r="AL523" i="87"/>
  <c r="AL522" i="87"/>
  <c r="AL521" i="87"/>
  <c r="AL520" i="87"/>
  <c r="AL519" i="87"/>
  <c r="AL518" i="87"/>
  <c r="AL517" i="87"/>
  <c r="AL516" i="87"/>
  <c r="AL515" i="87"/>
  <c r="AL514" i="87"/>
  <c r="AL513" i="87"/>
  <c r="AL512" i="87"/>
  <c r="AL511" i="87"/>
  <c r="AL510" i="87"/>
  <c r="AL509" i="87"/>
  <c r="AL508" i="87"/>
  <c r="AL507" i="87"/>
  <c r="AL506" i="87"/>
  <c r="AL505" i="87"/>
  <c r="AL504" i="87"/>
  <c r="AL503" i="87"/>
  <c r="AL502" i="87"/>
  <c r="AL501" i="87"/>
  <c r="AL500" i="87"/>
  <c r="AL499" i="87"/>
  <c r="AL498" i="87"/>
  <c r="AL497" i="87"/>
  <c r="AL496" i="87"/>
  <c r="AL495" i="87"/>
  <c r="AL494" i="87"/>
  <c r="AL493" i="87"/>
  <c r="AL492" i="87"/>
  <c r="AL491" i="87"/>
  <c r="AL490" i="87"/>
  <c r="AL489" i="87"/>
  <c r="AL488" i="87"/>
  <c r="AL487" i="87"/>
  <c r="AL486" i="87"/>
  <c r="AL485" i="87"/>
  <c r="AL484" i="87"/>
  <c r="AL483" i="87"/>
  <c r="AL482" i="87"/>
  <c r="AL481" i="87"/>
  <c r="AL480" i="87"/>
  <c r="AL479" i="87"/>
  <c r="AL478" i="87"/>
  <c r="AL477" i="87"/>
  <c r="AL476" i="87"/>
  <c r="AL475" i="87"/>
  <c r="AL474" i="87"/>
  <c r="AL473" i="87"/>
  <c r="AL472" i="87"/>
  <c r="AL471" i="87"/>
  <c r="AL470" i="87"/>
  <c r="AL469" i="87"/>
  <c r="AL468" i="87"/>
  <c r="AL467" i="87"/>
  <c r="AL466" i="87"/>
  <c r="AL465" i="87"/>
  <c r="AL464" i="87"/>
  <c r="AL463" i="87"/>
  <c r="AL462" i="87"/>
  <c r="AL461" i="87"/>
  <c r="AL460" i="87"/>
  <c r="AL459" i="87"/>
  <c r="AL458" i="87"/>
  <c r="AL457" i="87"/>
  <c r="AL456" i="87"/>
  <c r="AL455" i="87"/>
  <c r="AL454" i="87"/>
  <c r="AL453" i="87"/>
  <c r="AL452" i="87"/>
  <c r="AL451" i="87"/>
  <c r="AL450" i="87"/>
  <c r="AL449" i="87"/>
  <c r="AL448" i="87"/>
  <c r="AL447" i="87"/>
  <c r="AL446" i="87"/>
  <c r="AL445" i="87"/>
  <c r="AL444" i="87"/>
  <c r="AL443" i="87"/>
  <c r="AL442" i="87"/>
  <c r="AL441" i="87"/>
  <c r="AL440" i="87"/>
  <c r="AL439" i="87"/>
  <c r="AL438" i="87"/>
  <c r="AL437" i="87"/>
  <c r="AL436" i="87"/>
  <c r="AL435" i="87"/>
  <c r="AL434" i="87"/>
  <c r="AL433" i="87"/>
  <c r="AL432" i="87"/>
  <c r="AL431" i="87"/>
  <c r="AL430" i="87"/>
  <c r="AL429" i="87"/>
  <c r="AL428" i="87"/>
  <c r="AL427" i="87"/>
  <c r="AL426" i="87"/>
  <c r="AL425" i="87"/>
  <c r="AL424" i="87"/>
  <c r="AL423" i="87"/>
  <c r="AL422" i="87"/>
  <c r="AL421" i="87"/>
  <c r="AL420" i="87"/>
  <c r="AL419" i="87"/>
  <c r="AL418" i="87"/>
  <c r="AL417" i="87"/>
  <c r="AL416" i="87"/>
  <c r="AL415" i="87"/>
  <c r="AL414" i="87"/>
  <c r="AL413" i="87"/>
  <c r="AL412" i="87"/>
  <c r="AL411" i="87"/>
  <c r="AL410" i="87"/>
  <c r="AL409" i="87"/>
  <c r="AL408" i="87"/>
  <c r="AL407" i="87"/>
  <c r="AL406" i="87"/>
  <c r="AL405" i="87"/>
  <c r="AL404" i="87"/>
  <c r="AL403" i="87"/>
  <c r="AL402" i="87"/>
  <c r="AL401" i="87"/>
  <c r="AL400" i="87"/>
  <c r="AL399" i="87"/>
  <c r="AL398" i="87"/>
  <c r="AL397" i="87"/>
  <c r="AL396" i="87"/>
  <c r="AL395" i="87"/>
  <c r="AL394" i="87"/>
  <c r="AL393" i="87"/>
  <c r="AL392" i="87"/>
  <c r="AL391" i="87"/>
  <c r="AL390" i="87"/>
  <c r="AL389" i="87"/>
  <c r="AL388" i="87"/>
  <c r="AL387" i="87"/>
  <c r="AL386" i="87"/>
  <c r="AL385" i="87"/>
  <c r="AL384" i="87"/>
  <c r="AL383" i="87"/>
  <c r="AL382" i="87"/>
  <c r="AL381" i="87"/>
  <c r="AL380" i="87"/>
  <c r="AL379" i="87"/>
  <c r="AL378" i="87"/>
  <c r="AL377" i="87"/>
  <c r="AL376" i="87"/>
  <c r="AL375" i="87"/>
  <c r="AL374" i="87"/>
  <c r="AL373" i="87"/>
  <c r="AL372" i="87"/>
  <c r="AL371" i="87"/>
  <c r="AL370" i="87"/>
  <c r="AL369" i="87"/>
  <c r="AL368" i="87"/>
  <c r="AL367" i="87"/>
  <c r="AL366" i="87"/>
  <c r="AL365" i="87"/>
  <c r="AL364" i="87"/>
  <c r="AL363" i="87"/>
  <c r="AL362" i="87"/>
  <c r="AL361" i="87"/>
  <c r="AL360" i="87"/>
  <c r="AL359" i="87"/>
  <c r="AL358" i="87"/>
  <c r="AL357" i="87"/>
  <c r="AL356" i="87"/>
  <c r="AL355" i="87"/>
  <c r="AL354" i="87"/>
  <c r="AL353" i="87"/>
  <c r="AL352" i="87"/>
  <c r="AL351" i="87"/>
  <c r="AL350" i="87"/>
  <c r="AL349" i="87"/>
  <c r="AL348" i="87"/>
  <c r="AL347" i="87"/>
  <c r="AL346" i="87"/>
  <c r="AL345" i="87"/>
  <c r="AL344" i="87"/>
  <c r="AL343" i="87"/>
  <c r="AL342" i="87"/>
  <c r="AL341" i="87"/>
  <c r="AL340" i="87"/>
  <c r="AL339" i="87"/>
  <c r="AL338" i="87"/>
  <c r="AL337" i="87"/>
  <c r="AL336" i="87"/>
  <c r="AL335" i="87"/>
  <c r="AL334" i="87"/>
  <c r="AL333" i="87"/>
  <c r="AL332" i="87"/>
  <c r="AL331" i="87"/>
  <c r="AL330" i="87"/>
  <c r="AL329" i="87"/>
  <c r="AL328" i="87"/>
  <c r="AL327" i="87"/>
  <c r="AL326" i="87"/>
  <c r="AL325" i="87"/>
  <c r="AL324" i="87"/>
  <c r="AL323" i="87"/>
  <c r="AL322" i="87"/>
  <c r="AL321" i="87"/>
  <c r="AL320" i="87"/>
  <c r="AL319" i="87"/>
  <c r="AL318" i="87"/>
  <c r="AL317" i="87"/>
  <c r="AL316" i="87"/>
  <c r="AL315" i="87"/>
  <c r="AL314" i="87"/>
  <c r="AL313" i="87"/>
  <c r="AL312" i="87"/>
  <c r="AL311" i="87"/>
  <c r="AL310" i="87"/>
  <c r="AL309" i="87"/>
  <c r="AL308" i="87"/>
  <c r="AL307" i="87"/>
  <c r="AL306" i="87"/>
  <c r="AL305" i="87"/>
  <c r="AL304" i="87"/>
  <c r="AL303" i="87"/>
  <c r="AL302" i="87"/>
  <c r="AL301" i="87"/>
  <c r="AL300" i="87"/>
  <c r="AL299" i="87"/>
  <c r="AL298" i="87"/>
  <c r="AL297" i="87"/>
  <c r="AL296" i="87"/>
  <c r="AL295" i="87"/>
  <c r="AL294" i="87"/>
  <c r="AL293" i="87"/>
  <c r="AL292" i="87"/>
  <c r="AL291" i="87"/>
  <c r="AL290" i="87"/>
  <c r="AL289" i="87"/>
  <c r="AL288" i="87"/>
  <c r="AL287" i="87"/>
  <c r="AL286" i="87"/>
  <c r="AL285" i="87"/>
  <c r="AL284" i="87"/>
  <c r="AL283" i="87"/>
  <c r="AL282" i="87"/>
  <c r="AL281" i="87"/>
  <c r="AL280" i="87"/>
  <c r="AL279" i="87"/>
  <c r="AL278" i="87"/>
  <c r="AL277" i="87"/>
  <c r="AL276" i="87"/>
  <c r="AL275" i="87"/>
  <c r="AL274" i="87"/>
  <c r="AL273" i="87"/>
  <c r="AL272" i="87"/>
  <c r="AL271" i="87"/>
  <c r="AL270" i="87"/>
  <c r="AL269" i="87"/>
  <c r="AL268" i="87"/>
  <c r="AL267" i="87"/>
  <c r="AL266" i="87"/>
  <c r="AL265" i="87"/>
  <c r="AL264" i="87"/>
  <c r="AL263" i="87"/>
  <c r="AL262" i="87"/>
  <c r="AL261" i="87"/>
  <c r="AL260" i="87"/>
  <c r="AL259" i="87"/>
  <c r="AL258" i="87"/>
  <c r="AL257" i="87"/>
  <c r="AL256" i="87"/>
  <c r="AL255" i="87"/>
  <c r="AL254" i="87"/>
  <c r="AL253" i="87"/>
  <c r="AL252" i="87"/>
  <c r="AL251" i="87"/>
  <c r="AL250" i="87"/>
  <c r="AL249" i="87"/>
  <c r="AL248" i="87"/>
  <c r="AL247" i="87"/>
  <c r="AL246" i="87"/>
  <c r="AL245" i="87"/>
  <c r="AL244" i="87"/>
  <c r="AL243" i="87"/>
  <c r="AL242" i="87"/>
  <c r="AL241" i="87"/>
  <c r="AL240" i="87"/>
  <c r="AL239" i="87"/>
  <c r="AL238" i="87"/>
  <c r="AL237" i="87"/>
  <c r="AL236" i="87"/>
  <c r="AL235" i="87"/>
  <c r="AL234" i="87"/>
  <c r="AL233" i="87"/>
  <c r="AL232" i="87"/>
  <c r="AL231" i="87"/>
  <c r="AL230" i="87"/>
  <c r="AL229" i="87"/>
  <c r="AL228" i="87"/>
  <c r="AL227" i="87"/>
  <c r="AL226" i="87"/>
  <c r="AL225" i="87"/>
  <c r="AL224" i="87"/>
  <c r="AL223" i="87"/>
  <c r="AL222" i="87"/>
  <c r="AL221" i="87"/>
  <c r="AL220" i="87"/>
  <c r="AL219" i="87"/>
  <c r="AL218" i="87"/>
  <c r="AL217" i="87"/>
  <c r="AL216" i="87"/>
  <c r="AL215" i="87"/>
  <c r="AL214" i="87"/>
  <c r="AL213" i="87"/>
  <c r="AL212" i="87"/>
  <c r="AL211" i="87"/>
  <c r="AL210" i="87"/>
  <c r="AL209" i="87"/>
  <c r="AL208" i="87"/>
  <c r="AL207" i="87"/>
  <c r="AL206" i="87"/>
  <c r="AL205" i="87"/>
  <c r="AL204" i="87"/>
  <c r="AL203" i="87"/>
  <c r="AL202" i="87"/>
  <c r="AL201" i="87"/>
  <c r="AL200" i="87"/>
  <c r="AL199" i="87"/>
  <c r="AL198" i="87"/>
  <c r="AL197" i="87"/>
  <c r="AL196" i="87"/>
  <c r="AL195" i="87"/>
  <c r="AL194" i="87"/>
  <c r="AL193" i="87"/>
  <c r="AL192" i="87"/>
  <c r="AL191" i="87"/>
  <c r="AL190" i="87"/>
  <c r="AL189" i="87"/>
  <c r="AL188" i="87"/>
  <c r="AL187" i="87"/>
  <c r="AL186" i="87"/>
  <c r="AL185" i="87"/>
  <c r="AL184" i="87"/>
  <c r="AL183" i="87"/>
  <c r="AL182" i="87"/>
  <c r="AL181" i="87"/>
  <c r="AL180" i="87"/>
  <c r="AL179" i="87"/>
  <c r="AL178" i="87"/>
  <c r="AL177" i="87"/>
  <c r="AL176" i="87"/>
  <c r="AL175" i="87"/>
  <c r="AL174" i="87"/>
  <c r="AL173" i="87"/>
  <c r="AL172" i="87"/>
  <c r="AL171" i="87"/>
  <c r="AL170" i="87"/>
  <c r="AL169" i="87"/>
  <c r="AL168" i="87"/>
  <c r="AL167" i="87"/>
  <c r="AL166" i="87"/>
  <c r="AL165" i="87"/>
  <c r="AL164" i="87"/>
  <c r="AL163" i="87"/>
  <c r="AL162" i="87"/>
  <c r="AL161" i="87"/>
  <c r="AL160" i="87"/>
  <c r="AL159" i="87"/>
  <c r="AL158" i="87"/>
  <c r="AL157" i="87"/>
  <c r="AL156" i="87"/>
  <c r="AL155" i="87"/>
  <c r="AL154" i="87"/>
  <c r="AL153" i="87"/>
  <c r="AL152" i="87"/>
  <c r="AL151" i="87"/>
  <c r="AL150" i="87"/>
  <c r="AL149" i="87"/>
  <c r="AL148" i="87"/>
  <c r="AL147" i="87"/>
  <c r="AL146" i="87"/>
  <c r="AL145" i="87"/>
  <c r="AL144" i="87"/>
  <c r="AL143" i="87"/>
  <c r="Q143" i="87"/>
  <c r="P143" i="87"/>
  <c r="F143" i="87" s="1"/>
  <c r="O143" i="87"/>
  <c r="N143" i="87"/>
  <c r="L143" i="87"/>
  <c r="AL142" i="87"/>
  <c r="Q142" i="87"/>
  <c r="P142" i="87"/>
  <c r="F142" i="87" s="1"/>
  <c r="O142" i="87"/>
  <c r="N142" i="87"/>
  <c r="L142" i="87"/>
  <c r="AL141" i="87"/>
  <c r="Q141" i="87"/>
  <c r="P141" i="87"/>
  <c r="O141" i="87"/>
  <c r="N141" i="87"/>
  <c r="L141" i="87"/>
  <c r="AL140" i="87"/>
  <c r="Q140" i="87"/>
  <c r="P140" i="87"/>
  <c r="O140" i="87"/>
  <c r="N140" i="87"/>
  <c r="L140" i="87"/>
  <c r="AL139" i="87"/>
  <c r="Q139" i="87"/>
  <c r="P139" i="87"/>
  <c r="F139" i="87" s="1"/>
  <c r="O139" i="87"/>
  <c r="N139" i="87"/>
  <c r="L139" i="87"/>
  <c r="AL138" i="87"/>
  <c r="Q138" i="87"/>
  <c r="P138" i="87"/>
  <c r="F138" i="87" s="1"/>
  <c r="O138" i="87"/>
  <c r="N138" i="87"/>
  <c r="L138" i="87"/>
  <c r="AL137" i="87"/>
  <c r="Q137" i="87"/>
  <c r="P137" i="87"/>
  <c r="O137" i="87"/>
  <c r="N137" i="87"/>
  <c r="L137" i="87"/>
  <c r="AL136" i="87"/>
  <c r="Q136" i="87"/>
  <c r="P136" i="87"/>
  <c r="O136" i="87"/>
  <c r="N136" i="87"/>
  <c r="L136" i="87"/>
  <c r="AL135" i="87"/>
  <c r="Q135" i="87"/>
  <c r="P135" i="87"/>
  <c r="F135" i="87" s="1"/>
  <c r="O135" i="87"/>
  <c r="N135" i="87"/>
  <c r="L135" i="87"/>
  <c r="AL134" i="87"/>
  <c r="Q134" i="87"/>
  <c r="P134" i="87"/>
  <c r="F134" i="87" s="1"/>
  <c r="O134" i="87"/>
  <c r="N134" i="87"/>
  <c r="L134" i="87"/>
  <c r="AL133" i="87"/>
  <c r="Q133" i="87"/>
  <c r="P133" i="87"/>
  <c r="O133" i="87"/>
  <c r="N133" i="87"/>
  <c r="L133" i="87"/>
  <c r="AL132" i="87"/>
  <c r="Q132" i="87"/>
  <c r="P132" i="87"/>
  <c r="O132" i="87"/>
  <c r="N132" i="87"/>
  <c r="L132" i="87"/>
  <c r="AL131" i="87"/>
  <c r="Q131" i="87"/>
  <c r="P131" i="87"/>
  <c r="F131" i="87" s="1"/>
  <c r="O131" i="87"/>
  <c r="N131" i="87"/>
  <c r="L131" i="87"/>
  <c r="AL130" i="87"/>
  <c r="Q130" i="87"/>
  <c r="P130" i="87"/>
  <c r="F130" i="87" s="1"/>
  <c r="O130" i="87"/>
  <c r="N130" i="87"/>
  <c r="L130" i="87"/>
  <c r="AL129" i="87"/>
  <c r="Q129" i="87"/>
  <c r="P129" i="87"/>
  <c r="O129" i="87"/>
  <c r="N129" i="87"/>
  <c r="L129" i="87"/>
  <c r="AL128" i="87"/>
  <c r="Q128" i="87"/>
  <c r="P128" i="87"/>
  <c r="O128" i="87"/>
  <c r="F128" i="87" s="1"/>
  <c r="N128" i="87"/>
  <c r="L128" i="87"/>
  <c r="AL127" i="87"/>
  <c r="Q127" i="87"/>
  <c r="P127" i="87"/>
  <c r="O127" i="87"/>
  <c r="N127" i="87"/>
  <c r="L127" i="87"/>
  <c r="AL126" i="87"/>
  <c r="Q126" i="87"/>
  <c r="P126" i="87"/>
  <c r="O126" i="87"/>
  <c r="N126" i="87"/>
  <c r="L126" i="87"/>
  <c r="AL125" i="87"/>
  <c r="Q125" i="87"/>
  <c r="P125" i="87"/>
  <c r="O125" i="87"/>
  <c r="F125" i="87" s="1"/>
  <c r="N125" i="87"/>
  <c r="L125" i="87"/>
  <c r="AL124" i="87"/>
  <c r="Q124" i="87"/>
  <c r="P124" i="87"/>
  <c r="O124" i="87"/>
  <c r="F124" i="87" s="1"/>
  <c r="N124" i="87"/>
  <c r="L124" i="87"/>
  <c r="AL123" i="87"/>
  <c r="Q123" i="87"/>
  <c r="P123" i="87"/>
  <c r="O123" i="87"/>
  <c r="N123" i="87"/>
  <c r="L123" i="87"/>
  <c r="AL122" i="87"/>
  <c r="Q122" i="87"/>
  <c r="P122" i="87"/>
  <c r="O122" i="87"/>
  <c r="N122" i="87"/>
  <c r="L122" i="87"/>
  <c r="AL121" i="87"/>
  <c r="Q121" i="87"/>
  <c r="P121" i="87"/>
  <c r="O121" i="87"/>
  <c r="F121" i="87" s="1"/>
  <c r="N121" i="87"/>
  <c r="L121" i="87"/>
  <c r="AL120" i="87"/>
  <c r="Q120" i="87"/>
  <c r="P120" i="87"/>
  <c r="O120" i="87"/>
  <c r="F120" i="87" s="1"/>
  <c r="N120" i="87"/>
  <c r="L120" i="87"/>
  <c r="AL119" i="87"/>
  <c r="Q119" i="87"/>
  <c r="P119" i="87"/>
  <c r="O119" i="87"/>
  <c r="N119" i="87"/>
  <c r="L119" i="87"/>
  <c r="AL118" i="87"/>
  <c r="Q118" i="87"/>
  <c r="P118" i="87"/>
  <c r="O118" i="87"/>
  <c r="N118" i="87"/>
  <c r="L118" i="87"/>
  <c r="AL117" i="87"/>
  <c r="Q117" i="87"/>
  <c r="P117" i="87"/>
  <c r="O117" i="87"/>
  <c r="F117" i="87" s="1"/>
  <c r="N117" i="87"/>
  <c r="L117" i="87"/>
  <c r="AL116" i="87"/>
  <c r="Q116" i="87"/>
  <c r="P116" i="87"/>
  <c r="O116" i="87"/>
  <c r="N116" i="87"/>
  <c r="L116" i="87"/>
  <c r="AL115" i="87"/>
  <c r="Q115" i="87"/>
  <c r="P115" i="87"/>
  <c r="O115" i="87"/>
  <c r="N115" i="87"/>
  <c r="L115" i="87"/>
  <c r="AL114" i="87"/>
  <c r="Q114" i="87"/>
  <c r="P114" i="87"/>
  <c r="O114" i="87"/>
  <c r="N114" i="87"/>
  <c r="L114" i="87"/>
  <c r="AL113" i="87"/>
  <c r="Q113" i="87"/>
  <c r="P113" i="87"/>
  <c r="O113" i="87"/>
  <c r="F113" i="87" s="1"/>
  <c r="N113" i="87"/>
  <c r="L113" i="87"/>
  <c r="AL112" i="87"/>
  <c r="Q112" i="87"/>
  <c r="P112" i="87"/>
  <c r="O112" i="87"/>
  <c r="F112" i="87" s="1"/>
  <c r="N112" i="87"/>
  <c r="L112" i="87"/>
  <c r="AL111" i="87"/>
  <c r="Q111" i="87"/>
  <c r="P111" i="87"/>
  <c r="O111" i="87"/>
  <c r="N111" i="87"/>
  <c r="L111" i="87"/>
  <c r="AL110" i="87"/>
  <c r="Q110" i="87"/>
  <c r="P110" i="87"/>
  <c r="O110" i="87"/>
  <c r="N110" i="87"/>
  <c r="L110" i="87"/>
  <c r="AL109" i="87"/>
  <c r="Q109" i="87"/>
  <c r="P109" i="87"/>
  <c r="O109" i="87"/>
  <c r="F109" i="87" s="1"/>
  <c r="N109" i="87"/>
  <c r="L109" i="87"/>
  <c r="AL108" i="87"/>
  <c r="Q108" i="87"/>
  <c r="P108" i="87"/>
  <c r="O108" i="87"/>
  <c r="N108" i="87"/>
  <c r="L108" i="87"/>
  <c r="AL107" i="87"/>
  <c r="Q107" i="87"/>
  <c r="P107" i="87"/>
  <c r="O107" i="87"/>
  <c r="N107" i="87"/>
  <c r="L107" i="87"/>
  <c r="AL106" i="87"/>
  <c r="Q106" i="87"/>
  <c r="P106" i="87"/>
  <c r="O106" i="87"/>
  <c r="N106" i="87"/>
  <c r="L106" i="87"/>
  <c r="AL105" i="87"/>
  <c r="Q105" i="87"/>
  <c r="P105" i="87"/>
  <c r="O105" i="87"/>
  <c r="F105" i="87" s="1"/>
  <c r="N105" i="87"/>
  <c r="L105" i="87"/>
  <c r="AL104" i="87"/>
  <c r="Q104" i="87"/>
  <c r="P104" i="87"/>
  <c r="O104" i="87"/>
  <c r="F104" i="87" s="1"/>
  <c r="N104" i="87"/>
  <c r="L104" i="87"/>
  <c r="AL103" i="87"/>
  <c r="Q103" i="87"/>
  <c r="P103" i="87"/>
  <c r="O103" i="87"/>
  <c r="N103" i="87"/>
  <c r="L103" i="87"/>
  <c r="AL102" i="87"/>
  <c r="Q102" i="87"/>
  <c r="P102" i="87"/>
  <c r="O102" i="87"/>
  <c r="N102" i="87"/>
  <c r="L102" i="87"/>
  <c r="AL101" i="87"/>
  <c r="Q101" i="87"/>
  <c r="P101" i="87"/>
  <c r="O101" i="87"/>
  <c r="F101" i="87" s="1"/>
  <c r="N101" i="87"/>
  <c r="L101" i="87"/>
  <c r="AL100" i="87"/>
  <c r="Q100" i="87"/>
  <c r="P100" i="87"/>
  <c r="O100" i="87"/>
  <c r="N100" i="87"/>
  <c r="L100" i="87"/>
  <c r="AL99" i="87"/>
  <c r="Q99" i="87"/>
  <c r="P99" i="87"/>
  <c r="O99" i="87"/>
  <c r="N99" i="87"/>
  <c r="L99" i="87"/>
  <c r="AL98" i="87"/>
  <c r="Q98" i="87"/>
  <c r="P98" i="87"/>
  <c r="O98" i="87"/>
  <c r="N98" i="87"/>
  <c r="L98" i="87"/>
  <c r="AL97" i="87"/>
  <c r="Q97" i="87"/>
  <c r="P97" i="87"/>
  <c r="O97" i="87"/>
  <c r="F97" i="87" s="1"/>
  <c r="N97" i="87"/>
  <c r="L97" i="87"/>
  <c r="AL96" i="87"/>
  <c r="Q96" i="87"/>
  <c r="P96" i="87"/>
  <c r="O96" i="87"/>
  <c r="F96" i="87" s="1"/>
  <c r="N96" i="87"/>
  <c r="L96" i="87"/>
  <c r="AL95" i="87"/>
  <c r="Q95" i="87"/>
  <c r="P95" i="87"/>
  <c r="O95" i="87"/>
  <c r="N95" i="87"/>
  <c r="L95" i="87"/>
  <c r="AL94" i="87"/>
  <c r="Q94" i="87"/>
  <c r="P94" i="87"/>
  <c r="O94" i="87"/>
  <c r="N94" i="87"/>
  <c r="L94" i="87"/>
  <c r="AL93" i="87"/>
  <c r="Q93" i="87"/>
  <c r="P93" i="87"/>
  <c r="O93" i="87"/>
  <c r="F93" i="87" s="1"/>
  <c r="N93" i="87"/>
  <c r="L93" i="87"/>
  <c r="AL92" i="87"/>
  <c r="Q92" i="87"/>
  <c r="P92" i="87"/>
  <c r="O92" i="87"/>
  <c r="N92" i="87"/>
  <c r="L92" i="87"/>
  <c r="AL91" i="87"/>
  <c r="Q91" i="87"/>
  <c r="P91" i="87"/>
  <c r="O91" i="87"/>
  <c r="N91" i="87"/>
  <c r="L91" i="87"/>
  <c r="AL90" i="87"/>
  <c r="Q90" i="87"/>
  <c r="P90" i="87"/>
  <c r="O90" i="87"/>
  <c r="N90" i="87"/>
  <c r="L90" i="87"/>
  <c r="AL89" i="87"/>
  <c r="Q89" i="87"/>
  <c r="P89" i="87"/>
  <c r="O89" i="87"/>
  <c r="F89" i="87" s="1"/>
  <c r="N89" i="87"/>
  <c r="L89" i="87"/>
  <c r="AL88" i="87"/>
  <c r="Q88" i="87"/>
  <c r="P88" i="87"/>
  <c r="O88" i="87"/>
  <c r="F88" i="87" s="1"/>
  <c r="N88" i="87"/>
  <c r="L88" i="87"/>
  <c r="AL87" i="87"/>
  <c r="Q87" i="87"/>
  <c r="P87" i="87"/>
  <c r="O87" i="87"/>
  <c r="N87" i="87"/>
  <c r="L87" i="87"/>
  <c r="AL86" i="87"/>
  <c r="Q86" i="87"/>
  <c r="P86" i="87"/>
  <c r="O86" i="87"/>
  <c r="N86" i="87"/>
  <c r="L86" i="87"/>
  <c r="AL85" i="87"/>
  <c r="Q85" i="87"/>
  <c r="P85" i="87"/>
  <c r="O85" i="87"/>
  <c r="F85" i="87" s="1"/>
  <c r="N85" i="87"/>
  <c r="L85" i="87"/>
  <c r="AL84" i="87"/>
  <c r="Q84" i="87"/>
  <c r="P84" i="87"/>
  <c r="O84" i="87"/>
  <c r="N84" i="87"/>
  <c r="L84" i="87"/>
  <c r="AL83" i="87"/>
  <c r="Q83" i="87"/>
  <c r="P83" i="87"/>
  <c r="O83" i="87"/>
  <c r="N83" i="87"/>
  <c r="L83" i="87"/>
  <c r="AL82" i="87"/>
  <c r="Q82" i="87"/>
  <c r="P82" i="87"/>
  <c r="O82" i="87"/>
  <c r="N82" i="87"/>
  <c r="L82" i="87"/>
  <c r="AL81" i="87"/>
  <c r="Q81" i="87"/>
  <c r="P81" i="87"/>
  <c r="O81" i="87"/>
  <c r="F81" i="87" s="1"/>
  <c r="N81" i="87"/>
  <c r="L81" i="87"/>
  <c r="AL80" i="87"/>
  <c r="Q80" i="87"/>
  <c r="P80" i="87"/>
  <c r="O80" i="87"/>
  <c r="F80" i="87" s="1"/>
  <c r="N80" i="87"/>
  <c r="L80" i="87"/>
  <c r="AL79" i="87"/>
  <c r="Q79" i="87"/>
  <c r="P79" i="87"/>
  <c r="O79" i="87"/>
  <c r="N79" i="87"/>
  <c r="L79" i="87"/>
  <c r="AL78" i="87"/>
  <c r="Q78" i="87"/>
  <c r="P78" i="87"/>
  <c r="O78" i="87"/>
  <c r="N78" i="87"/>
  <c r="L78" i="87"/>
  <c r="AL77" i="87"/>
  <c r="Q77" i="87"/>
  <c r="P77" i="87"/>
  <c r="O77" i="87"/>
  <c r="F77" i="87" s="1"/>
  <c r="N77" i="87"/>
  <c r="L77" i="87"/>
  <c r="AL76" i="87"/>
  <c r="Q76" i="87"/>
  <c r="P76" i="87"/>
  <c r="O76" i="87"/>
  <c r="N76" i="87"/>
  <c r="L76" i="87"/>
  <c r="AL75" i="87"/>
  <c r="Q75" i="87"/>
  <c r="P75" i="87"/>
  <c r="O75" i="87"/>
  <c r="N75" i="87"/>
  <c r="L75" i="87"/>
  <c r="AL74" i="87"/>
  <c r="Q74" i="87"/>
  <c r="P74" i="87"/>
  <c r="O74" i="87"/>
  <c r="N74" i="87"/>
  <c r="L74" i="87"/>
  <c r="AL73" i="87"/>
  <c r="Q73" i="87"/>
  <c r="P73" i="87"/>
  <c r="O73" i="87"/>
  <c r="F73" i="87" s="1"/>
  <c r="N73" i="87"/>
  <c r="L73" i="87"/>
  <c r="AL72" i="87"/>
  <c r="Q72" i="87"/>
  <c r="P72" i="87"/>
  <c r="O72" i="87"/>
  <c r="F72" i="87" s="1"/>
  <c r="N72" i="87"/>
  <c r="L72" i="87"/>
  <c r="AL71" i="87"/>
  <c r="Q71" i="87"/>
  <c r="P71" i="87"/>
  <c r="O71" i="87"/>
  <c r="N71" i="87"/>
  <c r="L71" i="87"/>
  <c r="AL70" i="87"/>
  <c r="Q70" i="87"/>
  <c r="P70" i="87"/>
  <c r="O70" i="87"/>
  <c r="N70" i="87"/>
  <c r="L70" i="87"/>
  <c r="AL69" i="87"/>
  <c r="Q69" i="87"/>
  <c r="P69" i="87"/>
  <c r="O69" i="87"/>
  <c r="F69" i="87" s="1"/>
  <c r="N69" i="87"/>
  <c r="L69" i="87"/>
  <c r="AL68" i="87"/>
  <c r="Q68" i="87"/>
  <c r="P68" i="87"/>
  <c r="O68" i="87"/>
  <c r="N68" i="87"/>
  <c r="L68" i="87"/>
  <c r="AL67" i="87"/>
  <c r="Q67" i="87"/>
  <c r="P67" i="87"/>
  <c r="O67" i="87"/>
  <c r="N67" i="87"/>
  <c r="L67" i="87"/>
  <c r="AL66" i="87"/>
  <c r="Q66" i="87"/>
  <c r="P66" i="87"/>
  <c r="O66" i="87"/>
  <c r="N66" i="87"/>
  <c r="L66" i="87"/>
  <c r="AL65" i="87"/>
  <c r="Q65" i="87"/>
  <c r="P65" i="87"/>
  <c r="O65" i="87"/>
  <c r="F65" i="87" s="1"/>
  <c r="N65" i="87"/>
  <c r="L65" i="87"/>
  <c r="AL64" i="87"/>
  <c r="Q64" i="87"/>
  <c r="P64" i="87"/>
  <c r="O64" i="87"/>
  <c r="F64" i="87" s="1"/>
  <c r="N64" i="87"/>
  <c r="L64" i="87"/>
  <c r="AL63" i="87"/>
  <c r="Q63" i="87"/>
  <c r="P63" i="87"/>
  <c r="O63" i="87"/>
  <c r="N63" i="87"/>
  <c r="L63" i="87"/>
  <c r="AL62" i="87"/>
  <c r="Q62" i="87"/>
  <c r="P62" i="87"/>
  <c r="O62" i="87"/>
  <c r="N62" i="87"/>
  <c r="L62" i="87"/>
  <c r="AL61" i="87"/>
  <c r="Q61" i="87"/>
  <c r="P61" i="87"/>
  <c r="O61" i="87"/>
  <c r="F61" i="87" s="1"/>
  <c r="N61" i="87"/>
  <c r="L61" i="87"/>
  <c r="AL60" i="87"/>
  <c r="Q60" i="87"/>
  <c r="P60" i="87"/>
  <c r="O60" i="87"/>
  <c r="N60" i="87"/>
  <c r="L60" i="87"/>
  <c r="AL59" i="87"/>
  <c r="Q59" i="87"/>
  <c r="P59" i="87"/>
  <c r="O59" i="87"/>
  <c r="N59" i="87"/>
  <c r="L59" i="87"/>
  <c r="AL58" i="87"/>
  <c r="Q58" i="87"/>
  <c r="P58" i="87"/>
  <c r="F58" i="87" s="1"/>
  <c r="O58" i="87"/>
  <c r="N58" i="87"/>
  <c r="L58" i="87"/>
  <c r="AL57" i="87"/>
  <c r="Q57" i="87"/>
  <c r="P57" i="87"/>
  <c r="O57" i="87"/>
  <c r="N57" i="87"/>
  <c r="L57" i="87"/>
  <c r="AL56" i="87"/>
  <c r="Q56" i="87"/>
  <c r="P56" i="87"/>
  <c r="O56" i="87"/>
  <c r="N56" i="87"/>
  <c r="L56" i="87"/>
  <c r="AL55" i="87"/>
  <c r="Q55" i="87"/>
  <c r="P55" i="87"/>
  <c r="F55" i="87" s="1"/>
  <c r="O55" i="87"/>
  <c r="N55" i="87"/>
  <c r="L55" i="87"/>
  <c r="AL54" i="87"/>
  <c r="Q54" i="87"/>
  <c r="P54" i="87"/>
  <c r="F54" i="87" s="1"/>
  <c r="O54" i="87"/>
  <c r="N54" i="87"/>
  <c r="L54" i="87"/>
  <c r="AL53" i="87"/>
  <c r="Q53" i="87"/>
  <c r="P53" i="87"/>
  <c r="O53" i="87"/>
  <c r="N53" i="87"/>
  <c r="L53" i="87"/>
  <c r="AL52" i="87"/>
  <c r="Q52" i="87"/>
  <c r="P52" i="87"/>
  <c r="O52" i="87"/>
  <c r="N52" i="87"/>
  <c r="L52" i="87"/>
  <c r="AL51" i="87"/>
  <c r="Q51" i="87"/>
  <c r="P51" i="87"/>
  <c r="F51" i="87" s="1"/>
  <c r="O51" i="87"/>
  <c r="N51" i="87"/>
  <c r="L51" i="87"/>
  <c r="AL50" i="87"/>
  <c r="Q50" i="87"/>
  <c r="P50" i="87"/>
  <c r="F50" i="87" s="1"/>
  <c r="O50" i="87"/>
  <c r="N50" i="87"/>
  <c r="L50" i="87"/>
  <c r="AL49" i="87"/>
  <c r="Q49" i="87"/>
  <c r="P49" i="87"/>
  <c r="O49" i="87"/>
  <c r="N49" i="87"/>
  <c r="L49" i="87"/>
  <c r="AL48" i="87"/>
  <c r="Q48" i="87"/>
  <c r="P48" i="87"/>
  <c r="O48" i="87"/>
  <c r="N48" i="87"/>
  <c r="L48" i="87"/>
  <c r="AL47" i="87"/>
  <c r="Q47" i="87"/>
  <c r="P47" i="87"/>
  <c r="O47" i="87"/>
  <c r="N47" i="87"/>
  <c r="L47" i="87"/>
  <c r="AL46" i="87"/>
  <c r="Q46" i="87"/>
  <c r="P46" i="87"/>
  <c r="O46" i="87"/>
  <c r="N46" i="87"/>
  <c r="L46" i="87"/>
  <c r="AL45" i="87"/>
  <c r="Q45" i="87"/>
  <c r="P45" i="87"/>
  <c r="O45" i="87"/>
  <c r="F45" i="87" s="1"/>
  <c r="N45" i="87"/>
  <c r="L45" i="87"/>
  <c r="AL44" i="87"/>
  <c r="Q44" i="87"/>
  <c r="P44" i="87"/>
  <c r="O44" i="87"/>
  <c r="F44" i="87" s="1"/>
  <c r="N44" i="87"/>
  <c r="L44" i="87"/>
  <c r="AL43" i="87"/>
  <c r="Q43" i="87"/>
  <c r="P43" i="87"/>
  <c r="O43" i="87"/>
  <c r="N43" i="87"/>
  <c r="L43" i="87"/>
  <c r="F43" i="87"/>
  <c r="AL42" i="87"/>
  <c r="Q42" i="87"/>
  <c r="P42" i="87"/>
  <c r="F42" i="87" s="1"/>
  <c r="O42" i="87"/>
  <c r="N42" i="87"/>
  <c r="L42" i="87"/>
  <c r="AL41" i="87"/>
  <c r="Q41" i="87"/>
  <c r="P41" i="87"/>
  <c r="O41" i="87"/>
  <c r="N41" i="87"/>
  <c r="L41" i="87"/>
  <c r="AL40" i="87"/>
  <c r="Q40" i="87"/>
  <c r="P40" i="87"/>
  <c r="O40" i="87"/>
  <c r="F40" i="87" s="1"/>
  <c r="N40" i="87"/>
  <c r="L40" i="87"/>
  <c r="AL39" i="87"/>
  <c r="Q39" i="87"/>
  <c r="P39" i="87"/>
  <c r="O39" i="87"/>
  <c r="F39" i="87" s="1"/>
  <c r="N39" i="87"/>
  <c r="L39" i="87"/>
  <c r="AL38" i="87"/>
  <c r="Q38" i="87"/>
  <c r="P38" i="87"/>
  <c r="O38" i="87"/>
  <c r="N38" i="87"/>
  <c r="L38" i="87"/>
  <c r="F38" i="87"/>
  <c r="AL37" i="87"/>
  <c r="Q37" i="87"/>
  <c r="P37" i="87"/>
  <c r="O37" i="87"/>
  <c r="N37" i="87"/>
  <c r="L37" i="87"/>
  <c r="AL36" i="87"/>
  <c r="Q36" i="87"/>
  <c r="P36" i="87"/>
  <c r="O36" i="87"/>
  <c r="N36" i="87"/>
  <c r="L36" i="87"/>
  <c r="AL35" i="87"/>
  <c r="Q35" i="87"/>
  <c r="P35" i="87"/>
  <c r="O35" i="87"/>
  <c r="F35" i="87" s="1"/>
  <c r="N35" i="87"/>
  <c r="L35" i="87"/>
  <c r="AL34" i="87"/>
  <c r="Q34" i="87"/>
  <c r="P34" i="87"/>
  <c r="O34" i="87"/>
  <c r="N34" i="87"/>
  <c r="L34" i="87"/>
  <c r="F34" i="87"/>
  <c r="AL33" i="87"/>
  <c r="Q33" i="87"/>
  <c r="P33" i="87"/>
  <c r="O33" i="87"/>
  <c r="N33" i="87"/>
  <c r="L33" i="87"/>
  <c r="F33" i="87"/>
  <c r="AL32" i="87"/>
  <c r="Q32" i="87"/>
  <c r="P32" i="87"/>
  <c r="O32" i="87"/>
  <c r="N32" i="87"/>
  <c r="L32" i="87"/>
  <c r="AL31" i="87"/>
  <c r="Q31" i="87"/>
  <c r="P31" i="87"/>
  <c r="O31" i="87"/>
  <c r="F31" i="87" s="1"/>
  <c r="N31" i="87"/>
  <c r="L31" i="87"/>
  <c r="AL30" i="87"/>
  <c r="Q30" i="87"/>
  <c r="P30" i="87"/>
  <c r="O30" i="87"/>
  <c r="N30" i="87"/>
  <c r="L30" i="87"/>
  <c r="F30" i="87"/>
  <c r="AL29" i="87"/>
  <c r="Q29" i="87"/>
  <c r="P29" i="87"/>
  <c r="O29" i="87"/>
  <c r="N29" i="87"/>
  <c r="L29" i="87"/>
  <c r="F29" i="87"/>
  <c r="AL28" i="87"/>
  <c r="Q28" i="87"/>
  <c r="P28" i="87"/>
  <c r="O28" i="87"/>
  <c r="N28" i="87"/>
  <c r="L28" i="87"/>
  <c r="F28" i="87"/>
  <c r="AL27" i="87"/>
  <c r="Q27" i="87"/>
  <c r="P27" i="87"/>
  <c r="O27" i="87"/>
  <c r="N27" i="87"/>
  <c r="L27" i="87"/>
  <c r="F27" i="87"/>
  <c r="AL26" i="87"/>
  <c r="Q26" i="87"/>
  <c r="P26" i="87"/>
  <c r="O26" i="87"/>
  <c r="N26" i="87"/>
  <c r="L26" i="87"/>
  <c r="AL25" i="87"/>
  <c r="Q25" i="87"/>
  <c r="P25" i="87"/>
  <c r="O25" i="87"/>
  <c r="F25" i="87" s="1"/>
  <c r="N25" i="87"/>
  <c r="L25" i="87"/>
  <c r="AL24" i="87"/>
  <c r="Q24" i="87"/>
  <c r="P24" i="87"/>
  <c r="O24" i="87"/>
  <c r="F24" i="87" s="1"/>
  <c r="N24" i="87"/>
  <c r="L24" i="87"/>
  <c r="AL23" i="87"/>
  <c r="Q23" i="87"/>
  <c r="P23" i="87"/>
  <c r="O23" i="87"/>
  <c r="F23" i="87" s="1"/>
  <c r="N23" i="87"/>
  <c r="L23" i="87"/>
  <c r="AL22" i="87"/>
  <c r="Q22" i="87"/>
  <c r="P22" i="87"/>
  <c r="O22" i="87"/>
  <c r="N22" i="87"/>
  <c r="L22" i="87"/>
  <c r="AL21" i="87"/>
  <c r="V21" i="87"/>
  <c r="Q21" i="87"/>
  <c r="P21" i="87"/>
  <c r="O21" i="87"/>
  <c r="N21" i="87"/>
  <c r="L21" i="87"/>
  <c r="AL20" i="87"/>
  <c r="V20" i="87"/>
  <c r="Q20" i="87"/>
  <c r="P20" i="87"/>
  <c r="O20" i="87"/>
  <c r="F20" i="87" s="1"/>
  <c r="N20" i="87"/>
  <c r="L20" i="87"/>
  <c r="AL19" i="87"/>
  <c r="V19" i="87"/>
  <c r="Q19" i="87"/>
  <c r="P19" i="87"/>
  <c r="O19" i="87"/>
  <c r="F19" i="87" s="1"/>
  <c r="N19" i="87"/>
  <c r="L19" i="87"/>
  <c r="AL18" i="87"/>
  <c r="Q18" i="87"/>
  <c r="P18" i="87"/>
  <c r="O18" i="87"/>
  <c r="F18" i="87" s="1"/>
  <c r="N18" i="87"/>
  <c r="L18" i="87"/>
  <c r="AL17" i="87"/>
  <c r="Q17" i="87"/>
  <c r="P17" i="87"/>
  <c r="O17" i="87"/>
  <c r="F17" i="87" s="1"/>
  <c r="N17" i="87"/>
  <c r="L17" i="87"/>
  <c r="AL16" i="87"/>
  <c r="Q16" i="87"/>
  <c r="P16" i="87"/>
  <c r="O16" i="87"/>
  <c r="N16" i="87"/>
  <c r="L16" i="87"/>
  <c r="AL15" i="87"/>
  <c r="Q15" i="87"/>
  <c r="P15" i="87"/>
  <c r="O15" i="87"/>
  <c r="F15" i="87" s="1"/>
  <c r="N15" i="87"/>
  <c r="L15" i="87"/>
  <c r="AL14" i="87"/>
  <c r="Q14" i="87"/>
  <c r="P14" i="87"/>
  <c r="O14" i="87"/>
  <c r="F14" i="87" s="1"/>
  <c r="N14" i="87"/>
  <c r="L14" i="87"/>
  <c r="AL13" i="87"/>
  <c r="Q13" i="87"/>
  <c r="P13" i="87"/>
  <c r="O13" i="87"/>
  <c r="N13" i="87"/>
  <c r="L13" i="87"/>
  <c r="AL12" i="87"/>
  <c r="V12" i="87"/>
  <c r="Q12" i="87"/>
  <c r="P12" i="87"/>
  <c r="O12" i="87"/>
  <c r="N12" i="87"/>
  <c r="L12" i="87"/>
  <c r="AL11" i="87"/>
  <c r="Q11" i="87"/>
  <c r="P11" i="87"/>
  <c r="F11" i="87" s="1"/>
  <c r="O11" i="87"/>
  <c r="N11" i="87"/>
  <c r="L11" i="87"/>
  <c r="AL10" i="87"/>
  <c r="Q10" i="87"/>
  <c r="P10" i="87"/>
  <c r="O10" i="87"/>
  <c r="F10" i="87" s="1"/>
  <c r="N10" i="87"/>
  <c r="L10" i="87"/>
  <c r="AL9" i="87"/>
  <c r="Q9" i="87"/>
  <c r="P9" i="87"/>
  <c r="O9" i="87"/>
  <c r="F9" i="87" s="1"/>
  <c r="N9" i="87"/>
  <c r="L9" i="87"/>
  <c r="AL8" i="87"/>
  <c r="Q8" i="87"/>
  <c r="P8" i="87"/>
  <c r="O8" i="87"/>
  <c r="F8" i="87" s="1"/>
  <c r="N8" i="87"/>
  <c r="L8" i="87"/>
  <c r="AL7" i="87"/>
  <c r="Q7" i="87"/>
  <c r="P7" i="87"/>
  <c r="O7" i="87"/>
  <c r="N7" i="87"/>
  <c r="L7" i="87"/>
  <c r="F7" i="87"/>
  <c r="AL6" i="87"/>
  <c r="V6" i="87"/>
  <c r="Q6" i="87"/>
  <c r="P6" i="87"/>
  <c r="O6" i="87"/>
  <c r="N6" i="87"/>
  <c r="L6" i="87"/>
  <c r="F6" i="87"/>
  <c r="AL5" i="87"/>
  <c r="Q5" i="87"/>
  <c r="P5" i="87"/>
  <c r="O5" i="87"/>
  <c r="N5" i="87"/>
  <c r="L5" i="87"/>
  <c r="F5" i="87"/>
  <c r="AL4" i="87"/>
  <c r="AL3" i="87"/>
  <c r="Q3" i="87"/>
  <c r="P3" i="87"/>
  <c r="O3" i="87"/>
  <c r="N3" i="87"/>
  <c r="L3" i="87"/>
  <c r="F3" i="87"/>
  <c r="Q2" i="87"/>
  <c r="P2" i="87"/>
  <c r="O2" i="87"/>
  <c r="N2" i="87"/>
  <c r="V4" i="87" s="1"/>
  <c r="L12" i="78" s="1"/>
  <c r="L2" i="87"/>
  <c r="F2" i="87"/>
  <c r="AL581" i="88"/>
  <c r="AL580" i="88"/>
  <c r="AL579" i="88"/>
  <c r="AL578" i="88"/>
  <c r="AL577" i="88"/>
  <c r="AL576" i="88"/>
  <c r="AL575" i="88"/>
  <c r="AL574" i="88"/>
  <c r="AL573" i="88"/>
  <c r="AL572" i="88"/>
  <c r="AL571" i="88"/>
  <c r="AL570" i="88"/>
  <c r="AL569" i="88"/>
  <c r="AL568" i="88"/>
  <c r="AL567" i="88"/>
  <c r="AL566" i="88"/>
  <c r="AL565" i="88"/>
  <c r="AL564" i="88"/>
  <c r="AL563" i="88"/>
  <c r="AL562" i="88"/>
  <c r="AL561" i="88"/>
  <c r="AL560" i="88"/>
  <c r="AL559" i="88"/>
  <c r="AL558" i="88"/>
  <c r="AL557" i="88"/>
  <c r="AL556" i="88"/>
  <c r="AL555" i="88"/>
  <c r="AL554" i="88"/>
  <c r="AL553" i="88"/>
  <c r="AL552" i="88"/>
  <c r="AL551" i="88"/>
  <c r="AL550" i="88"/>
  <c r="AL549" i="88"/>
  <c r="AL548" i="88"/>
  <c r="AL547" i="88"/>
  <c r="AL546" i="88"/>
  <c r="AL545" i="88"/>
  <c r="AL544" i="88"/>
  <c r="AL543" i="88"/>
  <c r="AL542" i="88"/>
  <c r="AL541" i="88"/>
  <c r="AL540" i="88"/>
  <c r="AL539" i="88"/>
  <c r="AL538" i="88"/>
  <c r="AL537" i="88"/>
  <c r="AL536" i="88"/>
  <c r="AL535" i="88"/>
  <c r="AL534" i="88"/>
  <c r="AL533" i="88"/>
  <c r="AL532" i="88"/>
  <c r="AL531" i="88"/>
  <c r="AL530" i="88"/>
  <c r="AL529" i="88"/>
  <c r="AL528" i="88"/>
  <c r="AL527" i="88"/>
  <c r="AL526" i="88"/>
  <c r="AL525" i="88"/>
  <c r="AL524" i="88"/>
  <c r="AL523" i="88"/>
  <c r="AL522" i="88"/>
  <c r="AL521" i="88"/>
  <c r="AL520" i="88"/>
  <c r="AL519" i="88"/>
  <c r="AL518" i="88"/>
  <c r="AL517" i="88"/>
  <c r="AL516" i="88"/>
  <c r="AL515" i="88"/>
  <c r="AL514" i="88"/>
  <c r="AL513" i="88"/>
  <c r="AL512" i="88"/>
  <c r="AL511" i="88"/>
  <c r="AL510" i="88"/>
  <c r="AL509" i="88"/>
  <c r="AL508" i="88"/>
  <c r="AL507" i="88"/>
  <c r="AL506" i="88"/>
  <c r="AL505" i="88"/>
  <c r="AL504" i="88"/>
  <c r="AL503" i="88"/>
  <c r="AL502" i="88"/>
  <c r="AL501" i="88"/>
  <c r="AL500" i="88"/>
  <c r="AL499" i="88"/>
  <c r="AL498" i="88"/>
  <c r="AL497" i="88"/>
  <c r="AL496" i="88"/>
  <c r="AL495" i="88"/>
  <c r="AL494" i="88"/>
  <c r="AL493" i="88"/>
  <c r="AL492" i="88"/>
  <c r="AL491" i="88"/>
  <c r="AL490" i="88"/>
  <c r="AL489" i="88"/>
  <c r="AL488" i="88"/>
  <c r="AL487" i="88"/>
  <c r="AL486" i="88"/>
  <c r="AL485" i="88"/>
  <c r="AL484" i="88"/>
  <c r="AL483" i="88"/>
  <c r="AL482" i="88"/>
  <c r="AL481" i="88"/>
  <c r="AL480" i="88"/>
  <c r="AL479" i="88"/>
  <c r="AL478" i="88"/>
  <c r="AL477" i="88"/>
  <c r="AL476" i="88"/>
  <c r="AL475" i="88"/>
  <c r="AL474" i="88"/>
  <c r="AL473" i="88"/>
  <c r="AL472" i="88"/>
  <c r="AL471" i="88"/>
  <c r="AL470" i="88"/>
  <c r="AL469" i="88"/>
  <c r="AL468" i="88"/>
  <c r="AL467" i="88"/>
  <c r="AL466" i="88"/>
  <c r="AL465" i="88"/>
  <c r="AL464" i="88"/>
  <c r="AL463" i="88"/>
  <c r="AL462" i="88"/>
  <c r="AL461" i="88"/>
  <c r="AL460" i="88"/>
  <c r="AL459" i="88"/>
  <c r="AL458" i="88"/>
  <c r="AL457" i="88"/>
  <c r="AL456" i="88"/>
  <c r="AL455" i="88"/>
  <c r="AL454" i="88"/>
  <c r="AL453" i="88"/>
  <c r="AL452" i="88"/>
  <c r="AL451" i="88"/>
  <c r="AL450" i="88"/>
  <c r="AL449" i="88"/>
  <c r="AL448" i="88"/>
  <c r="AL447" i="88"/>
  <c r="AL446" i="88"/>
  <c r="AL445" i="88"/>
  <c r="AL444" i="88"/>
  <c r="AL443" i="88"/>
  <c r="AL442" i="88"/>
  <c r="AL441" i="88"/>
  <c r="AL440" i="88"/>
  <c r="AL439" i="88"/>
  <c r="AL438" i="88"/>
  <c r="AL437" i="88"/>
  <c r="AL436" i="88"/>
  <c r="AL435" i="88"/>
  <c r="AL434" i="88"/>
  <c r="AL433" i="88"/>
  <c r="AL432" i="88"/>
  <c r="AL431" i="88"/>
  <c r="AL430" i="88"/>
  <c r="AL429" i="88"/>
  <c r="AL428" i="88"/>
  <c r="AL427" i="88"/>
  <c r="AL426" i="88"/>
  <c r="AL425" i="88"/>
  <c r="AL424" i="88"/>
  <c r="AL423" i="88"/>
  <c r="AL422" i="88"/>
  <c r="AL421" i="88"/>
  <c r="AL420" i="88"/>
  <c r="AL419" i="88"/>
  <c r="AL418" i="88"/>
  <c r="AL417" i="88"/>
  <c r="AL416" i="88"/>
  <c r="AL415" i="88"/>
  <c r="AL414" i="88"/>
  <c r="AL413" i="88"/>
  <c r="AL412" i="88"/>
  <c r="AL411" i="88"/>
  <c r="AL410" i="88"/>
  <c r="AL409" i="88"/>
  <c r="AL408" i="88"/>
  <c r="AL407" i="88"/>
  <c r="AL406" i="88"/>
  <c r="AL405" i="88"/>
  <c r="AL404" i="88"/>
  <c r="AL403" i="88"/>
  <c r="AL402" i="88"/>
  <c r="AL401" i="88"/>
  <c r="AL400" i="88"/>
  <c r="AL399" i="88"/>
  <c r="AL398" i="88"/>
  <c r="AL397" i="88"/>
  <c r="AL396" i="88"/>
  <c r="AL395" i="88"/>
  <c r="AL394" i="88"/>
  <c r="AL393" i="88"/>
  <c r="AL392" i="88"/>
  <c r="AL391" i="88"/>
  <c r="AL390" i="88"/>
  <c r="AL389" i="88"/>
  <c r="AL388" i="88"/>
  <c r="AL387" i="88"/>
  <c r="AL386" i="88"/>
  <c r="AL385" i="88"/>
  <c r="AL384" i="88"/>
  <c r="AL383" i="88"/>
  <c r="AL382" i="88"/>
  <c r="AL381" i="88"/>
  <c r="AL380" i="88"/>
  <c r="AL379" i="88"/>
  <c r="AL378" i="88"/>
  <c r="AL377" i="88"/>
  <c r="AL376" i="88"/>
  <c r="AL375" i="88"/>
  <c r="AL374" i="88"/>
  <c r="AL373" i="88"/>
  <c r="AL372" i="88"/>
  <c r="AL371" i="88"/>
  <c r="AL370" i="88"/>
  <c r="AL369" i="88"/>
  <c r="AL368" i="88"/>
  <c r="AL367" i="88"/>
  <c r="AL366" i="88"/>
  <c r="AL365" i="88"/>
  <c r="AL364" i="88"/>
  <c r="AL363" i="88"/>
  <c r="AL362" i="88"/>
  <c r="AL361" i="88"/>
  <c r="AL360" i="88"/>
  <c r="AL359" i="88"/>
  <c r="AL358" i="88"/>
  <c r="AL357" i="88"/>
  <c r="AL356" i="88"/>
  <c r="AL355" i="88"/>
  <c r="AL354" i="88"/>
  <c r="AL353" i="88"/>
  <c r="AL352" i="88"/>
  <c r="AL351" i="88"/>
  <c r="AL350" i="88"/>
  <c r="AL349" i="88"/>
  <c r="AL348" i="88"/>
  <c r="AL347" i="88"/>
  <c r="AL346" i="88"/>
  <c r="AL345" i="88"/>
  <c r="AL344" i="88"/>
  <c r="AL343" i="88"/>
  <c r="AL342" i="88"/>
  <c r="AL341" i="88"/>
  <c r="AL340" i="88"/>
  <c r="AL339" i="88"/>
  <c r="AL338" i="88"/>
  <c r="AL337" i="88"/>
  <c r="AL336" i="88"/>
  <c r="AL335" i="88"/>
  <c r="AL334" i="88"/>
  <c r="AL333" i="88"/>
  <c r="AL332" i="88"/>
  <c r="AL331" i="88"/>
  <c r="AL330" i="88"/>
  <c r="AL329" i="88"/>
  <c r="AL328" i="88"/>
  <c r="AL327" i="88"/>
  <c r="AL326" i="88"/>
  <c r="AL325" i="88"/>
  <c r="AL324" i="88"/>
  <c r="AL323" i="88"/>
  <c r="AL322" i="88"/>
  <c r="AL321" i="88"/>
  <c r="AL320" i="88"/>
  <c r="AL319" i="88"/>
  <c r="AL318" i="88"/>
  <c r="AL317" i="88"/>
  <c r="AL316" i="88"/>
  <c r="AL315" i="88"/>
  <c r="AL314" i="88"/>
  <c r="AL313" i="88"/>
  <c r="AL312" i="88"/>
  <c r="AL311" i="88"/>
  <c r="AL310" i="88"/>
  <c r="AL309" i="88"/>
  <c r="AL308" i="88"/>
  <c r="AL307" i="88"/>
  <c r="AL306" i="88"/>
  <c r="AL305" i="88"/>
  <c r="AL304" i="88"/>
  <c r="AL303" i="88"/>
  <c r="AL302" i="88"/>
  <c r="AL301" i="88"/>
  <c r="AL300" i="88"/>
  <c r="AL299" i="88"/>
  <c r="AL298" i="88"/>
  <c r="AL297" i="88"/>
  <c r="AL296" i="88"/>
  <c r="AL295" i="88"/>
  <c r="AL294" i="88"/>
  <c r="AL293" i="88"/>
  <c r="AL292" i="88"/>
  <c r="AL291" i="88"/>
  <c r="AL290" i="88"/>
  <c r="AL289" i="88"/>
  <c r="AL288" i="88"/>
  <c r="AL287" i="88"/>
  <c r="AL286" i="88"/>
  <c r="AL285" i="88"/>
  <c r="AL284" i="88"/>
  <c r="AL283" i="88"/>
  <c r="AL282" i="88"/>
  <c r="AL281" i="88"/>
  <c r="AL280" i="88"/>
  <c r="AL279" i="88"/>
  <c r="AL278" i="88"/>
  <c r="AL277" i="88"/>
  <c r="AL276" i="88"/>
  <c r="AL275" i="88"/>
  <c r="AL274" i="88"/>
  <c r="AL273" i="88"/>
  <c r="AL272" i="88"/>
  <c r="AL271" i="88"/>
  <c r="AL270" i="88"/>
  <c r="AL269" i="88"/>
  <c r="AL268" i="88"/>
  <c r="AL267" i="88"/>
  <c r="AL266" i="88"/>
  <c r="AL265" i="88"/>
  <c r="AL264" i="88"/>
  <c r="AL263" i="88"/>
  <c r="AL262" i="88"/>
  <c r="AL261" i="88"/>
  <c r="AL260" i="88"/>
  <c r="AL259" i="88"/>
  <c r="AL258" i="88"/>
  <c r="AL257" i="88"/>
  <c r="AL256" i="88"/>
  <c r="AL255" i="88"/>
  <c r="AL254" i="88"/>
  <c r="AL253" i="88"/>
  <c r="AL252" i="88"/>
  <c r="AL251" i="88"/>
  <c r="AL250" i="88"/>
  <c r="AL249" i="88"/>
  <c r="AL248" i="88"/>
  <c r="AL247" i="88"/>
  <c r="AL246" i="88"/>
  <c r="AL245" i="88"/>
  <c r="AL244" i="88"/>
  <c r="AL243" i="88"/>
  <c r="AL242" i="88"/>
  <c r="AL241" i="88"/>
  <c r="AL240" i="88"/>
  <c r="AL239" i="88"/>
  <c r="AL238" i="88"/>
  <c r="AL237" i="88"/>
  <c r="AL236" i="88"/>
  <c r="AL235" i="88"/>
  <c r="AL234" i="88"/>
  <c r="AL233" i="88"/>
  <c r="AL232" i="88"/>
  <c r="AL231" i="88"/>
  <c r="AL230" i="88"/>
  <c r="AL229" i="88"/>
  <c r="AL228" i="88"/>
  <c r="AL227" i="88"/>
  <c r="AL226" i="88"/>
  <c r="AL225" i="88"/>
  <c r="AL224" i="88"/>
  <c r="AL223" i="88"/>
  <c r="AL222" i="88"/>
  <c r="AL221" i="88"/>
  <c r="AL220" i="88"/>
  <c r="AL219" i="88"/>
  <c r="AL218" i="88"/>
  <c r="AL217" i="88"/>
  <c r="AL216" i="88"/>
  <c r="AL215" i="88"/>
  <c r="AL214" i="88"/>
  <c r="AL213" i="88"/>
  <c r="AL212" i="88"/>
  <c r="AL211" i="88"/>
  <c r="AL210" i="88"/>
  <c r="AL209" i="88"/>
  <c r="AL208" i="88"/>
  <c r="AL207" i="88"/>
  <c r="AL206" i="88"/>
  <c r="AL205" i="88"/>
  <c r="AL204" i="88"/>
  <c r="AL203" i="88"/>
  <c r="AL202" i="88"/>
  <c r="AL201" i="88"/>
  <c r="AL200" i="88"/>
  <c r="AL199" i="88"/>
  <c r="AL198" i="88"/>
  <c r="AL197" i="88"/>
  <c r="AL196" i="88"/>
  <c r="AL195" i="88"/>
  <c r="AL194" i="88"/>
  <c r="AL193" i="88"/>
  <c r="AL192" i="88"/>
  <c r="AL191" i="88"/>
  <c r="AL190" i="88"/>
  <c r="AL189" i="88"/>
  <c r="AL188" i="88"/>
  <c r="AL187" i="88"/>
  <c r="AL186" i="88"/>
  <c r="AL185" i="88"/>
  <c r="AL184" i="88"/>
  <c r="AL183" i="88"/>
  <c r="AL182" i="88"/>
  <c r="AL181" i="88"/>
  <c r="AL180" i="88"/>
  <c r="AL179" i="88"/>
  <c r="AL178" i="88"/>
  <c r="AL177" i="88"/>
  <c r="AL176" i="88"/>
  <c r="AL175" i="88"/>
  <c r="AL174" i="88"/>
  <c r="AL173" i="88"/>
  <c r="AL172" i="88"/>
  <c r="AL171" i="88"/>
  <c r="AL170" i="88"/>
  <c r="AL169" i="88"/>
  <c r="AL168" i="88"/>
  <c r="AL167" i="88"/>
  <c r="AL166" i="88"/>
  <c r="AL165" i="88"/>
  <c r="AL164" i="88"/>
  <c r="AL163" i="88"/>
  <c r="AL162" i="88"/>
  <c r="AL161" i="88"/>
  <c r="AL160" i="88"/>
  <c r="AL159" i="88"/>
  <c r="AL158" i="88"/>
  <c r="AL157" i="88"/>
  <c r="AL156" i="88"/>
  <c r="AL155" i="88"/>
  <c r="AL154" i="88"/>
  <c r="AL153" i="88"/>
  <c r="AL152" i="88"/>
  <c r="AL151" i="88"/>
  <c r="AL150" i="88"/>
  <c r="AL149" i="88"/>
  <c r="AL148" i="88"/>
  <c r="AL147" i="88"/>
  <c r="AL146" i="88"/>
  <c r="AL145" i="88"/>
  <c r="AL144" i="88"/>
  <c r="AL143" i="88"/>
  <c r="Q143" i="88"/>
  <c r="P143" i="88"/>
  <c r="O143" i="88"/>
  <c r="F143" i="88" s="1"/>
  <c r="N143" i="88"/>
  <c r="L143" i="88"/>
  <c r="AL142" i="88"/>
  <c r="Q142" i="88"/>
  <c r="P142" i="88"/>
  <c r="O142" i="88"/>
  <c r="F142" i="88" s="1"/>
  <c r="N142" i="88"/>
  <c r="L142" i="88"/>
  <c r="AL141" i="88"/>
  <c r="Q141" i="88"/>
  <c r="P141" i="88"/>
  <c r="O141" i="88"/>
  <c r="F141" i="88" s="1"/>
  <c r="N141" i="88"/>
  <c r="L141" i="88"/>
  <c r="AL140" i="88"/>
  <c r="Q140" i="88"/>
  <c r="P140" i="88"/>
  <c r="O140" i="88"/>
  <c r="N140" i="88"/>
  <c r="L140" i="88"/>
  <c r="AL139" i="88"/>
  <c r="Q139" i="88"/>
  <c r="P139" i="88"/>
  <c r="O139" i="88"/>
  <c r="F139" i="88" s="1"/>
  <c r="N139" i="88"/>
  <c r="L139" i="88"/>
  <c r="AL138" i="88"/>
  <c r="Q138" i="88"/>
  <c r="P138" i="88"/>
  <c r="O138" i="88"/>
  <c r="N138" i="88"/>
  <c r="L138" i="88"/>
  <c r="AL137" i="88"/>
  <c r="Q137" i="88"/>
  <c r="P137" i="88"/>
  <c r="O137" i="88"/>
  <c r="N137" i="88"/>
  <c r="L137" i="88"/>
  <c r="AL136" i="88"/>
  <c r="Q136" i="88"/>
  <c r="P136" i="88"/>
  <c r="O136" i="88"/>
  <c r="N136" i="88"/>
  <c r="L136" i="88"/>
  <c r="AL135" i="88"/>
  <c r="Q135" i="88"/>
  <c r="P135" i="88"/>
  <c r="O135" i="88"/>
  <c r="F135" i="88" s="1"/>
  <c r="N135" i="88"/>
  <c r="L135" i="88"/>
  <c r="AL134" i="88"/>
  <c r="Q134" i="88"/>
  <c r="P134" i="88"/>
  <c r="O134" i="88"/>
  <c r="F134" i="88" s="1"/>
  <c r="N134" i="88"/>
  <c r="L134" i="88"/>
  <c r="AL133" i="88"/>
  <c r="Q133" i="88"/>
  <c r="P133" i="88"/>
  <c r="O133" i="88"/>
  <c r="F133" i="88" s="1"/>
  <c r="N133" i="88"/>
  <c r="L133" i="88"/>
  <c r="AL132" i="88"/>
  <c r="Q132" i="88"/>
  <c r="P132" i="88"/>
  <c r="O132" i="88"/>
  <c r="N132" i="88"/>
  <c r="L132" i="88"/>
  <c r="AL131" i="88"/>
  <c r="Q131" i="88"/>
  <c r="P131" i="88"/>
  <c r="O131" i="88"/>
  <c r="F131" i="88" s="1"/>
  <c r="N131" i="88"/>
  <c r="L131" i="88"/>
  <c r="AL130" i="88"/>
  <c r="Q130" i="88"/>
  <c r="P130" i="88"/>
  <c r="O130" i="88"/>
  <c r="N130" i="88"/>
  <c r="L130" i="88"/>
  <c r="AL129" i="88"/>
  <c r="Q129" i="88"/>
  <c r="P129" i="88"/>
  <c r="O129" i="88"/>
  <c r="N129" i="88"/>
  <c r="L129" i="88"/>
  <c r="AL128" i="88"/>
  <c r="Q128" i="88"/>
  <c r="P128" i="88"/>
  <c r="O128" i="88"/>
  <c r="N128" i="88"/>
  <c r="L128" i="88"/>
  <c r="AL127" i="88"/>
  <c r="Q127" i="88"/>
  <c r="P127" i="88"/>
  <c r="O127" i="88"/>
  <c r="F127" i="88" s="1"/>
  <c r="N127" i="88"/>
  <c r="L127" i="88"/>
  <c r="AL126" i="88"/>
  <c r="Q126" i="88"/>
  <c r="P126" i="88"/>
  <c r="O126" i="88"/>
  <c r="F126" i="88" s="1"/>
  <c r="N126" i="88"/>
  <c r="L126" i="88"/>
  <c r="AL125" i="88"/>
  <c r="Q125" i="88"/>
  <c r="P125" i="88"/>
  <c r="O125" i="88"/>
  <c r="F125" i="88" s="1"/>
  <c r="N125" i="88"/>
  <c r="L125" i="88"/>
  <c r="AL124" i="88"/>
  <c r="Q124" i="88"/>
  <c r="P124" i="88"/>
  <c r="O124" i="88"/>
  <c r="N124" i="88"/>
  <c r="L124" i="88"/>
  <c r="AL123" i="88"/>
  <c r="Q123" i="88"/>
  <c r="P123" i="88"/>
  <c r="O123" i="88"/>
  <c r="F123" i="88" s="1"/>
  <c r="N123" i="88"/>
  <c r="L123" i="88"/>
  <c r="AL122" i="88"/>
  <c r="Q122" i="88"/>
  <c r="P122" i="88"/>
  <c r="O122" i="88"/>
  <c r="N122" i="88"/>
  <c r="L122" i="88"/>
  <c r="AL121" i="88"/>
  <c r="Q121" i="88"/>
  <c r="P121" i="88"/>
  <c r="O121" i="88"/>
  <c r="N121" i="88"/>
  <c r="L121" i="88"/>
  <c r="AL120" i="88"/>
  <c r="Q120" i="88"/>
  <c r="P120" i="88"/>
  <c r="O120" i="88"/>
  <c r="N120" i="88"/>
  <c r="L120" i="88"/>
  <c r="AL119" i="88"/>
  <c r="Q119" i="88"/>
  <c r="P119" i="88"/>
  <c r="O119" i="88"/>
  <c r="F119" i="88" s="1"/>
  <c r="N119" i="88"/>
  <c r="L119" i="88"/>
  <c r="AL118" i="88"/>
  <c r="Q118" i="88"/>
  <c r="P118" i="88"/>
  <c r="O118" i="88"/>
  <c r="F118" i="88" s="1"/>
  <c r="N118" i="88"/>
  <c r="L118" i="88"/>
  <c r="AL117" i="88"/>
  <c r="Q117" i="88"/>
  <c r="P117" i="88"/>
  <c r="O117" i="88"/>
  <c r="F117" i="88" s="1"/>
  <c r="N117" i="88"/>
  <c r="L117" i="88"/>
  <c r="AL116" i="88"/>
  <c r="Q116" i="88"/>
  <c r="P116" i="88"/>
  <c r="O116" i="88"/>
  <c r="N116" i="88"/>
  <c r="L116" i="88"/>
  <c r="AL115" i="88"/>
  <c r="Q115" i="88"/>
  <c r="P115" i="88"/>
  <c r="O115" i="88"/>
  <c r="F115" i="88" s="1"/>
  <c r="N115" i="88"/>
  <c r="L115" i="88"/>
  <c r="AL114" i="88"/>
  <c r="Q114" i="88"/>
  <c r="P114" i="88"/>
  <c r="O114" i="88"/>
  <c r="N114" i="88"/>
  <c r="L114" i="88"/>
  <c r="AL113" i="88"/>
  <c r="Q113" i="88"/>
  <c r="P113" i="88"/>
  <c r="O113" i="88"/>
  <c r="N113" i="88"/>
  <c r="L113" i="88"/>
  <c r="AL112" i="88"/>
  <c r="Q112" i="88"/>
  <c r="P112" i="88"/>
  <c r="O112" i="88"/>
  <c r="N112" i="88"/>
  <c r="L112" i="88"/>
  <c r="AL111" i="88"/>
  <c r="Q111" i="88"/>
  <c r="P111" i="88"/>
  <c r="O111" i="88"/>
  <c r="F111" i="88" s="1"/>
  <c r="N111" i="88"/>
  <c r="L111" i="88"/>
  <c r="AL110" i="88"/>
  <c r="Q110" i="88"/>
  <c r="P110" i="88"/>
  <c r="O110" i="88"/>
  <c r="F110" i="88" s="1"/>
  <c r="N110" i="88"/>
  <c r="L110" i="88"/>
  <c r="AL109" i="88"/>
  <c r="Q109" i="88"/>
  <c r="P109" i="88"/>
  <c r="O109" i="88"/>
  <c r="F109" i="88" s="1"/>
  <c r="N109" i="88"/>
  <c r="L109" i="88"/>
  <c r="AL108" i="88"/>
  <c r="Q108" i="88"/>
  <c r="P108" i="88"/>
  <c r="O108" i="88"/>
  <c r="N108" i="88"/>
  <c r="L108" i="88"/>
  <c r="AL107" i="88"/>
  <c r="Q107" i="88"/>
  <c r="P107" i="88"/>
  <c r="O107" i="88"/>
  <c r="F107" i="88" s="1"/>
  <c r="N107" i="88"/>
  <c r="L107" i="88"/>
  <c r="AL106" i="88"/>
  <c r="Q106" i="88"/>
  <c r="P106" i="88"/>
  <c r="O106" i="88"/>
  <c r="N106" i="88"/>
  <c r="L106" i="88"/>
  <c r="AL105" i="88"/>
  <c r="Q105" i="88"/>
  <c r="P105" i="88"/>
  <c r="O105" i="88"/>
  <c r="N105" i="88"/>
  <c r="L105" i="88"/>
  <c r="AL104" i="88"/>
  <c r="Q104" i="88"/>
  <c r="P104" i="88"/>
  <c r="O104" i="88"/>
  <c r="N104" i="88"/>
  <c r="L104" i="88"/>
  <c r="AL103" i="88"/>
  <c r="Q103" i="88"/>
  <c r="P103" i="88"/>
  <c r="O103" i="88"/>
  <c r="F103" i="88" s="1"/>
  <c r="N103" i="88"/>
  <c r="L103" i="88"/>
  <c r="AL102" i="88"/>
  <c r="Q102" i="88"/>
  <c r="P102" i="88"/>
  <c r="O102" i="88"/>
  <c r="F102" i="88" s="1"/>
  <c r="N102" i="88"/>
  <c r="L102" i="88"/>
  <c r="AL101" i="88"/>
  <c r="Q101" i="88"/>
  <c r="P101" i="88"/>
  <c r="O101" i="88"/>
  <c r="F101" i="88" s="1"/>
  <c r="N101" i="88"/>
  <c r="L101" i="88"/>
  <c r="AL100" i="88"/>
  <c r="Q100" i="88"/>
  <c r="P100" i="88"/>
  <c r="O100" i="88"/>
  <c r="N100" i="88"/>
  <c r="L100" i="88"/>
  <c r="AL99" i="88"/>
  <c r="Q99" i="88"/>
  <c r="P99" i="88"/>
  <c r="O99" i="88"/>
  <c r="F99" i="88" s="1"/>
  <c r="N99" i="88"/>
  <c r="L99" i="88"/>
  <c r="AL98" i="88"/>
  <c r="Q98" i="88"/>
  <c r="P98" i="88"/>
  <c r="O98" i="88"/>
  <c r="N98" i="88"/>
  <c r="L98" i="88"/>
  <c r="AL97" i="88"/>
  <c r="Q97" i="88"/>
  <c r="P97" i="88"/>
  <c r="O97" i="88"/>
  <c r="N97" i="88"/>
  <c r="L97" i="88"/>
  <c r="AL96" i="88"/>
  <c r="Q96" i="88"/>
  <c r="P96" i="88"/>
  <c r="O96" i="88"/>
  <c r="N96" i="88"/>
  <c r="L96" i="88"/>
  <c r="AL95" i="88"/>
  <c r="Q95" i="88"/>
  <c r="P95" i="88"/>
  <c r="O95" i="88"/>
  <c r="F95" i="88" s="1"/>
  <c r="N95" i="88"/>
  <c r="L95" i="88"/>
  <c r="AL94" i="88"/>
  <c r="Q94" i="88"/>
  <c r="P94" i="88"/>
  <c r="O94" i="88"/>
  <c r="F94" i="88" s="1"/>
  <c r="N94" i="88"/>
  <c r="L94" i="88"/>
  <c r="AL93" i="88"/>
  <c r="Q93" i="88"/>
  <c r="P93" i="88"/>
  <c r="O93" i="88"/>
  <c r="F93" i="88" s="1"/>
  <c r="N93" i="88"/>
  <c r="L93" i="88"/>
  <c r="AL92" i="88"/>
  <c r="Q92" i="88"/>
  <c r="P92" i="88"/>
  <c r="O92" i="88"/>
  <c r="N92" i="88"/>
  <c r="L92" i="88"/>
  <c r="AL91" i="88"/>
  <c r="Q91" i="88"/>
  <c r="P91" i="88"/>
  <c r="O91" i="88"/>
  <c r="F91" i="88" s="1"/>
  <c r="N91" i="88"/>
  <c r="L91" i="88"/>
  <c r="AL90" i="88"/>
  <c r="Q90" i="88"/>
  <c r="P90" i="88"/>
  <c r="O90" i="88"/>
  <c r="N90" i="88"/>
  <c r="L90" i="88"/>
  <c r="AL89" i="88"/>
  <c r="Q89" i="88"/>
  <c r="P89" i="88"/>
  <c r="O89" i="88"/>
  <c r="N89" i="88"/>
  <c r="L89" i="88"/>
  <c r="AL88" i="88"/>
  <c r="Q88" i="88"/>
  <c r="P88" i="88"/>
  <c r="O88" i="88"/>
  <c r="N88" i="88"/>
  <c r="L88" i="88"/>
  <c r="AL87" i="88"/>
  <c r="Q87" i="88"/>
  <c r="P87" i="88"/>
  <c r="O87" i="88"/>
  <c r="N87" i="88"/>
  <c r="L87" i="88"/>
  <c r="AL86" i="88"/>
  <c r="Q86" i="88"/>
  <c r="P86" i="88"/>
  <c r="O86" i="88"/>
  <c r="F86" i="88" s="1"/>
  <c r="N86" i="88"/>
  <c r="L86" i="88"/>
  <c r="AL85" i="88"/>
  <c r="Q85" i="88"/>
  <c r="P85" i="88"/>
  <c r="O85" i="88"/>
  <c r="F85" i="88" s="1"/>
  <c r="N85" i="88"/>
  <c r="L85" i="88"/>
  <c r="AL84" i="88"/>
  <c r="Q84" i="88"/>
  <c r="P84" i="88"/>
  <c r="O84" i="88"/>
  <c r="N84" i="88"/>
  <c r="L84" i="88"/>
  <c r="AL83" i="88"/>
  <c r="Q83" i="88"/>
  <c r="P83" i="88"/>
  <c r="O83" i="88"/>
  <c r="F83" i="88" s="1"/>
  <c r="N83" i="88"/>
  <c r="L83" i="88"/>
  <c r="AL82" i="88"/>
  <c r="Q82" i="88"/>
  <c r="P82" i="88"/>
  <c r="O82" i="88"/>
  <c r="N82" i="88"/>
  <c r="L82" i="88"/>
  <c r="AL81" i="88"/>
  <c r="Q81" i="88"/>
  <c r="P81" i="88"/>
  <c r="O81" i="88"/>
  <c r="N81" i="88"/>
  <c r="L81" i="88"/>
  <c r="AL80" i="88"/>
  <c r="Q80" i="88"/>
  <c r="P80" i="88"/>
  <c r="O80" i="88"/>
  <c r="N80" i="88"/>
  <c r="L80" i="88"/>
  <c r="AL79" i="88"/>
  <c r="Q79" i="88"/>
  <c r="P79" i="88"/>
  <c r="O79" i="88"/>
  <c r="N79" i="88"/>
  <c r="L79" i="88"/>
  <c r="AL78" i="88"/>
  <c r="Q78" i="88"/>
  <c r="P78" i="88"/>
  <c r="O78" i="88"/>
  <c r="F78" i="88" s="1"/>
  <c r="N78" i="88"/>
  <c r="L78" i="88"/>
  <c r="AL77" i="88"/>
  <c r="Q77" i="88"/>
  <c r="P77" i="88"/>
  <c r="O77" i="88"/>
  <c r="F77" i="88" s="1"/>
  <c r="N77" i="88"/>
  <c r="L77" i="88"/>
  <c r="AL76" i="88"/>
  <c r="Q76" i="88"/>
  <c r="P76" i="88"/>
  <c r="O76" i="88"/>
  <c r="N76" i="88"/>
  <c r="L76" i="88"/>
  <c r="AL75" i="88"/>
  <c r="Q75" i="88"/>
  <c r="P75" i="88"/>
  <c r="O75" i="88"/>
  <c r="F75" i="88" s="1"/>
  <c r="N75" i="88"/>
  <c r="L75" i="88"/>
  <c r="AL74" i="88"/>
  <c r="Q74" i="88"/>
  <c r="P74" i="88"/>
  <c r="O74" i="88"/>
  <c r="N74" i="88"/>
  <c r="L74" i="88"/>
  <c r="AL73" i="88"/>
  <c r="Q73" i="88"/>
  <c r="P73" i="88"/>
  <c r="O73" i="88"/>
  <c r="N73" i="88"/>
  <c r="L73" i="88"/>
  <c r="AL72" i="88"/>
  <c r="Q72" i="88"/>
  <c r="P72" i="88"/>
  <c r="O72" i="88"/>
  <c r="N72" i="88"/>
  <c r="L72" i="88"/>
  <c r="AL71" i="88"/>
  <c r="Q71" i="88"/>
  <c r="P71" i="88"/>
  <c r="O71" i="88"/>
  <c r="N71" i="88"/>
  <c r="L71" i="88"/>
  <c r="AL70" i="88"/>
  <c r="Q70" i="88"/>
  <c r="P70" i="88"/>
  <c r="O70" i="88"/>
  <c r="F70" i="88" s="1"/>
  <c r="N70" i="88"/>
  <c r="L70" i="88"/>
  <c r="AL69" i="88"/>
  <c r="Q69" i="88"/>
  <c r="P69" i="88"/>
  <c r="O69" i="88"/>
  <c r="F69" i="88" s="1"/>
  <c r="N69" i="88"/>
  <c r="L69" i="88"/>
  <c r="AL68" i="88"/>
  <c r="Q68" i="88"/>
  <c r="P68" i="88"/>
  <c r="O68" i="88"/>
  <c r="N68" i="88"/>
  <c r="L68" i="88"/>
  <c r="AL67" i="88"/>
  <c r="Q67" i="88"/>
  <c r="P67" i="88"/>
  <c r="O67" i="88"/>
  <c r="F67" i="88" s="1"/>
  <c r="N67" i="88"/>
  <c r="L67" i="88"/>
  <c r="AL66" i="88"/>
  <c r="Q66" i="88"/>
  <c r="P66" i="88"/>
  <c r="O66" i="88"/>
  <c r="N66" i="88"/>
  <c r="L66" i="88"/>
  <c r="AL65" i="88"/>
  <c r="Q65" i="88"/>
  <c r="P65" i="88"/>
  <c r="O65" i="88"/>
  <c r="N65" i="88"/>
  <c r="L65" i="88"/>
  <c r="AL64" i="88"/>
  <c r="Q64" i="88"/>
  <c r="P64" i="88"/>
  <c r="O64" i="88"/>
  <c r="N64" i="88"/>
  <c r="L64" i="88"/>
  <c r="AL63" i="88"/>
  <c r="Q63" i="88"/>
  <c r="P63" i="88"/>
  <c r="O63" i="88"/>
  <c r="N63" i="88"/>
  <c r="L63" i="88"/>
  <c r="AL62" i="88"/>
  <c r="Q62" i="88"/>
  <c r="P62" i="88"/>
  <c r="O62" i="88"/>
  <c r="F62" i="88" s="1"/>
  <c r="N62" i="88"/>
  <c r="L62" i="88"/>
  <c r="AL61" i="88"/>
  <c r="Q61" i="88"/>
  <c r="P61" i="88"/>
  <c r="O61" i="88"/>
  <c r="F61" i="88" s="1"/>
  <c r="N61" i="88"/>
  <c r="L61" i="88"/>
  <c r="AL60" i="88"/>
  <c r="Q60" i="88"/>
  <c r="P60" i="88"/>
  <c r="O60" i="88"/>
  <c r="N60" i="88"/>
  <c r="L60" i="88"/>
  <c r="AL59" i="88"/>
  <c r="Q59" i="88"/>
  <c r="P59" i="88"/>
  <c r="O59" i="88"/>
  <c r="F59" i="88" s="1"/>
  <c r="N59" i="88"/>
  <c r="L59" i="88"/>
  <c r="AL58" i="88"/>
  <c r="Q58" i="88"/>
  <c r="P58" i="88"/>
  <c r="O58" i="88"/>
  <c r="F58" i="88" s="1"/>
  <c r="N58" i="88"/>
  <c r="L58" i="88"/>
  <c r="AL57" i="88"/>
  <c r="Q57" i="88"/>
  <c r="P57" i="88"/>
  <c r="O57" i="88"/>
  <c r="N57" i="88"/>
  <c r="L57" i="88"/>
  <c r="F57" i="88"/>
  <c r="AL56" i="88"/>
  <c r="Q56" i="88"/>
  <c r="P56" i="88"/>
  <c r="O56" i="88"/>
  <c r="N56" i="88"/>
  <c r="L56" i="88"/>
  <c r="F56" i="88"/>
  <c r="AL55" i="88"/>
  <c r="Q55" i="88"/>
  <c r="P55" i="88"/>
  <c r="O55" i="88"/>
  <c r="N55" i="88"/>
  <c r="L55" i="88"/>
  <c r="F55" i="88"/>
  <c r="AL54" i="88"/>
  <c r="Q54" i="88"/>
  <c r="P54" i="88"/>
  <c r="O54" i="88"/>
  <c r="N54" i="88"/>
  <c r="L54" i="88"/>
  <c r="F54" i="88"/>
  <c r="AL53" i="88"/>
  <c r="Q53" i="88"/>
  <c r="P53" i="88"/>
  <c r="F53" i="88" s="1"/>
  <c r="O53" i="88"/>
  <c r="N53" i="88"/>
  <c r="L53" i="88"/>
  <c r="AL52" i="88"/>
  <c r="Q52" i="88"/>
  <c r="P52" i="88"/>
  <c r="O52" i="88"/>
  <c r="F52" i="88" s="1"/>
  <c r="N52" i="88"/>
  <c r="L52" i="88"/>
  <c r="AL51" i="88"/>
  <c r="Q51" i="88"/>
  <c r="P51" i="88"/>
  <c r="O51" i="88"/>
  <c r="F51" i="88" s="1"/>
  <c r="N51" i="88"/>
  <c r="L51" i="88"/>
  <c r="AL50" i="88"/>
  <c r="Q50" i="88"/>
  <c r="P50" i="88"/>
  <c r="O50" i="88"/>
  <c r="F50" i="88" s="1"/>
  <c r="N50" i="88"/>
  <c r="L50" i="88"/>
  <c r="AL49" i="88"/>
  <c r="Q49" i="88"/>
  <c r="P49" i="88"/>
  <c r="O49" i="88"/>
  <c r="N49" i="88"/>
  <c r="L49" i="88"/>
  <c r="F49" i="88"/>
  <c r="AL48" i="88"/>
  <c r="Q48" i="88"/>
  <c r="P48" i="88"/>
  <c r="O48" i="88"/>
  <c r="N48" i="88"/>
  <c r="L48" i="88"/>
  <c r="F48" i="88"/>
  <c r="AL47" i="88"/>
  <c r="Q47" i="88"/>
  <c r="P47" i="88"/>
  <c r="O47" i="88"/>
  <c r="N47" i="88"/>
  <c r="L47" i="88"/>
  <c r="F47" i="88"/>
  <c r="AL46" i="88"/>
  <c r="Q46" i="88"/>
  <c r="P46" i="88"/>
  <c r="O46" i="88"/>
  <c r="N46" i="88"/>
  <c r="L46" i="88"/>
  <c r="AL45" i="88"/>
  <c r="Q45" i="88"/>
  <c r="P45" i="88"/>
  <c r="O45" i="88"/>
  <c r="F45" i="88" s="1"/>
  <c r="N45" i="88"/>
  <c r="L45" i="88"/>
  <c r="AL44" i="88"/>
  <c r="Q44" i="88"/>
  <c r="P44" i="88"/>
  <c r="O44" i="88"/>
  <c r="F44" i="88" s="1"/>
  <c r="N44" i="88"/>
  <c r="L44" i="88"/>
  <c r="AL43" i="88"/>
  <c r="Q43" i="88"/>
  <c r="P43" i="88"/>
  <c r="O43" i="88"/>
  <c r="N43" i="88"/>
  <c r="L43" i="88"/>
  <c r="F43" i="88"/>
  <c r="AL42" i="88"/>
  <c r="Q42" i="88"/>
  <c r="P42" i="88"/>
  <c r="O42" i="88"/>
  <c r="F42" i="88" s="1"/>
  <c r="N42" i="88"/>
  <c r="L42" i="88"/>
  <c r="AL41" i="88"/>
  <c r="Q41" i="88"/>
  <c r="P41" i="88"/>
  <c r="O41" i="88"/>
  <c r="N41" i="88"/>
  <c r="L41" i="88"/>
  <c r="AL40" i="88"/>
  <c r="Q40" i="88"/>
  <c r="P40" i="88"/>
  <c r="O40" i="88"/>
  <c r="F40" i="88" s="1"/>
  <c r="N40" i="88"/>
  <c r="L40" i="88"/>
  <c r="AL39" i="88"/>
  <c r="Q39" i="88"/>
  <c r="P39" i="88"/>
  <c r="O39" i="88"/>
  <c r="F39" i="88" s="1"/>
  <c r="N39" i="88"/>
  <c r="L39" i="88"/>
  <c r="AL38" i="88"/>
  <c r="Q38" i="88"/>
  <c r="P38" i="88"/>
  <c r="O38" i="88"/>
  <c r="N38" i="88"/>
  <c r="L38" i="88"/>
  <c r="F38" i="88"/>
  <c r="AL37" i="88"/>
  <c r="Q37" i="88"/>
  <c r="P37" i="88"/>
  <c r="O37" i="88"/>
  <c r="N37" i="88"/>
  <c r="L37" i="88"/>
  <c r="AL36" i="88"/>
  <c r="Q36" i="88"/>
  <c r="P36" i="88"/>
  <c r="O36" i="88"/>
  <c r="F36" i="88" s="1"/>
  <c r="N36" i="88"/>
  <c r="L36" i="88"/>
  <c r="AL35" i="88"/>
  <c r="Q35" i="88"/>
  <c r="P35" i="88"/>
  <c r="O35" i="88"/>
  <c r="F35" i="88" s="1"/>
  <c r="N35" i="88"/>
  <c r="L35" i="88"/>
  <c r="AL34" i="88"/>
  <c r="Q34" i="88"/>
  <c r="P34" i="88"/>
  <c r="O34" i="88"/>
  <c r="N34" i="88"/>
  <c r="L34" i="88"/>
  <c r="F34" i="88"/>
  <c r="AL33" i="88"/>
  <c r="Q33" i="88"/>
  <c r="P33" i="88"/>
  <c r="O33" i="88"/>
  <c r="F33" i="88" s="1"/>
  <c r="N33" i="88"/>
  <c r="L33" i="88"/>
  <c r="AL32" i="88"/>
  <c r="Q32" i="88"/>
  <c r="P32" i="88"/>
  <c r="O32" i="88"/>
  <c r="N32" i="88"/>
  <c r="L32" i="88"/>
  <c r="AL31" i="88"/>
  <c r="Q31" i="88"/>
  <c r="P31" i="88"/>
  <c r="O31" i="88"/>
  <c r="F31" i="88" s="1"/>
  <c r="N31" i="88"/>
  <c r="L31" i="88"/>
  <c r="AL30" i="88"/>
  <c r="Q30" i="88"/>
  <c r="P30" i="88"/>
  <c r="O30" i="88"/>
  <c r="F30" i="88" s="1"/>
  <c r="N30" i="88"/>
  <c r="L30" i="88"/>
  <c r="AL29" i="88"/>
  <c r="Q29" i="88"/>
  <c r="P29" i="88"/>
  <c r="O29" i="88"/>
  <c r="N29" i="88"/>
  <c r="L29" i="88"/>
  <c r="AL28" i="88"/>
  <c r="Q28" i="88"/>
  <c r="P28" i="88"/>
  <c r="O28" i="88"/>
  <c r="N28" i="88"/>
  <c r="L28" i="88"/>
  <c r="F28" i="88"/>
  <c r="AL27" i="88"/>
  <c r="Q27" i="88"/>
  <c r="P27" i="88"/>
  <c r="O27" i="88"/>
  <c r="N27" i="88"/>
  <c r="L27" i="88"/>
  <c r="F27" i="88"/>
  <c r="AL26" i="88"/>
  <c r="Q26" i="88"/>
  <c r="P26" i="88"/>
  <c r="O26" i="88"/>
  <c r="N26" i="88"/>
  <c r="L26" i="88"/>
  <c r="AL25" i="88"/>
  <c r="Q25" i="88"/>
  <c r="P25" i="88"/>
  <c r="O25" i="88"/>
  <c r="F25" i="88" s="1"/>
  <c r="N25" i="88"/>
  <c r="L25" i="88"/>
  <c r="AL24" i="88"/>
  <c r="Q24" i="88"/>
  <c r="P24" i="88"/>
  <c r="O24" i="88"/>
  <c r="F24" i="88" s="1"/>
  <c r="N24" i="88"/>
  <c r="L24" i="88"/>
  <c r="AL23" i="88"/>
  <c r="Q23" i="88"/>
  <c r="P23" i="88"/>
  <c r="O23" i="88"/>
  <c r="F23" i="88" s="1"/>
  <c r="N23" i="88"/>
  <c r="L23" i="88"/>
  <c r="AL22" i="88"/>
  <c r="Q22" i="88"/>
  <c r="P22" i="88"/>
  <c r="O22" i="88"/>
  <c r="F22" i="88" s="1"/>
  <c r="N22" i="88"/>
  <c r="L22" i="88"/>
  <c r="AL21" i="88"/>
  <c r="V21" i="88"/>
  <c r="Q21" i="88"/>
  <c r="P21" i="88"/>
  <c r="O21" i="88"/>
  <c r="N21" i="88"/>
  <c r="L21" i="88"/>
  <c r="AL20" i="88"/>
  <c r="V20" i="88"/>
  <c r="Q20" i="88"/>
  <c r="P20" i="88"/>
  <c r="F20" i="88" s="1"/>
  <c r="O20" i="88"/>
  <c r="N20" i="88"/>
  <c r="L20" i="88"/>
  <c r="AL19" i="88"/>
  <c r="V19" i="88"/>
  <c r="Q19" i="88"/>
  <c r="P19" i="88"/>
  <c r="O19" i="88"/>
  <c r="N19" i="88"/>
  <c r="L19" i="88"/>
  <c r="AL18" i="88"/>
  <c r="Q18" i="88"/>
  <c r="P18" i="88"/>
  <c r="O18" i="88"/>
  <c r="F18" i="88" s="1"/>
  <c r="N18" i="88"/>
  <c r="L18" i="88"/>
  <c r="AL17" i="88"/>
  <c r="Q17" i="88"/>
  <c r="P17" i="88"/>
  <c r="O17" i="88"/>
  <c r="F17" i="88" s="1"/>
  <c r="N17" i="88"/>
  <c r="L17" i="88"/>
  <c r="AL16" i="88"/>
  <c r="Q16" i="88"/>
  <c r="P16" i="88"/>
  <c r="O16" i="88"/>
  <c r="F16" i="88" s="1"/>
  <c r="N16" i="88"/>
  <c r="L16" i="88"/>
  <c r="AL15" i="88"/>
  <c r="Q15" i="88"/>
  <c r="P15" i="88"/>
  <c r="O15" i="88"/>
  <c r="N15" i="88"/>
  <c r="L15" i="88"/>
  <c r="AL14" i="88"/>
  <c r="Q14" i="88"/>
  <c r="P14" i="88"/>
  <c r="O14" i="88"/>
  <c r="F14" i="88" s="1"/>
  <c r="N14" i="88"/>
  <c r="L14" i="88"/>
  <c r="AL13" i="88"/>
  <c r="Q13" i="88"/>
  <c r="P13" i="88"/>
  <c r="O13" i="88"/>
  <c r="N13" i="88"/>
  <c r="L13" i="88"/>
  <c r="AL12" i="88"/>
  <c r="V12" i="88"/>
  <c r="Q12" i="88"/>
  <c r="P12" i="88"/>
  <c r="O12" i="88"/>
  <c r="N12" i="88"/>
  <c r="L12" i="88"/>
  <c r="AL11" i="88"/>
  <c r="Q11" i="88"/>
  <c r="P11" i="88"/>
  <c r="O11" i="88"/>
  <c r="N11" i="88"/>
  <c r="L11" i="88"/>
  <c r="F11" i="88"/>
  <c r="AL10" i="88"/>
  <c r="Q10" i="88"/>
  <c r="P10" i="88"/>
  <c r="F10" i="88" s="1"/>
  <c r="O10" i="88"/>
  <c r="N10" i="88"/>
  <c r="L10" i="88"/>
  <c r="AL9" i="88"/>
  <c r="Q9" i="88"/>
  <c r="P9" i="88"/>
  <c r="O9" i="88"/>
  <c r="F9" i="88" s="1"/>
  <c r="N9" i="88"/>
  <c r="L9" i="88"/>
  <c r="AL8" i="88"/>
  <c r="Q8" i="88"/>
  <c r="P8" i="88"/>
  <c r="O8" i="88"/>
  <c r="F8" i="88" s="1"/>
  <c r="N8" i="88"/>
  <c r="L8" i="88"/>
  <c r="AL7" i="88"/>
  <c r="Q7" i="88"/>
  <c r="P7" i="88"/>
  <c r="O7" i="88"/>
  <c r="F7" i="88" s="1"/>
  <c r="N7" i="88"/>
  <c r="L7" i="88"/>
  <c r="AL6" i="88"/>
  <c r="V6" i="88"/>
  <c r="Q6" i="88"/>
  <c r="P6" i="88"/>
  <c r="O6" i="88"/>
  <c r="F6" i="88" s="1"/>
  <c r="N6" i="88"/>
  <c r="L6" i="88"/>
  <c r="AL5" i="88"/>
  <c r="Q5" i="88"/>
  <c r="P5" i="88"/>
  <c r="O5" i="88"/>
  <c r="N5" i="88"/>
  <c r="L5" i="88"/>
  <c r="F5" i="88"/>
  <c r="AL4" i="88"/>
  <c r="Q4" i="88"/>
  <c r="P4" i="88"/>
  <c r="O4" i="88"/>
  <c r="N4" i="88"/>
  <c r="L4" i="88"/>
  <c r="F4" i="88"/>
  <c r="AL3" i="88"/>
  <c r="Q3" i="88"/>
  <c r="P3" i="88"/>
  <c r="O3" i="88"/>
  <c r="N3" i="88"/>
  <c r="L3" i="88"/>
  <c r="F3" i="88"/>
  <c r="Q2" i="88"/>
  <c r="P2" i="88"/>
  <c r="O2" i="88"/>
  <c r="N2" i="88"/>
  <c r="V4" i="88" s="1"/>
  <c r="L13" i="78" s="1"/>
  <c r="L2" i="88"/>
  <c r="F2" i="88"/>
  <c r="AL581" i="89"/>
  <c r="AL580" i="89"/>
  <c r="AL579" i="89"/>
  <c r="AL578" i="89"/>
  <c r="AL577" i="89"/>
  <c r="AL576" i="89"/>
  <c r="AL575" i="89"/>
  <c r="AL574" i="89"/>
  <c r="AL573" i="89"/>
  <c r="AL572" i="89"/>
  <c r="AL571" i="89"/>
  <c r="AL570" i="89"/>
  <c r="AL569" i="89"/>
  <c r="AL568" i="89"/>
  <c r="AL567" i="89"/>
  <c r="AL566" i="89"/>
  <c r="AL565" i="89"/>
  <c r="AL564" i="89"/>
  <c r="AL563" i="89"/>
  <c r="AL562" i="89"/>
  <c r="AL561" i="89"/>
  <c r="AL560" i="89"/>
  <c r="AL559" i="89"/>
  <c r="AL558" i="89"/>
  <c r="AL557" i="89"/>
  <c r="AL556" i="89"/>
  <c r="AL555" i="89"/>
  <c r="AL554" i="89"/>
  <c r="AL553" i="89"/>
  <c r="AL552" i="89"/>
  <c r="AL551" i="89"/>
  <c r="AL550" i="89"/>
  <c r="AL549" i="89"/>
  <c r="AL548" i="89"/>
  <c r="AL547" i="89"/>
  <c r="AL546" i="89"/>
  <c r="AL545" i="89"/>
  <c r="AL544" i="89"/>
  <c r="AL543" i="89"/>
  <c r="AL542" i="89"/>
  <c r="AL541" i="89"/>
  <c r="AL540" i="89"/>
  <c r="AL539" i="89"/>
  <c r="AL538" i="89"/>
  <c r="AL537" i="89"/>
  <c r="AL536" i="89"/>
  <c r="AL535" i="89"/>
  <c r="AL534" i="89"/>
  <c r="AL533" i="89"/>
  <c r="AL532" i="89"/>
  <c r="AL531" i="89"/>
  <c r="AL530" i="89"/>
  <c r="AL529" i="89"/>
  <c r="AL528" i="89"/>
  <c r="AL527" i="89"/>
  <c r="AL526" i="89"/>
  <c r="AL525" i="89"/>
  <c r="AL524" i="89"/>
  <c r="AL523" i="89"/>
  <c r="AL522" i="89"/>
  <c r="AL521" i="89"/>
  <c r="AL520" i="89"/>
  <c r="AL519" i="89"/>
  <c r="AL518" i="89"/>
  <c r="AL517" i="89"/>
  <c r="AL516" i="89"/>
  <c r="AL515" i="89"/>
  <c r="AL514" i="89"/>
  <c r="AL513" i="89"/>
  <c r="AL512" i="89"/>
  <c r="AL511" i="89"/>
  <c r="AL510" i="89"/>
  <c r="AL509" i="89"/>
  <c r="AL508" i="89"/>
  <c r="AL507" i="89"/>
  <c r="AL506" i="89"/>
  <c r="AL505" i="89"/>
  <c r="AL504" i="89"/>
  <c r="AL503" i="89"/>
  <c r="AL502" i="89"/>
  <c r="AL501" i="89"/>
  <c r="AL500" i="89"/>
  <c r="AL499" i="89"/>
  <c r="AL498" i="89"/>
  <c r="AL497" i="89"/>
  <c r="AL496" i="89"/>
  <c r="AL495" i="89"/>
  <c r="AL494" i="89"/>
  <c r="AL493" i="89"/>
  <c r="AL492" i="89"/>
  <c r="AL491" i="89"/>
  <c r="AL490" i="89"/>
  <c r="AL489" i="89"/>
  <c r="AL488" i="89"/>
  <c r="AL487" i="89"/>
  <c r="AL486" i="89"/>
  <c r="AL485" i="89"/>
  <c r="AL484" i="89"/>
  <c r="AL483" i="89"/>
  <c r="AL482" i="89"/>
  <c r="AL481" i="89"/>
  <c r="AL480" i="89"/>
  <c r="AL479" i="89"/>
  <c r="AL478" i="89"/>
  <c r="AL477" i="89"/>
  <c r="AL476" i="89"/>
  <c r="AL475" i="89"/>
  <c r="AL474" i="89"/>
  <c r="AL473" i="89"/>
  <c r="AL472" i="89"/>
  <c r="AL471" i="89"/>
  <c r="AL470" i="89"/>
  <c r="AL469" i="89"/>
  <c r="AL468" i="89"/>
  <c r="AL467" i="89"/>
  <c r="AL466" i="89"/>
  <c r="AL465" i="89"/>
  <c r="AL464" i="89"/>
  <c r="AL463" i="89"/>
  <c r="AL462" i="89"/>
  <c r="AL461" i="89"/>
  <c r="AL460" i="89"/>
  <c r="AL459" i="89"/>
  <c r="AL458" i="89"/>
  <c r="AL457" i="89"/>
  <c r="AL456" i="89"/>
  <c r="AL455" i="89"/>
  <c r="AL454" i="89"/>
  <c r="AL453" i="89"/>
  <c r="AL452" i="89"/>
  <c r="AL451" i="89"/>
  <c r="AL450" i="89"/>
  <c r="AL449" i="89"/>
  <c r="AL448" i="89"/>
  <c r="AL447" i="89"/>
  <c r="AL446" i="89"/>
  <c r="AL445" i="89"/>
  <c r="AL444" i="89"/>
  <c r="AL443" i="89"/>
  <c r="AL442" i="89"/>
  <c r="AL441" i="89"/>
  <c r="AL440" i="89"/>
  <c r="AL439" i="89"/>
  <c r="AL438" i="89"/>
  <c r="AL437" i="89"/>
  <c r="AL436" i="89"/>
  <c r="AL435" i="89"/>
  <c r="AL434" i="89"/>
  <c r="AL433" i="89"/>
  <c r="AL432" i="89"/>
  <c r="AL431" i="89"/>
  <c r="AL430" i="89"/>
  <c r="AL429" i="89"/>
  <c r="AL428" i="89"/>
  <c r="AL427" i="89"/>
  <c r="AL426" i="89"/>
  <c r="AL425" i="89"/>
  <c r="AL424" i="89"/>
  <c r="AL423" i="89"/>
  <c r="AL422" i="89"/>
  <c r="AL421" i="89"/>
  <c r="AL420" i="89"/>
  <c r="AL419" i="89"/>
  <c r="AL418" i="89"/>
  <c r="AL417" i="89"/>
  <c r="AL416" i="89"/>
  <c r="AL415" i="89"/>
  <c r="AL414" i="89"/>
  <c r="AL413" i="89"/>
  <c r="AL412" i="89"/>
  <c r="AL411" i="89"/>
  <c r="AL410" i="89"/>
  <c r="AL409" i="89"/>
  <c r="AL408" i="89"/>
  <c r="AL407" i="89"/>
  <c r="AL406" i="89"/>
  <c r="AL405" i="89"/>
  <c r="AL404" i="89"/>
  <c r="AL403" i="89"/>
  <c r="AL402" i="89"/>
  <c r="AL401" i="89"/>
  <c r="AL400" i="89"/>
  <c r="AL399" i="89"/>
  <c r="AL398" i="89"/>
  <c r="AL397" i="89"/>
  <c r="AL396" i="89"/>
  <c r="AL395" i="89"/>
  <c r="AL394" i="89"/>
  <c r="AL393" i="89"/>
  <c r="AL392" i="89"/>
  <c r="AL391" i="89"/>
  <c r="AL390" i="89"/>
  <c r="AL389" i="89"/>
  <c r="AL388" i="89"/>
  <c r="AL387" i="89"/>
  <c r="AL386" i="89"/>
  <c r="AL385" i="89"/>
  <c r="AL384" i="89"/>
  <c r="AL383" i="89"/>
  <c r="AL382" i="89"/>
  <c r="AL381" i="89"/>
  <c r="AL380" i="89"/>
  <c r="AL379" i="89"/>
  <c r="AL378" i="89"/>
  <c r="AL377" i="89"/>
  <c r="AL376" i="89"/>
  <c r="AL375" i="89"/>
  <c r="AL374" i="89"/>
  <c r="AL373" i="89"/>
  <c r="AL372" i="89"/>
  <c r="AL371" i="89"/>
  <c r="AL370" i="89"/>
  <c r="AL369" i="89"/>
  <c r="AL368" i="89"/>
  <c r="AL367" i="89"/>
  <c r="AL366" i="89"/>
  <c r="AL365" i="89"/>
  <c r="AL364" i="89"/>
  <c r="AL363" i="89"/>
  <c r="AL362" i="89"/>
  <c r="AL361" i="89"/>
  <c r="AL360" i="89"/>
  <c r="AL359" i="89"/>
  <c r="AL358" i="89"/>
  <c r="AL357" i="89"/>
  <c r="AL356" i="89"/>
  <c r="AL355" i="89"/>
  <c r="AL354" i="89"/>
  <c r="AL353" i="89"/>
  <c r="AL352" i="89"/>
  <c r="AL351" i="89"/>
  <c r="AL350" i="89"/>
  <c r="AL349" i="89"/>
  <c r="AL348" i="89"/>
  <c r="AL347" i="89"/>
  <c r="AL346" i="89"/>
  <c r="AL345" i="89"/>
  <c r="AL344" i="89"/>
  <c r="AL343" i="89"/>
  <c r="AL342" i="89"/>
  <c r="AL341" i="89"/>
  <c r="AL340" i="89"/>
  <c r="AL339" i="89"/>
  <c r="AL338" i="89"/>
  <c r="AL337" i="89"/>
  <c r="AL336" i="89"/>
  <c r="AL335" i="89"/>
  <c r="AL334" i="89"/>
  <c r="AL333" i="89"/>
  <c r="AL332" i="89"/>
  <c r="AL331" i="89"/>
  <c r="AL330" i="89"/>
  <c r="AL329" i="89"/>
  <c r="AL328" i="89"/>
  <c r="AL327" i="89"/>
  <c r="AL326" i="89"/>
  <c r="AL325" i="89"/>
  <c r="AL324" i="89"/>
  <c r="AL323" i="89"/>
  <c r="AL322" i="89"/>
  <c r="AL321" i="89"/>
  <c r="AL320" i="89"/>
  <c r="AL319" i="89"/>
  <c r="AL318" i="89"/>
  <c r="AL317" i="89"/>
  <c r="AL316" i="89"/>
  <c r="AL315" i="89"/>
  <c r="AL314" i="89"/>
  <c r="AL313" i="89"/>
  <c r="AL312" i="89"/>
  <c r="AL311" i="89"/>
  <c r="AL310" i="89"/>
  <c r="AL309" i="89"/>
  <c r="AL308" i="89"/>
  <c r="AL307" i="89"/>
  <c r="AL306" i="89"/>
  <c r="AL305" i="89"/>
  <c r="AL304" i="89"/>
  <c r="AL303" i="89"/>
  <c r="AL302" i="89"/>
  <c r="AL301" i="89"/>
  <c r="AL300" i="89"/>
  <c r="AL299" i="89"/>
  <c r="AL298" i="89"/>
  <c r="AL297" i="89"/>
  <c r="AL296" i="89"/>
  <c r="AL295" i="89"/>
  <c r="AL294" i="89"/>
  <c r="AL293" i="89"/>
  <c r="AL292" i="89"/>
  <c r="AL291" i="89"/>
  <c r="AL290" i="89"/>
  <c r="AL289" i="89"/>
  <c r="AL288" i="89"/>
  <c r="AL287" i="89"/>
  <c r="AL286" i="89"/>
  <c r="AL285" i="89"/>
  <c r="AL284" i="89"/>
  <c r="AL283" i="89"/>
  <c r="AL282" i="89"/>
  <c r="AL281" i="89"/>
  <c r="AL280" i="89"/>
  <c r="AL279" i="89"/>
  <c r="AL278" i="89"/>
  <c r="AL277" i="89"/>
  <c r="AL276" i="89"/>
  <c r="AL275" i="89"/>
  <c r="AL274" i="89"/>
  <c r="AL273" i="89"/>
  <c r="AL272" i="89"/>
  <c r="AL271" i="89"/>
  <c r="AL270" i="89"/>
  <c r="AL269" i="89"/>
  <c r="AL268" i="89"/>
  <c r="AL267" i="89"/>
  <c r="AL266" i="89"/>
  <c r="AL265" i="89"/>
  <c r="AL264" i="89"/>
  <c r="AL263" i="89"/>
  <c r="AL262" i="89"/>
  <c r="AL261" i="89"/>
  <c r="AL260" i="89"/>
  <c r="AL259" i="89"/>
  <c r="AL258" i="89"/>
  <c r="AL257" i="89"/>
  <c r="AL256" i="89"/>
  <c r="AL255" i="89"/>
  <c r="AL254" i="89"/>
  <c r="AL253" i="89"/>
  <c r="AL252" i="89"/>
  <c r="AL251" i="89"/>
  <c r="AL250" i="89"/>
  <c r="AL249" i="89"/>
  <c r="AL248" i="89"/>
  <c r="AL247" i="89"/>
  <c r="AL246" i="89"/>
  <c r="AL245" i="89"/>
  <c r="AL244" i="89"/>
  <c r="AL243" i="89"/>
  <c r="AL242" i="89"/>
  <c r="AL241" i="89"/>
  <c r="AL240" i="89"/>
  <c r="AL239" i="89"/>
  <c r="AL238" i="89"/>
  <c r="AL237" i="89"/>
  <c r="AL236" i="89"/>
  <c r="AL235" i="89"/>
  <c r="AL234" i="89"/>
  <c r="AL233" i="89"/>
  <c r="AL232" i="89"/>
  <c r="AL231" i="89"/>
  <c r="AL230" i="89"/>
  <c r="AL229" i="89"/>
  <c r="AL228" i="89"/>
  <c r="AL227" i="89"/>
  <c r="AL226" i="89"/>
  <c r="AL225" i="89"/>
  <c r="AL224" i="89"/>
  <c r="AL223" i="89"/>
  <c r="AL222" i="89"/>
  <c r="AL221" i="89"/>
  <c r="AL220" i="89"/>
  <c r="AL219" i="89"/>
  <c r="AL218" i="89"/>
  <c r="AL217" i="89"/>
  <c r="AL216" i="89"/>
  <c r="AL215" i="89"/>
  <c r="AL214" i="89"/>
  <c r="AL213" i="89"/>
  <c r="AL212" i="89"/>
  <c r="AL211" i="89"/>
  <c r="AL210" i="89"/>
  <c r="AL209" i="89"/>
  <c r="AL208" i="89"/>
  <c r="AL207" i="89"/>
  <c r="AL206" i="89"/>
  <c r="AL205" i="89"/>
  <c r="AL204" i="89"/>
  <c r="AL203" i="89"/>
  <c r="AL202" i="89"/>
  <c r="AL201" i="89"/>
  <c r="AL200" i="89"/>
  <c r="AL199" i="89"/>
  <c r="AL198" i="89"/>
  <c r="AL197" i="89"/>
  <c r="AL196" i="89"/>
  <c r="AL195" i="89"/>
  <c r="AL194" i="89"/>
  <c r="AL193" i="89"/>
  <c r="AL192" i="89"/>
  <c r="AL191" i="89"/>
  <c r="AL190" i="89"/>
  <c r="AL189" i="89"/>
  <c r="AL188" i="89"/>
  <c r="AL187" i="89"/>
  <c r="AL186" i="89"/>
  <c r="AL185" i="89"/>
  <c r="AL184" i="89"/>
  <c r="AL183" i="89"/>
  <c r="AL182" i="89"/>
  <c r="AL181" i="89"/>
  <c r="AL180" i="89"/>
  <c r="AL179" i="89"/>
  <c r="AL178" i="89"/>
  <c r="AL177" i="89"/>
  <c r="AL176" i="89"/>
  <c r="AL175" i="89"/>
  <c r="AL174" i="89"/>
  <c r="AL173" i="89"/>
  <c r="AL172" i="89"/>
  <c r="AL171" i="89"/>
  <c r="AL170" i="89"/>
  <c r="AL169" i="89"/>
  <c r="AL168" i="89"/>
  <c r="AL167" i="89"/>
  <c r="AL166" i="89"/>
  <c r="AL165" i="89"/>
  <c r="AL164" i="89"/>
  <c r="AL163" i="89"/>
  <c r="AL162" i="89"/>
  <c r="AL161" i="89"/>
  <c r="AL160" i="89"/>
  <c r="AL159" i="89"/>
  <c r="AL158" i="89"/>
  <c r="AL157" i="89"/>
  <c r="AL156" i="89"/>
  <c r="AL155" i="89"/>
  <c r="AL154" i="89"/>
  <c r="AL153" i="89"/>
  <c r="AL152" i="89"/>
  <c r="AL151" i="89"/>
  <c r="AL150" i="89"/>
  <c r="AL149" i="89"/>
  <c r="AL148" i="89"/>
  <c r="AL147" i="89"/>
  <c r="AL146" i="89"/>
  <c r="AL145" i="89"/>
  <c r="AL144" i="89"/>
  <c r="AL143" i="89"/>
  <c r="Q143" i="89"/>
  <c r="P143" i="89"/>
  <c r="O143" i="89"/>
  <c r="F143" i="89" s="1"/>
  <c r="N143" i="89"/>
  <c r="L143" i="89"/>
  <c r="AL142" i="89"/>
  <c r="Q142" i="89"/>
  <c r="P142" i="89"/>
  <c r="O142" i="89"/>
  <c r="N142" i="89"/>
  <c r="L142" i="89"/>
  <c r="AL141" i="89"/>
  <c r="Q141" i="89"/>
  <c r="P141" i="89"/>
  <c r="O141" i="89"/>
  <c r="F141" i="89" s="1"/>
  <c r="N141" i="89"/>
  <c r="L141" i="89"/>
  <c r="AL140" i="89"/>
  <c r="Q140" i="89"/>
  <c r="P140" i="89"/>
  <c r="O140" i="89"/>
  <c r="N140" i="89"/>
  <c r="L140" i="89"/>
  <c r="AL139" i="89"/>
  <c r="Q139" i="89"/>
  <c r="P139" i="89"/>
  <c r="O139" i="89"/>
  <c r="F139" i="89" s="1"/>
  <c r="N139" i="89"/>
  <c r="L139" i="89"/>
  <c r="AL138" i="89"/>
  <c r="Q138" i="89"/>
  <c r="P138" i="89"/>
  <c r="O138" i="89"/>
  <c r="N138" i="89"/>
  <c r="L138" i="89"/>
  <c r="AL137" i="89"/>
  <c r="Q137" i="89"/>
  <c r="P137" i="89"/>
  <c r="O137" i="89"/>
  <c r="N137" i="89"/>
  <c r="L137" i="89"/>
  <c r="AL136" i="89"/>
  <c r="Q136" i="89"/>
  <c r="P136" i="89"/>
  <c r="O136" i="89"/>
  <c r="N136" i="89"/>
  <c r="L136" i="89"/>
  <c r="AL135" i="89"/>
  <c r="Q135" i="89"/>
  <c r="P135" i="89"/>
  <c r="O135" i="89"/>
  <c r="F135" i="89" s="1"/>
  <c r="N135" i="89"/>
  <c r="L135" i="89"/>
  <c r="AL134" i="89"/>
  <c r="Q134" i="89"/>
  <c r="P134" i="89"/>
  <c r="O134" i="89"/>
  <c r="N134" i="89"/>
  <c r="L134" i="89"/>
  <c r="AL133" i="89"/>
  <c r="Q133" i="89"/>
  <c r="P133" i="89"/>
  <c r="O133" i="89"/>
  <c r="F133" i="89" s="1"/>
  <c r="N133" i="89"/>
  <c r="L133" i="89"/>
  <c r="AL132" i="89"/>
  <c r="Q132" i="89"/>
  <c r="P132" i="89"/>
  <c r="O132" i="89"/>
  <c r="N132" i="89"/>
  <c r="L132" i="89"/>
  <c r="AL131" i="89"/>
  <c r="Q131" i="89"/>
  <c r="P131" i="89"/>
  <c r="O131" i="89"/>
  <c r="F131" i="89" s="1"/>
  <c r="N131" i="89"/>
  <c r="L131" i="89"/>
  <c r="AL130" i="89"/>
  <c r="Q130" i="89"/>
  <c r="P130" i="89"/>
  <c r="O130" i="89"/>
  <c r="N130" i="89"/>
  <c r="L130" i="89"/>
  <c r="AL129" i="89"/>
  <c r="Q129" i="89"/>
  <c r="P129" i="89"/>
  <c r="O129" i="89"/>
  <c r="N129" i="89"/>
  <c r="L129" i="89"/>
  <c r="AL128" i="89"/>
  <c r="Q128" i="89"/>
  <c r="P128" i="89"/>
  <c r="O128" i="89"/>
  <c r="N128" i="89"/>
  <c r="L128" i="89"/>
  <c r="AL127" i="89"/>
  <c r="Q127" i="89"/>
  <c r="P127" i="89"/>
  <c r="O127" i="89"/>
  <c r="F127" i="89" s="1"/>
  <c r="N127" i="89"/>
  <c r="L127" i="89"/>
  <c r="AL126" i="89"/>
  <c r="Q126" i="89"/>
  <c r="P126" i="89"/>
  <c r="O126" i="89"/>
  <c r="N126" i="89"/>
  <c r="L126" i="89"/>
  <c r="AL125" i="89"/>
  <c r="Q125" i="89"/>
  <c r="P125" i="89"/>
  <c r="O125" i="89"/>
  <c r="F125" i="89" s="1"/>
  <c r="N125" i="89"/>
  <c r="L125" i="89"/>
  <c r="AL124" i="89"/>
  <c r="Q124" i="89"/>
  <c r="P124" i="89"/>
  <c r="O124" i="89"/>
  <c r="N124" i="89"/>
  <c r="L124" i="89"/>
  <c r="AL123" i="89"/>
  <c r="Q123" i="89"/>
  <c r="P123" i="89"/>
  <c r="O123" i="89"/>
  <c r="F123" i="89" s="1"/>
  <c r="N123" i="89"/>
  <c r="L123" i="89"/>
  <c r="AL122" i="89"/>
  <c r="Q122" i="89"/>
  <c r="P122" i="89"/>
  <c r="O122" i="89"/>
  <c r="N122" i="89"/>
  <c r="L122" i="89"/>
  <c r="AL121" i="89"/>
  <c r="Q121" i="89"/>
  <c r="P121" i="89"/>
  <c r="O121" i="89"/>
  <c r="N121" i="89"/>
  <c r="L121" i="89"/>
  <c r="AL120" i="89"/>
  <c r="Q120" i="89"/>
  <c r="P120" i="89"/>
  <c r="O120" i="89"/>
  <c r="N120" i="89"/>
  <c r="L120" i="89"/>
  <c r="AL119" i="89"/>
  <c r="Q119" i="89"/>
  <c r="P119" i="89"/>
  <c r="O119" i="89"/>
  <c r="F119" i="89" s="1"/>
  <c r="N119" i="89"/>
  <c r="L119" i="89"/>
  <c r="AL118" i="89"/>
  <c r="Q118" i="89"/>
  <c r="P118" i="89"/>
  <c r="O118" i="89"/>
  <c r="N118" i="89"/>
  <c r="L118" i="89"/>
  <c r="AL117" i="89"/>
  <c r="Q117" i="89"/>
  <c r="P117" i="89"/>
  <c r="O117" i="89"/>
  <c r="F117" i="89" s="1"/>
  <c r="N117" i="89"/>
  <c r="L117" i="89"/>
  <c r="AL116" i="89"/>
  <c r="Q116" i="89"/>
  <c r="P116" i="89"/>
  <c r="O116" i="89"/>
  <c r="N116" i="89"/>
  <c r="L116" i="89"/>
  <c r="AL115" i="89"/>
  <c r="Q115" i="89"/>
  <c r="P115" i="89"/>
  <c r="O115" i="89"/>
  <c r="F115" i="89" s="1"/>
  <c r="N115" i="89"/>
  <c r="L115" i="89"/>
  <c r="AL114" i="89"/>
  <c r="Q114" i="89"/>
  <c r="P114" i="89"/>
  <c r="O114" i="89"/>
  <c r="N114" i="89"/>
  <c r="L114" i="89"/>
  <c r="AL113" i="89"/>
  <c r="Q113" i="89"/>
  <c r="P113" i="89"/>
  <c r="O113" i="89"/>
  <c r="N113" i="89"/>
  <c r="L113" i="89"/>
  <c r="AL112" i="89"/>
  <c r="Q112" i="89"/>
  <c r="P112" i="89"/>
  <c r="O112" i="89"/>
  <c r="N112" i="89"/>
  <c r="L112" i="89"/>
  <c r="AL111" i="89"/>
  <c r="Q111" i="89"/>
  <c r="P111" i="89"/>
  <c r="O111" i="89"/>
  <c r="F111" i="89" s="1"/>
  <c r="N111" i="89"/>
  <c r="L111" i="89"/>
  <c r="AL110" i="89"/>
  <c r="Q110" i="89"/>
  <c r="P110" i="89"/>
  <c r="O110" i="89"/>
  <c r="N110" i="89"/>
  <c r="L110" i="89"/>
  <c r="AL109" i="89"/>
  <c r="Q109" i="89"/>
  <c r="P109" i="89"/>
  <c r="O109" i="89"/>
  <c r="F109" i="89" s="1"/>
  <c r="N109" i="89"/>
  <c r="L109" i="89"/>
  <c r="AL108" i="89"/>
  <c r="Q108" i="89"/>
  <c r="P108" i="89"/>
  <c r="O108" i="89"/>
  <c r="N108" i="89"/>
  <c r="L108" i="89"/>
  <c r="AL107" i="89"/>
  <c r="Q107" i="89"/>
  <c r="P107" i="89"/>
  <c r="O107" i="89"/>
  <c r="F107" i="89" s="1"/>
  <c r="N107" i="89"/>
  <c r="L107" i="89"/>
  <c r="AL106" i="89"/>
  <c r="Q106" i="89"/>
  <c r="P106" i="89"/>
  <c r="O106" i="89"/>
  <c r="N106" i="89"/>
  <c r="L106" i="89"/>
  <c r="AL105" i="89"/>
  <c r="Q105" i="89"/>
  <c r="P105" i="89"/>
  <c r="O105" i="89"/>
  <c r="N105" i="89"/>
  <c r="L105" i="89"/>
  <c r="AL104" i="89"/>
  <c r="Q104" i="89"/>
  <c r="P104" i="89"/>
  <c r="O104" i="89"/>
  <c r="N104" i="89"/>
  <c r="L104" i="89"/>
  <c r="AL103" i="89"/>
  <c r="Q103" i="89"/>
  <c r="P103" i="89"/>
  <c r="O103" i="89"/>
  <c r="F103" i="89" s="1"/>
  <c r="N103" i="89"/>
  <c r="L103" i="89"/>
  <c r="AL102" i="89"/>
  <c r="Q102" i="89"/>
  <c r="P102" i="89"/>
  <c r="O102" i="89"/>
  <c r="N102" i="89"/>
  <c r="L102" i="89"/>
  <c r="AL101" i="89"/>
  <c r="Q101" i="89"/>
  <c r="P101" i="89"/>
  <c r="O101" i="89"/>
  <c r="F101" i="89" s="1"/>
  <c r="N101" i="89"/>
  <c r="L101" i="89"/>
  <c r="AL100" i="89"/>
  <c r="Q100" i="89"/>
  <c r="P100" i="89"/>
  <c r="O100" i="89"/>
  <c r="N100" i="89"/>
  <c r="L100" i="89"/>
  <c r="AL99" i="89"/>
  <c r="Q99" i="89"/>
  <c r="P99" i="89"/>
  <c r="O99" i="89"/>
  <c r="F99" i="89" s="1"/>
  <c r="N99" i="89"/>
  <c r="L99" i="89"/>
  <c r="AL98" i="89"/>
  <c r="Q98" i="89"/>
  <c r="P98" i="89"/>
  <c r="O98" i="89"/>
  <c r="N98" i="89"/>
  <c r="L98" i="89"/>
  <c r="AL97" i="89"/>
  <c r="Q97" i="89"/>
  <c r="P97" i="89"/>
  <c r="O97" i="89"/>
  <c r="N97" i="89"/>
  <c r="L97" i="89"/>
  <c r="AL96" i="89"/>
  <c r="Q96" i="89"/>
  <c r="P96" i="89"/>
  <c r="O96" i="89"/>
  <c r="N96" i="89"/>
  <c r="L96" i="89"/>
  <c r="AL95" i="89"/>
  <c r="Q95" i="89"/>
  <c r="P95" i="89"/>
  <c r="O95" i="89"/>
  <c r="F95" i="89" s="1"/>
  <c r="N95" i="89"/>
  <c r="L95" i="89"/>
  <c r="AL94" i="89"/>
  <c r="Q94" i="89"/>
  <c r="P94" i="89"/>
  <c r="O94" i="89"/>
  <c r="N94" i="89"/>
  <c r="L94" i="89"/>
  <c r="AL93" i="89"/>
  <c r="Q93" i="89"/>
  <c r="P93" i="89"/>
  <c r="O93" i="89"/>
  <c r="F93" i="89" s="1"/>
  <c r="N93" i="89"/>
  <c r="L93" i="89"/>
  <c r="AL92" i="89"/>
  <c r="Q92" i="89"/>
  <c r="P92" i="89"/>
  <c r="O92" i="89"/>
  <c r="N92" i="89"/>
  <c r="L92" i="89"/>
  <c r="AL91" i="89"/>
  <c r="Q91" i="89"/>
  <c r="P91" i="89"/>
  <c r="O91" i="89"/>
  <c r="F91" i="89" s="1"/>
  <c r="N91" i="89"/>
  <c r="L91" i="89"/>
  <c r="AL90" i="89"/>
  <c r="Q90" i="89"/>
  <c r="P90" i="89"/>
  <c r="O90" i="89"/>
  <c r="N90" i="89"/>
  <c r="L90" i="89"/>
  <c r="AL89" i="89"/>
  <c r="Q89" i="89"/>
  <c r="P89" i="89"/>
  <c r="O89" i="89"/>
  <c r="N89" i="89"/>
  <c r="L89" i="89"/>
  <c r="AL88" i="89"/>
  <c r="Q88" i="89"/>
  <c r="P88" i="89"/>
  <c r="O88" i="89"/>
  <c r="N88" i="89"/>
  <c r="L88" i="89"/>
  <c r="AL87" i="89"/>
  <c r="Q87" i="89"/>
  <c r="P87" i="89"/>
  <c r="O87" i="89"/>
  <c r="F87" i="89" s="1"/>
  <c r="N87" i="89"/>
  <c r="L87" i="89"/>
  <c r="AL86" i="89"/>
  <c r="Q86" i="89"/>
  <c r="P86" i="89"/>
  <c r="O86" i="89"/>
  <c r="N86" i="89"/>
  <c r="L86" i="89"/>
  <c r="AL85" i="89"/>
  <c r="Q85" i="89"/>
  <c r="P85" i="89"/>
  <c r="O85" i="89"/>
  <c r="F85" i="89" s="1"/>
  <c r="N85" i="89"/>
  <c r="L85" i="89"/>
  <c r="AL84" i="89"/>
  <c r="Q84" i="89"/>
  <c r="P84" i="89"/>
  <c r="O84" i="89"/>
  <c r="N84" i="89"/>
  <c r="L84" i="89"/>
  <c r="AL83" i="89"/>
  <c r="Q83" i="89"/>
  <c r="P83" i="89"/>
  <c r="O83" i="89"/>
  <c r="F83" i="89" s="1"/>
  <c r="N83" i="89"/>
  <c r="L83" i="89"/>
  <c r="AL82" i="89"/>
  <c r="Q82" i="89"/>
  <c r="P82" i="89"/>
  <c r="O82" i="89"/>
  <c r="N82" i="89"/>
  <c r="L82" i="89"/>
  <c r="AL81" i="89"/>
  <c r="Q81" i="89"/>
  <c r="P81" i="89"/>
  <c r="O81" i="89"/>
  <c r="N81" i="89"/>
  <c r="L81" i="89"/>
  <c r="AL80" i="89"/>
  <c r="Q80" i="89"/>
  <c r="P80" i="89"/>
  <c r="O80" i="89"/>
  <c r="N80" i="89"/>
  <c r="L80" i="89"/>
  <c r="AL79" i="89"/>
  <c r="Q79" i="89"/>
  <c r="P79" i="89"/>
  <c r="O79" i="89"/>
  <c r="F79" i="89" s="1"/>
  <c r="N79" i="89"/>
  <c r="L79" i="89"/>
  <c r="AL78" i="89"/>
  <c r="Q78" i="89"/>
  <c r="P78" i="89"/>
  <c r="O78" i="89"/>
  <c r="N78" i="89"/>
  <c r="L78" i="89"/>
  <c r="AL77" i="89"/>
  <c r="Q77" i="89"/>
  <c r="P77" i="89"/>
  <c r="O77" i="89"/>
  <c r="F77" i="89" s="1"/>
  <c r="N77" i="89"/>
  <c r="L77" i="89"/>
  <c r="AL76" i="89"/>
  <c r="Q76" i="89"/>
  <c r="P76" i="89"/>
  <c r="O76" i="89"/>
  <c r="N76" i="89"/>
  <c r="L76" i="89"/>
  <c r="AL75" i="89"/>
  <c r="Q75" i="89"/>
  <c r="P75" i="89"/>
  <c r="O75" i="89"/>
  <c r="F75" i="89" s="1"/>
  <c r="N75" i="89"/>
  <c r="L75" i="89"/>
  <c r="AL74" i="89"/>
  <c r="Q74" i="89"/>
  <c r="P74" i="89"/>
  <c r="O74" i="89"/>
  <c r="N74" i="89"/>
  <c r="L74" i="89"/>
  <c r="AL73" i="89"/>
  <c r="Q73" i="89"/>
  <c r="P73" i="89"/>
  <c r="O73" i="89"/>
  <c r="N73" i="89"/>
  <c r="L73" i="89"/>
  <c r="AL72" i="89"/>
  <c r="Q72" i="89"/>
  <c r="P72" i="89"/>
  <c r="O72" i="89"/>
  <c r="N72" i="89"/>
  <c r="L72" i="89"/>
  <c r="AL71" i="89"/>
  <c r="Q71" i="89"/>
  <c r="P71" i="89"/>
  <c r="O71" i="89"/>
  <c r="F71" i="89" s="1"/>
  <c r="N71" i="89"/>
  <c r="L71" i="89"/>
  <c r="AL70" i="89"/>
  <c r="Q70" i="89"/>
  <c r="P70" i="89"/>
  <c r="O70" i="89"/>
  <c r="N70" i="89"/>
  <c r="L70" i="89"/>
  <c r="AL69" i="89"/>
  <c r="Q69" i="89"/>
  <c r="P69" i="89"/>
  <c r="O69" i="89"/>
  <c r="F69" i="89" s="1"/>
  <c r="N69" i="89"/>
  <c r="L69" i="89"/>
  <c r="AL68" i="89"/>
  <c r="Q68" i="89"/>
  <c r="P68" i="89"/>
  <c r="O68" i="89"/>
  <c r="N68" i="89"/>
  <c r="L68" i="89"/>
  <c r="AL67" i="89"/>
  <c r="Q67" i="89"/>
  <c r="P67" i="89"/>
  <c r="O67" i="89"/>
  <c r="F67" i="89" s="1"/>
  <c r="N67" i="89"/>
  <c r="L67" i="89"/>
  <c r="AL66" i="89"/>
  <c r="Q66" i="89"/>
  <c r="P66" i="89"/>
  <c r="O66" i="89"/>
  <c r="N66" i="89"/>
  <c r="L66" i="89"/>
  <c r="AL65" i="89"/>
  <c r="Q65" i="89"/>
  <c r="P65" i="89"/>
  <c r="O65" i="89"/>
  <c r="N65" i="89"/>
  <c r="L65" i="89"/>
  <c r="AL64" i="89"/>
  <c r="Q64" i="89"/>
  <c r="P64" i="89"/>
  <c r="O64" i="89"/>
  <c r="N64" i="89"/>
  <c r="L64" i="89"/>
  <c r="AL63" i="89"/>
  <c r="Q63" i="89"/>
  <c r="P63" i="89"/>
  <c r="O63" i="89"/>
  <c r="F63" i="89" s="1"/>
  <c r="N63" i="89"/>
  <c r="L63" i="89"/>
  <c r="AL62" i="89"/>
  <c r="Q62" i="89"/>
  <c r="P62" i="89"/>
  <c r="O62" i="89"/>
  <c r="N62" i="89"/>
  <c r="L62" i="89"/>
  <c r="AL61" i="89"/>
  <c r="Q61" i="89"/>
  <c r="P61" i="89"/>
  <c r="O61" i="89"/>
  <c r="F61" i="89" s="1"/>
  <c r="N61" i="89"/>
  <c r="L61" i="89"/>
  <c r="AL60" i="89"/>
  <c r="Q60" i="89"/>
  <c r="P60" i="89"/>
  <c r="O60" i="89"/>
  <c r="N60" i="89"/>
  <c r="L60" i="89"/>
  <c r="AL59" i="89"/>
  <c r="Q59" i="89"/>
  <c r="P59" i="89"/>
  <c r="O59" i="89"/>
  <c r="F59" i="89" s="1"/>
  <c r="N59" i="89"/>
  <c r="L59" i="89"/>
  <c r="AL58" i="89"/>
  <c r="Q58" i="89"/>
  <c r="P58" i="89"/>
  <c r="O58" i="89"/>
  <c r="N58" i="89"/>
  <c r="L58" i="89"/>
  <c r="F58" i="89"/>
  <c r="AL57" i="89"/>
  <c r="Q57" i="89"/>
  <c r="P57" i="89"/>
  <c r="O57" i="89"/>
  <c r="N57" i="89"/>
  <c r="L57" i="89"/>
  <c r="F57" i="89"/>
  <c r="AL56" i="89"/>
  <c r="Q56" i="89"/>
  <c r="P56" i="89"/>
  <c r="O56" i="89"/>
  <c r="N56" i="89"/>
  <c r="L56" i="89"/>
  <c r="F56" i="89"/>
  <c r="AL55" i="89"/>
  <c r="Q55" i="89"/>
  <c r="P55" i="89"/>
  <c r="O55" i="89"/>
  <c r="N55" i="89"/>
  <c r="L55" i="89"/>
  <c r="F55" i="89"/>
  <c r="AL54" i="89"/>
  <c r="Q54" i="89"/>
  <c r="P54" i="89"/>
  <c r="F54" i="89" s="1"/>
  <c r="O54" i="89"/>
  <c r="N54" i="89"/>
  <c r="L54" i="89"/>
  <c r="AL53" i="89"/>
  <c r="Q53" i="89"/>
  <c r="P53" i="89"/>
  <c r="O53" i="89"/>
  <c r="F53" i="89" s="1"/>
  <c r="N53" i="89"/>
  <c r="L53" i="89"/>
  <c r="AL52" i="89"/>
  <c r="Q52" i="89"/>
  <c r="P52" i="89"/>
  <c r="O52" i="89"/>
  <c r="F52" i="89" s="1"/>
  <c r="N52" i="89"/>
  <c r="L52" i="89"/>
  <c r="AL51" i="89"/>
  <c r="Q51" i="89"/>
  <c r="P51" i="89"/>
  <c r="O51" i="89"/>
  <c r="F51" i="89" s="1"/>
  <c r="N51" i="89"/>
  <c r="L51" i="89"/>
  <c r="AL50" i="89"/>
  <c r="Q50" i="89"/>
  <c r="P50" i="89"/>
  <c r="O50" i="89"/>
  <c r="N50" i="89"/>
  <c r="L50" i="89"/>
  <c r="F50" i="89"/>
  <c r="AL49" i="89"/>
  <c r="Q49" i="89"/>
  <c r="P49" i="89"/>
  <c r="O49" i="89"/>
  <c r="N49" i="89"/>
  <c r="L49" i="89"/>
  <c r="F49" i="89"/>
  <c r="AL48" i="89"/>
  <c r="Q48" i="89"/>
  <c r="P48" i="89"/>
  <c r="O48" i="89"/>
  <c r="N48" i="89"/>
  <c r="L48" i="89"/>
  <c r="F48" i="89"/>
  <c r="AL47" i="89"/>
  <c r="Q47" i="89"/>
  <c r="P47" i="89"/>
  <c r="O47" i="89"/>
  <c r="N47" i="89"/>
  <c r="L47" i="89"/>
  <c r="F47" i="89"/>
  <c r="AL46" i="89"/>
  <c r="Q46" i="89"/>
  <c r="P46" i="89"/>
  <c r="O46" i="89"/>
  <c r="N46" i="89"/>
  <c r="L46" i="89"/>
  <c r="AL45" i="89"/>
  <c r="Q45" i="89"/>
  <c r="P45" i="89"/>
  <c r="O45" i="89"/>
  <c r="F45" i="89" s="1"/>
  <c r="N45" i="89"/>
  <c r="L45" i="89"/>
  <c r="AL44" i="89"/>
  <c r="Q44" i="89"/>
  <c r="P44" i="89"/>
  <c r="O44" i="89"/>
  <c r="F44" i="89" s="1"/>
  <c r="N44" i="89"/>
  <c r="L44" i="89"/>
  <c r="AL43" i="89"/>
  <c r="Q43" i="89"/>
  <c r="P43" i="89"/>
  <c r="O43" i="89"/>
  <c r="N43" i="89"/>
  <c r="L43" i="89"/>
  <c r="F43" i="89"/>
  <c r="AL42" i="89"/>
  <c r="Q42" i="89"/>
  <c r="P42" i="89"/>
  <c r="O42" i="89"/>
  <c r="N42" i="89"/>
  <c r="L42" i="89"/>
  <c r="AL41" i="89"/>
  <c r="Q41" i="89"/>
  <c r="P41" i="89"/>
  <c r="O41" i="89"/>
  <c r="F41" i="89" s="1"/>
  <c r="N41" i="89"/>
  <c r="L41" i="89"/>
  <c r="AL40" i="89"/>
  <c r="Q40" i="89"/>
  <c r="P40" i="89"/>
  <c r="O40" i="89"/>
  <c r="F40" i="89" s="1"/>
  <c r="N40" i="89"/>
  <c r="L40" i="89"/>
  <c r="AL39" i="89"/>
  <c r="Q39" i="89"/>
  <c r="P39" i="89"/>
  <c r="O39" i="89"/>
  <c r="N39" i="89"/>
  <c r="L39" i="89"/>
  <c r="AL38" i="89"/>
  <c r="Q38" i="89"/>
  <c r="P38" i="89"/>
  <c r="O38" i="89"/>
  <c r="N38" i="89"/>
  <c r="L38" i="89"/>
  <c r="F38" i="89"/>
  <c r="AL37" i="89"/>
  <c r="Q37" i="89"/>
  <c r="P37" i="89"/>
  <c r="O37" i="89"/>
  <c r="N37" i="89"/>
  <c r="L37" i="89"/>
  <c r="AL36" i="89"/>
  <c r="Q36" i="89"/>
  <c r="P36" i="89"/>
  <c r="O36" i="89"/>
  <c r="F36" i="89" s="1"/>
  <c r="N36" i="89"/>
  <c r="L36" i="89"/>
  <c r="AL35" i="89"/>
  <c r="Q35" i="89"/>
  <c r="P35" i="89"/>
  <c r="O35" i="89"/>
  <c r="F35" i="89" s="1"/>
  <c r="N35" i="89"/>
  <c r="L35" i="89"/>
  <c r="AL34" i="89"/>
  <c r="Q34" i="89"/>
  <c r="P34" i="89"/>
  <c r="O34" i="89"/>
  <c r="N34" i="89"/>
  <c r="L34" i="89"/>
  <c r="F34" i="89"/>
  <c r="AL33" i="89"/>
  <c r="Q33" i="89"/>
  <c r="P33" i="89"/>
  <c r="O33" i="89"/>
  <c r="F33" i="89" s="1"/>
  <c r="N33" i="89"/>
  <c r="L33" i="89"/>
  <c r="AL32" i="89"/>
  <c r="Q32" i="89"/>
  <c r="P32" i="89"/>
  <c r="O32" i="89"/>
  <c r="N32" i="89"/>
  <c r="L32" i="89"/>
  <c r="AL31" i="89"/>
  <c r="Q31" i="89"/>
  <c r="P31" i="89"/>
  <c r="O31" i="89"/>
  <c r="F31" i="89" s="1"/>
  <c r="N31" i="89"/>
  <c r="L31" i="89"/>
  <c r="AL30" i="89"/>
  <c r="Q30" i="89"/>
  <c r="P30" i="89"/>
  <c r="O30" i="89"/>
  <c r="F30" i="89" s="1"/>
  <c r="N30" i="89"/>
  <c r="L30" i="89"/>
  <c r="AL29" i="89"/>
  <c r="Q29" i="89"/>
  <c r="P29" i="89"/>
  <c r="O29" i="89"/>
  <c r="N29" i="89"/>
  <c r="V4" i="89" s="1"/>
  <c r="L14" i="78" s="1"/>
  <c r="L29" i="89"/>
  <c r="F29" i="89"/>
  <c r="AL28" i="89"/>
  <c r="Q28" i="89"/>
  <c r="P28" i="89"/>
  <c r="O28" i="89"/>
  <c r="N28" i="89"/>
  <c r="L28" i="89"/>
  <c r="F28" i="89"/>
  <c r="AL27" i="89"/>
  <c r="AL26" i="89"/>
  <c r="AL25" i="89"/>
  <c r="AL24" i="89"/>
  <c r="AL23" i="89"/>
  <c r="AL22" i="89"/>
  <c r="AL21" i="89"/>
  <c r="V21" i="89"/>
  <c r="AL20" i="89"/>
  <c r="V20" i="89"/>
  <c r="AL19" i="89"/>
  <c r="V19" i="89"/>
  <c r="AL18" i="89"/>
  <c r="AL17" i="89"/>
  <c r="AL16" i="89"/>
  <c r="AL15" i="89"/>
  <c r="AL14" i="89"/>
  <c r="AL13" i="89"/>
  <c r="AL12" i="89"/>
  <c r="V12" i="89"/>
  <c r="AL11" i="89"/>
  <c r="AL10" i="89"/>
  <c r="AL9" i="89"/>
  <c r="AL8" i="89"/>
  <c r="AL7" i="89"/>
  <c r="AL6" i="89"/>
  <c r="V6" i="89"/>
  <c r="AL5" i="89"/>
  <c r="AL4" i="89"/>
  <c r="AL3" i="89"/>
  <c r="F5" i="90"/>
  <c r="L5" i="90"/>
  <c r="N5" i="90"/>
  <c r="O5" i="90"/>
  <c r="P5" i="90"/>
  <c r="Q5" i="90"/>
  <c r="L6" i="90"/>
  <c r="N6" i="90"/>
  <c r="O6" i="90"/>
  <c r="F6" i="90" s="1"/>
  <c r="P6" i="90"/>
  <c r="Q6" i="90"/>
  <c r="L7" i="90"/>
  <c r="N7" i="90"/>
  <c r="O7" i="90"/>
  <c r="P7" i="90"/>
  <c r="Q7" i="90"/>
  <c r="L8" i="90"/>
  <c r="N8" i="90"/>
  <c r="O8" i="90"/>
  <c r="P8" i="90"/>
  <c r="Q8" i="90"/>
  <c r="L9" i="90"/>
  <c r="N9" i="90"/>
  <c r="Y28" i="90" s="1"/>
  <c r="O9" i="90"/>
  <c r="P9" i="90"/>
  <c r="Q9" i="90"/>
  <c r="L10" i="90"/>
  <c r="N10" i="90"/>
  <c r="O10" i="90"/>
  <c r="P10" i="90"/>
  <c r="Q10" i="90"/>
  <c r="L11" i="90"/>
  <c r="N11" i="90"/>
  <c r="O11" i="90"/>
  <c r="P11" i="90"/>
  <c r="F11" i="90" s="1"/>
  <c r="Q11" i="90"/>
  <c r="L12" i="90"/>
  <c r="N12" i="90"/>
  <c r="O12" i="90"/>
  <c r="F12" i="90" s="1"/>
  <c r="P12" i="90"/>
  <c r="Q12" i="90"/>
  <c r="L13" i="90"/>
  <c r="N13" i="90"/>
  <c r="O13" i="90"/>
  <c r="F13" i="90" s="1"/>
  <c r="P13" i="90"/>
  <c r="Q13" i="90"/>
  <c r="F14" i="90"/>
  <c r="L14" i="90"/>
  <c r="N14" i="90"/>
  <c r="O14" i="90"/>
  <c r="P14" i="90"/>
  <c r="Q14" i="90"/>
  <c r="L15" i="90"/>
  <c r="N15" i="90"/>
  <c r="O15" i="90"/>
  <c r="F15" i="90" s="1"/>
  <c r="P15" i="90"/>
  <c r="Q15" i="90"/>
  <c r="AL33" i="90"/>
  <c r="AL34" i="90"/>
  <c r="AL35" i="90"/>
  <c r="AL36" i="90"/>
  <c r="AL37" i="90"/>
  <c r="AL38" i="90"/>
  <c r="AL39" i="90"/>
  <c r="AL40" i="90"/>
  <c r="AL41" i="90"/>
  <c r="AL42" i="90"/>
  <c r="AL43" i="90"/>
  <c r="AL44" i="90"/>
  <c r="AL45" i="90"/>
  <c r="AL46" i="90"/>
  <c r="AL47" i="90"/>
  <c r="AL48" i="90"/>
  <c r="AL49" i="90"/>
  <c r="AL50" i="90"/>
  <c r="AL51" i="90"/>
  <c r="AL52" i="90"/>
  <c r="AL53" i="90"/>
  <c r="AL54" i="90"/>
  <c r="AL55" i="90"/>
  <c r="AL56" i="90"/>
  <c r="AL57" i="90"/>
  <c r="AL58" i="90"/>
  <c r="AL59" i="90"/>
  <c r="AL60" i="90"/>
  <c r="AL61" i="90"/>
  <c r="AL62" i="90"/>
  <c r="AL63" i="90"/>
  <c r="AL64" i="90"/>
  <c r="AL65" i="90"/>
  <c r="AL66" i="90"/>
  <c r="AL67" i="90"/>
  <c r="AL68" i="90"/>
  <c r="AL69" i="90"/>
  <c r="AL70" i="90"/>
  <c r="AL71" i="90"/>
  <c r="AL72" i="90"/>
  <c r="AL73" i="90"/>
  <c r="AL74" i="90"/>
  <c r="AL75" i="90"/>
  <c r="AL76" i="90"/>
  <c r="AL77" i="90"/>
  <c r="AL78" i="90"/>
  <c r="AL79" i="90"/>
  <c r="AL80" i="90"/>
  <c r="AL81" i="90"/>
  <c r="AL82" i="90"/>
  <c r="AL83" i="90"/>
  <c r="AL84" i="90"/>
  <c r="AL85" i="90"/>
  <c r="AL86" i="90"/>
  <c r="AL87" i="90"/>
  <c r="AL88" i="90"/>
  <c r="AL89" i="90"/>
  <c r="AL90" i="90"/>
  <c r="AL91" i="90"/>
  <c r="AL92" i="90"/>
  <c r="AL93" i="90"/>
  <c r="AL94" i="90"/>
  <c r="AL95" i="90"/>
  <c r="AL96" i="90"/>
  <c r="AL97" i="90"/>
  <c r="AL98" i="90"/>
  <c r="AL99" i="90"/>
  <c r="AL100" i="90"/>
  <c r="AL101" i="90"/>
  <c r="AL102" i="90"/>
  <c r="AL103" i="90"/>
  <c r="AL104" i="90"/>
  <c r="AL105" i="90"/>
  <c r="AL106" i="90"/>
  <c r="AL107" i="90"/>
  <c r="AL108" i="90"/>
  <c r="AL109" i="90"/>
  <c r="AL110" i="90"/>
  <c r="AL111" i="90"/>
  <c r="AL112" i="90"/>
  <c r="AL113" i="90"/>
  <c r="AL114" i="90"/>
  <c r="AL115" i="90"/>
  <c r="AL116" i="90"/>
  <c r="AL117" i="90"/>
  <c r="AL118" i="90"/>
  <c r="AL119" i="90"/>
  <c r="AL120" i="90"/>
  <c r="AL121" i="90"/>
  <c r="AL122" i="90"/>
  <c r="AL123" i="90"/>
  <c r="AL124" i="90"/>
  <c r="AL125" i="90"/>
  <c r="AL126" i="90"/>
  <c r="AL127" i="90"/>
  <c r="AL128" i="90"/>
  <c r="AL129" i="90"/>
  <c r="AL130" i="90"/>
  <c r="AL131" i="90"/>
  <c r="AL132" i="90"/>
  <c r="AL133" i="90"/>
  <c r="AL134" i="90"/>
  <c r="AL135" i="90"/>
  <c r="AL136" i="90"/>
  <c r="AL137" i="90"/>
  <c r="AL138" i="90"/>
  <c r="AL139" i="90"/>
  <c r="AL140" i="90"/>
  <c r="AL141" i="90"/>
  <c r="AL142" i="90"/>
  <c r="AL143" i="90"/>
  <c r="AL144" i="90"/>
  <c r="AL145" i="90"/>
  <c r="AL146" i="90"/>
  <c r="AL147" i="90"/>
  <c r="AL148" i="90"/>
  <c r="AL149" i="90"/>
  <c r="AL150" i="90"/>
  <c r="AL151" i="90"/>
  <c r="AL152" i="90"/>
  <c r="AL153" i="90"/>
  <c r="AL154" i="90"/>
  <c r="AL155" i="90"/>
  <c r="AL156" i="90"/>
  <c r="AL157" i="90"/>
  <c r="AL158" i="90"/>
  <c r="AL159" i="90"/>
  <c r="AL160" i="90"/>
  <c r="AL161" i="90"/>
  <c r="AL162" i="90"/>
  <c r="AL163" i="90"/>
  <c r="AL164" i="90"/>
  <c r="AL165" i="90"/>
  <c r="AL166" i="90"/>
  <c r="AL167" i="90"/>
  <c r="AL168" i="90"/>
  <c r="AL169" i="90"/>
  <c r="AL170" i="90"/>
  <c r="AL171" i="90"/>
  <c r="AL172" i="90"/>
  <c r="AL173" i="90"/>
  <c r="AL174" i="90"/>
  <c r="AL175" i="90"/>
  <c r="AL176" i="90"/>
  <c r="AL177" i="90"/>
  <c r="AL178" i="90"/>
  <c r="AL179" i="90"/>
  <c r="AL180" i="90"/>
  <c r="AL181" i="90"/>
  <c r="AL182" i="90"/>
  <c r="AL183" i="90"/>
  <c r="AL184" i="90"/>
  <c r="AL185" i="90"/>
  <c r="AL186" i="90"/>
  <c r="AL187" i="90"/>
  <c r="AL188" i="90"/>
  <c r="AL189" i="90"/>
  <c r="AL190" i="90"/>
  <c r="AL191" i="90"/>
  <c r="AL192" i="90"/>
  <c r="AL193" i="90"/>
  <c r="AL194" i="90"/>
  <c r="AL195" i="90"/>
  <c r="AL196" i="90"/>
  <c r="AL197" i="90"/>
  <c r="AL198" i="90"/>
  <c r="AL199" i="90"/>
  <c r="AL200" i="90"/>
  <c r="AL201" i="90"/>
  <c r="AL202" i="90"/>
  <c r="AL203" i="90"/>
  <c r="AL204" i="90"/>
  <c r="AL205" i="90"/>
  <c r="AL206" i="90"/>
  <c r="AL207" i="90"/>
  <c r="AL208" i="90"/>
  <c r="AL209" i="90"/>
  <c r="AL210" i="90"/>
  <c r="AL211" i="90"/>
  <c r="AL212" i="90"/>
  <c r="AL213" i="90"/>
  <c r="AL214" i="90"/>
  <c r="AL215" i="90"/>
  <c r="AL216" i="90"/>
  <c r="AL217" i="90"/>
  <c r="AL218" i="90"/>
  <c r="AL219" i="90"/>
  <c r="AL220" i="90"/>
  <c r="AL221" i="90"/>
  <c r="AL222" i="90"/>
  <c r="AL223" i="90"/>
  <c r="AL224" i="90"/>
  <c r="AL225" i="90"/>
  <c r="AL226" i="90"/>
  <c r="AL227" i="90"/>
  <c r="AL228" i="90"/>
  <c r="AL229" i="90"/>
  <c r="AL230" i="90"/>
  <c r="AL231" i="90"/>
  <c r="AL232" i="90"/>
  <c r="AL233" i="90"/>
  <c r="AL234" i="90"/>
  <c r="AL235" i="90"/>
  <c r="AL236" i="90"/>
  <c r="AL237" i="90"/>
  <c r="AL238" i="90"/>
  <c r="AL239" i="90"/>
  <c r="AL240" i="90"/>
  <c r="AL241" i="90"/>
  <c r="AL242" i="90"/>
  <c r="AL243" i="90"/>
  <c r="AL244" i="90"/>
  <c r="AL245" i="90"/>
  <c r="AL246" i="90"/>
  <c r="AL247" i="90"/>
  <c r="AL248" i="90"/>
  <c r="AL249" i="90"/>
  <c r="AL250" i="90"/>
  <c r="AL251" i="90"/>
  <c r="AL252" i="90"/>
  <c r="AL253" i="90"/>
  <c r="AL254" i="90"/>
  <c r="AL255" i="90"/>
  <c r="AL256" i="90"/>
  <c r="AL257" i="90"/>
  <c r="AL258" i="90"/>
  <c r="AL259" i="90"/>
  <c r="AL260" i="90"/>
  <c r="AL261" i="90"/>
  <c r="AL262" i="90"/>
  <c r="AL263" i="90"/>
  <c r="AL264" i="90"/>
  <c r="AL265" i="90"/>
  <c r="AL266" i="90"/>
  <c r="AL267" i="90"/>
  <c r="AL268" i="90"/>
  <c r="AL269" i="90"/>
  <c r="AL270" i="90"/>
  <c r="AL271" i="90"/>
  <c r="AL272" i="90"/>
  <c r="AL273" i="90"/>
  <c r="AL274" i="90"/>
  <c r="AL275" i="90"/>
  <c r="AL276" i="90"/>
  <c r="AL277" i="90"/>
  <c r="AL278" i="90"/>
  <c r="AL279" i="90"/>
  <c r="AL280" i="90"/>
  <c r="AL281" i="90"/>
  <c r="AL282" i="90"/>
  <c r="AL283" i="90"/>
  <c r="AL284" i="90"/>
  <c r="AL285" i="90"/>
  <c r="AL286" i="90"/>
  <c r="AL287" i="90"/>
  <c r="AL288" i="90"/>
  <c r="AL289" i="90"/>
  <c r="AL290" i="90"/>
  <c r="AL291" i="90"/>
  <c r="AL292" i="90"/>
  <c r="AL293" i="90"/>
  <c r="AL294" i="90"/>
  <c r="AL295" i="90"/>
  <c r="AL296" i="90"/>
  <c r="AL297" i="90"/>
  <c r="AL298" i="90"/>
  <c r="AL299" i="90"/>
  <c r="AL300" i="90"/>
  <c r="AL301" i="90"/>
  <c r="AL302" i="90"/>
  <c r="AL303" i="90"/>
  <c r="AL304" i="90"/>
  <c r="AL305" i="90"/>
  <c r="AL306" i="90"/>
  <c r="AL307" i="90"/>
  <c r="AL308" i="90"/>
  <c r="AL309" i="90"/>
  <c r="AL310" i="90"/>
  <c r="AL311" i="90"/>
  <c r="AL312" i="90"/>
  <c r="AL313" i="90"/>
  <c r="AL314" i="90"/>
  <c r="AL315" i="90"/>
  <c r="AL316" i="90"/>
  <c r="AL317" i="90"/>
  <c r="AL318" i="90"/>
  <c r="AL319" i="90"/>
  <c r="AL320" i="90"/>
  <c r="AL321" i="90"/>
  <c r="AL322" i="90"/>
  <c r="AL323" i="90"/>
  <c r="AL324" i="90"/>
  <c r="AL325" i="90"/>
  <c r="AL326" i="90"/>
  <c r="AL327" i="90"/>
  <c r="AL328" i="90"/>
  <c r="AL329" i="90"/>
  <c r="AL330" i="90"/>
  <c r="AL331" i="90"/>
  <c r="AL332" i="90"/>
  <c r="AL333" i="90"/>
  <c r="AL334" i="90"/>
  <c r="AL335" i="90"/>
  <c r="AL336" i="90"/>
  <c r="AL337" i="90"/>
  <c r="AL338" i="90"/>
  <c r="AL339" i="90"/>
  <c r="AL340" i="90"/>
  <c r="AL341" i="90"/>
  <c r="AL342" i="90"/>
  <c r="AL343" i="90"/>
  <c r="AL344" i="90"/>
  <c r="AL345" i="90"/>
  <c r="AL346" i="90"/>
  <c r="AL347" i="90"/>
  <c r="AL348" i="90"/>
  <c r="AL349" i="90"/>
  <c r="AL350" i="90"/>
  <c r="AL351" i="90"/>
  <c r="AL352" i="90"/>
  <c r="AL353" i="90"/>
  <c r="AL354" i="90"/>
  <c r="AL355" i="90"/>
  <c r="AL356" i="90"/>
  <c r="AL357" i="90"/>
  <c r="AL358" i="90"/>
  <c r="AL359" i="90"/>
  <c r="AL360" i="90"/>
  <c r="AL361" i="90"/>
  <c r="AL362" i="90"/>
  <c r="AL363" i="90"/>
  <c r="AL364" i="90"/>
  <c r="AL365" i="90"/>
  <c r="AL366" i="90"/>
  <c r="AL367" i="90"/>
  <c r="AL368" i="90"/>
  <c r="AL369" i="90"/>
  <c r="AL370" i="90"/>
  <c r="AL371" i="90"/>
  <c r="AL372" i="90"/>
  <c r="AL373" i="90"/>
  <c r="AL374" i="90"/>
  <c r="AL375" i="90"/>
  <c r="AL376" i="90"/>
  <c r="AL377" i="90"/>
  <c r="AL378" i="90"/>
  <c r="AL379" i="90"/>
  <c r="AL380" i="90"/>
  <c r="AL381" i="90"/>
  <c r="AL382" i="90"/>
  <c r="AL383" i="90"/>
  <c r="AL384" i="90"/>
  <c r="AL385" i="90"/>
  <c r="AL386" i="90"/>
  <c r="AL387" i="90"/>
  <c r="AL388" i="90"/>
  <c r="AL389" i="90"/>
  <c r="AL390" i="90"/>
  <c r="AL391" i="90"/>
  <c r="AL392" i="90"/>
  <c r="AL393" i="90"/>
  <c r="AL394" i="90"/>
  <c r="AL395" i="90"/>
  <c r="AL396" i="90"/>
  <c r="AL397" i="90"/>
  <c r="AL398" i="90"/>
  <c r="AL399" i="90"/>
  <c r="AL400" i="90"/>
  <c r="AL401" i="90"/>
  <c r="AL402" i="90"/>
  <c r="AL403" i="90"/>
  <c r="AL404" i="90"/>
  <c r="AL405" i="90"/>
  <c r="AL406" i="90"/>
  <c r="AL407" i="90"/>
  <c r="AL408" i="90"/>
  <c r="AL409" i="90"/>
  <c r="AL410" i="90"/>
  <c r="AL411" i="90"/>
  <c r="AL412" i="90"/>
  <c r="AL413" i="90"/>
  <c r="AL414" i="90"/>
  <c r="AL415" i="90"/>
  <c r="AL416" i="90"/>
  <c r="AL417" i="90"/>
  <c r="AL418" i="90"/>
  <c r="AL419" i="90"/>
  <c r="AL420" i="90"/>
  <c r="AL421" i="90"/>
  <c r="AL422" i="90"/>
  <c r="AL423" i="90"/>
  <c r="AL424" i="90"/>
  <c r="AL425" i="90"/>
  <c r="AL426" i="90"/>
  <c r="AL427" i="90"/>
  <c r="AL428" i="90"/>
  <c r="AL429" i="90"/>
  <c r="AL430" i="90"/>
  <c r="AL431" i="90"/>
  <c r="AL432" i="90"/>
  <c r="AL433" i="90"/>
  <c r="AL434" i="90"/>
  <c r="AL435" i="90"/>
  <c r="AL436" i="90"/>
  <c r="AL437" i="90"/>
  <c r="AL438" i="90"/>
  <c r="AL439" i="90"/>
  <c r="AL440" i="90"/>
  <c r="AL441" i="90"/>
  <c r="AL442" i="90"/>
  <c r="AL443" i="90"/>
  <c r="AL444" i="90"/>
  <c r="AL445" i="90"/>
  <c r="AL446" i="90"/>
  <c r="AL447" i="90"/>
  <c r="AL448" i="90"/>
  <c r="AL449" i="90"/>
  <c r="AL450" i="90"/>
  <c r="AL451" i="90"/>
  <c r="AL452" i="90"/>
  <c r="AL453" i="90"/>
  <c r="AL454" i="90"/>
  <c r="AL455" i="90"/>
  <c r="AL456" i="90"/>
  <c r="AL457" i="90"/>
  <c r="AL458" i="90"/>
  <c r="AL459" i="90"/>
  <c r="AL460" i="90"/>
  <c r="AL461" i="90"/>
  <c r="AL462" i="90"/>
  <c r="AL463" i="90"/>
  <c r="AL464" i="90"/>
  <c r="AL465" i="90"/>
  <c r="AL466" i="90"/>
  <c r="AL467" i="90"/>
  <c r="AL468" i="90"/>
  <c r="AL469" i="90"/>
  <c r="AL470" i="90"/>
  <c r="AL471" i="90"/>
  <c r="AL472" i="90"/>
  <c r="AL473" i="90"/>
  <c r="AL474" i="90"/>
  <c r="AL475" i="90"/>
  <c r="AL476" i="90"/>
  <c r="AL477" i="90"/>
  <c r="AL478" i="90"/>
  <c r="AL479" i="90"/>
  <c r="AL480" i="90"/>
  <c r="AL481" i="90"/>
  <c r="AL482" i="90"/>
  <c r="AL483" i="90"/>
  <c r="AL484" i="90"/>
  <c r="AL485" i="90"/>
  <c r="AL486" i="90"/>
  <c r="AL487" i="90"/>
  <c r="AL488" i="90"/>
  <c r="AL489" i="90"/>
  <c r="AL490" i="90"/>
  <c r="AL491" i="90"/>
  <c r="AL492" i="90"/>
  <c r="AL493" i="90"/>
  <c r="AL494" i="90"/>
  <c r="AL495" i="90"/>
  <c r="AL496" i="90"/>
  <c r="AL497" i="90"/>
  <c r="AL498" i="90"/>
  <c r="AL499" i="90"/>
  <c r="AL500" i="90"/>
  <c r="AL501" i="90"/>
  <c r="AL502" i="90"/>
  <c r="AL503" i="90"/>
  <c r="AL504" i="90"/>
  <c r="AL505" i="90"/>
  <c r="AL506" i="90"/>
  <c r="AL507" i="90"/>
  <c r="AL508" i="90"/>
  <c r="AL509" i="90"/>
  <c r="AL510" i="90"/>
  <c r="AL511" i="90"/>
  <c r="AL512" i="90"/>
  <c r="AL513" i="90"/>
  <c r="AL514" i="90"/>
  <c r="AL515" i="90"/>
  <c r="AL516" i="90"/>
  <c r="AL517" i="90"/>
  <c r="AL518" i="90"/>
  <c r="AL519" i="90"/>
  <c r="AL520" i="90"/>
  <c r="AL521" i="90"/>
  <c r="AL522" i="90"/>
  <c r="AL523" i="90"/>
  <c r="AL524" i="90"/>
  <c r="AL525" i="90"/>
  <c r="AL526" i="90"/>
  <c r="AL527" i="90"/>
  <c r="AL528" i="90"/>
  <c r="AL529" i="90"/>
  <c r="AL530" i="90"/>
  <c r="AL531" i="90"/>
  <c r="AL532" i="90"/>
  <c r="AL533" i="90"/>
  <c r="AL534" i="90"/>
  <c r="AL535" i="90"/>
  <c r="AL536" i="90"/>
  <c r="AL537" i="90"/>
  <c r="AL538" i="90"/>
  <c r="AL539" i="90"/>
  <c r="AL540" i="90"/>
  <c r="AL541" i="90"/>
  <c r="AL542" i="90"/>
  <c r="AL543" i="90"/>
  <c r="AL544" i="90"/>
  <c r="AL545" i="90"/>
  <c r="AL546" i="90"/>
  <c r="AL547" i="90"/>
  <c r="AL548" i="90"/>
  <c r="AL549" i="90"/>
  <c r="AL550" i="90"/>
  <c r="AL551" i="90"/>
  <c r="AL552" i="90"/>
  <c r="AL553" i="90"/>
  <c r="AL554" i="90"/>
  <c r="AL555" i="90"/>
  <c r="AL556" i="90"/>
  <c r="AL557" i="90"/>
  <c r="AL558" i="90"/>
  <c r="AL559" i="90"/>
  <c r="AL560" i="90"/>
  <c r="AL561" i="90"/>
  <c r="AL562" i="90"/>
  <c r="AL563" i="90"/>
  <c r="AL564" i="90"/>
  <c r="AL565" i="90"/>
  <c r="AL566" i="90"/>
  <c r="AL567" i="90"/>
  <c r="AL568" i="90"/>
  <c r="AL569" i="90"/>
  <c r="AL570" i="90"/>
  <c r="AL571" i="90"/>
  <c r="AL572" i="90"/>
  <c r="AL573" i="90"/>
  <c r="AL574" i="90"/>
  <c r="AL575" i="90"/>
  <c r="AL576" i="90"/>
  <c r="AL577" i="90"/>
  <c r="AL578" i="90"/>
  <c r="AL579" i="90"/>
  <c r="AL580" i="90"/>
  <c r="AL581" i="90"/>
  <c r="AL4" i="90"/>
  <c r="AL5" i="90"/>
  <c r="AL6" i="90"/>
  <c r="AL7" i="90"/>
  <c r="AL8" i="90"/>
  <c r="AL9" i="90"/>
  <c r="AL10" i="90"/>
  <c r="AL11" i="90"/>
  <c r="AL12" i="90"/>
  <c r="AL13" i="90"/>
  <c r="AL14" i="90"/>
  <c r="AL15" i="90"/>
  <c r="AL16" i="90"/>
  <c r="AL17" i="90"/>
  <c r="AL18" i="90"/>
  <c r="AL19" i="90"/>
  <c r="AL20" i="90"/>
  <c r="AL21" i="90"/>
  <c r="AL22" i="90"/>
  <c r="AL23" i="90"/>
  <c r="AL24" i="90"/>
  <c r="AL25" i="90"/>
  <c r="AL26" i="90"/>
  <c r="AL27" i="90"/>
  <c r="AL28" i="90"/>
  <c r="AL29" i="90"/>
  <c r="AL30" i="90"/>
  <c r="AL31" i="90"/>
  <c r="AL32" i="90"/>
  <c r="AL3" i="90"/>
  <c r="F7" i="90" l="1"/>
  <c r="F49" i="87"/>
  <c r="F53" i="87"/>
  <c r="F57" i="87"/>
  <c r="F129" i="87"/>
  <c r="F133" i="87"/>
  <c r="F137" i="87"/>
  <c r="F32" i="89"/>
  <c r="F37" i="89"/>
  <c r="F46" i="89"/>
  <c r="F64" i="89"/>
  <c r="F72" i="89"/>
  <c r="F80" i="89"/>
  <c r="F88" i="89"/>
  <c r="F96" i="89"/>
  <c r="F104" i="89"/>
  <c r="F112" i="89"/>
  <c r="F120" i="89"/>
  <c r="F124" i="89"/>
  <c r="F128" i="89"/>
  <c r="F132" i="89"/>
  <c r="F136" i="89"/>
  <c r="F140" i="89"/>
  <c r="F15" i="88"/>
  <c r="F19" i="88"/>
  <c r="F41" i="88"/>
  <c r="F21" i="87"/>
  <c r="F26" i="87"/>
  <c r="F32" i="87"/>
  <c r="F37" i="87"/>
  <c r="F29" i="86"/>
  <c r="F33" i="85"/>
  <c r="F47" i="85"/>
  <c r="F59" i="85"/>
  <c r="F67" i="85"/>
  <c r="F75" i="85"/>
  <c r="F83" i="85"/>
  <c r="F91" i="85"/>
  <c r="F99" i="85"/>
  <c r="F107" i="85"/>
  <c r="F115" i="85"/>
  <c r="F123" i="85"/>
  <c r="F131" i="85"/>
  <c r="F139" i="85"/>
  <c r="V16" i="84" a="1"/>
  <c r="V16" i="84" s="1"/>
  <c r="F15" i="84"/>
  <c r="F19" i="84"/>
  <c r="F32" i="84"/>
  <c r="F37" i="84"/>
  <c r="F46" i="84"/>
  <c r="F60" i="84"/>
  <c r="F64" i="84"/>
  <c r="F68" i="84"/>
  <c r="F72" i="84"/>
  <c r="F76" i="84"/>
  <c r="F80" i="84"/>
  <c r="F84" i="84"/>
  <c r="F88" i="84"/>
  <c r="F92" i="84"/>
  <c r="F96" i="84"/>
  <c r="F100" i="84"/>
  <c r="F104" i="84"/>
  <c r="F108" i="84"/>
  <c r="F112" i="84"/>
  <c r="F116" i="84"/>
  <c r="F120" i="84"/>
  <c r="F124" i="84"/>
  <c r="F128" i="84"/>
  <c r="F132" i="84"/>
  <c r="F136" i="84"/>
  <c r="F140" i="84"/>
  <c r="V4" i="83"/>
  <c r="L8" i="78" s="1"/>
  <c r="F16" i="83"/>
  <c r="F44" i="82"/>
  <c r="F60" i="82"/>
  <c r="F68" i="82"/>
  <c r="F76" i="82"/>
  <c r="F84" i="82"/>
  <c r="F100" i="82"/>
  <c r="F108" i="82"/>
  <c r="F116" i="82"/>
  <c r="F124" i="82"/>
  <c r="F132" i="82"/>
  <c r="F140" i="82"/>
  <c r="F38" i="81"/>
  <c r="F57" i="80"/>
  <c r="F21" i="5"/>
  <c r="F27" i="5"/>
  <c r="F41" i="87"/>
  <c r="F46" i="87"/>
  <c r="F17" i="86"/>
  <c r="F23" i="86"/>
  <c r="V10" i="85" a="1"/>
  <c r="V10" i="85" s="1"/>
  <c r="F16" i="85"/>
  <c r="AA34" i="85" s="1"/>
  <c r="F22" i="85"/>
  <c r="F37" i="85"/>
  <c r="F41" i="84"/>
  <c r="F25" i="82"/>
  <c r="F8" i="81"/>
  <c r="Z38" i="81" s="1"/>
  <c r="F46" i="81"/>
  <c r="F52" i="81"/>
  <c r="F28" i="80"/>
  <c r="F33" i="80"/>
  <c r="F61" i="80"/>
  <c r="F69" i="80"/>
  <c r="F77" i="80"/>
  <c r="F85" i="80"/>
  <c r="F93" i="80"/>
  <c r="F101" i="80"/>
  <c r="F109" i="80"/>
  <c r="F117" i="80"/>
  <c r="F125" i="80"/>
  <c r="F133" i="80"/>
  <c r="F141" i="80"/>
  <c r="F25" i="5"/>
  <c r="V10" i="86" a="1"/>
  <c r="V10" i="86" s="1"/>
  <c r="F12" i="86"/>
  <c r="Y38" i="86" s="1"/>
  <c r="F16" i="86"/>
  <c r="F22" i="86"/>
  <c r="F37" i="86"/>
  <c r="F50" i="85"/>
  <c r="F54" i="85"/>
  <c r="F58" i="85"/>
  <c r="F41" i="83"/>
  <c r="F14" i="82"/>
  <c r="F18" i="82"/>
  <c r="F24" i="82"/>
  <c r="F51" i="82"/>
  <c r="F55" i="82"/>
  <c r="F32" i="81"/>
  <c r="F45" i="81"/>
  <c r="F22" i="80"/>
  <c r="F36" i="87"/>
  <c r="F36" i="85"/>
  <c r="F17" i="84"/>
  <c r="F23" i="84"/>
  <c r="F44" i="84"/>
  <c r="F70" i="84"/>
  <c r="F78" i="84"/>
  <c r="F86" i="84"/>
  <c r="F94" i="84"/>
  <c r="F102" i="84"/>
  <c r="F110" i="84"/>
  <c r="F118" i="84"/>
  <c r="F126" i="84"/>
  <c r="F134" i="84"/>
  <c r="F14" i="83"/>
  <c r="F24" i="83"/>
  <c r="F30" i="83"/>
  <c r="F35" i="83"/>
  <c r="F57" i="83"/>
  <c r="F33" i="82"/>
  <c r="F11" i="81"/>
  <c r="F36" i="81"/>
  <c r="F55" i="81"/>
  <c r="F141" i="87"/>
  <c r="F10" i="90"/>
  <c r="F39" i="89"/>
  <c r="Y35" i="89" s="1"/>
  <c r="F13" i="88"/>
  <c r="V16" i="86" a="1"/>
  <c r="V16" i="86" s="1"/>
  <c r="V13" i="86" a="1"/>
  <c r="V13" i="86" s="1"/>
  <c r="V14" i="86" a="1"/>
  <c r="V14" i="86" s="1"/>
  <c r="F45" i="85"/>
  <c r="F49" i="85"/>
  <c r="F53" i="85"/>
  <c r="F57" i="85"/>
  <c r="V10" i="80" a="1"/>
  <c r="V10" i="80" s="1"/>
  <c r="F11" i="80"/>
  <c r="F20" i="80"/>
  <c r="F54" i="80"/>
  <c r="AA38" i="77"/>
  <c r="Y34" i="77"/>
  <c r="AA36" i="77"/>
  <c r="F29" i="88"/>
  <c r="V10" i="88" a="1"/>
  <c r="V10" i="88" s="1"/>
  <c r="F12" i="88"/>
  <c r="Z34" i="88" s="1"/>
  <c r="AC3" i="88" a="1"/>
  <c r="AC3" i="88" s="1"/>
  <c r="AD3" i="88" s="1"/>
  <c r="F13" i="87"/>
  <c r="F48" i="87"/>
  <c r="F52" i="87"/>
  <c r="F56" i="87"/>
  <c r="F132" i="87"/>
  <c r="F136" i="87"/>
  <c r="F140" i="87"/>
  <c r="V10" i="84" a="1"/>
  <c r="V10" i="84" s="1"/>
  <c r="F12" i="84"/>
  <c r="Y35" i="84" s="1"/>
  <c r="F13" i="82"/>
  <c r="AA35" i="77"/>
  <c r="V22" i="88"/>
  <c r="V22" i="87"/>
  <c r="F8" i="90"/>
  <c r="V10" i="89" a="1"/>
  <c r="V10" i="89" s="1"/>
  <c r="F42" i="89"/>
  <c r="AA38" i="89" s="1"/>
  <c r="F21" i="88"/>
  <c r="AA36" i="88" s="1"/>
  <c r="F26" i="88"/>
  <c r="F32" i="88"/>
  <c r="F37" i="88"/>
  <c r="F46" i="88"/>
  <c r="F132" i="88"/>
  <c r="F140" i="88"/>
  <c r="V10" i="87" a="1"/>
  <c r="V10" i="87" s="1"/>
  <c r="F12" i="87"/>
  <c r="Y36" i="87" s="1"/>
  <c r="F16" i="87"/>
  <c r="F22" i="87"/>
  <c r="F47" i="87"/>
  <c r="F107" i="87"/>
  <c r="F14" i="86"/>
  <c r="Z35" i="86" s="1"/>
  <c r="F18" i="86"/>
  <c r="F24" i="86"/>
  <c r="F17" i="85"/>
  <c r="F23" i="85"/>
  <c r="F44" i="85"/>
  <c r="F48" i="85"/>
  <c r="F52" i="85"/>
  <c r="F56" i="85"/>
  <c r="F21" i="84"/>
  <c r="F26" i="84"/>
  <c r="F42" i="84"/>
  <c r="F6" i="83"/>
  <c r="Z35" i="83" s="1"/>
  <c r="F13" i="83"/>
  <c r="F33" i="83"/>
  <c r="F39" i="83"/>
  <c r="F9" i="81"/>
  <c r="F14" i="81"/>
  <c r="F18" i="81"/>
  <c r="F24" i="81"/>
  <c r="F47" i="81"/>
  <c r="F53" i="81"/>
  <c r="F63" i="81"/>
  <c r="F71" i="81"/>
  <c r="F79" i="81"/>
  <c r="F87" i="81"/>
  <c r="F91" i="81"/>
  <c r="F95" i="81"/>
  <c r="F99" i="81"/>
  <c r="F103" i="81"/>
  <c r="F107" i="81"/>
  <c r="F111" i="81"/>
  <c r="F115" i="81"/>
  <c r="F119" i="81"/>
  <c r="F123" i="81"/>
  <c r="F127" i="81"/>
  <c r="F131" i="81"/>
  <c r="F135" i="81"/>
  <c r="F139" i="81"/>
  <c r="F143" i="81"/>
  <c r="F34" i="80"/>
  <c r="F142" i="84"/>
  <c r="V16" i="83" a="1"/>
  <c r="V16" i="83" s="1"/>
  <c r="F15" i="83"/>
  <c r="F19" i="83"/>
  <c r="F32" i="83"/>
  <c r="F37" i="83"/>
  <c r="F46" i="83"/>
  <c r="F60" i="83"/>
  <c r="F68" i="83"/>
  <c r="F76" i="83"/>
  <c r="F84" i="83"/>
  <c r="F92" i="83"/>
  <c r="F100" i="83"/>
  <c r="F108" i="83"/>
  <c r="F116" i="83"/>
  <c r="F124" i="83"/>
  <c r="F132" i="83"/>
  <c r="F140" i="83"/>
  <c r="V10" i="82" a="1"/>
  <c r="V10" i="82" s="1"/>
  <c r="F12" i="82"/>
  <c r="Z36" i="82" s="1"/>
  <c r="F16" i="82"/>
  <c r="F22" i="82"/>
  <c r="F32" i="82"/>
  <c r="F37" i="82"/>
  <c r="F46" i="82"/>
  <c r="F62" i="82"/>
  <c r="F70" i="82"/>
  <c r="F78" i="82"/>
  <c r="F86" i="82"/>
  <c r="F94" i="82"/>
  <c r="F102" i="82"/>
  <c r="F110" i="82"/>
  <c r="F118" i="82"/>
  <c r="F126" i="82"/>
  <c r="F134" i="82"/>
  <c r="F142" i="82"/>
  <c r="F17" i="81"/>
  <c r="F23" i="81"/>
  <c r="F44" i="81"/>
  <c r="F14" i="80"/>
  <c r="F18" i="80"/>
  <c r="F24" i="80"/>
  <c r="F41" i="80"/>
  <c r="F45" i="80"/>
  <c r="F59" i="80"/>
  <c r="F67" i="80"/>
  <c r="F75" i="80"/>
  <c r="F83" i="80"/>
  <c r="F91" i="80"/>
  <c r="F99" i="80"/>
  <c r="F107" i="80"/>
  <c r="F115" i="80"/>
  <c r="F123" i="80"/>
  <c r="F131" i="80"/>
  <c r="F139" i="80"/>
  <c r="Z36" i="77"/>
  <c r="F59" i="83"/>
  <c r="F67" i="83"/>
  <c r="F75" i="83"/>
  <c r="F83" i="83"/>
  <c r="F87" i="83"/>
  <c r="F91" i="83"/>
  <c r="F99" i="83"/>
  <c r="F103" i="83"/>
  <c r="F107" i="83"/>
  <c r="F111" i="83"/>
  <c r="F115" i="83"/>
  <c r="F119" i="83"/>
  <c r="F123" i="83"/>
  <c r="F127" i="83"/>
  <c r="F131" i="83"/>
  <c r="F135" i="83"/>
  <c r="F139" i="83"/>
  <c r="F143" i="83"/>
  <c r="V10" i="81" a="1"/>
  <c r="V10" i="81" s="1"/>
  <c r="F12" i="81"/>
  <c r="F16" i="81"/>
  <c r="F22" i="81"/>
  <c r="F61" i="81"/>
  <c r="F69" i="81"/>
  <c r="F77" i="81"/>
  <c r="F85" i="81"/>
  <c r="F93" i="81"/>
  <c r="F101" i="81"/>
  <c r="F109" i="81"/>
  <c r="F117" i="81"/>
  <c r="F125" i="81"/>
  <c r="F133" i="81"/>
  <c r="F141" i="81"/>
  <c r="F17" i="80"/>
  <c r="F23" i="80"/>
  <c r="F40" i="80"/>
  <c r="F44" i="80"/>
  <c r="F62" i="80"/>
  <c r="F70" i="80"/>
  <c r="F78" i="80"/>
  <c r="F86" i="80"/>
  <c r="F94" i="80"/>
  <c r="F102" i="80"/>
  <c r="F106" i="80"/>
  <c r="F110" i="80"/>
  <c r="F114" i="80"/>
  <c r="F118" i="80"/>
  <c r="F122" i="80"/>
  <c r="F126" i="80"/>
  <c r="F130" i="80"/>
  <c r="F134" i="80"/>
  <c r="F142" i="80"/>
  <c r="F16" i="5"/>
  <c r="G46" i="78"/>
  <c r="Z35" i="77"/>
  <c r="Z38" i="77"/>
  <c r="F35" i="82"/>
  <c r="F40" i="82"/>
  <c r="F49" i="82"/>
  <c r="F53" i="82"/>
  <c r="F57" i="82"/>
  <c r="AC3" i="82" a="1"/>
  <c r="AC3" i="82" s="1"/>
  <c r="AC4" i="82" s="1" a="1"/>
  <c r="AC4" i="82" s="1"/>
  <c r="AD4" i="82" s="1"/>
  <c r="F21" i="81"/>
  <c r="F26" i="81"/>
  <c r="F42" i="81"/>
  <c r="F39" i="80"/>
  <c r="AA37" i="77"/>
  <c r="Y37" i="77"/>
  <c r="V13" i="80" a="1"/>
  <c r="V13" i="80" s="1"/>
  <c r="F15" i="80"/>
  <c r="F19" i="80"/>
  <c r="F32" i="80"/>
  <c r="F37" i="80"/>
  <c r="F46" i="80"/>
  <c r="F60" i="80"/>
  <c r="F64" i="80"/>
  <c r="F72" i="80"/>
  <c r="F80" i="80"/>
  <c r="F88" i="80"/>
  <c r="F96" i="80"/>
  <c r="F104" i="80"/>
  <c r="F112" i="80"/>
  <c r="F120" i="80"/>
  <c r="F128" i="80"/>
  <c r="F136" i="80"/>
  <c r="F140" i="80"/>
  <c r="AA34" i="77"/>
  <c r="AC3" i="90" a="1"/>
  <c r="AC3" i="90" s="1"/>
  <c r="AC4" i="90" s="1" a="1"/>
  <c r="AC4" i="90" s="1"/>
  <c r="AC3" i="89" a="1"/>
  <c r="AC3" i="89" s="1"/>
  <c r="AC4" i="88" a="1"/>
  <c r="AC4" i="88" s="1"/>
  <c r="AD4" i="88" s="1"/>
  <c r="AE4" i="88" s="1"/>
  <c r="AC3" i="86" a="1"/>
  <c r="AC3" i="86" s="1"/>
  <c r="V22" i="85"/>
  <c r="AC3" i="85" a="1"/>
  <c r="AC3" i="85" s="1"/>
  <c r="AC3" i="84" a="1"/>
  <c r="AC3" i="84" s="1"/>
  <c r="AC3" i="83" a="1"/>
  <c r="AC3" i="83" s="1"/>
  <c r="AD3" i="82"/>
  <c r="AE3" i="82" s="1"/>
  <c r="AC3" i="81" a="1"/>
  <c r="AC3" i="81" s="1"/>
  <c r="AC3" i="87" a="1"/>
  <c r="AC3" i="87" s="1"/>
  <c r="AC4" i="87" s="1" a="1"/>
  <c r="AC4" i="87" s="1"/>
  <c r="AD4" i="87" s="1"/>
  <c r="I57" i="78"/>
  <c r="P57" i="78" s="1"/>
  <c r="O55" i="78"/>
  <c r="Y43" i="87"/>
  <c r="G43" i="78" s="1"/>
  <c r="Y47" i="87"/>
  <c r="G47" i="78" s="1"/>
  <c r="Y21" i="87"/>
  <c r="Y28" i="87"/>
  <c r="Y8" i="87"/>
  <c r="Y12" i="87"/>
  <c r="F38" i="5"/>
  <c r="F49" i="5"/>
  <c r="F53" i="5"/>
  <c r="F57" i="5"/>
  <c r="V10" i="5" a="1"/>
  <c r="V10" i="5" s="1"/>
  <c r="V4" i="5"/>
  <c r="V16" i="5" a="1"/>
  <c r="V16" i="5" s="1"/>
  <c r="F48" i="5"/>
  <c r="F56" i="5"/>
  <c r="F40" i="5"/>
  <c r="F43" i="5"/>
  <c r="O56" i="78"/>
  <c r="F39" i="5"/>
  <c r="F47" i="5"/>
  <c r="F37" i="5"/>
  <c r="F36" i="5"/>
  <c r="F51" i="5"/>
  <c r="F55" i="5"/>
  <c r="F50" i="5"/>
  <c r="F54" i="5"/>
  <c r="F9" i="90"/>
  <c r="AC3" i="80" a="1"/>
  <c r="AC3" i="80" s="1"/>
  <c r="AD3" i="80" s="1"/>
  <c r="AE3" i="80" s="1"/>
  <c r="O57" i="78"/>
  <c r="I43" i="78"/>
  <c r="O58" i="78"/>
  <c r="I51" i="78"/>
  <c r="I56" i="78"/>
  <c r="P56" i="78" s="1"/>
  <c r="I41" i="78"/>
  <c r="I42" i="78"/>
  <c r="I55" i="78"/>
  <c r="P55" i="78" s="1"/>
  <c r="I47" i="78"/>
  <c r="I58" i="78"/>
  <c r="P58" i="78" s="1"/>
  <c r="I53" i="78"/>
  <c r="I54" i="78"/>
  <c r="I52" i="78"/>
  <c r="I50" i="78"/>
  <c r="AE3" i="88"/>
  <c r="AC5" i="82" a="1"/>
  <c r="AC5" i="82" s="1"/>
  <c r="AC6" i="82" s="1" a="1"/>
  <c r="AC6" i="82" s="1"/>
  <c r="AE4" i="82"/>
  <c r="F33" i="5"/>
  <c r="F46" i="5"/>
  <c r="F59" i="5"/>
  <c r="F63" i="5"/>
  <c r="F67" i="5"/>
  <c r="F71" i="5"/>
  <c r="F75" i="5"/>
  <c r="F79" i="5"/>
  <c r="F83" i="5"/>
  <c r="F87" i="5"/>
  <c r="F91" i="5"/>
  <c r="F95" i="5"/>
  <c r="F99" i="5"/>
  <c r="F103" i="5"/>
  <c r="F107" i="5"/>
  <c r="F115" i="5"/>
  <c r="F119" i="5"/>
  <c r="F123" i="5"/>
  <c r="F127" i="5"/>
  <c r="F131" i="5"/>
  <c r="F135" i="5"/>
  <c r="F139" i="5"/>
  <c r="F143" i="5"/>
  <c r="F30" i="5"/>
  <c r="F31" i="5"/>
  <c r="F32" i="5"/>
  <c r="F42" i="5"/>
  <c r="F58" i="5"/>
  <c r="F52" i="5"/>
  <c r="F34" i="5"/>
  <c r="F60" i="5"/>
  <c r="F68" i="5"/>
  <c r="F76" i="5"/>
  <c r="F84" i="5"/>
  <c r="F92" i="5"/>
  <c r="F100" i="5"/>
  <c r="F108" i="5"/>
  <c r="F116" i="5"/>
  <c r="F124" i="5"/>
  <c r="F132" i="5"/>
  <c r="F140" i="5"/>
  <c r="F15" i="5"/>
  <c r="F44" i="5"/>
  <c r="F41" i="5"/>
  <c r="F35" i="5"/>
  <c r="F45" i="5"/>
  <c r="F14" i="5"/>
  <c r="F61" i="5"/>
  <c r="F69" i="5"/>
  <c r="F77" i="5"/>
  <c r="F85" i="5"/>
  <c r="F93" i="5"/>
  <c r="F101" i="5"/>
  <c r="F109" i="5"/>
  <c r="F117" i="5"/>
  <c r="F125" i="5"/>
  <c r="F133" i="5"/>
  <c r="F141" i="5"/>
  <c r="V15" i="77"/>
  <c r="V16" i="80" a="1"/>
  <c r="V16" i="80" s="1"/>
  <c r="V13" i="81" a="1"/>
  <c r="V13" i="81" s="1"/>
  <c r="V16" i="81" a="1"/>
  <c r="V16" i="81" s="1"/>
  <c r="V14" i="88" a="1"/>
  <c r="V14" i="88" s="1"/>
  <c r="V16" i="88" a="1"/>
  <c r="V16" i="88" s="1"/>
  <c r="V13" i="89" a="1"/>
  <c r="V13" i="89" s="1"/>
  <c r="V16" i="89" a="1"/>
  <c r="V16" i="89" s="1"/>
  <c r="V13" i="82" a="1"/>
  <c r="V13" i="82" s="1"/>
  <c r="V16" i="82" a="1"/>
  <c r="V16" i="82" s="1"/>
  <c r="V8" i="88" a="1"/>
  <c r="V8" i="88" s="1"/>
  <c r="V9" i="88" s="1"/>
  <c r="V13" i="85" a="1"/>
  <c r="V13" i="85" s="1"/>
  <c r="V16" i="85" a="1"/>
  <c r="V16" i="85" s="1"/>
  <c r="V13" i="87" a="1"/>
  <c r="V13" i="87" s="1"/>
  <c r="V16" i="87" a="1"/>
  <c r="V16" i="87" s="1"/>
  <c r="Y35" i="77"/>
  <c r="Y36" i="77"/>
  <c r="Y38" i="77"/>
  <c r="V9" i="77"/>
  <c r="V22" i="89"/>
  <c r="V22" i="82"/>
  <c r="V7" i="89" a="1"/>
  <c r="V7" i="89" s="1"/>
  <c r="V7" i="87" a="1"/>
  <c r="V7" i="87" s="1"/>
  <c r="V7" i="82" a="1"/>
  <c r="V7" i="82" s="1"/>
  <c r="V7" i="88" a="1"/>
  <c r="V7" i="88" s="1"/>
  <c r="V7" i="84" a="1"/>
  <c r="V7" i="84" s="1"/>
  <c r="V7" i="81" a="1"/>
  <c r="V7" i="81" s="1"/>
  <c r="V7" i="85" a="1"/>
  <c r="V7" i="85" s="1"/>
  <c r="V7" i="80" a="1"/>
  <c r="V7" i="80" s="1"/>
  <c r="V7" i="86" a="1"/>
  <c r="V7" i="86" s="1"/>
  <c r="V22" i="84"/>
  <c r="V22" i="83"/>
  <c r="V22" i="81"/>
  <c r="H13" i="78"/>
  <c r="H17" i="78"/>
  <c r="H5" i="78"/>
  <c r="H23" i="78"/>
  <c r="H8" i="78"/>
  <c r="H14" i="78"/>
  <c r="H18" i="78"/>
  <c r="H26" i="78"/>
  <c r="H29" i="78"/>
  <c r="H3" i="78"/>
  <c r="H6" i="78"/>
  <c r="H15" i="78"/>
  <c r="H9" i="78"/>
  <c r="H21" i="78"/>
  <c r="H27" i="78"/>
  <c r="H30" i="78"/>
  <c r="V22" i="80"/>
  <c r="H4" i="78"/>
  <c r="H16" i="78"/>
  <c r="H7" i="78"/>
  <c r="H12" i="78"/>
  <c r="H22" i="78"/>
  <c r="H28" i="78"/>
  <c r="V22" i="5"/>
  <c r="Y21" i="5"/>
  <c r="Y13" i="5"/>
  <c r="Y28" i="5"/>
  <c r="V8" i="5" a="1"/>
  <c r="V8" i="5" s="1"/>
  <c r="V8" i="80" a="1"/>
  <c r="V8" i="80" s="1"/>
  <c r="V8" i="87" a="1"/>
  <c r="V8" i="87" s="1"/>
  <c r="V8" i="83" a="1"/>
  <c r="V8" i="83" s="1"/>
  <c r="V8" i="86" a="1"/>
  <c r="V8" i="86" s="1"/>
  <c r="V8" i="85" a="1"/>
  <c r="V8" i="85" s="1"/>
  <c r="V8" i="84" a="1"/>
  <c r="V8" i="84" s="1"/>
  <c r="V8" i="82" a="1"/>
  <c r="V8" i="82" s="1"/>
  <c r="V8" i="81" a="1"/>
  <c r="V8" i="81" s="1"/>
  <c r="V13" i="5" a="1"/>
  <c r="V13" i="5" s="1"/>
  <c r="V8" i="89" a="1"/>
  <c r="V8" i="89" s="1"/>
  <c r="AC3" i="5" a="1"/>
  <c r="AC3" i="5" s="1"/>
  <c r="AD3" i="5" s="1"/>
  <c r="F18" i="5"/>
  <c r="F24" i="5"/>
  <c r="V7" i="5" a="1"/>
  <c r="V7" i="5" s="1"/>
  <c r="F17" i="5"/>
  <c r="F23" i="5"/>
  <c r="F26" i="5"/>
  <c r="V14" i="5" a="1"/>
  <c r="V14" i="5" s="1"/>
  <c r="F65" i="5"/>
  <c r="F73" i="5"/>
  <c r="F81" i="5"/>
  <c r="F89" i="5"/>
  <c r="F97" i="5"/>
  <c r="F105" i="5"/>
  <c r="F113" i="5"/>
  <c r="F121" i="5"/>
  <c r="F129" i="5"/>
  <c r="F137" i="5"/>
  <c r="F64" i="5"/>
  <c r="F72" i="5"/>
  <c r="F80" i="5"/>
  <c r="F88" i="5"/>
  <c r="F96" i="5"/>
  <c r="F104" i="5"/>
  <c r="F112" i="5"/>
  <c r="F120" i="5"/>
  <c r="F128" i="5"/>
  <c r="F136" i="5"/>
  <c r="F111" i="5"/>
  <c r="F62" i="5"/>
  <c r="F70" i="5"/>
  <c r="F78" i="5"/>
  <c r="F86" i="5"/>
  <c r="F94" i="5"/>
  <c r="F102" i="5"/>
  <c r="F110" i="5"/>
  <c r="F118" i="5"/>
  <c r="F126" i="5"/>
  <c r="F134" i="5"/>
  <c r="F142" i="5"/>
  <c r="F66" i="5"/>
  <c r="F74" i="5"/>
  <c r="F82" i="5"/>
  <c r="F90" i="5"/>
  <c r="F98" i="5"/>
  <c r="F106" i="5"/>
  <c r="F114" i="5"/>
  <c r="F122" i="5"/>
  <c r="F130" i="5"/>
  <c r="F138" i="5"/>
  <c r="F65" i="80"/>
  <c r="F73" i="80"/>
  <c r="F81" i="80"/>
  <c r="F89" i="80"/>
  <c r="F97" i="80"/>
  <c r="F105" i="80"/>
  <c r="F113" i="80"/>
  <c r="F121" i="80"/>
  <c r="F129" i="80"/>
  <c r="F137" i="80"/>
  <c r="V14" i="80" a="1"/>
  <c r="V14" i="80" s="1"/>
  <c r="V15" i="80" s="1"/>
  <c r="F63" i="80"/>
  <c r="F71" i="80"/>
  <c r="F79" i="80"/>
  <c r="F87" i="80"/>
  <c r="F95" i="80"/>
  <c r="F103" i="80"/>
  <c r="F111" i="80"/>
  <c r="F119" i="80"/>
  <c r="F127" i="80"/>
  <c r="F135" i="80"/>
  <c r="F143" i="80"/>
  <c r="F68" i="80"/>
  <c r="F76" i="80"/>
  <c r="F84" i="80"/>
  <c r="F92" i="80"/>
  <c r="F100" i="80"/>
  <c r="F108" i="80"/>
  <c r="F116" i="80"/>
  <c r="F124" i="80"/>
  <c r="F132" i="80"/>
  <c r="F66" i="80"/>
  <c r="F74" i="80"/>
  <c r="F82" i="80"/>
  <c r="F90" i="80"/>
  <c r="F98" i="80"/>
  <c r="F138" i="80"/>
  <c r="F65" i="81"/>
  <c r="F73" i="81"/>
  <c r="F81" i="81"/>
  <c r="F89" i="81"/>
  <c r="F97" i="81"/>
  <c r="F105" i="81"/>
  <c r="F113" i="81"/>
  <c r="F121" i="81"/>
  <c r="F129" i="81"/>
  <c r="F137" i="81"/>
  <c r="V14" i="81" a="1"/>
  <c r="V14" i="81" s="1"/>
  <c r="F62" i="81"/>
  <c r="F70" i="81"/>
  <c r="F78" i="81"/>
  <c r="F86" i="81"/>
  <c r="F94" i="81"/>
  <c r="F102" i="81"/>
  <c r="F110" i="81"/>
  <c r="F118" i="81"/>
  <c r="F126" i="81"/>
  <c r="F134" i="81"/>
  <c r="F142" i="81"/>
  <c r="F59" i="81"/>
  <c r="F67" i="81"/>
  <c r="F75" i="81"/>
  <c r="F83" i="81"/>
  <c r="F66" i="81"/>
  <c r="F74" i="81"/>
  <c r="F82" i="81"/>
  <c r="F90" i="81"/>
  <c r="F98" i="81"/>
  <c r="F106" i="81"/>
  <c r="F114" i="81"/>
  <c r="F122" i="81"/>
  <c r="F130" i="81"/>
  <c r="F138" i="81"/>
  <c r="V14" i="82" a="1"/>
  <c r="V14" i="82" s="1"/>
  <c r="F64" i="82"/>
  <c r="F72" i="82"/>
  <c r="F80" i="82"/>
  <c r="F88" i="82"/>
  <c r="F96" i="82"/>
  <c r="F104" i="82"/>
  <c r="F112" i="82"/>
  <c r="F120" i="82"/>
  <c r="F128" i="82"/>
  <c r="F136" i="82"/>
  <c r="F63" i="82"/>
  <c r="F71" i="82"/>
  <c r="F79" i="82"/>
  <c r="F87" i="82"/>
  <c r="F95" i="82"/>
  <c r="F103" i="82"/>
  <c r="F111" i="82"/>
  <c r="F119" i="82"/>
  <c r="F127" i="82"/>
  <c r="F135" i="82"/>
  <c r="F143" i="82"/>
  <c r="F92" i="82"/>
  <c r="F66" i="82"/>
  <c r="F74" i="82"/>
  <c r="F82" i="82"/>
  <c r="F90" i="82"/>
  <c r="F98" i="82"/>
  <c r="F106" i="82"/>
  <c r="F114" i="82"/>
  <c r="F122" i="82"/>
  <c r="F130" i="82"/>
  <c r="F138" i="82"/>
  <c r="F22" i="83"/>
  <c r="F18" i="83"/>
  <c r="V13" i="83" a="1"/>
  <c r="V13" i="83" s="1"/>
  <c r="V7" i="83" a="1"/>
  <c r="V7" i="83" s="1"/>
  <c r="V9" i="83" s="1"/>
  <c r="F17" i="83"/>
  <c r="F23" i="83"/>
  <c r="F26" i="83"/>
  <c r="V14" i="83" a="1"/>
  <c r="V14" i="83" s="1"/>
  <c r="F65" i="83"/>
  <c r="F73" i="83"/>
  <c r="F81" i="83"/>
  <c r="F89" i="83"/>
  <c r="F97" i="83"/>
  <c r="F105" i="83"/>
  <c r="F113" i="83"/>
  <c r="F121" i="83"/>
  <c r="F129" i="83"/>
  <c r="F137" i="83"/>
  <c r="F64" i="83"/>
  <c r="F72" i="83"/>
  <c r="F80" i="83"/>
  <c r="F88" i="83"/>
  <c r="F96" i="83"/>
  <c r="F104" i="83"/>
  <c r="F112" i="83"/>
  <c r="F120" i="83"/>
  <c r="F128" i="83"/>
  <c r="F136" i="83"/>
  <c r="F63" i="83"/>
  <c r="F71" i="83"/>
  <c r="F79" i="83"/>
  <c r="F95" i="83"/>
  <c r="F66" i="83"/>
  <c r="F74" i="83"/>
  <c r="F82" i="83"/>
  <c r="F90" i="83"/>
  <c r="F98" i="83"/>
  <c r="F106" i="83"/>
  <c r="F114" i="83"/>
  <c r="F122" i="83"/>
  <c r="F130" i="83"/>
  <c r="F138" i="83"/>
  <c r="V13" i="84" a="1"/>
  <c r="V13" i="84" s="1"/>
  <c r="F65" i="84"/>
  <c r="F73" i="84"/>
  <c r="F81" i="84"/>
  <c r="F89" i="84"/>
  <c r="F97" i="84"/>
  <c r="F105" i="84"/>
  <c r="F113" i="84"/>
  <c r="F121" i="84"/>
  <c r="F129" i="84"/>
  <c r="F137" i="84"/>
  <c r="V14" i="84" a="1"/>
  <c r="V14" i="84" s="1"/>
  <c r="F63" i="84"/>
  <c r="F71" i="84"/>
  <c r="F79" i="84"/>
  <c r="F87" i="84"/>
  <c r="F95" i="84"/>
  <c r="F103" i="84"/>
  <c r="F111" i="84"/>
  <c r="F119" i="84"/>
  <c r="F127" i="84"/>
  <c r="F135" i="84"/>
  <c r="F143" i="84"/>
  <c r="F62" i="84"/>
  <c r="F66" i="84"/>
  <c r="F74" i="84"/>
  <c r="F82" i="84"/>
  <c r="F90" i="84"/>
  <c r="F98" i="84"/>
  <c r="F106" i="84"/>
  <c r="F114" i="84"/>
  <c r="F122" i="84"/>
  <c r="F130" i="84"/>
  <c r="F138" i="84"/>
  <c r="V14" i="85" a="1"/>
  <c r="V14" i="85" s="1"/>
  <c r="F64" i="85"/>
  <c r="F72" i="85"/>
  <c r="F80" i="85"/>
  <c r="F88" i="85"/>
  <c r="F96" i="85"/>
  <c r="F104" i="85"/>
  <c r="F112" i="85"/>
  <c r="F120" i="85"/>
  <c r="F128" i="85"/>
  <c r="F136" i="85"/>
  <c r="F63" i="85"/>
  <c r="F71" i="85"/>
  <c r="F79" i="85"/>
  <c r="F87" i="85"/>
  <c r="F95" i="85"/>
  <c r="F103" i="85"/>
  <c r="F111" i="85"/>
  <c r="F119" i="85"/>
  <c r="F127" i="85"/>
  <c r="F135" i="85"/>
  <c r="F143" i="85"/>
  <c r="F84" i="85"/>
  <c r="F92" i="85"/>
  <c r="F100" i="85"/>
  <c r="F108" i="85"/>
  <c r="F66" i="85"/>
  <c r="F74" i="85"/>
  <c r="F82" i="85"/>
  <c r="F90" i="85"/>
  <c r="F98" i="85"/>
  <c r="F106" i="85"/>
  <c r="F114" i="85"/>
  <c r="F122" i="85"/>
  <c r="F130" i="85"/>
  <c r="F138" i="85"/>
  <c r="V14" i="87" a="1"/>
  <c r="V14" i="87" s="1"/>
  <c r="F63" i="87"/>
  <c r="F71" i="87"/>
  <c r="F79" i="87"/>
  <c r="F87" i="87"/>
  <c r="F95" i="87"/>
  <c r="F103" i="87"/>
  <c r="F111" i="87"/>
  <c r="F119" i="87"/>
  <c r="F127" i="87"/>
  <c r="F62" i="87"/>
  <c r="F70" i="87"/>
  <c r="F78" i="87"/>
  <c r="F86" i="87"/>
  <c r="F94" i="87"/>
  <c r="F102" i="87"/>
  <c r="F110" i="87"/>
  <c r="F118" i="87"/>
  <c r="F126" i="87"/>
  <c r="F60" i="87"/>
  <c r="F68" i="87"/>
  <c r="F76" i="87"/>
  <c r="F84" i="87"/>
  <c r="F92" i="87"/>
  <c r="F100" i="87"/>
  <c r="F108" i="87"/>
  <c r="F116" i="87"/>
  <c r="F59" i="87"/>
  <c r="Y34" i="87" s="1"/>
  <c r="F67" i="87"/>
  <c r="F75" i="87"/>
  <c r="F83" i="87"/>
  <c r="F91" i="87"/>
  <c r="F99" i="87"/>
  <c r="F115" i="87"/>
  <c r="F123" i="87"/>
  <c r="F66" i="87"/>
  <c r="F74" i="87"/>
  <c r="F82" i="87"/>
  <c r="F90" i="87"/>
  <c r="F98" i="87"/>
  <c r="F106" i="87"/>
  <c r="F114" i="87"/>
  <c r="F122" i="87"/>
  <c r="V13" i="88" a="1"/>
  <c r="V13" i="88" s="1"/>
  <c r="F65" i="88"/>
  <c r="F73" i="88"/>
  <c r="F81" i="88"/>
  <c r="F89" i="88"/>
  <c r="F97" i="88"/>
  <c r="F105" i="88"/>
  <c r="F113" i="88"/>
  <c r="F121" i="88"/>
  <c r="F129" i="88"/>
  <c r="F137" i="88"/>
  <c r="F64" i="88"/>
  <c r="F72" i="88"/>
  <c r="F80" i="88"/>
  <c r="F88" i="88"/>
  <c r="F96" i="88"/>
  <c r="F104" i="88"/>
  <c r="F112" i="88"/>
  <c r="F120" i="88"/>
  <c r="F128" i="88"/>
  <c r="F136" i="88"/>
  <c r="F63" i="88"/>
  <c r="F71" i="88"/>
  <c r="F79" i="88"/>
  <c r="F87" i="88"/>
  <c r="F60" i="88"/>
  <c r="F68" i="88"/>
  <c r="F76" i="88"/>
  <c r="F84" i="88"/>
  <c r="F92" i="88"/>
  <c r="F100" i="88"/>
  <c r="F108" i="88"/>
  <c r="F116" i="88"/>
  <c r="F124" i="88"/>
  <c r="F66" i="88"/>
  <c r="F74" i="88"/>
  <c r="F82" i="88"/>
  <c r="F90" i="88"/>
  <c r="F98" i="88"/>
  <c r="F106" i="88"/>
  <c r="F114" i="88"/>
  <c r="F122" i="88"/>
  <c r="F130" i="88"/>
  <c r="F138" i="88"/>
  <c r="F65" i="89"/>
  <c r="F73" i="89"/>
  <c r="F81" i="89"/>
  <c r="F89" i="89"/>
  <c r="F97" i="89"/>
  <c r="F105" i="89"/>
  <c r="F113" i="89"/>
  <c r="F121" i="89"/>
  <c r="F129" i="89"/>
  <c r="F137" i="89"/>
  <c r="V14" i="89" a="1"/>
  <c r="V14" i="89" s="1"/>
  <c r="F62" i="89"/>
  <c r="F70" i="89"/>
  <c r="F78" i="89"/>
  <c r="F86" i="89"/>
  <c r="F94" i="89"/>
  <c r="F102" i="89"/>
  <c r="F110" i="89"/>
  <c r="F118" i="89"/>
  <c r="F126" i="89"/>
  <c r="F134" i="89"/>
  <c r="F142" i="89"/>
  <c r="F60" i="89"/>
  <c r="F68" i="89"/>
  <c r="F76" i="89"/>
  <c r="F84" i="89"/>
  <c r="F92" i="89"/>
  <c r="F100" i="89"/>
  <c r="F108" i="89"/>
  <c r="F116" i="89"/>
  <c r="F66" i="89"/>
  <c r="F74" i="89"/>
  <c r="F82" i="89"/>
  <c r="F90" i="89"/>
  <c r="F98" i="89"/>
  <c r="F106" i="89"/>
  <c r="F114" i="89"/>
  <c r="F122" i="89"/>
  <c r="F130" i="89"/>
  <c r="F138" i="89"/>
  <c r="AA37" i="87" l="1"/>
  <c r="AA38" i="87"/>
  <c r="Y35" i="88"/>
  <c r="AA35" i="88"/>
  <c r="Y37" i="82"/>
  <c r="AA37" i="82"/>
  <c r="AA35" i="89"/>
  <c r="AA35" i="84"/>
  <c r="AA38" i="86"/>
  <c r="Y36" i="83"/>
  <c r="AA36" i="83"/>
  <c r="Z35" i="85"/>
  <c r="Y36" i="85"/>
  <c r="Y34" i="81"/>
  <c r="V9" i="84"/>
  <c r="Z35" i="87"/>
  <c r="Z36" i="87"/>
  <c r="Z36" i="88"/>
  <c r="Z38" i="82"/>
  <c r="Y34" i="82"/>
  <c r="Z36" i="89"/>
  <c r="Y37" i="89"/>
  <c r="Z36" i="84"/>
  <c r="Y37" i="84"/>
  <c r="Z34" i="86"/>
  <c r="Y35" i="86"/>
  <c r="Z37" i="83"/>
  <c r="Y38" i="83"/>
  <c r="AA36" i="85"/>
  <c r="AA34" i="81"/>
  <c r="Z35" i="81"/>
  <c r="Y38" i="87"/>
  <c r="Y37" i="88"/>
  <c r="AA37" i="88"/>
  <c r="AA34" i="82"/>
  <c r="Z35" i="82"/>
  <c r="AA37" i="89"/>
  <c r="Z38" i="89"/>
  <c r="AA37" i="84"/>
  <c r="Z38" i="84"/>
  <c r="AA35" i="86"/>
  <c r="Z36" i="86"/>
  <c r="AA38" i="83"/>
  <c r="Z37" i="85"/>
  <c r="Y38" i="85"/>
  <c r="Y36" i="81"/>
  <c r="AA36" i="81"/>
  <c r="Z34" i="87"/>
  <c r="AA36" i="87"/>
  <c r="Z38" i="88"/>
  <c r="Y34" i="88"/>
  <c r="AA38" i="82"/>
  <c r="AA36" i="82"/>
  <c r="Y34" i="89"/>
  <c r="AA34" i="89"/>
  <c r="Y34" i="84"/>
  <c r="AA34" i="84"/>
  <c r="Y37" i="86"/>
  <c r="AA37" i="86"/>
  <c r="Z34" i="83"/>
  <c r="Y35" i="83"/>
  <c r="AA38" i="85"/>
  <c r="Z34" i="85"/>
  <c r="Z37" i="81"/>
  <c r="Y38" i="81"/>
  <c r="Y37" i="87"/>
  <c r="AA35" i="87"/>
  <c r="AA34" i="88"/>
  <c r="Z35" i="88"/>
  <c r="Z37" i="82"/>
  <c r="Y38" i="82"/>
  <c r="Z35" i="89"/>
  <c r="Y36" i="89"/>
  <c r="Z35" i="84"/>
  <c r="Y36" i="84"/>
  <c r="Z38" i="86"/>
  <c r="Y34" i="86"/>
  <c r="AA35" i="83"/>
  <c r="Z36" i="83"/>
  <c r="Y35" i="85"/>
  <c r="AA35" i="85"/>
  <c r="AA38" i="81"/>
  <c r="Z34" i="81"/>
  <c r="AA34" i="87"/>
  <c r="Z38" i="87"/>
  <c r="Y36" i="88"/>
  <c r="Y36" i="82"/>
  <c r="Z34" i="82"/>
  <c r="AA36" i="89"/>
  <c r="Z37" i="89"/>
  <c r="AA36" i="84"/>
  <c r="Z37" i="84"/>
  <c r="AA34" i="86"/>
  <c r="Y37" i="83"/>
  <c r="AA37" i="83"/>
  <c r="Z36" i="85"/>
  <c r="Y37" i="85"/>
  <c r="Y35" i="81"/>
  <c r="AA35" i="81"/>
  <c r="Z37" i="88"/>
  <c r="Y38" i="88"/>
  <c r="Z34" i="80"/>
  <c r="Y38" i="80"/>
  <c r="Z36" i="80"/>
  <c r="Z35" i="80"/>
  <c r="AA36" i="80"/>
  <c r="AA37" i="80"/>
  <c r="Y34" i="80"/>
  <c r="Y35" i="80"/>
  <c r="AA38" i="80"/>
  <c r="Z37" i="80"/>
  <c r="Y36" i="80"/>
  <c r="AA34" i="80"/>
  <c r="Z38" i="80"/>
  <c r="Y37" i="80"/>
  <c r="AA35" i="80"/>
  <c r="Y35" i="82"/>
  <c r="AA35" i="82"/>
  <c r="Y38" i="89"/>
  <c r="Y38" i="84"/>
  <c r="AA38" i="84"/>
  <c r="Y36" i="86"/>
  <c r="AA36" i="86"/>
  <c r="Z38" i="83"/>
  <c r="Y34" i="83"/>
  <c r="AA37" i="85"/>
  <c r="Z38" i="85"/>
  <c r="Z36" i="81"/>
  <c r="Y37" i="81"/>
  <c r="Z37" i="87"/>
  <c r="Y35" i="87"/>
  <c r="AA38" i="88"/>
  <c r="Z34" i="89"/>
  <c r="Z34" i="84"/>
  <c r="Z37" i="86"/>
  <c r="AA34" i="83"/>
  <c r="Y34" i="85"/>
  <c r="AA37" i="81"/>
  <c r="V15" i="89"/>
  <c r="V9" i="89"/>
  <c r="AC4" i="89" a="1"/>
  <c r="AC4" i="89" s="1"/>
  <c r="AD4" i="89" s="1"/>
  <c r="AD3" i="89"/>
  <c r="AC5" i="88" a="1"/>
  <c r="AC5" i="88" s="1"/>
  <c r="AD5" i="88" s="1"/>
  <c r="AE5" i="88" s="1"/>
  <c r="AC4" i="86" a="1"/>
  <c r="AC4" i="86" s="1"/>
  <c r="AD4" i="86" s="1"/>
  <c r="AD3" i="86"/>
  <c r="AD3" i="85"/>
  <c r="AC4" i="85" a="1"/>
  <c r="AC4" i="85" s="1"/>
  <c r="AD4" i="85" s="1"/>
  <c r="AD3" i="84"/>
  <c r="AC4" i="84" a="1"/>
  <c r="AC4" i="84" s="1"/>
  <c r="AD4" i="84" s="1"/>
  <c r="AD3" i="83"/>
  <c r="AC4" i="83" a="1"/>
  <c r="AC4" i="83" s="1"/>
  <c r="AD4" i="83" s="1"/>
  <c r="AD3" i="81"/>
  <c r="AC4" i="81" a="1"/>
  <c r="AC4" i="81" s="1"/>
  <c r="AD3" i="87"/>
  <c r="AE3" i="87" s="1"/>
  <c r="V15" i="87"/>
  <c r="V9" i="87"/>
  <c r="AC5" i="87" a="1"/>
  <c r="AC5" i="87" s="1"/>
  <c r="AD5" i="87" s="1"/>
  <c r="V15" i="81"/>
  <c r="V15" i="85"/>
  <c r="V9" i="85"/>
  <c r="AC5" i="90" a="1"/>
  <c r="AC5" i="90" s="1"/>
  <c r="AC4" i="80" a="1"/>
  <c r="AC4" i="80" s="1"/>
  <c r="AD4" i="80" s="1"/>
  <c r="AE4" i="80" s="1"/>
  <c r="V15" i="82"/>
  <c r="V15" i="88"/>
  <c r="I16" i="78"/>
  <c r="AD6" i="82"/>
  <c r="AC7" i="82" a="1"/>
  <c r="AC7" i="82" s="1"/>
  <c r="AD7" i="82" s="1"/>
  <c r="AD5" i="82"/>
  <c r="AA38" i="5"/>
  <c r="Z36" i="5"/>
  <c r="Z34" i="5"/>
  <c r="V9" i="86"/>
  <c r="V9" i="80"/>
  <c r="V3" i="5"/>
  <c r="V2" i="80" s="1"/>
  <c r="V3" i="80" s="1"/>
  <c r="V2" i="81" s="1"/>
  <c r="V3" i="81" s="1"/>
  <c r="V2" i="82" s="1"/>
  <c r="V3" i="82" s="1"/>
  <c r="V2" i="83" s="1"/>
  <c r="V3" i="83" s="1"/>
  <c r="V2" i="84" s="1"/>
  <c r="L4" i="78"/>
  <c r="V9" i="81"/>
  <c r="V9" i="82"/>
  <c r="I21" i="78"/>
  <c r="I31" i="78"/>
  <c r="I14" i="78"/>
  <c r="I17" i="78"/>
  <c r="I13" i="78"/>
  <c r="I15" i="78"/>
  <c r="I12" i="78"/>
  <c r="I18" i="78"/>
  <c r="I29" i="78"/>
  <c r="I3" i="78"/>
  <c r="I26" i="78"/>
  <c r="I30" i="78"/>
  <c r="I7" i="78"/>
  <c r="I8" i="78"/>
  <c r="I6" i="78"/>
  <c r="I4" i="78"/>
  <c r="I5" i="78"/>
  <c r="I9" i="78"/>
  <c r="I27" i="78"/>
  <c r="I28" i="78"/>
  <c r="I23" i="78"/>
  <c r="I22" i="78"/>
  <c r="V15" i="5"/>
  <c r="V9" i="5"/>
  <c r="V15" i="86"/>
  <c r="V15" i="84"/>
  <c r="AC4" i="5" a="1"/>
  <c r="AC4" i="5" s="1"/>
  <c r="AD4" i="5" s="1"/>
  <c r="AE4" i="5" s="1"/>
  <c r="Z38" i="5"/>
  <c r="Z35" i="5"/>
  <c r="AA34" i="5"/>
  <c r="Z37" i="5"/>
  <c r="Y36" i="5"/>
  <c r="Y34" i="5"/>
  <c r="AA36" i="5"/>
  <c r="Y38" i="5"/>
  <c r="Y35" i="5"/>
  <c r="Y37" i="5"/>
  <c r="AA35" i="5"/>
  <c r="AE3" i="5"/>
  <c r="AA37" i="5"/>
  <c r="V15" i="83"/>
  <c r="G26" i="78"/>
  <c r="AE3" i="89" l="1"/>
  <c r="AE4" i="89"/>
  <c r="AC5" i="89" a="1"/>
  <c r="AC5" i="89" s="1"/>
  <c r="AD5" i="89" s="1"/>
  <c r="AC6" i="88" a="1"/>
  <c r="AC6" i="88" s="1"/>
  <c r="AD6" i="88" s="1"/>
  <c r="AE6" i="88" s="1"/>
  <c r="AE3" i="86"/>
  <c r="AE4" i="86"/>
  <c r="AC5" i="86" a="1"/>
  <c r="AC5" i="86" s="1"/>
  <c r="AD5" i="86" s="1"/>
  <c r="AE5" i="86" s="1"/>
  <c r="AE4" i="85"/>
  <c r="AE3" i="85"/>
  <c r="AC5" i="85" a="1"/>
  <c r="AC5" i="85" s="1"/>
  <c r="AD5" i="85" s="1"/>
  <c r="AE5" i="85" s="1"/>
  <c r="AE4" i="84"/>
  <c r="AE3" i="84"/>
  <c r="AC5" i="84" a="1"/>
  <c r="AC5" i="84" s="1"/>
  <c r="AD5" i="84" s="1"/>
  <c r="AE5" i="84" s="1"/>
  <c r="AE3" i="83"/>
  <c r="AE4" i="83"/>
  <c r="AC5" i="83" a="1"/>
  <c r="AC5" i="83" s="1"/>
  <c r="AD5" i="83" s="1"/>
  <c r="AE5" i="83" s="1"/>
  <c r="AC8" i="82" a="1"/>
  <c r="AC8" i="82" s="1"/>
  <c r="AD8" i="82" s="1"/>
  <c r="AE8" i="82" s="1"/>
  <c r="AD4" i="81"/>
  <c r="AC5" i="81" a="1"/>
  <c r="AC5" i="81" s="1"/>
  <c r="AE3" i="81"/>
  <c r="AE4" i="87"/>
  <c r="AC6" i="87" a="1"/>
  <c r="AC6" i="87" s="1"/>
  <c r="AC7" i="87" s="1" a="1"/>
  <c r="AC7" i="87" s="1"/>
  <c r="AC6" i="90" a="1"/>
  <c r="AC6" i="90" s="1"/>
  <c r="AC5" i="80" a="1"/>
  <c r="AC5" i="80" s="1"/>
  <c r="AC6" i="80" s="1" a="1"/>
  <c r="AC6" i="80" s="1"/>
  <c r="AD6" i="80" s="1"/>
  <c r="AE5" i="87"/>
  <c r="AE5" i="82"/>
  <c r="AE7" i="82"/>
  <c r="AE6" i="82"/>
  <c r="V3" i="84"/>
  <c r="V2" i="85" s="1"/>
  <c r="V3" i="85" s="1"/>
  <c r="V2" i="86" s="1"/>
  <c r="V3" i="86" s="1"/>
  <c r="V2" i="87" s="1"/>
  <c r="V3" i="87" s="1"/>
  <c r="V2" i="88" s="1"/>
  <c r="V3" i="88" s="1"/>
  <c r="V2" i="89" s="1"/>
  <c r="V3" i="89" s="1"/>
  <c r="V2" i="90" s="1"/>
  <c r="AC5" i="5" a="1"/>
  <c r="AC5" i="5" s="1"/>
  <c r="AD5" i="5" s="1"/>
  <c r="V12" i="90"/>
  <c r="V6" i="90"/>
  <c r="D19" i="78"/>
  <c r="Q6" i="78"/>
  <c r="M15" i="78"/>
  <c r="M14" i="78"/>
  <c r="M13" i="78"/>
  <c r="M12" i="78"/>
  <c r="M11" i="78"/>
  <c r="M10" i="78"/>
  <c r="M9" i="78"/>
  <c r="M8" i="78"/>
  <c r="M7" i="78"/>
  <c r="M6" i="78"/>
  <c r="M5" i="78"/>
  <c r="R15" i="78"/>
  <c r="Q15" i="78"/>
  <c r="R14" i="78"/>
  <c r="Q14" i="78"/>
  <c r="R13" i="78"/>
  <c r="Q13" i="78"/>
  <c r="R12" i="78"/>
  <c r="Q12" i="78"/>
  <c r="R11" i="78"/>
  <c r="Q11" i="78"/>
  <c r="R10" i="78"/>
  <c r="Q10" i="78"/>
  <c r="R9" i="78"/>
  <c r="Q9" i="78"/>
  <c r="R8" i="78"/>
  <c r="Q8" i="78"/>
  <c r="R7" i="78"/>
  <c r="Q7" i="78"/>
  <c r="R6" i="78"/>
  <c r="R5" i="78"/>
  <c r="M4" i="78"/>
  <c r="N4" i="78" s="1"/>
  <c r="D2" i="78"/>
  <c r="Q143" i="90"/>
  <c r="P143" i="90"/>
  <c r="O143" i="90"/>
  <c r="F143" i="90" s="1"/>
  <c r="N143" i="90"/>
  <c r="L143" i="90"/>
  <c r="Q142" i="90"/>
  <c r="P142" i="90"/>
  <c r="O142" i="90"/>
  <c r="N142" i="90"/>
  <c r="L142" i="90"/>
  <c r="Q141" i="90"/>
  <c r="P141" i="90"/>
  <c r="O141" i="90"/>
  <c r="N141" i="90"/>
  <c r="L141" i="90"/>
  <c r="Q140" i="90"/>
  <c r="P140" i="90"/>
  <c r="O140" i="90"/>
  <c r="F140" i="90" s="1"/>
  <c r="N140" i="90"/>
  <c r="L140" i="90"/>
  <c r="Q139" i="90"/>
  <c r="P139" i="90"/>
  <c r="O139" i="90"/>
  <c r="N139" i="90"/>
  <c r="L139" i="90"/>
  <c r="F139" i="90"/>
  <c r="Q138" i="90"/>
  <c r="P138" i="90"/>
  <c r="F138" i="90" s="1"/>
  <c r="O138" i="90"/>
  <c r="N138" i="90"/>
  <c r="L138" i="90"/>
  <c r="Q137" i="90"/>
  <c r="P137" i="90"/>
  <c r="O137" i="90"/>
  <c r="N137" i="90"/>
  <c r="L137" i="90"/>
  <c r="Q136" i="90"/>
  <c r="P136" i="90"/>
  <c r="O136" i="90"/>
  <c r="N136" i="90"/>
  <c r="L136" i="90"/>
  <c r="Q135" i="90"/>
  <c r="P135" i="90"/>
  <c r="O135" i="90"/>
  <c r="N135" i="90"/>
  <c r="L135" i="90"/>
  <c r="Q134" i="90"/>
  <c r="P134" i="90"/>
  <c r="O134" i="90"/>
  <c r="F134" i="90" s="1"/>
  <c r="N134" i="90"/>
  <c r="L134" i="90"/>
  <c r="Q133" i="90"/>
  <c r="P133" i="90"/>
  <c r="O133" i="90"/>
  <c r="N133" i="90"/>
  <c r="L133" i="90"/>
  <c r="F133" i="90"/>
  <c r="Q132" i="90"/>
  <c r="P132" i="90"/>
  <c r="F132" i="90" s="1"/>
  <c r="O132" i="90"/>
  <c r="N132" i="90"/>
  <c r="L132" i="90"/>
  <c r="Q131" i="90"/>
  <c r="P131" i="90"/>
  <c r="O131" i="90"/>
  <c r="F131" i="90" s="1"/>
  <c r="N131" i="90"/>
  <c r="L131" i="90"/>
  <c r="Q130" i="90"/>
  <c r="P130" i="90"/>
  <c r="O130" i="90"/>
  <c r="F130" i="90" s="1"/>
  <c r="N130" i="90"/>
  <c r="L130" i="90"/>
  <c r="Q129" i="90"/>
  <c r="P129" i="90"/>
  <c r="O129" i="90"/>
  <c r="N129" i="90"/>
  <c r="L129" i="90"/>
  <c r="Q128" i="90"/>
  <c r="P128" i="90"/>
  <c r="O128" i="90"/>
  <c r="N128" i="90"/>
  <c r="L128" i="90"/>
  <c r="Q127" i="90"/>
  <c r="P127" i="90"/>
  <c r="O127" i="90"/>
  <c r="N127" i="90"/>
  <c r="L127" i="90"/>
  <c r="Q126" i="90"/>
  <c r="P126" i="90"/>
  <c r="O126" i="90"/>
  <c r="N126" i="90"/>
  <c r="L126" i="90"/>
  <c r="Q125" i="90"/>
  <c r="P125" i="90"/>
  <c r="O125" i="90"/>
  <c r="N125" i="90"/>
  <c r="L125" i="90"/>
  <c r="Q124" i="90"/>
  <c r="P124" i="90"/>
  <c r="O124" i="90"/>
  <c r="N124" i="90"/>
  <c r="L124" i="90"/>
  <c r="Q123" i="90"/>
  <c r="P123" i="90"/>
  <c r="O123" i="90"/>
  <c r="F123" i="90" s="1"/>
  <c r="N123" i="90"/>
  <c r="L123" i="90"/>
  <c r="Q122" i="90"/>
  <c r="P122" i="90"/>
  <c r="O122" i="90"/>
  <c r="F122" i="90" s="1"/>
  <c r="N122" i="90"/>
  <c r="L122" i="90"/>
  <c r="Q121" i="90"/>
  <c r="P121" i="90"/>
  <c r="O121" i="90"/>
  <c r="N121" i="90"/>
  <c r="L121" i="90"/>
  <c r="Q120" i="90"/>
  <c r="P120" i="90"/>
  <c r="O120" i="90"/>
  <c r="N120" i="90"/>
  <c r="L120" i="90"/>
  <c r="Q119" i="90"/>
  <c r="P119" i="90"/>
  <c r="O119" i="90"/>
  <c r="N119" i="90"/>
  <c r="L119" i="90"/>
  <c r="Q118" i="90"/>
  <c r="P118" i="90"/>
  <c r="O118" i="90"/>
  <c r="F118" i="90" s="1"/>
  <c r="N118" i="90"/>
  <c r="L118" i="90"/>
  <c r="Q117" i="90"/>
  <c r="P117" i="90"/>
  <c r="O117" i="90"/>
  <c r="N117" i="90"/>
  <c r="L117" i="90"/>
  <c r="Q116" i="90"/>
  <c r="P116" i="90"/>
  <c r="F116" i="90" s="1"/>
  <c r="O116" i="90"/>
  <c r="N116" i="90"/>
  <c r="L116" i="90"/>
  <c r="Q115" i="90"/>
  <c r="P115" i="90"/>
  <c r="O115" i="90"/>
  <c r="N115" i="90"/>
  <c r="L115" i="90"/>
  <c r="Q114" i="90"/>
  <c r="P114" i="90"/>
  <c r="O114" i="90"/>
  <c r="F114" i="90" s="1"/>
  <c r="N114" i="90"/>
  <c r="L114" i="90"/>
  <c r="Q113" i="90"/>
  <c r="P113" i="90"/>
  <c r="O113" i="90"/>
  <c r="N113" i="90"/>
  <c r="L113" i="90"/>
  <c r="Q112" i="90"/>
  <c r="P112" i="90"/>
  <c r="O112" i="90"/>
  <c r="N112" i="90"/>
  <c r="L112" i="90"/>
  <c r="Q111" i="90"/>
  <c r="P111" i="90"/>
  <c r="O111" i="90"/>
  <c r="N111" i="90"/>
  <c r="L111" i="90"/>
  <c r="Q110" i="90"/>
  <c r="P110" i="90"/>
  <c r="O110" i="90"/>
  <c r="N110" i="90"/>
  <c r="L110" i="90"/>
  <c r="Q109" i="90"/>
  <c r="P109" i="90"/>
  <c r="O109" i="90"/>
  <c r="N109" i="90"/>
  <c r="L109" i="90"/>
  <c r="Q108" i="90"/>
  <c r="P108" i="90"/>
  <c r="O108" i="90"/>
  <c r="N108" i="90"/>
  <c r="L108" i="90"/>
  <c r="Q107" i="90"/>
  <c r="P107" i="90"/>
  <c r="O107" i="90"/>
  <c r="N107" i="90"/>
  <c r="L107" i="90"/>
  <c r="Q106" i="90"/>
  <c r="P106" i="90"/>
  <c r="O106" i="90"/>
  <c r="F106" i="90" s="1"/>
  <c r="N106" i="90"/>
  <c r="L106" i="90"/>
  <c r="Q105" i="90"/>
  <c r="P105" i="90"/>
  <c r="O105" i="90"/>
  <c r="N105" i="90"/>
  <c r="L105" i="90"/>
  <c r="Q104" i="90"/>
  <c r="P104" i="90"/>
  <c r="O104" i="90"/>
  <c r="N104" i="90"/>
  <c r="L104" i="90"/>
  <c r="Q103" i="90"/>
  <c r="P103" i="90"/>
  <c r="O103" i="90"/>
  <c r="N103" i="90"/>
  <c r="L103" i="90"/>
  <c r="Q102" i="90"/>
  <c r="P102" i="90"/>
  <c r="O102" i="90"/>
  <c r="N102" i="90"/>
  <c r="L102" i="90"/>
  <c r="Q101" i="90"/>
  <c r="P101" i="90"/>
  <c r="O101" i="90"/>
  <c r="F101" i="90" s="1"/>
  <c r="N101" i="90"/>
  <c r="L101" i="90"/>
  <c r="Q100" i="90"/>
  <c r="P100" i="90"/>
  <c r="O100" i="90"/>
  <c r="N100" i="90"/>
  <c r="L100" i="90"/>
  <c r="Q99" i="90"/>
  <c r="P99" i="90"/>
  <c r="O99" i="90"/>
  <c r="N99" i="90"/>
  <c r="L99" i="90"/>
  <c r="Q98" i="90"/>
  <c r="P98" i="90"/>
  <c r="O98" i="90"/>
  <c r="N98" i="90"/>
  <c r="L98" i="90"/>
  <c r="Q97" i="90"/>
  <c r="P97" i="90"/>
  <c r="O97" i="90"/>
  <c r="N97" i="90"/>
  <c r="L97" i="90"/>
  <c r="Q96" i="90"/>
  <c r="P96" i="90"/>
  <c r="O96" i="90"/>
  <c r="N96" i="90"/>
  <c r="L96" i="90"/>
  <c r="Q95" i="90"/>
  <c r="P95" i="90"/>
  <c r="O95" i="90"/>
  <c r="N95" i="90"/>
  <c r="L95" i="90"/>
  <c r="Q94" i="90"/>
  <c r="P94" i="90"/>
  <c r="O94" i="90"/>
  <c r="N94" i="90"/>
  <c r="L94" i="90"/>
  <c r="Q93" i="90"/>
  <c r="P93" i="90"/>
  <c r="O93" i="90"/>
  <c r="F93" i="90" s="1"/>
  <c r="N93" i="90"/>
  <c r="L93" i="90"/>
  <c r="Q92" i="90"/>
  <c r="P92" i="90"/>
  <c r="O92" i="90"/>
  <c r="N92" i="90"/>
  <c r="L92" i="90"/>
  <c r="Q91" i="90"/>
  <c r="P91" i="90"/>
  <c r="O91" i="90"/>
  <c r="N91" i="90"/>
  <c r="L91" i="90"/>
  <c r="Q90" i="90"/>
  <c r="P90" i="90"/>
  <c r="O90" i="90"/>
  <c r="N90" i="90"/>
  <c r="L90" i="90"/>
  <c r="Q89" i="90"/>
  <c r="P89" i="90"/>
  <c r="O89" i="90"/>
  <c r="N89" i="90"/>
  <c r="L89" i="90"/>
  <c r="Q88" i="90"/>
  <c r="P88" i="90"/>
  <c r="O88" i="90"/>
  <c r="N88" i="90"/>
  <c r="L88" i="90"/>
  <c r="Q87" i="90"/>
  <c r="P87" i="90"/>
  <c r="O87" i="90"/>
  <c r="N87" i="90"/>
  <c r="L87" i="90"/>
  <c r="Q86" i="90"/>
  <c r="P86" i="90"/>
  <c r="O86" i="90"/>
  <c r="N86" i="90"/>
  <c r="L86" i="90"/>
  <c r="Q85" i="90"/>
  <c r="P85" i="90"/>
  <c r="O85" i="90"/>
  <c r="F85" i="90" s="1"/>
  <c r="N85" i="90"/>
  <c r="L85" i="90"/>
  <c r="Q84" i="90"/>
  <c r="P84" i="90"/>
  <c r="O84" i="90"/>
  <c r="N84" i="90"/>
  <c r="L84" i="90"/>
  <c r="Q83" i="90"/>
  <c r="P83" i="90"/>
  <c r="O83" i="90"/>
  <c r="N83" i="90"/>
  <c r="L83" i="90"/>
  <c r="Q82" i="90"/>
  <c r="P82" i="90"/>
  <c r="O82" i="90"/>
  <c r="N82" i="90"/>
  <c r="L82" i="90"/>
  <c r="Q81" i="90"/>
  <c r="P81" i="90"/>
  <c r="O81" i="90"/>
  <c r="N81" i="90"/>
  <c r="L81" i="90"/>
  <c r="Q80" i="90"/>
  <c r="P80" i="90"/>
  <c r="O80" i="90"/>
  <c r="N80" i="90"/>
  <c r="L80" i="90"/>
  <c r="Q79" i="90"/>
  <c r="P79" i="90"/>
  <c r="O79" i="90"/>
  <c r="N79" i="90"/>
  <c r="L79" i="90"/>
  <c r="Q78" i="90"/>
  <c r="P78" i="90"/>
  <c r="O78" i="90"/>
  <c r="N78" i="90"/>
  <c r="L78" i="90"/>
  <c r="Q77" i="90"/>
  <c r="P77" i="90"/>
  <c r="O77" i="90"/>
  <c r="F77" i="90" s="1"/>
  <c r="N77" i="90"/>
  <c r="L77" i="90"/>
  <c r="Q76" i="90"/>
  <c r="P76" i="90"/>
  <c r="O76" i="90"/>
  <c r="N76" i="90"/>
  <c r="L76" i="90"/>
  <c r="Q75" i="90"/>
  <c r="P75" i="90"/>
  <c r="O75" i="90"/>
  <c r="N75" i="90"/>
  <c r="L75" i="90"/>
  <c r="Q74" i="90"/>
  <c r="P74" i="90"/>
  <c r="O74" i="90"/>
  <c r="N74" i="90"/>
  <c r="L74" i="90"/>
  <c r="Q73" i="90"/>
  <c r="P73" i="90"/>
  <c r="O73" i="90"/>
  <c r="N73" i="90"/>
  <c r="L73" i="90"/>
  <c r="Q72" i="90"/>
  <c r="P72" i="90"/>
  <c r="O72" i="90"/>
  <c r="N72" i="90"/>
  <c r="L72" i="90"/>
  <c r="Q71" i="90"/>
  <c r="P71" i="90"/>
  <c r="O71" i="90"/>
  <c r="N71" i="90"/>
  <c r="L71" i="90"/>
  <c r="Q70" i="90"/>
  <c r="P70" i="90"/>
  <c r="O70" i="90"/>
  <c r="N70" i="90"/>
  <c r="L70" i="90"/>
  <c r="Q69" i="90"/>
  <c r="P69" i="90"/>
  <c r="O69" i="90"/>
  <c r="F69" i="90" s="1"/>
  <c r="N69" i="90"/>
  <c r="L69" i="90"/>
  <c r="Q68" i="90"/>
  <c r="P68" i="90"/>
  <c r="F68" i="90" s="1"/>
  <c r="O68" i="90"/>
  <c r="N68" i="90"/>
  <c r="L68" i="90"/>
  <c r="Q67" i="90"/>
  <c r="P67" i="90"/>
  <c r="O67" i="90"/>
  <c r="N67" i="90"/>
  <c r="L67" i="90"/>
  <c r="Q66" i="90"/>
  <c r="P66" i="90"/>
  <c r="O66" i="90"/>
  <c r="N66" i="90"/>
  <c r="L66" i="90"/>
  <c r="Q65" i="90"/>
  <c r="P65" i="90"/>
  <c r="O65" i="90"/>
  <c r="N65" i="90"/>
  <c r="L65" i="90"/>
  <c r="Q64" i="90"/>
  <c r="P64" i="90"/>
  <c r="O64" i="90"/>
  <c r="N64" i="90"/>
  <c r="L64" i="90"/>
  <c r="Q63" i="90"/>
  <c r="P63" i="90"/>
  <c r="O63" i="90"/>
  <c r="F63" i="90" s="1"/>
  <c r="N63" i="90"/>
  <c r="L63" i="90"/>
  <c r="Q62" i="90"/>
  <c r="P62" i="90"/>
  <c r="O62" i="90"/>
  <c r="N62" i="90"/>
  <c r="L62" i="90"/>
  <c r="Q61" i="90"/>
  <c r="P61" i="90"/>
  <c r="O61" i="90"/>
  <c r="N61" i="90"/>
  <c r="L61" i="90"/>
  <c r="Q60" i="90"/>
  <c r="P60" i="90"/>
  <c r="O60" i="90"/>
  <c r="N60" i="90"/>
  <c r="L60" i="90"/>
  <c r="Q59" i="90"/>
  <c r="P59" i="90"/>
  <c r="O59" i="90"/>
  <c r="F59" i="90" s="1"/>
  <c r="N59" i="90"/>
  <c r="L59" i="90"/>
  <c r="Q58" i="90"/>
  <c r="P58" i="90"/>
  <c r="O58" i="90"/>
  <c r="F58" i="90" s="1"/>
  <c r="N58" i="90"/>
  <c r="L58" i="90"/>
  <c r="Q57" i="90"/>
  <c r="P57" i="90"/>
  <c r="O57" i="90"/>
  <c r="N57" i="90"/>
  <c r="L57" i="90"/>
  <c r="Q56" i="90"/>
  <c r="P56" i="90"/>
  <c r="O56" i="90"/>
  <c r="N56" i="90"/>
  <c r="L56" i="90"/>
  <c r="Q55" i="90"/>
  <c r="P55" i="90"/>
  <c r="O55" i="90"/>
  <c r="N55" i="90"/>
  <c r="L55" i="90"/>
  <c r="Q54" i="90"/>
  <c r="P54" i="90"/>
  <c r="O54" i="90"/>
  <c r="N54" i="90"/>
  <c r="L54" i="90"/>
  <c r="Q53" i="90"/>
  <c r="P53" i="90"/>
  <c r="O53" i="90"/>
  <c r="N53" i="90"/>
  <c r="L53" i="90"/>
  <c r="Q52" i="90"/>
  <c r="P52" i="90"/>
  <c r="O52" i="90"/>
  <c r="N52" i="90"/>
  <c r="L52" i="90"/>
  <c r="Q51" i="90"/>
  <c r="P51" i="90"/>
  <c r="O51" i="90"/>
  <c r="N51" i="90"/>
  <c r="L51" i="90"/>
  <c r="Q50" i="90"/>
  <c r="P50" i="90"/>
  <c r="O50" i="90"/>
  <c r="N50" i="90"/>
  <c r="L50" i="90"/>
  <c r="Q49" i="90"/>
  <c r="P49" i="90"/>
  <c r="O49" i="90"/>
  <c r="N49" i="90"/>
  <c r="L49" i="90"/>
  <c r="Q48" i="90"/>
  <c r="P48" i="90"/>
  <c r="O48" i="90"/>
  <c r="N48" i="90"/>
  <c r="L48" i="90"/>
  <c r="Q47" i="90"/>
  <c r="P47" i="90"/>
  <c r="O47" i="90"/>
  <c r="N47" i="90"/>
  <c r="L47" i="90"/>
  <c r="Q46" i="90"/>
  <c r="P46" i="90"/>
  <c r="O46" i="90"/>
  <c r="N46" i="90"/>
  <c r="L46" i="90"/>
  <c r="Q45" i="90"/>
  <c r="P45" i="90"/>
  <c r="O45" i="90"/>
  <c r="N45" i="90"/>
  <c r="L45" i="90"/>
  <c r="Q44" i="90"/>
  <c r="P44" i="90"/>
  <c r="O44" i="90"/>
  <c r="N44" i="90"/>
  <c r="L44" i="90"/>
  <c r="Q43" i="90"/>
  <c r="P43" i="90"/>
  <c r="O43" i="90"/>
  <c r="N43" i="90"/>
  <c r="L43" i="90"/>
  <c r="Q42" i="90"/>
  <c r="P42" i="90"/>
  <c r="O42" i="90"/>
  <c r="N42" i="90"/>
  <c r="L42" i="90"/>
  <c r="Q41" i="90"/>
  <c r="P41" i="90"/>
  <c r="O41" i="90"/>
  <c r="N41" i="90"/>
  <c r="L41" i="90"/>
  <c r="Q40" i="90"/>
  <c r="P40" i="90"/>
  <c r="O40" i="90"/>
  <c r="N40" i="90"/>
  <c r="L40" i="90"/>
  <c r="Q39" i="90"/>
  <c r="P39" i="90"/>
  <c r="O39" i="90"/>
  <c r="N39" i="90"/>
  <c r="L39" i="90"/>
  <c r="Q38" i="90"/>
  <c r="P38" i="90"/>
  <c r="O38" i="90"/>
  <c r="N38" i="90"/>
  <c r="L38" i="90"/>
  <c r="Q37" i="90"/>
  <c r="P37" i="90"/>
  <c r="O37" i="90"/>
  <c r="N37" i="90"/>
  <c r="L37" i="90"/>
  <c r="Q36" i="90"/>
  <c r="P36" i="90"/>
  <c r="O36" i="90"/>
  <c r="N36" i="90"/>
  <c r="L36" i="90"/>
  <c r="Q35" i="90"/>
  <c r="P35" i="90"/>
  <c r="O35" i="90"/>
  <c r="N35" i="90"/>
  <c r="L35" i="90"/>
  <c r="Q34" i="90"/>
  <c r="P34" i="90"/>
  <c r="O34" i="90"/>
  <c r="N34" i="90"/>
  <c r="L34" i="90"/>
  <c r="Q33" i="90"/>
  <c r="P33" i="90"/>
  <c r="O33" i="90"/>
  <c r="N33" i="90"/>
  <c r="L33" i="90"/>
  <c r="Q32" i="90"/>
  <c r="P32" i="90"/>
  <c r="O32" i="90"/>
  <c r="N32" i="90"/>
  <c r="L32" i="90"/>
  <c r="Q31" i="90"/>
  <c r="P31" i="90"/>
  <c r="O31" i="90"/>
  <c r="F31" i="90" s="1"/>
  <c r="N31" i="90"/>
  <c r="L31" i="90"/>
  <c r="G30" i="78"/>
  <c r="Q30" i="90"/>
  <c r="P30" i="90"/>
  <c r="O30" i="90"/>
  <c r="N30" i="90"/>
  <c r="L30" i="90"/>
  <c r="G29" i="78"/>
  <c r="Q29" i="90"/>
  <c r="P29" i="90"/>
  <c r="O29" i="90"/>
  <c r="F29" i="90" s="1"/>
  <c r="N29" i="90"/>
  <c r="L29" i="90"/>
  <c r="Q28" i="90"/>
  <c r="P28" i="90"/>
  <c r="O28" i="90"/>
  <c r="F28" i="90" s="1"/>
  <c r="N28" i="90"/>
  <c r="L28" i="90"/>
  <c r="Q27" i="90"/>
  <c r="P27" i="90"/>
  <c r="O27" i="90"/>
  <c r="N27" i="90"/>
  <c r="L27" i="90"/>
  <c r="Q26" i="90"/>
  <c r="P26" i="90"/>
  <c r="O26" i="90"/>
  <c r="N26" i="90"/>
  <c r="L26" i="90"/>
  <c r="Q25" i="90"/>
  <c r="P25" i="90"/>
  <c r="O25" i="90"/>
  <c r="N25" i="90"/>
  <c r="L25" i="90"/>
  <c r="Q24" i="90"/>
  <c r="P24" i="90"/>
  <c r="O24" i="90"/>
  <c r="N24" i="90"/>
  <c r="L24" i="90"/>
  <c r="Q23" i="90"/>
  <c r="P23" i="90"/>
  <c r="O23" i="90"/>
  <c r="N23" i="90"/>
  <c r="L23" i="90"/>
  <c r="Q22" i="90"/>
  <c r="P22" i="90"/>
  <c r="O22" i="90"/>
  <c r="N22" i="90"/>
  <c r="L22" i="90"/>
  <c r="Q21" i="90"/>
  <c r="P21" i="90"/>
  <c r="O21" i="90"/>
  <c r="F21" i="90" s="1"/>
  <c r="N21" i="90"/>
  <c r="L21" i="90"/>
  <c r="Q20" i="90"/>
  <c r="P20" i="90"/>
  <c r="O20" i="90"/>
  <c r="F20" i="90" s="1"/>
  <c r="N20" i="90"/>
  <c r="L20" i="90"/>
  <c r="Q19" i="90"/>
  <c r="P19" i="90"/>
  <c r="O19" i="90"/>
  <c r="N19" i="90"/>
  <c r="L19" i="90"/>
  <c r="G18" i="78"/>
  <c r="Q18" i="90"/>
  <c r="P18" i="90"/>
  <c r="O18" i="90"/>
  <c r="F18" i="90" s="1"/>
  <c r="N18" i="90"/>
  <c r="L18" i="90"/>
  <c r="G17" i="78"/>
  <c r="Q17" i="90"/>
  <c r="P17" i="90"/>
  <c r="O17" i="90"/>
  <c r="F17" i="90" s="1"/>
  <c r="N17" i="90"/>
  <c r="L17" i="90"/>
  <c r="G16" i="78"/>
  <c r="Q16" i="90"/>
  <c r="P16" i="90"/>
  <c r="O16" i="90"/>
  <c r="N16" i="90"/>
  <c r="L16" i="90"/>
  <c r="G15" i="78"/>
  <c r="G13" i="78"/>
  <c r="G9" i="78"/>
  <c r="G8" i="78"/>
  <c r="G7" i="78"/>
  <c r="G6" i="78"/>
  <c r="G5" i="78"/>
  <c r="G23" i="78"/>
  <c r="V16" i="90" l="1" a="1"/>
  <c r="V16" i="90" s="1"/>
  <c r="V14" i="90" a="1"/>
  <c r="V14" i="90" s="1"/>
  <c r="V13" i="90" a="1"/>
  <c r="V13" i="90" s="1"/>
  <c r="AD6" i="90"/>
  <c r="V4" i="90"/>
  <c r="V3" i="90" s="1"/>
  <c r="AD4" i="90"/>
  <c r="AD3" i="90"/>
  <c r="F66" i="90"/>
  <c r="F60" i="90"/>
  <c r="F127" i="90"/>
  <c r="AD5" i="90"/>
  <c r="AE5" i="90" s="1"/>
  <c r="F67" i="90"/>
  <c r="V7" i="90" a="1"/>
  <c r="V7" i="90" s="1"/>
  <c r="V8" i="90" a="1"/>
  <c r="V8" i="90" s="1"/>
  <c r="D8" i="78" s="1"/>
  <c r="V10" i="90" a="1"/>
  <c r="V10" i="90" s="1"/>
  <c r="D10" i="78" s="1"/>
  <c r="AE5" i="89"/>
  <c r="AC6" i="89" a="1"/>
  <c r="AC6" i="89" s="1"/>
  <c r="AD6" i="89" s="1"/>
  <c r="AE6" i="89" s="1"/>
  <c r="AC7" i="88" a="1"/>
  <c r="AC7" i="88" s="1"/>
  <c r="AD7" i="88" s="1"/>
  <c r="AE7" i="88" s="1"/>
  <c r="AC6" i="86" a="1"/>
  <c r="AC6" i="86" s="1"/>
  <c r="AD6" i="86" s="1"/>
  <c r="AE6" i="86" s="1"/>
  <c r="AC6" i="85" a="1"/>
  <c r="AC6" i="85" s="1"/>
  <c r="AD6" i="85" s="1"/>
  <c r="AE6" i="85" s="1"/>
  <c r="AC6" i="84" a="1"/>
  <c r="AC6" i="84" s="1"/>
  <c r="AD6" i="84" s="1"/>
  <c r="AE6" i="84" s="1"/>
  <c r="AC6" i="83" a="1"/>
  <c r="AC6" i="83" s="1"/>
  <c r="AD6" i="83" s="1"/>
  <c r="AE6" i="83" s="1"/>
  <c r="AC9" i="82" a="1"/>
  <c r="AC9" i="82" s="1"/>
  <c r="AD9" i="82" s="1"/>
  <c r="AE9" i="82" s="1"/>
  <c r="AE4" i="81"/>
  <c r="AC6" i="81" a="1"/>
  <c r="AC6" i="81" s="1"/>
  <c r="AD6" i="81" s="1"/>
  <c r="AD5" i="81"/>
  <c r="AD6" i="87"/>
  <c r="AE6" i="87" s="1"/>
  <c r="AC7" i="90" a="1"/>
  <c r="AC7" i="90" s="1"/>
  <c r="AD7" i="90" s="1"/>
  <c r="AE7" i="90" s="1"/>
  <c r="AC7" i="80" a="1"/>
  <c r="AC7" i="80" s="1"/>
  <c r="AD7" i="80" s="1"/>
  <c r="AD5" i="80"/>
  <c r="AE5" i="80" s="1"/>
  <c r="AD7" i="87"/>
  <c r="AC8" i="87" a="1"/>
  <c r="AC8" i="87" s="1"/>
  <c r="AD8" i="87" s="1"/>
  <c r="R4" i="78"/>
  <c r="AC6" i="5" a="1"/>
  <c r="AC6" i="5" s="1"/>
  <c r="AD6" i="5" s="1"/>
  <c r="AE6" i="5" s="1"/>
  <c r="AE5" i="5"/>
  <c r="N9" i="78"/>
  <c r="G22" i="78"/>
  <c r="D13" i="78"/>
  <c r="G28" i="78"/>
  <c r="G14" i="78"/>
  <c r="G4" i="78"/>
  <c r="D7" i="78"/>
  <c r="G31" i="78"/>
  <c r="G3" i="78"/>
  <c r="G21" i="78"/>
  <c r="D16" i="78"/>
  <c r="G12" i="78"/>
  <c r="G27" i="78"/>
  <c r="D14" i="78"/>
  <c r="F32" i="90"/>
  <c r="F36" i="90"/>
  <c r="F40" i="90"/>
  <c r="F27" i="90"/>
  <c r="F51" i="90"/>
  <c r="F55" i="90"/>
  <c r="F52" i="90"/>
  <c r="F34" i="90"/>
  <c r="F38" i="90"/>
  <c r="F71" i="90"/>
  <c r="F75" i="90"/>
  <c r="F91" i="90"/>
  <c r="F99" i="90"/>
  <c r="F103" i="90"/>
  <c r="F107" i="90"/>
  <c r="N13" i="78"/>
  <c r="F19" i="90"/>
  <c r="F23" i="90"/>
  <c r="F25" i="90"/>
  <c r="F35" i="90"/>
  <c r="F39" i="90"/>
  <c r="F46" i="90"/>
  <c r="F50" i="90"/>
  <c r="F54" i="90"/>
  <c r="F76" i="90"/>
  <c r="F84" i="90"/>
  <c r="F88" i="90"/>
  <c r="F108" i="90"/>
  <c r="F112" i="90"/>
  <c r="F83" i="90"/>
  <c r="F124" i="90"/>
  <c r="F128" i="90"/>
  <c r="N7" i="78"/>
  <c r="F33" i="90"/>
  <c r="F37" i="90"/>
  <c r="F41" i="90"/>
  <c r="F42" i="90"/>
  <c r="F43" i="90"/>
  <c r="F44" i="90"/>
  <c r="F48" i="90"/>
  <c r="F82" i="90"/>
  <c r="F86" i="90"/>
  <c r="F90" i="90"/>
  <c r="F98" i="90"/>
  <c r="F111" i="90"/>
  <c r="F115" i="90"/>
  <c r="F141" i="90"/>
  <c r="F62" i="90"/>
  <c r="F92" i="90"/>
  <c r="F117" i="90"/>
  <c r="F125" i="90"/>
  <c r="N10" i="78"/>
  <c r="F30" i="90"/>
  <c r="F113" i="90"/>
  <c r="N6" i="78"/>
  <c r="N14" i="78"/>
  <c r="F49" i="90"/>
  <c r="F129" i="90"/>
  <c r="F57" i="90"/>
  <c r="N12" i="78"/>
  <c r="F16" i="90"/>
  <c r="F56" i="90"/>
  <c r="F65" i="90"/>
  <c r="F70" i="90"/>
  <c r="F74" i="90"/>
  <c r="F78" i="90"/>
  <c r="F96" i="90"/>
  <c r="F100" i="90"/>
  <c r="F104" i="90"/>
  <c r="F22" i="90"/>
  <c r="F26" i="90"/>
  <c r="F61" i="90"/>
  <c r="F80" i="90"/>
  <c r="F95" i="90"/>
  <c r="F105" i="90"/>
  <c r="F110" i="90"/>
  <c r="F120" i="90"/>
  <c r="F126" i="90"/>
  <c r="F136" i="90"/>
  <c r="F142" i="90"/>
  <c r="F24" i="90"/>
  <c r="F45" i="90"/>
  <c r="F64" i="90"/>
  <c r="F79" i="90"/>
  <c r="F89" i="90"/>
  <c r="F94" i="90"/>
  <c r="F109" i="90"/>
  <c r="F119" i="90"/>
  <c r="F135" i="90"/>
  <c r="F73" i="90"/>
  <c r="F53" i="90"/>
  <c r="F72" i="90"/>
  <c r="F87" i="90"/>
  <c r="F97" i="90"/>
  <c r="F102" i="90"/>
  <c r="N5" i="78"/>
  <c r="F47" i="90"/>
  <c r="F81" i="90"/>
  <c r="F121" i="90"/>
  <c r="F137" i="90"/>
  <c r="N11" i="78"/>
  <c r="N8" i="78"/>
  <c r="S12" i="78"/>
  <c r="S14" i="78"/>
  <c r="S7" i="78"/>
  <c r="S8" i="78"/>
  <c r="S11" i="78"/>
  <c r="S5" i="78"/>
  <c r="S10" i="78"/>
  <c r="S15" i="78"/>
  <c r="S6" i="78"/>
  <c r="S9" i="78"/>
  <c r="S13" i="78"/>
  <c r="AE3" i="90" l="1"/>
  <c r="AE4" i="90"/>
  <c r="AE6" i="90"/>
  <c r="AA38" i="90"/>
  <c r="AA37" i="90"/>
  <c r="Z35" i="90"/>
  <c r="H35" i="78" s="1"/>
  <c r="Y36" i="90"/>
  <c r="Y38" i="90"/>
  <c r="G38" i="78" s="1"/>
  <c r="Y35" i="90"/>
  <c r="Z36" i="90"/>
  <c r="H36" i="78" s="1"/>
  <c r="AA34" i="90"/>
  <c r="Y34" i="90"/>
  <c r="Z37" i="90"/>
  <c r="H37" i="78" s="1"/>
  <c r="I37" i="78" s="1"/>
  <c r="Z38" i="90"/>
  <c r="H38" i="78" s="1"/>
  <c r="Y37" i="90"/>
  <c r="G37" i="78" s="1"/>
  <c r="AA35" i="90"/>
  <c r="Z34" i="90"/>
  <c r="H34" i="78" s="1"/>
  <c r="AA36" i="90"/>
  <c r="V15" i="90"/>
  <c r="AC7" i="89" a="1"/>
  <c r="AC7" i="89" s="1"/>
  <c r="AD7" i="89" s="1"/>
  <c r="AE7" i="89" s="1"/>
  <c r="AC8" i="88" a="1"/>
  <c r="AC8" i="88" s="1"/>
  <c r="AD8" i="88" s="1"/>
  <c r="AC7" i="86" a="1"/>
  <c r="AC7" i="86" s="1"/>
  <c r="AD7" i="86" s="1"/>
  <c r="AC7" i="85" a="1"/>
  <c r="AC7" i="85" s="1"/>
  <c r="AD7" i="85" s="1"/>
  <c r="AE7" i="85" s="1"/>
  <c r="AC7" i="84" a="1"/>
  <c r="AC7" i="84" s="1"/>
  <c r="AD7" i="84" s="1"/>
  <c r="AC7" i="83" a="1"/>
  <c r="AC7" i="83" s="1"/>
  <c r="AD7" i="83" s="1"/>
  <c r="AC10" i="82" a="1"/>
  <c r="AC10" i="82" s="1"/>
  <c r="AD10" i="82" s="1"/>
  <c r="AC7" i="81" a="1"/>
  <c r="AC7" i="81" s="1"/>
  <c r="AD7" i="81" s="1"/>
  <c r="AE5" i="81"/>
  <c r="AE6" i="81"/>
  <c r="AC8" i="90" a="1"/>
  <c r="AC8" i="90" s="1"/>
  <c r="AC9" i="90" s="1" a="1"/>
  <c r="AC9" i="90" s="1"/>
  <c r="AC8" i="80" a="1"/>
  <c r="AC8" i="80" s="1"/>
  <c r="AD8" i="80" s="1"/>
  <c r="AE8" i="80" s="1"/>
  <c r="AE7" i="80"/>
  <c r="AE6" i="80"/>
  <c r="AE8" i="87"/>
  <c r="AE7" i="87"/>
  <c r="AC9" i="87" a="1"/>
  <c r="AC9" i="87" s="1"/>
  <c r="AD9" i="87" s="1"/>
  <c r="L15" i="78"/>
  <c r="N15" i="78" s="1"/>
  <c r="D4" i="78"/>
  <c r="AC7" i="5" a="1"/>
  <c r="AC7" i="5" s="1"/>
  <c r="AD7" i="5" s="1"/>
  <c r="AE7" i="5" s="1"/>
  <c r="V9" i="90"/>
  <c r="G35" i="78"/>
  <c r="G34" i="78"/>
  <c r="G36" i="78"/>
  <c r="I38" i="78" l="1"/>
  <c r="I35" i="78"/>
  <c r="I36" i="78"/>
  <c r="I34" i="78"/>
  <c r="AC8" i="89" a="1"/>
  <c r="AC8" i="89" s="1"/>
  <c r="AD8" i="89" s="1"/>
  <c r="AE8" i="89" s="1"/>
  <c r="AC9" i="88" a="1"/>
  <c r="AC9" i="88" s="1"/>
  <c r="AD9" i="88" s="1"/>
  <c r="AE7" i="86"/>
  <c r="AC8" i="86" a="1"/>
  <c r="AC8" i="86" s="1"/>
  <c r="AD8" i="86" s="1"/>
  <c r="AE8" i="86" s="1"/>
  <c r="AC8" i="85" a="1"/>
  <c r="AC8" i="85" s="1"/>
  <c r="AD8" i="85" s="1"/>
  <c r="AE8" i="85" s="1"/>
  <c r="AE7" i="84"/>
  <c r="AC8" i="84" a="1"/>
  <c r="AC8" i="84" s="1"/>
  <c r="AD8" i="84" s="1"/>
  <c r="AE8" i="84" s="1"/>
  <c r="AE7" i="83"/>
  <c r="AC8" i="83" a="1"/>
  <c r="AC8" i="83" s="1"/>
  <c r="AD8" i="83" s="1"/>
  <c r="AE8" i="83" s="1"/>
  <c r="AC11" i="82" a="1"/>
  <c r="AC11" i="82" s="1"/>
  <c r="AD11" i="82" s="1"/>
  <c r="AC8" i="81" a="1"/>
  <c r="AC8" i="81" s="1"/>
  <c r="AD8" i="81" s="1"/>
  <c r="AE8" i="81" s="1"/>
  <c r="AE7" i="81"/>
  <c r="AD8" i="90"/>
  <c r="AE8" i="90" s="1"/>
  <c r="AC9" i="80" a="1"/>
  <c r="AC9" i="80" s="1"/>
  <c r="AC10" i="80" s="1" a="1"/>
  <c r="AC10" i="80" s="1"/>
  <c r="AD10" i="80" s="1"/>
  <c r="AD9" i="90"/>
  <c r="AC10" i="90" a="1"/>
  <c r="AC10" i="90" s="1"/>
  <c r="AE8" i="88"/>
  <c r="AC10" i="87" a="1"/>
  <c r="AC10" i="87" s="1"/>
  <c r="AE9" i="87"/>
  <c r="AE10" i="82"/>
  <c r="AC8" i="5" a="1"/>
  <c r="AC8" i="5" s="1"/>
  <c r="AD8" i="5" s="1"/>
  <c r="AE8" i="5" s="1"/>
  <c r="AC9" i="89" l="1" a="1"/>
  <c r="AC9" i="89" s="1"/>
  <c r="AD9" i="89" s="1"/>
  <c r="AE9" i="89" s="1"/>
  <c r="AC10" i="88" a="1"/>
  <c r="AC10" i="88" s="1"/>
  <c r="AC11" i="88" s="1" a="1"/>
  <c r="AC11" i="88" s="1"/>
  <c r="AC9" i="86" a="1"/>
  <c r="AC9" i="86" s="1"/>
  <c r="AD9" i="86" s="1"/>
  <c r="AC9" i="85" a="1"/>
  <c r="AC9" i="85" s="1"/>
  <c r="AD9" i="85" s="1"/>
  <c r="AE9" i="85" s="1"/>
  <c r="AC9" i="84" a="1"/>
  <c r="AC9" i="84" s="1"/>
  <c r="AD9" i="84" s="1"/>
  <c r="AC9" i="83" a="1"/>
  <c r="AC9" i="83" s="1"/>
  <c r="AD9" i="83" s="1"/>
  <c r="AE9" i="83" s="1"/>
  <c r="AC12" i="82" a="1"/>
  <c r="AC12" i="82" s="1"/>
  <c r="AD12" i="82" s="1"/>
  <c r="AE12" i="82" s="1"/>
  <c r="AC9" i="81" a="1"/>
  <c r="AC9" i="81" s="1"/>
  <c r="AD9" i="81" s="1"/>
  <c r="AE9" i="81" s="1"/>
  <c r="AE9" i="90"/>
  <c r="AC11" i="80" a="1"/>
  <c r="AC11" i="80" s="1"/>
  <c r="AD11" i="80" s="1"/>
  <c r="AD9" i="80"/>
  <c r="AE9" i="80" s="1"/>
  <c r="AD10" i="90"/>
  <c r="AE10" i="90" s="1"/>
  <c r="AC11" i="90" a="1"/>
  <c r="AC11" i="90" s="1"/>
  <c r="AE9" i="88"/>
  <c r="AD10" i="87"/>
  <c r="AC11" i="87" a="1"/>
  <c r="AC11" i="87" s="1"/>
  <c r="AE11" i="82"/>
  <c r="AC9" i="5" a="1"/>
  <c r="AC9" i="5" s="1"/>
  <c r="AD9" i="5" s="1"/>
  <c r="AE9" i="5" s="1"/>
  <c r="AC10" i="89" l="1" a="1"/>
  <c r="AC10" i="89" s="1"/>
  <c r="AD10" i="89" s="1"/>
  <c r="AE10" i="89" s="1"/>
  <c r="AD10" i="88"/>
  <c r="AE10" i="88" s="1"/>
  <c r="AE9" i="86"/>
  <c r="AC10" i="86" a="1"/>
  <c r="AC10" i="86" s="1"/>
  <c r="AD10" i="86" s="1"/>
  <c r="AE10" i="86" s="1"/>
  <c r="AC10" i="85" a="1"/>
  <c r="AC10" i="85" s="1"/>
  <c r="AD10" i="85" s="1"/>
  <c r="AE10" i="85" s="1"/>
  <c r="AE9" i="84"/>
  <c r="AC10" i="84" a="1"/>
  <c r="AC10" i="84" s="1"/>
  <c r="AC10" i="83" a="1"/>
  <c r="AC10" i="83" s="1"/>
  <c r="AD10" i="83" s="1"/>
  <c r="AE10" i="83" s="1"/>
  <c r="AC13" i="82" a="1"/>
  <c r="AC13" i="82" s="1"/>
  <c r="AC14" i="82" s="1" a="1"/>
  <c r="AC14" i="82" s="1"/>
  <c r="AC10" i="81" a="1"/>
  <c r="AC10" i="81" s="1"/>
  <c r="AD10" i="81" s="1"/>
  <c r="AE10" i="81" s="1"/>
  <c r="AC12" i="80" a="1"/>
  <c r="AC12" i="80" s="1"/>
  <c r="AC13" i="80" s="1" a="1"/>
  <c r="AC13" i="80" s="1"/>
  <c r="AE10" i="80"/>
  <c r="AD11" i="90"/>
  <c r="AE11" i="90" s="1"/>
  <c r="AC12" i="90" a="1"/>
  <c r="AC12" i="90" s="1"/>
  <c r="AD11" i="88"/>
  <c r="AE11" i="88" s="1"/>
  <c r="AC12" i="88" a="1"/>
  <c r="AC12" i="88" s="1"/>
  <c r="AD11" i="87"/>
  <c r="AE11" i="87" s="1"/>
  <c r="AC12" i="87" a="1"/>
  <c r="AC12" i="87" s="1"/>
  <c r="AE10" i="87"/>
  <c r="AE11" i="80"/>
  <c r="AC10" i="5" a="1"/>
  <c r="AC10" i="5" s="1"/>
  <c r="AD10" i="5" s="1"/>
  <c r="AE10" i="5" s="1"/>
  <c r="AC11" i="89" l="1" a="1"/>
  <c r="AC11" i="89" s="1"/>
  <c r="AD11" i="89" s="1"/>
  <c r="AE11" i="89" s="1"/>
  <c r="AC11" i="86" a="1"/>
  <c r="AC11" i="86" s="1"/>
  <c r="AD11" i="86" s="1"/>
  <c r="AE11" i="86" s="1"/>
  <c r="AC11" i="85" a="1"/>
  <c r="AC11" i="85" s="1"/>
  <c r="AD11" i="85" s="1"/>
  <c r="AE11" i="85" s="1"/>
  <c r="AC11" i="84" a="1"/>
  <c r="AC11" i="84" s="1"/>
  <c r="AD11" i="84" s="1"/>
  <c r="AD10" i="84"/>
  <c r="AC11" i="83" a="1"/>
  <c r="AC11" i="83" s="1"/>
  <c r="AD11" i="83" s="1"/>
  <c r="AE11" i="83" s="1"/>
  <c r="AD13" i="82"/>
  <c r="AE13" i="82" s="1"/>
  <c r="AC11" i="81" a="1"/>
  <c r="AC11" i="81" s="1"/>
  <c r="AD11" i="81" s="1"/>
  <c r="AE11" i="81" s="1"/>
  <c r="AD12" i="80"/>
  <c r="AE12" i="80" s="1"/>
  <c r="AD12" i="90"/>
  <c r="AE12" i="90" s="1"/>
  <c r="AC13" i="90" a="1"/>
  <c r="AC13" i="90" s="1"/>
  <c r="AD12" i="88"/>
  <c r="AE12" i="88" s="1"/>
  <c r="AC13" i="88" a="1"/>
  <c r="AC13" i="88" s="1"/>
  <c r="AD12" i="87"/>
  <c r="AE12" i="87" s="1"/>
  <c r="AC13" i="87" a="1"/>
  <c r="AC13" i="87" s="1"/>
  <c r="AD14" i="82"/>
  <c r="AE14" i="82" s="1"/>
  <c r="AC15" i="82" a="1"/>
  <c r="AC15" i="82" s="1"/>
  <c r="AD13" i="80"/>
  <c r="AE13" i="80" s="1"/>
  <c r="AC14" i="80" a="1"/>
  <c r="AC14" i="80" s="1"/>
  <c r="AC11" i="5" a="1"/>
  <c r="AC11" i="5" s="1"/>
  <c r="AD11" i="5" s="1"/>
  <c r="AE11" i="5" s="1"/>
  <c r="AC12" i="89" l="1" a="1"/>
  <c r="AC12" i="89" s="1"/>
  <c r="AD12" i="89" s="1"/>
  <c r="AE12" i="89" s="1"/>
  <c r="AC12" i="86" a="1"/>
  <c r="AC12" i="86" s="1"/>
  <c r="AD12" i="86" s="1"/>
  <c r="AE12" i="86" s="1"/>
  <c r="AC12" i="85" a="1"/>
  <c r="AC12" i="85" s="1"/>
  <c r="AD12" i="85" s="1"/>
  <c r="AE12" i="85" s="1"/>
  <c r="AC12" i="84" a="1"/>
  <c r="AC12" i="84" s="1"/>
  <c r="AD12" i="84" s="1"/>
  <c r="AE12" i="84" s="1"/>
  <c r="AE10" i="84"/>
  <c r="AE11" i="84"/>
  <c r="AC12" i="83" a="1"/>
  <c r="AC12" i="83" s="1"/>
  <c r="AD12" i="83" s="1"/>
  <c r="AE12" i="83" s="1"/>
  <c r="AC12" i="81" a="1"/>
  <c r="AC12" i="81" s="1"/>
  <c r="AD12" i="81" s="1"/>
  <c r="AE12" i="81" s="1"/>
  <c r="AD13" i="90"/>
  <c r="AE13" i="90" s="1"/>
  <c r="AC14" i="90" a="1"/>
  <c r="AC14" i="90" s="1"/>
  <c r="AD13" i="88"/>
  <c r="AE13" i="88" s="1"/>
  <c r="AC14" i="88" a="1"/>
  <c r="AC14" i="88" s="1"/>
  <c r="AD13" i="87"/>
  <c r="AE13" i="87" s="1"/>
  <c r="AC14" i="87" a="1"/>
  <c r="AC14" i="87" s="1"/>
  <c r="AD15" i="82"/>
  <c r="AE15" i="82" s="1"/>
  <c r="AC16" i="82" a="1"/>
  <c r="AC16" i="82" s="1"/>
  <c r="AD14" i="80"/>
  <c r="AE14" i="80" s="1"/>
  <c r="AC15" i="80" a="1"/>
  <c r="AC15" i="80" s="1"/>
  <c r="AC12" i="5" a="1"/>
  <c r="AC12" i="5" s="1"/>
  <c r="D21" i="78"/>
  <c r="D20" i="78"/>
  <c r="AC13" i="89" l="1" a="1"/>
  <c r="AC13" i="89" s="1"/>
  <c r="AD13" i="89" s="1"/>
  <c r="AE13" i="89" s="1"/>
  <c r="AC13" i="86" a="1"/>
  <c r="AC13" i="86" s="1"/>
  <c r="AD13" i="86" s="1"/>
  <c r="AE13" i="86" s="1"/>
  <c r="AC13" i="85" a="1"/>
  <c r="AC13" i="85" s="1"/>
  <c r="AD13" i="85" s="1"/>
  <c r="AE13" i="85" s="1"/>
  <c r="AC13" i="84" a="1"/>
  <c r="AC13" i="84" s="1"/>
  <c r="AD13" i="84" s="1"/>
  <c r="AE13" i="84" s="1"/>
  <c r="AC13" i="83" a="1"/>
  <c r="AC13" i="83" s="1"/>
  <c r="AD13" i="83" s="1"/>
  <c r="AE13" i="83" s="1"/>
  <c r="AC13" i="81" a="1"/>
  <c r="AC13" i="81" s="1"/>
  <c r="AD13" i="81" s="1"/>
  <c r="AE13" i="81" s="1"/>
  <c r="AD12" i="5"/>
  <c r="AE12" i="5" s="1"/>
  <c r="AD14" i="90"/>
  <c r="AE14" i="90" s="1"/>
  <c r="AC15" i="90" a="1"/>
  <c r="AC15" i="90" s="1"/>
  <c r="AD14" i="88"/>
  <c r="AE14" i="88" s="1"/>
  <c r="AC15" i="88" a="1"/>
  <c r="AC15" i="88" s="1"/>
  <c r="AD14" i="87"/>
  <c r="AE14" i="87" s="1"/>
  <c r="AC15" i="87" a="1"/>
  <c r="AC15" i="87" s="1"/>
  <c r="AD16" i="82"/>
  <c r="AE16" i="82" s="1"/>
  <c r="AC17" i="82" a="1"/>
  <c r="AC17" i="82" s="1"/>
  <c r="AD15" i="80"/>
  <c r="AE15" i="80" s="1"/>
  <c r="AC16" i="80" a="1"/>
  <c r="AC16" i="80" s="1"/>
  <c r="AC13" i="5" a="1"/>
  <c r="AC13" i="5" s="1"/>
  <c r="AD13" i="5" s="1"/>
  <c r="AE13" i="5" s="1"/>
  <c r="D22" i="78"/>
  <c r="AC14" i="89" l="1" a="1"/>
  <c r="AC14" i="89" s="1"/>
  <c r="AD14" i="89" s="1"/>
  <c r="AE14" i="89" s="1"/>
  <c r="AC14" i="86" a="1"/>
  <c r="AC14" i="86" s="1"/>
  <c r="AD14" i="86" s="1"/>
  <c r="AE14" i="86" s="1"/>
  <c r="AC14" i="85" a="1"/>
  <c r="AC14" i="85" s="1"/>
  <c r="AD14" i="85" s="1"/>
  <c r="AE14" i="85" s="1"/>
  <c r="AC14" i="84" a="1"/>
  <c r="AC14" i="84" s="1"/>
  <c r="AD14" i="84" s="1"/>
  <c r="AE14" i="84" s="1"/>
  <c r="AC14" i="83" a="1"/>
  <c r="AC14" i="83" s="1"/>
  <c r="AD14" i="83" s="1"/>
  <c r="AE14" i="83" s="1"/>
  <c r="AC14" i="81" a="1"/>
  <c r="AC14" i="81" s="1"/>
  <c r="AD14" i="81" s="1"/>
  <c r="AE14" i="81" s="1"/>
  <c r="AD15" i="90"/>
  <c r="AE15" i="90" s="1"/>
  <c r="AC16" i="90" a="1"/>
  <c r="AC16" i="90" s="1"/>
  <c r="AD15" i="88"/>
  <c r="AE15" i="88" s="1"/>
  <c r="AC16" i="88" a="1"/>
  <c r="AC16" i="88" s="1"/>
  <c r="AD15" i="87"/>
  <c r="AE15" i="87" s="1"/>
  <c r="AC16" i="87" a="1"/>
  <c r="AC16" i="87" s="1"/>
  <c r="AD17" i="82"/>
  <c r="AE17" i="82" s="1"/>
  <c r="AC18" i="82" a="1"/>
  <c r="AC18" i="82" s="1"/>
  <c r="AD16" i="80"/>
  <c r="AE16" i="80" s="1"/>
  <c r="AC17" i="80" a="1"/>
  <c r="AC17" i="80" s="1"/>
  <c r="AC14" i="5" a="1"/>
  <c r="AC14" i="5" s="1"/>
  <c r="AD14" i="5" s="1"/>
  <c r="AE14" i="5" s="1"/>
  <c r="AC15" i="89" l="1" a="1"/>
  <c r="AC15" i="89" s="1"/>
  <c r="AD15" i="89" s="1"/>
  <c r="AE15" i="89" s="1"/>
  <c r="AC15" i="86" a="1"/>
  <c r="AC15" i="86" s="1"/>
  <c r="AD15" i="86" s="1"/>
  <c r="AE15" i="86" s="1"/>
  <c r="AC15" i="85" a="1"/>
  <c r="AC15" i="85" s="1"/>
  <c r="AD15" i="85" s="1"/>
  <c r="AE15" i="85" s="1"/>
  <c r="AC15" i="84" a="1"/>
  <c r="AC15" i="84" s="1"/>
  <c r="AD15" i="84" s="1"/>
  <c r="AE15" i="84" s="1"/>
  <c r="AC15" i="83" a="1"/>
  <c r="AC15" i="83" s="1"/>
  <c r="AD15" i="83" s="1"/>
  <c r="AE15" i="83" s="1"/>
  <c r="AC15" i="81" a="1"/>
  <c r="AC15" i="81" s="1"/>
  <c r="AD15" i="81" s="1"/>
  <c r="AE15" i="81" s="1"/>
  <c r="AD16" i="90"/>
  <c r="AE16" i="90" s="1"/>
  <c r="AC17" i="90" a="1"/>
  <c r="AC17" i="90" s="1"/>
  <c r="AD16" i="88"/>
  <c r="AE16" i="88" s="1"/>
  <c r="AC17" i="88" a="1"/>
  <c r="AC17" i="88" s="1"/>
  <c r="AD16" i="87"/>
  <c r="AE16" i="87" s="1"/>
  <c r="AC17" i="87" a="1"/>
  <c r="AC17" i="87" s="1"/>
  <c r="AD18" i="82"/>
  <c r="AE18" i="82" s="1"/>
  <c r="AC19" i="82" a="1"/>
  <c r="AC19" i="82" s="1"/>
  <c r="AD17" i="80"/>
  <c r="AE17" i="80" s="1"/>
  <c r="AC18" i="80" a="1"/>
  <c r="AC18" i="80" s="1"/>
  <c r="AC15" i="5" a="1"/>
  <c r="AC15" i="5" s="1"/>
  <c r="AD15" i="5" s="1"/>
  <c r="AE15" i="5" s="1"/>
  <c r="D3" i="78"/>
  <c r="D15" i="78"/>
  <c r="D9" i="78"/>
  <c r="AC16" i="89" l="1" a="1"/>
  <c r="AC16" i="89" s="1"/>
  <c r="AD16" i="89" s="1"/>
  <c r="AE16" i="89" s="1"/>
  <c r="AC16" i="86" a="1"/>
  <c r="AC16" i="86" s="1"/>
  <c r="AD16" i="86" s="1"/>
  <c r="AE16" i="86" s="1"/>
  <c r="AC16" i="85" a="1"/>
  <c r="AC16" i="85" s="1"/>
  <c r="AD16" i="85" s="1"/>
  <c r="AE16" i="85" s="1"/>
  <c r="AC16" i="84" a="1"/>
  <c r="AC16" i="84" s="1"/>
  <c r="AD16" i="84" s="1"/>
  <c r="AE16" i="84" s="1"/>
  <c r="AC16" i="83" a="1"/>
  <c r="AC16" i="83" s="1"/>
  <c r="AD16" i="83" s="1"/>
  <c r="AE16" i="83" s="1"/>
  <c r="AC16" i="81" a="1"/>
  <c r="AC16" i="81" s="1"/>
  <c r="AD16" i="81" s="1"/>
  <c r="AE16" i="81" s="1"/>
  <c r="AD17" i="90"/>
  <c r="AE17" i="90" s="1"/>
  <c r="AC18" i="90" a="1"/>
  <c r="AC18" i="90" s="1"/>
  <c r="AD17" i="88"/>
  <c r="AE17" i="88" s="1"/>
  <c r="AC18" i="88" a="1"/>
  <c r="AC18" i="88" s="1"/>
  <c r="AD17" i="87"/>
  <c r="AE17" i="87" s="1"/>
  <c r="AC18" i="87" a="1"/>
  <c r="AC18" i="87" s="1"/>
  <c r="AD19" i="82"/>
  <c r="AE19" i="82" s="1"/>
  <c r="AC20" i="82" a="1"/>
  <c r="AC20" i="82" s="1"/>
  <c r="AD18" i="80"/>
  <c r="AE18" i="80" s="1"/>
  <c r="AC19" i="80" a="1"/>
  <c r="AC19" i="80" s="1"/>
  <c r="AC16" i="5" a="1"/>
  <c r="AC16" i="5" s="1"/>
  <c r="AD16" i="5" s="1"/>
  <c r="AE16" i="5" s="1"/>
  <c r="Q4" i="78"/>
  <c r="S4" i="78" s="1"/>
  <c r="AC17" i="89" l="1" a="1"/>
  <c r="AC17" i="89" s="1"/>
  <c r="AD17" i="89" s="1"/>
  <c r="AE17" i="89" s="1"/>
  <c r="AC17" i="86" a="1"/>
  <c r="AC17" i="86" s="1"/>
  <c r="AD17" i="86" s="1"/>
  <c r="AE17" i="86" s="1"/>
  <c r="AC17" i="85" a="1"/>
  <c r="AC17" i="85" s="1"/>
  <c r="AD17" i="85" s="1"/>
  <c r="AE17" i="85" s="1"/>
  <c r="AC17" i="84" a="1"/>
  <c r="AC17" i="84" s="1"/>
  <c r="AD17" i="84" s="1"/>
  <c r="AE17" i="84" s="1"/>
  <c r="AC17" i="83" a="1"/>
  <c r="AC17" i="83" s="1"/>
  <c r="AD17" i="83" s="1"/>
  <c r="AE17" i="83" s="1"/>
  <c r="AC17" i="81" a="1"/>
  <c r="AC17" i="81" s="1"/>
  <c r="AD17" i="81" s="1"/>
  <c r="AE17" i="81" s="1"/>
  <c r="AD18" i="90"/>
  <c r="AE18" i="90" s="1"/>
  <c r="AC19" i="90" a="1"/>
  <c r="AC19" i="90" s="1"/>
  <c r="AD18" i="88"/>
  <c r="AE18" i="88" s="1"/>
  <c r="AC19" i="88" a="1"/>
  <c r="AC19" i="88" s="1"/>
  <c r="AD18" i="87"/>
  <c r="AE18" i="87" s="1"/>
  <c r="AC19" i="87" a="1"/>
  <c r="AC19" i="87" s="1"/>
  <c r="AD20" i="82"/>
  <c r="AE20" i="82" s="1"/>
  <c r="AC21" i="82" a="1"/>
  <c r="AC21" i="82" s="1"/>
  <c r="AD19" i="80"/>
  <c r="AE19" i="80" s="1"/>
  <c r="AC20" i="80" a="1"/>
  <c r="AC20" i="80" s="1"/>
  <c r="AC17" i="5" a="1"/>
  <c r="AC17" i="5" s="1"/>
  <c r="AD17" i="5" s="1"/>
  <c r="AE17" i="5" s="1"/>
  <c r="AC18" i="89" l="1" a="1"/>
  <c r="AC18" i="89" s="1"/>
  <c r="AD18" i="89" s="1"/>
  <c r="AE18" i="89" s="1"/>
  <c r="AC18" i="86" a="1"/>
  <c r="AC18" i="86" s="1"/>
  <c r="AD18" i="86" s="1"/>
  <c r="AE18" i="86" s="1"/>
  <c r="AC18" i="85" a="1"/>
  <c r="AC18" i="85" s="1"/>
  <c r="AD18" i="85" s="1"/>
  <c r="AE18" i="85" s="1"/>
  <c r="AC18" i="84" a="1"/>
  <c r="AC18" i="84" s="1"/>
  <c r="AD18" i="84" s="1"/>
  <c r="AE18" i="84" s="1"/>
  <c r="AC18" i="83" a="1"/>
  <c r="AC18" i="83" s="1"/>
  <c r="AD18" i="83" s="1"/>
  <c r="AE18" i="83" s="1"/>
  <c r="AC18" i="81" a="1"/>
  <c r="AC18" i="81" s="1"/>
  <c r="AD18" i="81" s="1"/>
  <c r="AE18" i="81" s="1"/>
  <c r="AD19" i="90"/>
  <c r="AE19" i="90" s="1"/>
  <c r="AC20" i="90" a="1"/>
  <c r="AC20" i="90" s="1"/>
  <c r="AD19" i="88"/>
  <c r="AE19" i="88" s="1"/>
  <c r="AC20" i="88" a="1"/>
  <c r="AC20" i="88" s="1"/>
  <c r="AD19" i="87"/>
  <c r="AE19" i="87" s="1"/>
  <c r="AC20" i="87" a="1"/>
  <c r="AC20" i="87" s="1"/>
  <c r="AD21" i="82"/>
  <c r="AE21" i="82" s="1"/>
  <c r="AC22" i="82" a="1"/>
  <c r="AC22" i="82" s="1"/>
  <c r="AD20" i="80"/>
  <c r="AE20" i="80" s="1"/>
  <c r="AC21" i="80" a="1"/>
  <c r="AC21" i="80" s="1"/>
  <c r="AC18" i="5" a="1"/>
  <c r="AC18" i="5" s="1"/>
  <c r="AD18" i="5" s="1"/>
  <c r="AE18" i="5" s="1"/>
  <c r="AC19" i="89" l="1" a="1"/>
  <c r="AC19" i="89" s="1"/>
  <c r="AD19" i="89" s="1"/>
  <c r="AE19" i="89" s="1"/>
  <c r="AC19" i="86" a="1"/>
  <c r="AC19" i="86" s="1"/>
  <c r="AD19" i="86" s="1"/>
  <c r="AE19" i="86" s="1"/>
  <c r="AC19" i="85" a="1"/>
  <c r="AC19" i="85" s="1"/>
  <c r="AD19" i="85" s="1"/>
  <c r="AE19" i="85" s="1"/>
  <c r="AC19" i="84" a="1"/>
  <c r="AC19" i="84" s="1"/>
  <c r="AD19" i="84" s="1"/>
  <c r="AE19" i="84" s="1"/>
  <c r="AC19" i="83" a="1"/>
  <c r="AC19" i="83" s="1"/>
  <c r="AD19" i="83" s="1"/>
  <c r="AE19" i="83" s="1"/>
  <c r="AC19" i="81" a="1"/>
  <c r="AC19" i="81" s="1"/>
  <c r="AD19" i="81" s="1"/>
  <c r="AE19" i="81" s="1"/>
  <c r="AD20" i="90"/>
  <c r="AE20" i="90" s="1"/>
  <c r="AC21" i="90" a="1"/>
  <c r="AC21" i="90" s="1"/>
  <c r="AD20" i="88"/>
  <c r="AE20" i="88" s="1"/>
  <c r="AC21" i="88" a="1"/>
  <c r="AC21" i="88" s="1"/>
  <c r="AD20" i="87"/>
  <c r="AE20" i="87" s="1"/>
  <c r="AC21" i="87" a="1"/>
  <c r="AC21" i="87" s="1"/>
  <c r="AD22" i="82"/>
  <c r="AE22" i="82" s="1"/>
  <c r="AC23" i="82" a="1"/>
  <c r="AC23" i="82" s="1"/>
  <c r="AD21" i="80"/>
  <c r="AE21" i="80" s="1"/>
  <c r="AC22" i="80" a="1"/>
  <c r="AC22" i="80" s="1"/>
  <c r="AC19" i="5" a="1"/>
  <c r="AC19" i="5" s="1"/>
  <c r="AD19" i="5" s="1"/>
  <c r="AE19" i="5" s="1"/>
  <c r="AC20" i="89" l="1" a="1"/>
  <c r="AC20" i="89" s="1"/>
  <c r="AD20" i="89" s="1"/>
  <c r="AE20" i="89" s="1"/>
  <c r="AC20" i="86" a="1"/>
  <c r="AC20" i="86" s="1"/>
  <c r="AD20" i="86" s="1"/>
  <c r="AE20" i="86" s="1"/>
  <c r="AC20" i="85" a="1"/>
  <c r="AC20" i="85" s="1"/>
  <c r="AD20" i="85" s="1"/>
  <c r="AE20" i="85" s="1"/>
  <c r="AC20" i="84" a="1"/>
  <c r="AC20" i="84" s="1"/>
  <c r="AD20" i="84" s="1"/>
  <c r="AE20" i="84" s="1"/>
  <c r="AC20" i="83" a="1"/>
  <c r="AC20" i="83" s="1"/>
  <c r="AD20" i="83" s="1"/>
  <c r="AE20" i="83" s="1"/>
  <c r="AC20" i="81" a="1"/>
  <c r="AC20" i="81" s="1"/>
  <c r="AD20" i="81" s="1"/>
  <c r="AE20" i="81" s="1"/>
  <c r="AD21" i="90"/>
  <c r="AE21" i="90" s="1"/>
  <c r="AC22" i="90" a="1"/>
  <c r="AC22" i="90" s="1"/>
  <c r="AD21" i="88"/>
  <c r="AE21" i="88" s="1"/>
  <c r="AC22" i="88" a="1"/>
  <c r="AC22" i="88" s="1"/>
  <c r="AD21" i="87"/>
  <c r="AE21" i="87" s="1"/>
  <c r="AC22" i="87" a="1"/>
  <c r="AC22" i="87" s="1"/>
  <c r="AD23" i="82"/>
  <c r="AE23" i="82" s="1"/>
  <c r="AC24" i="82" a="1"/>
  <c r="AC24" i="82" s="1"/>
  <c r="AD22" i="80"/>
  <c r="AE22" i="80" s="1"/>
  <c r="AC23" i="80" a="1"/>
  <c r="AC23" i="80" s="1"/>
  <c r="AC20" i="5" a="1"/>
  <c r="AC20" i="5" s="1"/>
  <c r="AD20" i="5" s="1"/>
  <c r="AE20" i="5" s="1"/>
  <c r="AC21" i="89" l="1" a="1"/>
  <c r="AC21" i="89" s="1"/>
  <c r="AD21" i="89" s="1"/>
  <c r="AE21" i="89" s="1"/>
  <c r="AC21" i="86" a="1"/>
  <c r="AC21" i="86" s="1"/>
  <c r="AD21" i="86" s="1"/>
  <c r="AE21" i="86" s="1"/>
  <c r="AC21" i="85" a="1"/>
  <c r="AC21" i="85" s="1"/>
  <c r="AD21" i="85" s="1"/>
  <c r="AE21" i="85" s="1"/>
  <c r="AC21" i="84" a="1"/>
  <c r="AC21" i="84" s="1"/>
  <c r="AD21" i="84" s="1"/>
  <c r="AE21" i="84" s="1"/>
  <c r="AC21" i="83" a="1"/>
  <c r="AC21" i="83" s="1"/>
  <c r="AD21" i="83" s="1"/>
  <c r="AE21" i="83" s="1"/>
  <c r="AC21" i="81" a="1"/>
  <c r="AC21" i="81" s="1"/>
  <c r="AD21" i="81" s="1"/>
  <c r="AE21" i="81" s="1"/>
  <c r="AD22" i="90"/>
  <c r="AE22" i="90" s="1"/>
  <c r="AC23" i="90" a="1"/>
  <c r="AC23" i="90" s="1"/>
  <c r="AD22" i="88"/>
  <c r="AE22" i="88" s="1"/>
  <c r="AC23" i="88" a="1"/>
  <c r="AC23" i="88" s="1"/>
  <c r="AD22" i="87"/>
  <c r="AE22" i="87" s="1"/>
  <c r="AC23" i="87" a="1"/>
  <c r="AC23" i="87" s="1"/>
  <c r="AD24" i="82"/>
  <c r="AE24" i="82" s="1"/>
  <c r="AC25" i="82" a="1"/>
  <c r="AC25" i="82" s="1"/>
  <c r="AD25" i="82" s="1"/>
  <c r="AE25" i="82" s="1"/>
  <c r="AD23" i="80"/>
  <c r="AE23" i="80" s="1"/>
  <c r="AC24" i="80" a="1"/>
  <c r="AC24" i="80" s="1"/>
  <c r="AC21" i="5" a="1"/>
  <c r="AC21" i="5" s="1"/>
  <c r="AD21" i="5" s="1"/>
  <c r="AE21" i="5" s="1"/>
  <c r="AC22" i="89" l="1" a="1"/>
  <c r="AC22" i="89" s="1"/>
  <c r="AD22" i="89" s="1"/>
  <c r="AE22" i="89" s="1"/>
  <c r="AC22" i="86" a="1"/>
  <c r="AC22" i="86" s="1"/>
  <c r="AD22" i="86" s="1"/>
  <c r="AE22" i="86" s="1"/>
  <c r="AC22" i="85" a="1"/>
  <c r="AC22" i="85" s="1"/>
  <c r="AD22" i="85" s="1"/>
  <c r="AE22" i="85" s="1"/>
  <c r="AC22" i="84" a="1"/>
  <c r="AC22" i="84" s="1"/>
  <c r="AD22" i="84" s="1"/>
  <c r="AE22" i="84" s="1"/>
  <c r="AC22" i="83" a="1"/>
  <c r="AC22" i="83" s="1"/>
  <c r="AD22" i="83" s="1"/>
  <c r="AE22" i="83" s="1"/>
  <c r="AC22" i="81" a="1"/>
  <c r="AC22" i="81" s="1"/>
  <c r="AD22" i="81" s="1"/>
  <c r="AE22" i="81" s="1"/>
  <c r="AD23" i="90"/>
  <c r="AE23" i="90" s="1"/>
  <c r="AC24" i="90" a="1"/>
  <c r="AC24" i="90" s="1"/>
  <c r="AD23" i="88"/>
  <c r="AE23" i="88" s="1"/>
  <c r="AC24" i="88" a="1"/>
  <c r="AC24" i="88" s="1"/>
  <c r="AD23" i="87"/>
  <c r="AE23" i="87" s="1"/>
  <c r="AC24" i="87" a="1"/>
  <c r="AC24" i="87" s="1"/>
  <c r="AD24" i="80"/>
  <c r="AE24" i="80" s="1"/>
  <c r="AC25" i="80" a="1"/>
  <c r="AC25" i="80" s="1"/>
  <c r="AD25" i="80" s="1"/>
  <c r="AE25" i="80" s="1"/>
  <c r="AC22" i="5" a="1"/>
  <c r="AC22" i="5" s="1"/>
  <c r="AD22" i="5" s="1"/>
  <c r="AE22" i="5" s="1"/>
  <c r="AC23" i="89" l="1" a="1"/>
  <c r="AC23" i="89" s="1"/>
  <c r="AD23" i="89" s="1"/>
  <c r="AE23" i="89" s="1"/>
  <c r="AC23" i="86" a="1"/>
  <c r="AC23" i="86" s="1"/>
  <c r="AD23" i="86" s="1"/>
  <c r="AE23" i="86" s="1"/>
  <c r="AC23" i="85" a="1"/>
  <c r="AC23" i="85" s="1"/>
  <c r="AD23" i="85" s="1"/>
  <c r="AE23" i="85" s="1"/>
  <c r="AC23" i="84" a="1"/>
  <c r="AC23" i="84" s="1"/>
  <c r="AD23" i="84" s="1"/>
  <c r="AE23" i="84" s="1"/>
  <c r="AC23" i="83" a="1"/>
  <c r="AC23" i="83" s="1"/>
  <c r="AD23" i="83" s="1"/>
  <c r="AE23" i="83" s="1"/>
  <c r="AC23" i="81" a="1"/>
  <c r="AC23" i="81" s="1"/>
  <c r="AD23" i="81" s="1"/>
  <c r="AE23" i="81" s="1"/>
  <c r="AD24" i="90"/>
  <c r="AE24" i="90" s="1"/>
  <c r="AC25" i="90" a="1"/>
  <c r="AC25" i="90" s="1"/>
  <c r="AD25" i="90" s="1"/>
  <c r="AD24" i="88"/>
  <c r="AE24" i="88" s="1"/>
  <c r="AC25" i="88" a="1"/>
  <c r="AC25" i="88" s="1"/>
  <c r="AD25" i="88" s="1"/>
  <c r="AE25" i="88" s="1"/>
  <c r="AD24" i="87"/>
  <c r="AE24" i="87" s="1"/>
  <c r="AC25" i="87" a="1"/>
  <c r="AC25" i="87" s="1"/>
  <c r="AD25" i="87" s="1"/>
  <c r="AE25" i="87" s="1"/>
  <c r="AC23" i="5" a="1"/>
  <c r="AC23" i="5" s="1"/>
  <c r="AD23" i="5" s="1"/>
  <c r="AE23" i="5" s="1"/>
  <c r="AC24" i="89" l="1" a="1"/>
  <c r="AC24" i="89" s="1"/>
  <c r="AD24" i="89" s="1"/>
  <c r="AE24" i="89" s="1"/>
  <c r="AC24" i="86" a="1"/>
  <c r="AC24" i="86" s="1"/>
  <c r="AD24" i="86" s="1"/>
  <c r="AE24" i="86" s="1"/>
  <c r="AC24" i="85" a="1"/>
  <c r="AC24" i="85" s="1"/>
  <c r="AD24" i="85" s="1"/>
  <c r="AE24" i="85" s="1"/>
  <c r="AC24" i="84" a="1"/>
  <c r="AC24" i="84" s="1"/>
  <c r="AD24" i="84" s="1"/>
  <c r="AE24" i="84" s="1"/>
  <c r="AC24" i="83" a="1"/>
  <c r="AC24" i="83" s="1"/>
  <c r="AD24" i="83" s="1"/>
  <c r="AE24" i="83" s="1"/>
  <c r="AC24" i="81" a="1"/>
  <c r="AC24" i="81" s="1"/>
  <c r="AD24" i="81" s="1"/>
  <c r="AE24" i="81" s="1"/>
  <c r="AE25" i="90"/>
  <c r="AC24" i="5" a="1"/>
  <c r="AC24" i="5" s="1"/>
  <c r="AD24" i="5" s="1"/>
  <c r="AE24" i="5" s="1"/>
  <c r="AC25" i="89" l="1" a="1"/>
  <c r="AC25" i="89" s="1"/>
  <c r="AD25" i="89" s="1"/>
  <c r="AE25" i="89" s="1"/>
  <c r="AC25" i="86" a="1"/>
  <c r="AC25" i="86" s="1"/>
  <c r="AD25" i="86" s="1"/>
  <c r="AE25" i="86" s="1"/>
  <c r="AC25" i="85" a="1"/>
  <c r="AC25" i="85" s="1"/>
  <c r="AD25" i="85" s="1"/>
  <c r="AE25" i="85" s="1"/>
  <c r="AC25" i="84" a="1"/>
  <c r="AC25" i="84" s="1"/>
  <c r="AD25" i="84" s="1"/>
  <c r="AE25" i="84" s="1"/>
  <c r="AC25" i="83" a="1"/>
  <c r="AC25" i="83" s="1"/>
  <c r="AD25" i="83" s="1"/>
  <c r="AE25" i="83" s="1"/>
  <c r="AC25" i="81" a="1"/>
  <c r="AC25" i="81" s="1"/>
  <c r="AD25" i="81" s="1"/>
  <c r="AE25" i="81" s="1"/>
  <c r="AC25" i="5" a="1"/>
  <c r="AC25" i="5" s="1"/>
  <c r="AD25" i="5" s="1"/>
  <c r="AE25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<sst xmlns="http://schemas.openxmlformats.org/spreadsheetml/2006/main" count="1510" uniqueCount="109">
  <si>
    <t>Starting Balance:</t>
  </si>
  <si>
    <t>Ending Balance</t>
  </si>
  <si>
    <t>Profit/Loss</t>
  </si>
  <si>
    <t>Number of Legs</t>
  </si>
  <si>
    <t>Moneyline</t>
  </si>
  <si>
    <t>Spread</t>
  </si>
  <si>
    <t>Player Prop</t>
  </si>
  <si>
    <t>Wager</t>
  </si>
  <si>
    <t>Payout</t>
  </si>
  <si>
    <t>Profit</t>
  </si>
  <si>
    <t>Sportsbook</t>
  </si>
  <si>
    <t>League</t>
  </si>
  <si>
    <t>Odds</t>
  </si>
  <si>
    <t>Players Bet On</t>
  </si>
  <si>
    <t>Reason for Loss</t>
  </si>
  <si>
    <t>Date Placed</t>
  </si>
  <si>
    <t>FanDuel</t>
  </si>
  <si>
    <t>NFL</t>
  </si>
  <si>
    <t>Parlay</t>
  </si>
  <si>
    <t>NBA</t>
  </si>
  <si>
    <t>Straight</t>
  </si>
  <si>
    <t>Win</t>
  </si>
  <si>
    <t>Player Name</t>
  </si>
  <si>
    <t>DraftKings</t>
  </si>
  <si>
    <t>ESPNBet</t>
  </si>
  <si>
    <t>MLB</t>
  </si>
  <si>
    <t>NHL</t>
  </si>
  <si>
    <t>Team Name</t>
  </si>
  <si>
    <t>Hit %</t>
  </si>
  <si>
    <t>CBB</t>
  </si>
  <si>
    <t>CFB</t>
  </si>
  <si>
    <t>Boost</t>
  </si>
  <si>
    <t>&lt; -150</t>
  </si>
  <si>
    <t>[-150, +100)</t>
  </si>
  <si>
    <t>[+100, +125)</t>
  </si>
  <si>
    <t>[+125, +150)</t>
  </si>
  <si>
    <t>[+150, +200)</t>
  </si>
  <si>
    <t>&gt;= +200</t>
  </si>
  <si>
    <t>Bet Type</t>
  </si>
  <si>
    <t>Frequency</t>
  </si>
  <si>
    <t>Month</t>
  </si>
  <si>
    <t>Jan</t>
  </si>
  <si>
    <t>Feb</t>
  </si>
  <si>
    <t>Mar</t>
  </si>
  <si>
    <t>Apr</t>
  </si>
  <si>
    <t>May</t>
  </si>
  <si>
    <t>Aug</t>
  </si>
  <si>
    <t>Oct</t>
  </si>
  <si>
    <t>Nov</t>
  </si>
  <si>
    <t>Dec</t>
  </si>
  <si>
    <t>Composition</t>
  </si>
  <si>
    <t>Teams Bet On</t>
  </si>
  <si>
    <t>Bet365</t>
  </si>
  <si>
    <t>Fanatics</t>
  </si>
  <si>
    <t>June</t>
  </si>
  <si>
    <t>July</t>
  </si>
  <si>
    <t>Sept</t>
  </si>
  <si>
    <t xml:space="preserve">DO NOT FILL IN </t>
  </si>
  <si>
    <t>INPUT TEAM/PLAYER NAME ON THIS TAB ONLY</t>
  </si>
  <si>
    <t>Josh Allen</t>
  </si>
  <si>
    <t>Spread/Total</t>
  </si>
  <si>
    <t>Notes</t>
  </si>
  <si>
    <t>Total Bets</t>
  </si>
  <si>
    <t>Bets</t>
  </si>
  <si>
    <t>Total Hits</t>
  </si>
  <si>
    <t>Total Misses</t>
  </si>
  <si>
    <t>ROW</t>
  </si>
  <si>
    <t>Cumulative</t>
  </si>
  <si>
    <t>Non-Cumulative</t>
  </si>
  <si>
    <t>Live</t>
  </si>
  <si>
    <t>Day</t>
  </si>
  <si>
    <t>Cum Profit</t>
  </si>
  <si>
    <t xml:space="preserve">Team Future </t>
  </si>
  <si>
    <t>Player Future</t>
  </si>
  <si>
    <t>Bet Time</t>
  </si>
  <si>
    <t>Pre-Game</t>
  </si>
  <si>
    <t>Pending</t>
  </si>
  <si>
    <t>Pre-Season</t>
  </si>
  <si>
    <t>Team</t>
  </si>
  <si>
    <t>Player</t>
  </si>
  <si>
    <t>In-Season</t>
  </si>
  <si>
    <t>Total Pending</t>
  </si>
  <si>
    <t>WNBA</t>
  </si>
  <si>
    <t>Lions</t>
  </si>
  <si>
    <t>Count</t>
  </si>
  <si>
    <t>HardRock</t>
  </si>
  <si>
    <t/>
  </si>
  <si>
    <t>Caesers</t>
  </si>
  <si>
    <t>5+</t>
  </si>
  <si>
    <t>Source</t>
  </si>
  <si>
    <t>Other</t>
  </si>
  <si>
    <t>2. Hit UPDATE on Master sheet to view all bets on one sheet / use pivot tables.</t>
  </si>
  <si>
    <t>3. Search for Player/Team on Master sheet, not on monthly sheets.</t>
  </si>
  <si>
    <t>4. Hit % on Team/Player search encompasses all bets.</t>
  </si>
  <si>
    <t>5. Profit on Team/Player search only encompasses straight bets.</t>
  </si>
  <si>
    <t>6. Futures sheet does not automatically populate; bets must be re-entered.</t>
  </si>
  <si>
    <t>7. Day-by-day data will automatically populate in the monthly sheets.</t>
  </si>
  <si>
    <t>8. Leave ' in cell A2 of future monthly sheets (makes the master sheet prettier).</t>
  </si>
  <si>
    <t>1. Log bets into appropriate monthly sheets according to date placed.</t>
  </si>
  <si>
    <t>Bet Count</t>
  </si>
  <si>
    <t>Loss Count</t>
  </si>
  <si>
    <t>Source 1</t>
  </si>
  <si>
    <t>Source 2</t>
  </si>
  <si>
    <t>Source 3</t>
  </si>
  <si>
    <t>Source 4</t>
  </si>
  <si>
    <t>Source 5</t>
  </si>
  <si>
    <t>Source 6</t>
  </si>
  <si>
    <t>Source 7</t>
  </si>
  <si>
    <t>Source 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</si>
</sst>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&quot;$&quot;#,##0.00"/>
    <numFmt numFmtId="165" formatCode="0.0%"/>
  </numFmts>
  <fonts count="12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2"/>
      <color rgb="FF76D6FF"/>
      <name val="Calibri"/>
      <family val="2"/>
      <scheme val="minor"/>
    </font>
    <font>
      <b/>
      <sz val="48"/>
      <color rgb="FF76D6FF"/>
      <name val="Calibri"/>
      <family val="2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76D6FF"/>
        <bgColor indexed="64"/>
      </patternFill>
    </fill>
  </fills>
  <borders count="55">
    <border>
      <left/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2">
    <xf numFmtId="0" fontId="0" fillId="0" borderId="0" xfId="0"/>
    <xf numFmtId="0" fontId="3" fillId="0" borderId="4" xfId="0" applyFont="1" applyBorder="1" applyAlignment="1">
      <alignment horizontal="center"/>
    </xf>
    <xf numFmtId="16" fontId="0" fillId="0" borderId="0" xfId="0" applyNumberFormat="1"/>
    <xf numFmtId="0" fontId="4" fillId="0" borderId="0" xfId="0" applyFont="1"/>
    <xf numFmtId="164" fontId="0" fillId="2" borderId="6" xfId="1" applyNumberFormat="1" applyFont="1" applyFill="1" applyBorder="1"/>
    <xf numFmtId="164" fontId="0" fillId="2" borderId="8" xfId="1" applyNumberFormat="1" applyFont="1" applyFill="1" applyBorder="1"/>
    <xf numFmtId="0" fontId="0" fillId="0" borderId="1" xfId="0" applyBorder="1" applyAlignment="1">
      <alignment horizontal="center"/>
    </xf>
    <xf numFmtId="164" fontId="0" fillId="0" borderId="0" xfId="0" applyNumberFormat="1"/>
    <xf numFmtId="0" fontId="0" fillId="0" borderId="8" xfId="1" applyNumberFormat="1" applyFont="1" applyFill="1" applyBorder="1"/>
    <xf numFmtId="164" fontId="0" fillId="0" borderId="17" xfId="0" applyNumberFormat="1" applyBorder="1"/>
    <xf numFmtId="164" fontId="5" fillId="2" borderId="2" xfId="1" applyNumberFormat="1" applyFont="1" applyFill="1" applyBorder="1"/>
    <xf numFmtId="0" fontId="0" fillId="0" borderId="24" xfId="0" applyBorder="1" applyAlignment="1">
      <alignment horizontal="center"/>
    </xf>
    <xf numFmtId="164" fontId="0" fillId="0" borderId="14" xfId="0" applyNumberFormat="1" applyBorder="1"/>
    <xf numFmtId="0" fontId="4" fillId="2" borderId="6" xfId="0" applyFont="1" applyFill="1" applyBorder="1"/>
    <xf numFmtId="0" fontId="4" fillId="2" borderId="2" xfId="0" applyFont="1" applyFill="1" applyBorder="1"/>
    <xf numFmtId="0" fontId="4" fillId="2" borderId="8" xfId="0" applyFont="1" applyFill="1" applyBorder="1"/>
    <xf numFmtId="0" fontId="0" fillId="0" borderId="14" xfId="0" applyBorder="1"/>
    <xf numFmtId="14" fontId="0" fillId="0" borderId="7" xfId="0" applyNumberFormat="1" applyBorder="1" applyAlignment="1">
      <alignment horizontal="center"/>
    </xf>
    <xf numFmtId="14" fontId="0" fillId="0" borderId="0" xfId="0" applyNumberFormat="1"/>
    <xf numFmtId="164" fontId="0" fillId="0" borderId="29" xfId="0" applyNumberFormat="1" applyBorder="1"/>
    <xf numFmtId="164" fontId="0" fillId="0" borderId="28" xfId="0" applyNumberFormat="1" applyBorder="1"/>
    <xf numFmtId="14" fontId="0" fillId="0" borderId="1" xfId="0" applyNumberFormat="1" applyBorder="1" applyAlignment="1">
      <alignment horizontal="center"/>
    </xf>
    <xf numFmtId="164" fontId="0" fillId="0" borderId="32" xfId="0" applyNumberFormat="1" applyBorder="1"/>
    <xf numFmtId="164" fontId="0" fillId="0" borderId="33" xfId="0" applyNumberFormat="1" applyBorder="1"/>
    <xf numFmtId="0" fontId="4" fillId="2" borderId="25" xfId="0" applyFont="1" applyFill="1" applyBorder="1"/>
    <xf numFmtId="0" fontId="4" fillId="2" borderId="13" xfId="0" applyFont="1" applyFill="1" applyBorder="1"/>
    <xf numFmtId="164" fontId="0" fillId="0" borderId="25" xfId="2" applyNumberFormat="1" applyFont="1" applyBorder="1"/>
    <xf numFmtId="164" fontId="0" fillId="0" borderId="2" xfId="2" applyNumberFormat="1" applyFont="1" applyBorder="1"/>
    <xf numFmtId="0" fontId="0" fillId="0" borderId="0" xfId="0" applyAlignment="1">
      <alignment horizontal="left"/>
    </xf>
    <xf numFmtId="0" fontId="3" fillId="0" borderId="11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165" fontId="0" fillId="0" borderId="0" xfId="2" applyNumberFormat="1" applyFont="1" applyBorder="1"/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8" xfId="0" applyBorder="1"/>
    <xf numFmtId="0" fontId="0" fillId="0" borderId="42" xfId="0" applyBorder="1"/>
    <xf numFmtId="9" fontId="0" fillId="0" borderId="28" xfId="2" applyFont="1" applyBorder="1"/>
    <xf numFmtId="9" fontId="0" fillId="0" borderId="40" xfId="2" applyFont="1" applyBorder="1"/>
    <xf numFmtId="165" fontId="0" fillId="0" borderId="28" xfId="2" applyNumberFormat="1" applyFont="1" applyBorder="1"/>
    <xf numFmtId="165" fontId="0" fillId="0" borderId="40" xfId="2" applyNumberFormat="1" applyFont="1" applyBorder="1"/>
    <xf numFmtId="0" fontId="0" fillId="0" borderId="17" xfId="0" applyBorder="1"/>
    <xf numFmtId="165" fontId="0" fillId="0" borderId="29" xfId="2" applyNumberFormat="1" applyFont="1" applyBorder="1"/>
    <xf numFmtId="0" fontId="4" fillId="3" borderId="42" xfId="0" applyFont="1" applyFill="1" applyBorder="1"/>
    <xf numFmtId="164" fontId="0" fillId="0" borderId="48" xfId="0" applyNumberFormat="1" applyBorder="1"/>
    <xf numFmtId="164" fontId="0" fillId="0" borderId="49" xfId="0" applyNumberFormat="1" applyBorder="1"/>
    <xf numFmtId="164" fontId="0" fillId="0" borderId="22" xfId="0" applyNumberFormat="1" applyBorder="1"/>
    <xf numFmtId="9" fontId="0" fillId="0" borderId="29" xfId="2" applyFont="1" applyBorder="1"/>
    <xf numFmtId="0" fontId="3" fillId="0" borderId="51" xfId="0" applyFont="1" applyBorder="1" applyAlignment="1">
      <alignment horizontal="center"/>
    </xf>
    <xf numFmtId="0" fontId="3" fillId="0" borderId="44" xfId="0" applyFont="1" applyBorder="1" applyAlignment="1">
      <alignment horizontal="center"/>
    </xf>
    <xf numFmtId="0" fontId="3" fillId="0" borderId="45" xfId="0" applyFont="1" applyBorder="1" applyAlignment="1">
      <alignment horizontal="center"/>
    </xf>
    <xf numFmtId="0" fontId="3" fillId="0" borderId="50" xfId="0" applyFont="1" applyBorder="1" applyAlignment="1">
      <alignment horizontal="center"/>
    </xf>
    <xf numFmtId="9" fontId="0" fillId="0" borderId="13" xfId="2" applyFont="1" applyFill="1" applyBorder="1"/>
    <xf numFmtId="165" fontId="0" fillId="0" borderId="33" xfId="2" applyNumberFormat="1" applyFont="1" applyBorder="1"/>
    <xf numFmtId="9" fontId="0" fillId="0" borderId="33" xfId="2" applyFont="1" applyBorder="1"/>
    <xf numFmtId="9" fontId="0" fillId="0" borderId="36" xfId="2" applyFont="1" applyBorder="1"/>
    <xf numFmtId="14" fontId="0" fillId="0" borderId="0" xfId="0" quotePrefix="1" applyNumberFormat="1"/>
    <xf numFmtId="14" fontId="5" fillId="5" borderId="3" xfId="0" applyNumberFormat="1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0" fillId="0" borderId="6" xfId="1" applyNumberFormat="1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164" fontId="0" fillId="0" borderId="23" xfId="0" applyNumberFormat="1" applyBorder="1"/>
    <xf numFmtId="164" fontId="5" fillId="2" borderId="16" xfId="1" applyNumberFormat="1" applyFont="1" applyFill="1" applyBorder="1"/>
    <xf numFmtId="164" fontId="0" fillId="0" borderId="47" xfId="0" applyNumberFormat="1" applyBorder="1"/>
    <xf numFmtId="0" fontId="0" fillId="0" borderId="35" xfId="0" applyBorder="1"/>
    <xf numFmtId="0" fontId="0" fillId="0" borderId="19" xfId="0" applyBorder="1"/>
    <xf numFmtId="0" fontId="0" fillId="0" borderId="34" xfId="0" applyBorder="1"/>
    <xf numFmtId="164" fontId="0" fillId="0" borderId="37" xfId="0" applyNumberFormat="1" applyBorder="1"/>
    <xf numFmtId="164" fontId="0" fillId="0" borderId="38" xfId="0" applyNumberFormat="1" applyBorder="1"/>
    <xf numFmtId="164" fontId="0" fillId="0" borderId="39" xfId="0" applyNumberFormat="1" applyBorder="1"/>
    <xf numFmtId="0" fontId="0" fillId="0" borderId="41" xfId="0" applyBorder="1"/>
    <xf numFmtId="0" fontId="0" fillId="2" borderId="26" xfId="0" applyFill="1" applyBorder="1" applyAlignment="1">
      <alignment horizontal="left"/>
    </xf>
    <xf numFmtId="0" fontId="0" fillId="2" borderId="21" xfId="0" applyFill="1" applyBorder="1"/>
    <xf numFmtId="0" fontId="0" fillId="2" borderId="27" xfId="0" applyFill="1" applyBorder="1"/>
    <xf numFmtId="0" fontId="0" fillId="2" borderId="24" xfId="0" applyFill="1" applyBorder="1" applyAlignment="1">
      <alignment horizontal="left"/>
    </xf>
    <xf numFmtId="0" fontId="0" fillId="2" borderId="0" xfId="0" applyFill="1"/>
    <xf numFmtId="0" fontId="0" fillId="2" borderId="25" xfId="0" applyFill="1" applyBorder="1"/>
    <xf numFmtId="0" fontId="0" fillId="2" borderId="1" xfId="0" applyFill="1" applyBorder="1" applyAlignment="1">
      <alignment horizontal="left"/>
    </xf>
    <xf numFmtId="0" fontId="0" fillId="2" borderId="14" xfId="0" applyFill="1" applyBorder="1"/>
    <xf numFmtId="0" fontId="0" fillId="2" borderId="2" xfId="0" applyFill="1" applyBorder="1"/>
    <xf numFmtId="0" fontId="9" fillId="4" borderId="43" xfId="0" applyFont="1" applyFill="1" applyBorder="1" applyAlignment="1">
      <alignment horizontal="center"/>
    </xf>
    <xf numFmtId="0" fontId="9" fillId="4" borderId="52" xfId="0" applyFont="1" applyFill="1" applyBorder="1" applyAlignment="1">
      <alignment horizontal="center"/>
    </xf>
    <xf numFmtId="0" fontId="9" fillId="4" borderId="30" xfId="0" applyFont="1" applyFill="1" applyBorder="1" applyAlignment="1">
      <alignment horizontal="center"/>
    </xf>
    <xf numFmtId="0" fontId="9" fillId="4" borderId="31" xfId="0" applyFont="1" applyFill="1" applyBorder="1" applyAlignment="1">
      <alignment horizontal="center"/>
    </xf>
    <xf numFmtId="164" fontId="9" fillId="4" borderId="52" xfId="0" applyNumberFormat="1" applyFont="1" applyFill="1" applyBorder="1" applyAlignment="1">
      <alignment horizontal="center"/>
    </xf>
    <xf numFmtId="0" fontId="9" fillId="4" borderId="53" xfId="0" applyFont="1" applyFill="1" applyBorder="1" applyAlignment="1">
      <alignment horizontal="center"/>
    </xf>
    <xf numFmtId="0" fontId="9" fillId="4" borderId="46" xfId="0" applyFont="1" applyFill="1" applyBorder="1" applyAlignment="1">
      <alignment horizontal="center"/>
    </xf>
    <xf numFmtId="14" fontId="9" fillId="4" borderId="15" xfId="0" applyNumberFormat="1" applyFont="1" applyFill="1" applyBorder="1" applyAlignment="1">
      <alignment horizontal="center"/>
    </xf>
    <xf numFmtId="164" fontId="9" fillId="4" borderId="30" xfId="0" applyNumberFormat="1" applyFont="1" applyFill="1" applyBorder="1" applyAlignment="1">
      <alignment horizontal="center"/>
    </xf>
    <xf numFmtId="164" fontId="9" fillId="4" borderId="31" xfId="0" applyNumberFormat="1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9" fillId="4" borderId="54" xfId="0" applyFont="1" applyFill="1" applyBorder="1" applyAlignment="1">
      <alignment horizontal="center"/>
    </xf>
    <xf numFmtId="0" fontId="9" fillId="4" borderId="15" xfId="0" applyFont="1" applyFill="1" applyBorder="1" applyAlignment="1">
      <alignment horizontal="center"/>
    </xf>
    <xf numFmtId="0" fontId="9" fillId="4" borderId="20" xfId="0" applyFont="1" applyFill="1" applyBorder="1" applyAlignment="1">
      <alignment horizontal="center"/>
    </xf>
    <xf numFmtId="0" fontId="9" fillId="4" borderId="16" xfId="0" applyFont="1" applyFill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8" fillId="4" borderId="15" xfId="0" applyFont="1" applyFill="1" applyBorder="1" applyAlignment="1">
      <alignment horizontal="center"/>
    </xf>
    <xf numFmtId="0" fontId="8" fillId="4" borderId="20" xfId="0" applyFont="1" applyFill="1" applyBorder="1" applyAlignment="1">
      <alignment horizontal="center"/>
    </xf>
    <xf numFmtId="0" fontId="8" fillId="4" borderId="16" xfId="0" applyFont="1" applyFill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7" fillId="4" borderId="15" xfId="0" applyFont="1" applyFill="1" applyBorder="1" applyAlignment="1">
      <alignment horizontal="center"/>
    </xf>
    <xf numFmtId="0" fontId="7" fillId="4" borderId="20" xfId="0" applyFont="1" applyFill="1" applyBorder="1" applyAlignment="1">
      <alignment horizontal="center"/>
    </xf>
    <xf numFmtId="0" fontId="7" fillId="4" borderId="16" xfId="0" applyFont="1" applyFill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3" fillId="0" borderId="20" xfId="0" applyFont="1" applyBorder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76D6FF"/>
      <color rgb="FFFF2F92"/>
      <color rgb="FFFFFC00"/>
      <color rgb="FFDA716E"/>
      <color rgb="FF65F9FE"/>
      <color rgb="FFA68ADF"/>
      <color rgb="FFFC6368"/>
      <color rgb="FFA85BF4"/>
      <color rgb="FF7D7B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Ex6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7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Ex8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Ex9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Ex10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Ex11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Ex12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Ex13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Ex14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Ex15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Ex16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Ex17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Ex18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Ex19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Ex20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Ex21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Ex22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Return on Wager by 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rgbClr val="76D6FF"/>
            </a:solidFill>
            <a:ln>
              <a:solidFill>
                <a:srgbClr val="76D6FF"/>
              </a:solidFill>
            </a:ln>
            <a:effectLst/>
            <a:sp3d>
              <a:contourClr>
                <a:srgbClr val="76D6FF"/>
              </a:contourClr>
            </a:sp3d>
          </c:spPr>
          <c:invertIfNegative val="0"/>
          <c:cat>
            <c:strRef>
              <c:f>Master!$K$4:$K$15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Master!$N$4:$N$15</c:f>
              <c:numCache>
                <c:formatCode>"$"#,##0.00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00-974E-AD64-D86BF5C15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987022479"/>
        <c:axId val="1986987359"/>
        <c:axId val="0"/>
      </c:bar3DChart>
      <c:catAx>
        <c:axId val="19870224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6987359"/>
        <c:crosses val="autoZero"/>
        <c:auto val="1"/>
        <c:lblAlgn val="ctr"/>
        <c:lblOffset val="100"/>
        <c:noMultiLvlLbl val="0"/>
      </c:catAx>
      <c:valAx>
        <c:axId val="1986987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70224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Bets Per 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spPr>
            <a:solidFill>
              <a:srgbClr val="76D6FF"/>
            </a:solidFill>
            <a:ln>
              <a:solidFill>
                <a:srgbClr val="76D6FF"/>
              </a:solidFill>
            </a:ln>
            <a:effectLst/>
            <a:sp3d>
              <a:contourClr>
                <a:srgbClr val="76D6FF"/>
              </a:contourClr>
            </a:sp3d>
          </c:spPr>
          <c:invertIfNegative val="0"/>
          <c:cat>
            <c:strRef>
              <c:f>Master!$K$4:$K$15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Master!$M$4:$M$15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C3-C545-9345-464A040B76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023144431"/>
        <c:axId val="641143440"/>
        <c:axId val="0"/>
      </c:bar3DChart>
      <c:catAx>
        <c:axId val="20231444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143440"/>
        <c:crosses val="autoZero"/>
        <c:auto val="1"/>
        <c:lblAlgn val="ctr"/>
        <c:lblOffset val="100"/>
        <c:noMultiLvlLbl val="0"/>
      </c:catAx>
      <c:valAx>
        <c:axId val="64114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31444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Profit Per 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spPr>
            <a:solidFill>
              <a:srgbClr val="76D6FF"/>
            </a:solidFill>
            <a:ln>
              <a:solidFill>
                <a:srgbClr val="76D6FF"/>
              </a:solidFill>
            </a:ln>
            <a:effectLst/>
            <a:sp3d>
              <a:contourClr>
                <a:srgbClr val="76D6FF"/>
              </a:contourClr>
            </a:sp3d>
          </c:spPr>
          <c:invertIfNegative val="0"/>
          <c:cat>
            <c:strRef>
              <c:f>Master!$K$4:$K$15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Master!$L$4:$L$15</c:f>
              <c:numCache>
                <c:formatCode>"$"#,##0.00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4B-1043-8849-D7885FE3CA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748290560"/>
        <c:axId val="2077223135"/>
        <c:axId val="0"/>
      </c:bar3DChart>
      <c:catAx>
        <c:axId val="1748290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7223135"/>
        <c:crosses val="autoZero"/>
        <c:auto val="1"/>
        <c:lblAlgn val="ctr"/>
        <c:lblOffset val="100"/>
        <c:noMultiLvlLbl val="0"/>
      </c:catAx>
      <c:valAx>
        <c:axId val="207722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8290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_xlchart.v5.0</cx:f>
      </cx:strDim>
      <cx:numDim type="val">
        <cx:f>_xlchart.v5.2</cx:f>
      </cx:numDim>
    </cx:data>
  </cx:chartData>
  <cx:chart>
    <cx:title pos="t" align="ctr" overlay="0">
      <cx:tx>
        <cx:txData>
          <cx:v>Monthly Profit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Monthly Profit</a:t>
          </a:r>
        </a:p>
      </cx:txPr>
    </cx:title>
    <cx:plotArea>
      <cx:plotAreaRegion>
        <cx:series layoutId="waterfall" uniqueId="{37B68A42-A3A7-3647-9D31-2B1319B3C454}">
          <cx:tx>
            <cx:txData>
              <cx:f>_xlchart.v5.1</cx:f>
              <cx:v>Profit</cx:v>
            </cx:txData>
          </cx:tx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0">
      <cx:spPr>
        <a:solidFill>
          <a:srgbClr val="00B050"/>
        </a:solidFill>
      </cx:spPr>
    </cx:fmtOvr>
    <cx:fmtOvr idx="1">
      <cx:spPr>
        <a:solidFill>
          <a:srgbClr val="FF0000"/>
        </a:solidFill>
      </cx:spPr>
    </cx:fmtOvr>
  </cx:fmtOvrs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_xlchart.v5.5</cx:f>
      </cx:strDim>
      <cx:numDim type="val">
        <cx:f dir="row">_xlchart.v5.4</cx:f>
      </cx:numDim>
    </cx:data>
  </cx:chartData>
  <cx:chart>
    <cx:title pos="t" align="ctr" overlay="0">
      <cx:tx>
        <cx:txData>
          <cx:v>Monthly Profit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Monthly Profit</a:t>
          </a:r>
        </a:p>
      </cx:txPr>
    </cx:title>
    <cx:plotArea>
      <cx:plotAreaRegion>
        <cx:series layoutId="waterfall" uniqueId="{CCE5D270-3E1F-D944-91DB-1B2364E9C33B}">
          <cx:tx>
            <cx:txData>
              <cx:f>_xlchart.v5.3</cx:f>
              <cx:v/>
            </cx:txData>
          </cx:tx>
          <cx:dataLabels pos="outEnd">
            <cx:visibility seriesName="0" categoryName="0" value="1"/>
          </cx:dataLabels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0">
      <cx:spPr>
        <a:solidFill>
          <a:srgbClr val="00B050"/>
        </a:solidFill>
      </cx:spPr>
    </cx:fmtOvr>
    <cx:fmtOvr idx="1">
      <cx:spPr>
        <a:solidFill>
          <a:srgbClr val="FF0000"/>
        </a:solidFill>
      </cx:spPr>
    </cx:fmtOvr>
  </cx:fmtOvrs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_xlchart.v5.6</cx:f>
      </cx:strDim>
      <cx:numDim type="val">
        <cx:f>_xlchart.v5.7</cx:f>
      </cx:numDim>
    </cx:data>
  </cx:chartData>
  <cx:chart>
    <cx:title pos="t" align="ctr" overlay="0">
      <cx:tx>
        <cx:txData>
          <cx:v>Monthly Profit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Monthly Profit</a:t>
          </a:r>
        </a:p>
      </cx:txPr>
    </cx:title>
    <cx:plotArea>
      <cx:plotAreaRegion>
        <cx:series layoutId="waterfall" uniqueId="{05015A9F-782B-1940-8BD1-CA931605CF53}"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0">
      <cx:spPr>
        <a:solidFill>
          <a:srgbClr val="00B050"/>
        </a:solidFill>
      </cx:spPr>
    </cx:fmtOvr>
    <cx:fmtOvr idx="1">
      <cx:spPr>
        <a:solidFill>
          <a:srgbClr val="FF0000"/>
        </a:solidFill>
      </cx:spPr>
    </cx:fmtOvr>
  </cx:fmtOvrs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_xlchart.v5.10</cx:f>
      </cx:strDim>
      <cx:numDim type="val">
        <cx:f dir="row">_xlchart.v5.9</cx:f>
      </cx:numDim>
    </cx:data>
  </cx:chartData>
  <cx:chart>
    <cx:title pos="t" align="ctr" overlay="0">
      <cx:tx>
        <cx:txData>
          <cx:v>Monthly Profit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Monthly Profit</a:t>
          </a:r>
        </a:p>
      </cx:txPr>
    </cx:title>
    <cx:plotArea>
      <cx:plotAreaRegion>
        <cx:series layoutId="waterfall" uniqueId="{CCE5D270-3E1F-D944-91DB-1B2364E9C33B}">
          <cx:tx>
            <cx:txData>
              <cx:f>_xlchart.v5.8</cx:f>
              <cx:v/>
            </cx:txData>
          </cx:tx>
          <cx:dataLabels pos="outEnd">
            <cx:visibility seriesName="0" categoryName="0" value="1"/>
          </cx:dataLabels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0">
      <cx:spPr>
        <a:solidFill>
          <a:srgbClr val="00B050"/>
        </a:solidFill>
      </cx:spPr>
    </cx:fmtOvr>
    <cx:fmtOvr idx="1">
      <cx:spPr>
        <a:solidFill>
          <a:srgbClr val="FF0000"/>
        </a:solidFill>
      </cx:spPr>
    </cx:fmtOvr>
  </cx:fmtOvrs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_xlchart.v5.11</cx:f>
      </cx:strDim>
      <cx:numDim type="val">
        <cx:f>_xlchart.v5.12</cx:f>
      </cx:numDim>
    </cx:data>
  </cx:chartData>
  <cx:chart>
    <cx:title pos="t" align="ctr" overlay="0">
      <cx:tx>
        <cx:txData>
          <cx:v>Monthly Profit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Monthly Profit</a:t>
          </a:r>
        </a:p>
      </cx:txPr>
    </cx:title>
    <cx:plotArea>
      <cx:plotAreaRegion>
        <cx:series layoutId="waterfall" uniqueId="{FB464E49-E027-6A42-A366-56505CCB26F4}"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0">
      <cx:spPr>
        <a:solidFill>
          <a:srgbClr val="00B050"/>
        </a:solidFill>
      </cx:spPr>
    </cx:fmtOvr>
    <cx:fmtOvr idx="1">
      <cx:spPr>
        <a:solidFill>
          <a:srgbClr val="FF0000"/>
        </a:solidFill>
      </cx:spPr>
    </cx:fmtOvr>
  </cx:fmtOvrs>
</cx:chartSpace>
</file>

<file path=xl/charts/chartEx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_xlchart.v5.17</cx:f>
      </cx:strDim>
      <cx:numDim type="val">
        <cx:f dir="row">_xlchart.v5.16</cx:f>
      </cx:numDim>
    </cx:data>
  </cx:chartData>
  <cx:chart>
    <cx:title pos="t" align="ctr" overlay="0">
      <cx:tx>
        <cx:txData>
          <cx:v>Monthly Profit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Monthly Profit</a:t>
          </a:r>
        </a:p>
      </cx:txPr>
    </cx:title>
    <cx:plotArea>
      <cx:plotAreaRegion>
        <cx:series layoutId="waterfall" uniqueId="{CCE5D270-3E1F-D944-91DB-1B2364E9C33B}">
          <cx:tx>
            <cx:txData>
              <cx:f>_xlchart.v5.15</cx:f>
              <cx:v/>
            </cx:txData>
          </cx:tx>
          <cx:dataLabels pos="outEnd">
            <cx:visibility seriesName="0" categoryName="0" value="1"/>
          </cx:dataLabels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0">
      <cx:spPr>
        <a:solidFill>
          <a:srgbClr val="00B050"/>
        </a:solidFill>
      </cx:spPr>
    </cx:fmtOvr>
    <cx:fmtOvr idx="1">
      <cx:spPr>
        <a:solidFill>
          <a:srgbClr val="FF0000"/>
        </a:solidFill>
      </cx:spPr>
    </cx:fmtOvr>
  </cx:fmtOvrs>
</cx:chartSpace>
</file>

<file path=xl/charts/chartEx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_xlchart.v5.13</cx:f>
      </cx:strDim>
      <cx:numDim type="val">
        <cx:f>_xlchart.v5.14</cx:f>
      </cx:numDim>
    </cx:data>
  </cx:chartData>
  <cx:chart>
    <cx:title pos="t" align="ctr" overlay="0">
      <cx:tx>
        <cx:txData>
          <cx:v>Monthly Profit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Monthly Profit</a:t>
          </a:r>
        </a:p>
      </cx:txPr>
    </cx:title>
    <cx:plotArea>
      <cx:plotAreaRegion>
        <cx:series layoutId="waterfall" uniqueId="{62B85F96-8191-1642-9422-D4BE01358582}"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0">
      <cx:spPr>
        <a:solidFill>
          <a:srgbClr val="00B050"/>
        </a:solidFill>
      </cx:spPr>
    </cx:fmtOvr>
    <cx:fmtOvr idx="1">
      <cx:spPr>
        <a:solidFill>
          <a:srgbClr val="FF0000"/>
        </a:solidFill>
      </cx:spPr>
    </cx:fmtOvr>
  </cx:fmtOvrs>
</cx:chartSpace>
</file>

<file path=xl/charts/chartEx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_xlchart.v5.20</cx:f>
      </cx:strDim>
      <cx:numDim type="val">
        <cx:f dir="row">_xlchart.v5.19</cx:f>
      </cx:numDim>
    </cx:data>
  </cx:chartData>
  <cx:chart>
    <cx:title pos="t" align="ctr" overlay="0">
      <cx:tx>
        <cx:txData>
          <cx:v>Monthly Profit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Monthly Profit</a:t>
          </a:r>
        </a:p>
      </cx:txPr>
    </cx:title>
    <cx:plotArea>
      <cx:plotAreaRegion>
        <cx:series layoutId="waterfall" uniqueId="{CCE5D270-3E1F-D944-91DB-1B2364E9C33B}">
          <cx:tx>
            <cx:txData>
              <cx:f>_xlchart.v5.18</cx:f>
              <cx:v/>
            </cx:txData>
          </cx:tx>
          <cx:dataLabels pos="outEnd">
            <cx:visibility seriesName="0" categoryName="0" value="1"/>
          </cx:dataLabels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0">
      <cx:spPr>
        <a:solidFill>
          <a:srgbClr val="00B050"/>
        </a:solidFill>
      </cx:spPr>
    </cx:fmtOvr>
    <cx:fmtOvr idx="1">
      <cx:spPr>
        <a:solidFill>
          <a:srgbClr val="FF0000"/>
        </a:solidFill>
      </cx:spPr>
    </cx:fmtOvr>
  </cx:fmtOvrs>
</cx:chartSpace>
</file>

<file path=xl/charts/chartEx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_xlchart.v5.21</cx:f>
      </cx:strDim>
      <cx:numDim type="val">
        <cx:f>_xlchart.v5.22</cx:f>
      </cx:numDim>
    </cx:data>
  </cx:chartData>
  <cx:chart>
    <cx:title pos="t" align="ctr" overlay="0">
      <cx:tx>
        <cx:txData>
          <cx:v>Monthly Profit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Monthly Profit</a:t>
          </a:r>
        </a:p>
      </cx:txPr>
    </cx:title>
    <cx:plotArea>
      <cx:plotAreaRegion>
        <cx:series layoutId="waterfall" uniqueId="{A31A179C-6B56-4B44-A7E4-E43068773447}"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0">
      <cx:spPr>
        <a:solidFill>
          <a:srgbClr val="00B050"/>
        </a:solidFill>
      </cx:spPr>
    </cx:fmtOvr>
    <cx:fmtOvr idx="1">
      <cx:spPr>
        <a:solidFill>
          <a:srgbClr val="FF0000"/>
        </a:solidFill>
      </cx:spPr>
    </cx:fmtOvr>
  </cx:fmtOvrs>
</cx:chartSpace>
</file>

<file path=xl/charts/chartEx10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_xlchart.v5.27</cx:f>
      </cx:strDim>
      <cx:numDim type="val">
        <cx:f dir="row">_xlchart.v5.26</cx:f>
      </cx:numDim>
    </cx:data>
  </cx:chartData>
  <cx:chart>
    <cx:title pos="t" align="ctr" overlay="0">
      <cx:tx>
        <cx:txData>
          <cx:v>Monthly Profit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Monthly Profit</a:t>
          </a:r>
        </a:p>
      </cx:txPr>
    </cx:title>
    <cx:plotArea>
      <cx:plotAreaRegion>
        <cx:series layoutId="waterfall" uniqueId="{CCE5D270-3E1F-D944-91DB-1B2364E9C33B}">
          <cx:tx>
            <cx:txData>
              <cx:f>_xlchart.v5.25</cx:f>
              <cx:v/>
            </cx:txData>
          </cx:tx>
          <cx:dataLabels pos="outEnd">
            <cx:visibility seriesName="0" categoryName="0" value="1"/>
          </cx:dataLabels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0">
      <cx:spPr>
        <a:solidFill>
          <a:srgbClr val="00B050"/>
        </a:solidFill>
      </cx:spPr>
    </cx:fmtOvr>
    <cx:fmtOvr idx="1">
      <cx:spPr>
        <a:solidFill>
          <a:srgbClr val="FF0000"/>
        </a:solidFill>
      </cx:spPr>
    </cx:fmtOvr>
  </cx:fmtOvrs>
</cx:chartSpace>
</file>

<file path=xl/charts/chartEx1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_xlchart.v5.23</cx:f>
      </cx:strDim>
      <cx:numDim type="val">
        <cx:f>_xlchart.v5.24</cx:f>
      </cx:numDim>
    </cx:data>
  </cx:chartData>
  <cx:chart>
    <cx:title pos="t" align="ctr" overlay="0">
      <cx:tx>
        <cx:txData>
          <cx:v>Monthly Profit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Monthly Profit</a:t>
          </a:r>
        </a:p>
      </cx:txPr>
    </cx:title>
    <cx:plotArea>
      <cx:plotAreaRegion>
        <cx:series layoutId="waterfall" uniqueId="{9956F52F-01B4-4F4B-A1B4-60466B185CD1}"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0">
      <cx:spPr>
        <a:solidFill>
          <a:srgbClr val="00B050"/>
        </a:solidFill>
      </cx:spPr>
    </cx:fmtOvr>
    <cx:fmtOvr idx="1">
      <cx:spPr>
        <a:solidFill>
          <a:srgbClr val="FF0000"/>
        </a:solidFill>
      </cx:spPr>
    </cx:fmtOvr>
  </cx:fmtOvrs>
</cx:chartSpace>
</file>

<file path=xl/charts/chartEx1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_xlchart.v5.32</cx:f>
      </cx:strDim>
      <cx:numDim type="val">
        <cx:f dir="row">_xlchart.v5.31</cx:f>
      </cx:numDim>
    </cx:data>
  </cx:chartData>
  <cx:chart>
    <cx:title pos="t" align="ctr" overlay="0">
      <cx:tx>
        <cx:txData>
          <cx:v>Monthly Profit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Monthly Profit</a:t>
          </a:r>
        </a:p>
      </cx:txPr>
    </cx:title>
    <cx:plotArea>
      <cx:plotAreaRegion>
        <cx:series layoutId="waterfall" uniqueId="{CCE5D270-3E1F-D944-91DB-1B2364E9C33B}">
          <cx:tx>
            <cx:txData>
              <cx:f>_xlchart.v5.30</cx:f>
              <cx:v/>
            </cx:txData>
          </cx:tx>
          <cx:dataLabels pos="outEnd">
            <cx:visibility seriesName="0" categoryName="0" value="1"/>
          </cx:dataLabels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0">
      <cx:spPr>
        <a:solidFill>
          <a:srgbClr val="00B050"/>
        </a:solidFill>
      </cx:spPr>
    </cx:fmtOvr>
    <cx:fmtOvr idx="1">
      <cx:spPr>
        <a:solidFill>
          <a:srgbClr val="FF0000"/>
        </a:solidFill>
      </cx:spPr>
    </cx:fmtOvr>
  </cx:fmtOvrs>
</cx:chartSpace>
</file>

<file path=xl/charts/chartEx1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_xlchart.v5.28</cx:f>
      </cx:strDim>
      <cx:numDim type="val">
        <cx:f>_xlchart.v5.29</cx:f>
      </cx:numDim>
    </cx:data>
  </cx:chartData>
  <cx:chart>
    <cx:title pos="t" align="ctr" overlay="0">
      <cx:tx>
        <cx:txData>
          <cx:v>Monthly Profit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Monthly Profit</a:t>
          </a:r>
        </a:p>
      </cx:txPr>
    </cx:title>
    <cx:plotArea>
      <cx:plotAreaRegion>
        <cx:series layoutId="waterfall" uniqueId="{4975A745-1337-2F47-9A67-BEE2E7881F3E}"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0">
      <cx:spPr>
        <a:solidFill>
          <a:srgbClr val="00B050"/>
        </a:solidFill>
      </cx:spPr>
    </cx:fmtOvr>
    <cx:fmtOvr idx="1">
      <cx:spPr>
        <a:solidFill>
          <a:srgbClr val="FF0000"/>
        </a:solidFill>
      </cx:spPr>
    </cx:fmtOvr>
  </cx:fmtOvrs>
</cx:chartSpace>
</file>

<file path=xl/charts/chartEx1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_xlchart.v5.37</cx:f>
      </cx:strDim>
      <cx:numDim type="val">
        <cx:f dir="row">_xlchart.v5.36</cx:f>
      </cx:numDim>
    </cx:data>
  </cx:chartData>
  <cx:chart>
    <cx:title pos="t" align="ctr" overlay="0">
      <cx:tx>
        <cx:txData>
          <cx:v>Monthly Profit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Monthly Profit</a:t>
          </a:r>
        </a:p>
      </cx:txPr>
    </cx:title>
    <cx:plotArea>
      <cx:plotAreaRegion>
        <cx:series layoutId="waterfall" uniqueId="{CCE5D270-3E1F-D944-91DB-1B2364E9C33B}">
          <cx:tx>
            <cx:txData>
              <cx:f>_xlchart.v5.35</cx:f>
              <cx:v/>
            </cx:txData>
          </cx:tx>
          <cx:dataLabels pos="outEnd">
            <cx:visibility seriesName="0" categoryName="0" value="1"/>
          </cx:dataLabels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0">
      <cx:spPr>
        <a:solidFill>
          <a:srgbClr val="00B050"/>
        </a:solidFill>
      </cx:spPr>
    </cx:fmtOvr>
    <cx:fmtOvr idx="1">
      <cx:spPr>
        <a:solidFill>
          <a:srgbClr val="FF0000"/>
        </a:solidFill>
      </cx:spPr>
    </cx:fmtOvr>
  </cx:fmtOvrs>
</cx:chartSpace>
</file>

<file path=xl/charts/chartEx1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_xlchart.v5.33</cx:f>
      </cx:strDim>
      <cx:numDim type="val">
        <cx:f>_xlchart.v5.34</cx:f>
      </cx:numDim>
    </cx:data>
  </cx:chartData>
  <cx:chart>
    <cx:title pos="t" align="ctr" overlay="0">
      <cx:tx>
        <cx:txData>
          <cx:v>Monthly Profit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Monthly Profit</a:t>
          </a:r>
        </a:p>
      </cx:txPr>
    </cx:title>
    <cx:plotArea>
      <cx:plotAreaRegion>
        <cx:series layoutId="waterfall" uniqueId="{94531C75-9A39-1141-A8DD-6818C1C5A3AB}"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0">
      <cx:spPr>
        <a:solidFill>
          <a:srgbClr val="00B050"/>
        </a:solidFill>
      </cx:spPr>
    </cx:fmtOvr>
    <cx:fmtOvr idx="1">
      <cx:spPr>
        <a:solidFill>
          <a:srgbClr val="FF0000"/>
        </a:solidFill>
      </cx:spPr>
    </cx:fmtOvr>
  </cx:fmtOvrs>
</cx:chartSpace>
</file>

<file path=xl/charts/chartEx1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_xlchart.v5.42</cx:f>
      </cx:strDim>
      <cx:numDim type="val">
        <cx:f dir="row">_xlchart.v5.41</cx:f>
      </cx:numDim>
    </cx:data>
  </cx:chartData>
  <cx:chart>
    <cx:title pos="t" align="ctr" overlay="0">
      <cx:tx>
        <cx:txData>
          <cx:v>Monthly Profit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Monthly Profit</a:t>
          </a:r>
        </a:p>
      </cx:txPr>
    </cx:title>
    <cx:plotArea>
      <cx:plotAreaRegion>
        <cx:series layoutId="waterfall" uniqueId="{CCE5D270-3E1F-D944-91DB-1B2364E9C33B}">
          <cx:tx>
            <cx:txData>
              <cx:f>_xlchart.v5.40</cx:f>
              <cx:v/>
            </cx:txData>
          </cx:tx>
          <cx:dataLabels pos="outEnd">
            <cx:visibility seriesName="0" categoryName="0" value="1"/>
          </cx:dataLabels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0">
      <cx:spPr>
        <a:solidFill>
          <a:srgbClr val="00B050"/>
        </a:solidFill>
      </cx:spPr>
    </cx:fmtOvr>
    <cx:fmtOvr idx="1">
      <cx:spPr>
        <a:solidFill>
          <a:srgbClr val="FF0000"/>
        </a:solidFill>
      </cx:spPr>
    </cx:fmtOvr>
  </cx:fmtOvrs>
</cx:chartSpace>
</file>

<file path=xl/charts/chartEx1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_xlchart.v5.38</cx:f>
      </cx:strDim>
      <cx:numDim type="val">
        <cx:f>_xlchart.v5.39</cx:f>
      </cx:numDim>
    </cx:data>
  </cx:chartData>
  <cx:chart>
    <cx:title pos="t" align="ctr" overlay="0">
      <cx:tx>
        <cx:txData>
          <cx:v>Monthly Profit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Monthly Profit</a:t>
          </a:r>
        </a:p>
      </cx:txPr>
    </cx:title>
    <cx:plotArea>
      <cx:plotAreaRegion>
        <cx:series layoutId="waterfall" uniqueId="{9948554F-653A-A74C-876C-811CF23E5484}"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0">
      <cx:spPr>
        <a:solidFill>
          <a:srgbClr val="00B050"/>
        </a:solidFill>
      </cx:spPr>
    </cx:fmtOvr>
    <cx:fmtOvr idx="1">
      <cx:spPr>
        <a:solidFill>
          <a:srgbClr val="FF0000"/>
        </a:solidFill>
      </cx:spPr>
    </cx:fmtOvr>
  </cx:fmtOvrs>
</cx:chartSpace>
</file>

<file path=xl/charts/chartEx1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_xlchart.v5.47</cx:f>
      </cx:strDim>
      <cx:numDim type="val">
        <cx:f dir="row">_xlchart.v5.46</cx:f>
      </cx:numDim>
    </cx:data>
  </cx:chartData>
  <cx:chart>
    <cx:title pos="t" align="ctr" overlay="0">
      <cx:tx>
        <cx:txData>
          <cx:v>Monthly Profit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Monthly Profit</a:t>
          </a:r>
        </a:p>
      </cx:txPr>
    </cx:title>
    <cx:plotArea>
      <cx:plotAreaRegion>
        <cx:series layoutId="waterfall" uniqueId="{CCE5D270-3E1F-D944-91DB-1B2364E9C33B}">
          <cx:tx>
            <cx:txData>
              <cx:f>_xlchart.v5.45</cx:f>
              <cx:v/>
            </cx:txData>
          </cx:tx>
          <cx:dataLabels pos="outEnd">
            <cx:visibility seriesName="0" categoryName="0" value="1"/>
          </cx:dataLabels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0">
      <cx:spPr>
        <a:solidFill>
          <a:srgbClr val="00B050"/>
        </a:solidFill>
      </cx:spPr>
    </cx:fmtOvr>
    <cx:fmtOvr idx="1">
      <cx:spPr>
        <a:solidFill>
          <a:srgbClr val="FF0000"/>
        </a:solidFill>
      </cx:spPr>
    </cx:fmtOvr>
  </cx:fmtOvrs>
</cx:chartSpace>
</file>

<file path=xl/charts/chartEx1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_xlchart.v5.43</cx:f>
      </cx:strDim>
      <cx:numDim type="val">
        <cx:f>_xlchart.v5.44</cx:f>
      </cx:numDim>
    </cx:data>
  </cx:chartData>
  <cx:chart>
    <cx:title pos="t" align="ctr" overlay="0">
      <cx:tx>
        <cx:txData>
          <cx:v>Monthly Profit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Monthly Profit</a:t>
          </a:r>
        </a:p>
      </cx:txPr>
    </cx:title>
    <cx:plotArea>
      <cx:plotAreaRegion>
        <cx:series layoutId="waterfall" uniqueId="{49B336CD-1703-E646-9551-6C8FF8B7BF8B}"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0">
      <cx:spPr>
        <a:solidFill>
          <a:srgbClr val="00B050"/>
        </a:solidFill>
      </cx:spPr>
    </cx:fmtOvr>
    <cx:fmtOvr idx="1">
      <cx:spPr>
        <a:solidFill>
          <a:srgbClr val="FF0000"/>
        </a:solidFill>
      </cx:spPr>
    </cx:fmtOvr>
  </cx:fmtOvrs>
</cx:chartSpace>
</file>

<file path=xl/charts/chartEx20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_xlchart.v5.50</cx:f>
      </cx:strDim>
      <cx:numDim type="val">
        <cx:f dir="row">_xlchart.v5.49</cx:f>
      </cx:numDim>
    </cx:data>
  </cx:chartData>
  <cx:chart>
    <cx:title pos="t" align="ctr" overlay="0">
      <cx:tx>
        <cx:txData>
          <cx:v>Monthly Profit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Monthly Profit</a:t>
          </a:r>
        </a:p>
      </cx:txPr>
    </cx:title>
    <cx:plotArea>
      <cx:plotAreaRegion>
        <cx:series layoutId="waterfall" uniqueId="{CCE5D270-3E1F-D944-91DB-1B2364E9C33B}">
          <cx:tx>
            <cx:txData>
              <cx:f>_xlchart.v5.48</cx:f>
              <cx:v/>
            </cx:txData>
          </cx:tx>
          <cx:dataLabels pos="outEnd">
            <cx:visibility seriesName="0" categoryName="0" value="1"/>
          </cx:dataLabels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0">
      <cx:spPr>
        <a:solidFill>
          <a:srgbClr val="00B050"/>
        </a:solidFill>
      </cx:spPr>
    </cx:fmtOvr>
    <cx:fmtOvr idx="1">
      <cx:spPr>
        <a:solidFill>
          <a:srgbClr val="FF0000"/>
        </a:solidFill>
      </cx:spPr>
    </cx:fmtOvr>
  </cx:fmtOvrs>
</cx:chartSpace>
</file>

<file path=xl/charts/chartEx2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_xlchart.v5.51</cx:f>
      </cx:strDim>
      <cx:numDim type="val">
        <cx:f>_xlchart.v5.52</cx:f>
      </cx:numDim>
    </cx:data>
  </cx:chartData>
  <cx:chart>
    <cx:title pos="t" align="ctr" overlay="0">
      <cx:tx>
        <cx:txData>
          <cx:v>Monthly Profit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Monthly Profit</a:t>
          </a:r>
        </a:p>
      </cx:txPr>
    </cx:title>
    <cx:plotArea>
      <cx:plotAreaRegion>
        <cx:series layoutId="waterfall" uniqueId="{0760BDE1-23B1-0540-9B6A-4490010947BA}"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0">
      <cx:spPr>
        <a:solidFill>
          <a:srgbClr val="00B050"/>
        </a:solidFill>
      </cx:spPr>
    </cx:fmtOvr>
    <cx:fmtOvr idx="1">
      <cx:spPr>
        <a:solidFill>
          <a:srgbClr val="FF0000"/>
        </a:solidFill>
      </cx:spPr>
    </cx:fmtOvr>
  </cx:fmtOvrs>
</cx:chartSpace>
</file>

<file path=xl/charts/chartEx2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_xlchart.v5.53</cx:f>
      </cx:strDim>
      <cx:numDim type="val">
        <cx:f>_xlchart.v5.54</cx:f>
      </cx:numDim>
    </cx:data>
  </cx:chartData>
  <cx:chart>
    <cx:title pos="t" align="ctr" overlay="0">
      <cx:tx>
        <cx:txData>
          <cx:v>Monthly Profit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Monthly Profit</a:t>
          </a:r>
        </a:p>
      </cx:txPr>
    </cx:title>
    <cx:plotArea>
      <cx:plotAreaRegion>
        <cx:series layoutId="waterfall" uniqueId="{E1D3C42B-44C8-F94D-8268-AB214709E30A}"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0">
      <cx:spPr>
        <a:solidFill>
          <a:srgbClr val="00B050"/>
        </a:solidFill>
      </cx:spPr>
    </cx:fmtOvr>
    <cx:fmtOvr idx="1">
      <cx:spPr>
        <a:solidFill>
          <a:srgbClr val="FF0000"/>
        </a:solidFill>
      </cx:spPr>
    </cx:fmtOvr>
  </cx:fmtOvrs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3.xml.rels><?xml version="1.0" encoding="UTF-8" standalone="yes"?>
<Relationships xmlns="http://schemas.openxmlformats.org/package/2006/relationships"><Relationship Id="rId2" Type="http://schemas.microsoft.com/office/2014/relationships/chartEx" Target="../charts/chartEx3.xml"/><Relationship Id="rId1" Type="http://schemas.microsoft.com/office/2014/relationships/chartEx" Target="../charts/chartEx2.xml"/></Relationships>
</file>

<file path=xl/drawings/_rels/drawing4.xml.rels><?xml version="1.0" encoding="UTF-8" standalone="yes"?>
<Relationships xmlns="http://schemas.openxmlformats.org/package/2006/relationships"><Relationship Id="rId2" Type="http://schemas.microsoft.com/office/2014/relationships/chartEx" Target="../charts/chartEx5.xml"/><Relationship Id="rId1" Type="http://schemas.microsoft.com/office/2014/relationships/chartEx" Target="../charts/chartEx4.xml"/></Relationships>
</file>

<file path=xl/drawings/_rels/drawing5.xml.rels><?xml version="1.0" encoding="UTF-8" standalone="yes"?>
<Relationships xmlns="http://schemas.openxmlformats.org/package/2006/relationships"><Relationship Id="rId2" Type="http://schemas.microsoft.com/office/2014/relationships/chartEx" Target="../charts/chartEx7.xml"/><Relationship Id="rId1" Type="http://schemas.microsoft.com/office/2014/relationships/chartEx" Target="../charts/chartEx6.xml"/></Relationships>
</file>

<file path=xl/drawings/_rels/drawing6.xml.rels><?xml version="1.0" encoding="UTF-8" standalone="yes"?>
<Relationships xmlns="http://schemas.openxmlformats.org/package/2006/relationships"><Relationship Id="rId2" Type="http://schemas.microsoft.com/office/2014/relationships/chartEx" Target="../charts/chartEx9.xml"/><Relationship Id="rId1" Type="http://schemas.microsoft.com/office/2014/relationships/chartEx" Target="../charts/chartEx8.xml"/></Relationships>
</file>

<file path=xl/drawings/_rels/drawing7.xml.rels><?xml version="1.0" encoding="UTF-8" standalone="yes"?>
<Relationships xmlns="http://schemas.openxmlformats.org/package/2006/relationships"><Relationship Id="rId2" Type="http://schemas.microsoft.com/office/2014/relationships/chartEx" Target="../charts/chartEx11.xml"/><Relationship Id="rId1" Type="http://schemas.microsoft.com/office/2014/relationships/chartEx" Target="../charts/chartEx10.xml"/></Relationships>
</file>

<file path=xl/drawings/_rels/drawing8.xml.rels><?xml version="1.0" encoding="UTF-8" standalone="yes"?>
<Relationships xmlns="http://schemas.openxmlformats.org/package/2006/relationships"><Relationship Id="rId2" Type="http://schemas.microsoft.com/office/2014/relationships/chartEx" Target="../charts/chartEx13.xml"/><Relationship Id="rId1" Type="http://schemas.microsoft.com/office/2014/relationships/chartEx" Target="../charts/chartEx12.xml"/></Relationships>
</file>

<file path=xl/drawings/_rels/drawing9.xml.rels><?xml version="1.0" encoding="UTF-8" standalone="yes"?>
<Relationships xmlns="http://schemas.openxmlformats.org/package/2006/relationships"><Relationship Id="rId2" Type="http://schemas.microsoft.com/office/2014/relationships/chartEx" Target="../charts/chartEx15.xml"/><Relationship Id="rId1" Type="http://schemas.microsoft.com/office/2014/relationships/chartEx" Target="../charts/chartEx14.xml"/></Relationships>
</file>

<file path=xl/drawings/_rels/drawing10.xml.rels><?xml version="1.0" encoding="UTF-8" standalone="yes"?>
<Relationships xmlns="http://schemas.openxmlformats.org/package/2006/relationships"><Relationship Id="rId2" Type="http://schemas.microsoft.com/office/2014/relationships/chartEx" Target="../charts/chartEx17.xml"/><Relationship Id="rId1" Type="http://schemas.microsoft.com/office/2014/relationships/chartEx" Target="../charts/chartEx16.xml"/></Relationships>
</file>

<file path=xl/drawings/_rels/drawing11.xml.rels><?xml version="1.0" encoding="UTF-8" standalone="yes"?>
<Relationships xmlns="http://schemas.openxmlformats.org/package/2006/relationships"><Relationship Id="rId2" Type="http://schemas.microsoft.com/office/2014/relationships/chartEx" Target="../charts/chartEx19.xml"/><Relationship Id="rId1" Type="http://schemas.microsoft.com/office/2014/relationships/chartEx" Target="../charts/chartEx18.xml"/></Relationships>
</file>

<file path=xl/drawings/_rels/drawing12.xml.rels><?xml version="1.0" encoding="UTF-8" standalone="yes"?>
<Relationships xmlns="http://schemas.openxmlformats.org/package/2006/relationships"><Relationship Id="rId2" Type="http://schemas.microsoft.com/office/2014/relationships/chartEx" Target="../charts/chartEx21.xml"/><Relationship Id="rId1" Type="http://schemas.microsoft.com/office/2014/relationships/chartEx" Target="../charts/chartEx20.xml"/></Relationships>
</file>

<file path=xl/drawings/_rels/drawing13.xml.rels><?xml version="1.0" encoding="UTF-8" standalone="yes"?>
<Relationships xmlns="http://schemas.openxmlformats.org/package/2006/relationships"><Relationship Id="rId1" Type="http://schemas.microsoft.com/office/2014/relationships/chartEx" Target="../charts/chartEx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33</xdr:row>
      <xdr:rowOff>15875</xdr:rowOff>
    </xdr:from>
    <xdr:to>
      <xdr:col>4</xdr:col>
      <xdr:colOff>15875</xdr:colOff>
      <xdr:row>41</xdr:row>
      <xdr:rowOff>0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480B59D7-8034-C0B3-FEC3-D45CC99413F3}"/>
            </a:ext>
          </a:extLst>
        </xdr:cNvPr>
        <xdr:cNvSpPr/>
      </xdr:nvSpPr>
      <xdr:spPr>
        <a:xfrm>
          <a:off x="825500" y="7143750"/>
          <a:ext cx="2635250" cy="1682750"/>
        </a:xfrm>
        <a:prstGeom prst="rect">
          <a:avLst/>
        </a:prstGeom>
        <a:solidFill>
          <a:srgbClr val="76D6FF"/>
        </a:solidFill>
        <a:ln>
          <a:solidFill>
            <a:srgbClr val="76D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63500</xdr:colOff>
          <xdr:row>33</xdr:row>
          <xdr:rowOff>63500</xdr:rowOff>
        </xdr:from>
        <xdr:to>
          <xdr:col>3</xdr:col>
          <xdr:colOff>927100</xdr:colOff>
          <xdr:row>40</xdr:row>
          <xdr:rowOff>152400</xdr:rowOff>
        </xdr:to>
        <xdr:sp macro="" textlink="">
          <xdr:nvSpPr>
            <xdr:cNvPr id="81955" name="Button 35" hidden="1">
              <a:extLst>
                <a:ext uri="{63B3BB69-23CF-44E3-9099-C40C66FF867C}">
                  <a14:compatExt spid="_x0000_s81955"/>
                </a:ext>
                <a:ext uri="{FF2B5EF4-FFF2-40B4-BE49-F238E27FC236}">
                  <a16:creationId xmlns:a16="http://schemas.microsoft.com/office/drawing/2014/main" id="{00000000-0008-0000-0000-00002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4800" b="1" i="0" u="none" strike="noStrike" baseline="0">
                  <a:solidFill>
                    <a:srgbClr val="76D6FF"/>
                  </a:solidFill>
                  <a:latin typeface="Calibri" pitchFamily="2" charset="0"/>
                  <a:cs typeface="Calibri" pitchFamily="2" charset="0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0</xdr:colOff>
      <xdr:row>39</xdr:row>
      <xdr:rowOff>96838</xdr:rowOff>
    </xdr:from>
    <xdr:to>
      <xdr:col>14</xdr:col>
      <xdr:colOff>555625</xdr:colOff>
      <xdr:row>50</xdr:row>
      <xdr:rowOff>46038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AA2CE7E9-C737-BC00-4D80-BF35E5EB6E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28</xdr:row>
      <xdr:rowOff>112713</xdr:rowOff>
    </xdr:from>
    <xdr:to>
      <xdr:col>14</xdr:col>
      <xdr:colOff>558270</xdr:colOff>
      <xdr:row>39</xdr:row>
      <xdr:rowOff>79375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F5A065E1-A999-AFD6-D3F8-33474FE193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15875</xdr:colOff>
      <xdr:row>15</xdr:row>
      <xdr:rowOff>27256</xdr:rowOff>
    </xdr:from>
    <xdr:to>
      <xdr:col>14</xdr:col>
      <xdr:colOff>555625</xdr:colOff>
      <xdr:row>28</xdr:row>
      <xdr:rowOff>111125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2D5065A-819D-B75F-FB48-68A57AEECB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79375</xdr:colOff>
      <xdr:row>1</xdr:row>
      <xdr:rowOff>23812</xdr:rowOff>
    </xdr:from>
    <xdr:to>
      <xdr:col>36</xdr:col>
      <xdr:colOff>381000</xdr:colOff>
      <xdr:row>13</xdr:row>
      <xdr:rowOff>109537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9" name="Chart 8">
              <a:extLst>
                <a:ext uri="{FF2B5EF4-FFF2-40B4-BE49-F238E27FC236}">
                  <a16:creationId xmlns:a16="http://schemas.microsoft.com/office/drawing/2014/main" id="{39D8F7DD-6B91-B51A-8559-3BCE6941F60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165675" y="239712"/>
              <a:ext cx="4429125" cy="26003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127000</xdr:colOff>
      <xdr:row>0</xdr:row>
      <xdr:rowOff>207963</xdr:rowOff>
    </xdr:from>
    <xdr:to>
      <xdr:col>36</xdr:col>
      <xdr:colOff>396875</xdr:colOff>
      <xdr:row>13</xdr:row>
      <xdr:rowOff>95250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98AC4B7D-A8DE-7F4B-9AC2-2B76EF4FF40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645100" y="207963"/>
              <a:ext cx="4397375" cy="26177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31</xdr:col>
      <xdr:colOff>111125</xdr:colOff>
      <xdr:row>1</xdr:row>
      <xdr:rowOff>1588</xdr:rowOff>
    </xdr:from>
    <xdr:to>
      <xdr:col>36</xdr:col>
      <xdr:colOff>373062</xdr:colOff>
      <xdr:row>13</xdr:row>
      <xdr:rowOff>63500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73D7E39A-8AD1-6D48-A9D7-38597AEA135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629225" y="217488"/>
              <a:ext cx="4389437" cy="25765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127000</xdr:colOff>
      <xdr:row>0</xdr:row>
      <xdr:rowOff>207963</xdr:rowOff>
    </xdr:from>
    <xdr:to>
      <xdr:col>36</xdr:col>
      <xdr:colOff>396875</xdr:colOff>
      <xdr:row>13</xdr:row>
      <xdr:rowOff>95250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CC185528-D5CE-C148-9C83-E9E745D0A7F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645100" y="207963"/>
              <a:ext cx="4397375" cy="26177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31</xdr:col>
      <xdr:colOff>111125</xdr:colOff>
      <xdr:row>1</xdr:row>
      <xdr:rowOff>1588</xdr:rowOff>
    </xdr:from>
    <xdr:to>
      <xdr:col>36</xdr:col>
      <xdr:colOff>373062</xdr:colOff>
      <xdr:row>13</xdr:row>
      <xdr:rowOff>63500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3B839937-6DF4-4949-89D9-19DF8F3566B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629225" y="217488"/>
              <a:ext cx="4389437" cy="25765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127000</xdr:colOff>
      <xdr:row>0</xdr:row>
      <xdr:rowOff>207963</xdr:rowOff>
    </xdr:from>
    <xdr:to>
      <xdr:col>36</xdr:col>
      <xdr:colOff>396875</xdr:colOff>
      <xdr:row>13</xdr:row>
      <xdr:rowOff>95250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BF0B6E7C-71B4-C341-9F1B-B391CDAB12A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645100" y="207963"/>
              <a:ext cx="4397375" cy="26177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31</xdr:col>
      <xdr:colOff>111125</xdr:colOff>
      <xdr:row>1</xdr:row>
      <xdr:rowOff>1588</xdr:rowOff>
    </xdr:from>
    <xdr:to>
      <xdr:col>36</xdr:col>
      <xdr:colOff>373062</xdr:colOff>
      <xdr:row>13</xdr:row>
      <xdr:rowOff>63500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08719BA6-88D3-F645-923D-3E503F526F9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629225" y="217488"/>
              <a:ext cx="4389437" cy="25765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127000</xdr:colOff>
      <xdr:row>0</xdr:row>
      <xdr:rowOff>207963</xdr:rowOff>
    </xdr:from>
    <xdr:to>
      <xdr:col>36</xdr:col>
      <xdr:colOff>396875</xdr:colOff>
      <xdr:row>13</xdr:row>
      <xdr:rowOff>95250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281EFCF5-5F90-074E-B75E-AF73C97FC7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645100" y="207963"/>
              <a:ext cx="4397375" cy="26177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31</xdr:col>
      <xdr:colOff>111125</xdr:colOff>
      <xdr:row>1</xdr:row>
      <xdr:rowOff>1588</xdr:rowOff>
    </xdr:from>
    <xdr:to>
      <xdr:col>36</xdr:col>
      <xdr:colOff>373062</xdr:colOff>
      <xdr:row>13</xdr:row>
      <xdr:rowOff>63500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99CFE60F-9AB4-2E48-8FB7-FCAB6E0D443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629225" y="217488"/>
              <a:ext cx="4389437" cy="25765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127000</xdr:colOff>
      <xdr:row>0</xdr:row>
      <xdr:rowOff>207963</xdr:rowOff>
    </xdr:from>
    <xdr:to>
      <xdr:col>36</xdr:col>
      <xdr:colOff>396875</xdr:colOff>
      <xdr:row>13</xdr:row>
      <xdr:rowOff>95250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C1465350-F7FC-EF44-98FB-5261D8BFD3B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645100" y="207963"/>
              <a:ext cx="4397375" cy="26177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31</xdr:col>
      <xdr:colOff>111125</xdr:colOff>
      <xdr:row>1</xdr:row>
      <xdr:rowOff>1588</xdr:rowOff>
    </xdr:from>
    <xdr:to>
      <xdr:col>36</xdr:col>
      <xdr:colOff>373062</xdr:colOff>
      <xdr:row>13</xdr:row>
      <xdr:rowOff>63500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4EA1D953-435A-194A-B8E7-CC594C686F7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629225" y="217488"/>
              <a:ext cx="4389437" cy="25765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127000</xdr:colOff>
      <xdr:row>0</xdr:row>
      <xdr:rowOff>207963</xdr:rowOff>
    </xdr:from>
    <xdr:to>
      <xdr:col>36</xdr:col>
      <xdr:colOff>396875</xdr:colOff>
      <xdr:row>13</xdr:row>
      <xdr:rowOff>95250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1EBB93D-D782-124F-8123-331C06ED2B1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645100" y="207963"/>
              <a:ext cx="4397375" cy="26177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31</xdr:col>
      <xdr:colOff>111125</xdr:colOff>
      <xdr:row>1</xdr:row>
      <xdr:rowOff>1588</xdr:rowOff>
    </xdr:from>
    <xdr:to>
      <xdr:col>36</xdr:col>
      <xdr:colOff>373062</xdr:colOff>
      <xdr:row>13</xdr:row>
      <xdr:rowOff>63500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040644DB-2A37-3C45-926C-6740E5BCBC6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629225" y="217488"/>
              <a:ext cx="4389437" cy="25765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127000</xdr:colOff>
      <xdr:row>0</xdr:row>
      <xdr:rowOff>207963</xdr:rowOff>
    </xdr:from>
    <xdr:to>
      <xdr:col>36</xdr:col>
      <xdr:colOff>396875</xdr:colOff>
      <xdr:row>13</xdr:row>
      <xdr:rowOff>95250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57F4122E-3275-9744-B128-DEBCA2DF17E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645100" y="207963"/>
              <a:ext cx="4397375" cy="26177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31</xdr:col>
      <xdr:colOff>111125</xdr:colOff>
      <xdr:row>1</xdr:row>
      <xdr:rowOff>1588</xdr:rowOff>
    </xdr:from>
    <xdr:to>
      <xdr:col>36</xdr:col>
      <xdr:colOff>373062</xdr:colOff>
      <xdr:row>13</xdr:row>
      <xdr:rowOff>63500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25462715-81D2-F147-B38F-BC0BFAB0D8B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629225" y="217488"/>
              <a:ext cx="4389437" cy="25765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127000</xdr:colOff>
      <xdr:row>0</xdr:row>
      <xdr:rowOff>207963</xdr:rowOff>
    </xdr:from>
    <xdr:to>
      <xdr:col>36</xdr:col>
      <xdr:colOff>396875</xdr:colOff>
      <xdr:row>13</xdr:row>
      <xdr:rowOff>95250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C925C08-FB4B-9547-84FD-51E96C74996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645100" y="207963"/>
              <a:ext cx="4397375" cy="26177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31</xdr:col>
      <xdr:colOff>111125</xdr:colOff>
      <xdr:row>1</xdr:row>
      <xdr:rowOff>1588</xdr:rowOff>
    </xdr:from>
    <xdr:to>
      <xdr:col>36</xdr:col>
      <xdr:colOff>373062</xdr:colOff>
      <xdr:row>13</xdr:row>
      <xdr:rowOff>63500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CE495CA6-8E8A-234F-969E-AE462C74BC5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629225" y="217488"/>
              <a:ext cx="4389437" cy="25765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127000</xdr:colOff>
      <xdr:row>0</xdr:row>
      <xdr:rowOff>207963</xdr:rowOff>
    </xdr:from>
    <xdr:to>
      <xdr:col>36</xdr:col>
      <xdr:colOff>396875</xdr:colOff>
      <xdr:row>13</xdr:row>
      <xdr:rowOff>95250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4B53E13E-420D-F747-B818-C5CA093C2B3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645100" y="207963"/>
              <a:ext cx="4397375" cy="26177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31</xdr:col>
      <xdr:colOff>111125</xdr:colOff>
      <xdr:row>1</xdr:row>
      <xdr:rowOff>1588</xdr:rowOff>
    </xdr:from>
    <xdr:to>
      <xdr:col>36</xdr:col>
      <xdr:colOff>373062</xdr:colOff>
      <xdr:row>13</xdr:row>
      <xdr:rowOff>63500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83DEA19B-BF4A-BA4F-BB3A-A0E9A6E53AA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629225" y="217488"/>
              <a:ext cx="4389437" cy="25765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127000</xdr:colOff>
      <xdr:row>0</xdr:row>
      <xdr:rowOff>207963</xdr:rowOff>
    </xdr:from>
    <xdr:to>
      <xdr:col>36</xdr:col>
      <xdr:colOff>396875</xdr:colOff>
      <xdr:row>13</xdr:row>
      <xdr:rowOff>95250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EB8DA3F9-D683-1843-BDAB-11830407A1C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645100" y="207963"/>
              <a:ext cx="4397375" cy="26177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31</xdr:col>
      <xdr:colOff>111125</xdr:colOff>
      <xdr:row>1</xdr:row>
      <xdr:rowOff>1588</xdr:rowOff>
    </xdr:from>
    <xdr:to>
      <xdr:col>36</xdr:col>
      <xdr:colOff>373062</xdr:colOff>
      <xdr:row>13</xdr:row>
      <xdr:rowOff>63500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B0015CD5-C4AB-BC4D-A442-1780F373F53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629225" y="217488"/>
              <a:ext cx="4389437" cy="25765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111125</xdr:colOff>
      <xdr:row>1</xdr:row>
      <xdr:rowOff>15875</xdr:rowOff>
    </xdr:from>
    <xdr:to>
      <xdr:col>36</xdr:col>
      <xdr:colOff>373062</xdr:colOff>
      <xdr:row>13</xdr:row>
      <xdr:rowOff>77787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8" name="Chart 7">
              <a:extLst>
                <a:ext uri="{FF2B5EF4-FFF2-40B4-BE49-F238E27FC236}">
                  <a16:creationId xmlns:a16="http://schemas.microsoft.com/office/drawing/2014/main" id="{552895E9-7210-2F46-8CBA-FB534BDCEC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629225" y="231775"/>
              <a:ext cx="4389437" cy="25765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EF304-866E-0A40-8AB2-35B4AF89CF71}">
  <sheetPr codeName="Sheet16"/>
  <dimension ref="A1:Z76"/>
  <sheetViews>
    <sheetView tabSelected="1" topLeftCell="A75" zoomScale="80" zoomScaleNormal="80" workbookViewId="0">
      <selection activeCell="Q50" sqref="Q50"/>
    </sheetView>
  </sheetViews>
  <sheetFormatPr baseColWidth="10" defaultRowHeight="16" x14ac:dyDescent="0.2"/>
  <cols>
    <col min="4" max="4" width="12.6640625" bestFit="1" customWidth="1"/>
    <col min="6" max="6" width="14.83203125" bestFit="1" customWidth="1"/>
    <col min="8" max="8" width="12.5" bestFit="1" customWidth="1"/>
    <col min="15" max="15" width="13.33203125" bestFit="1" customWidth="1"/>
    <col min="16" max="16" width="14" bestFit="1" customWidth="1"/>
    <col min="17" max="17" width="14.5" bestFit="1" customWidth="1"/>
    <col min="21" max="21" width="11" customWidth="1"/>
    <col min="22" max="22" width="11.5" customWidth="1"/>
    <col min="26" max="26" width="11.33203125" customWidth="1"/>
  </cols>
  <sheetData>
    <row r="1" spans="2:26" ht="17" thickBot="1" x14ac:dyDescent="0.25"/>
    <row r="2" spans="2:26" ht="17" thickBot="1" x14ac:dyDescent="0.25">
      <c r="B2" s="103" t="s">
        <v>0</v>
      </c>
      <c r="C2" s="104"/>
      <c r="D2" s="4">
        <f>'Jan 2025'!U2</f>
        <v>0</v>
      </c>
      <c r="E2" s="3"/>
      <c r="F2" s="79" t="s">
        <v>10</v>
      </c>
      <c r="G2" s="80" t="s">
        <v>9</v>
      </c>
      <c r="H2" s="81" t="s">
        <v>84</v>
      </c>
      <c r="I2" s="82" t="s">
        <v>39</v>
      </c>
      <c r="J2" s="32"/>
      <c r="K2" s="93" t="s">
        <v>68</v>
      </c>
      <c r="L2" s="94"/>
      <c r="M2" s="94"/>
      <c r="N2" s="95"/>
      <c r="P2" s="93" t="s">
        <v>67</v>
      </c>
      <c r="Q2" s="94"/>
      <c r="R2" s="94"/>
      <c r="S2" s="95"/>
      <c r="U2" s="93" t="s">
        <v>61</v>
      </c>
      <c r="V2" s="94"/>
      <c r="W2" s="94"/>
      <c r="X2" s="94"/>
      <c r="Y2" s="94"/>
      <c r="Z2" s="95"/>
    </row>
    <row r="3" spans="2:26" x14ac:dyDescent="0.2">
      <c r="B3" s="111" t="s">
        <v>1</v>
      </c>
      <c r="C3" s="112"/>
      <c r="D3" s="5">
        <f>D2+D4</f>
        <v>0</v>
      </c>
      <c r="E3" s="3"/>
      <c r="F3" s="47" t="s">
        <v>16</v>
      </c>
      <c r="G3" s="45">
        <f>'Jan 2025'!Y3 + 'Feb 2025'!Y3 + 'Mar 2025'!Y3 + 'Apr 2025'!Y3 + 'May 2025'!Y3 + 'June 2025'!Y3 + 'July 2025'!Y3 + 'Aug 2025'!Y3 + 'Sept 2025'!Y3 + 'Oct 2025'!Y3 + 'Nov 2025'!Y3 + 'Dec 2025'!Y3</f>
        <v>0</v>
      </c>
      <c r="H3" s="40">
        <f>'Jan 2025'!Z3 + 'Feb 2025'!Z3 + 'Mar 2025'!Z3 + 'Apr 2025'!Z3 + 'May 2025'!Z3 + 'June 2025'!Z3 + 'July 2025'!Z3 + 'Aug 2025'!Z3 + 'Sept 2025'!Z3 + 'Oct 2025'!Z3 + 'Nov 2025'!Z3 + 'Dec 2025'!Z3</f>
        <v>0</v>
      </c>
      <c r="I3" s="41">
        <f>IFERROR(H3/SUM($H$3:$H$9),0)</f>
        <v>0</v>
      </c>
      <c r="K3" s="89" t="s">
        <v>40</v>
      </c>
      <c r="L3" s="90" t="s">
        <v>9</v>
      </c>
      <c r="M3" s="90" t="s">
        <v>63</v>
      </c>
      <c r="N3" s="91" t="s">
        <v>66</v>
      </c>
      <c r="P3" s="89" t="s">
        <v>40</v>
      </c>
      <c r="Q3" s="90" t="s">
        <v>9</v>
      </c>
      <c r="R3" s="90" t="s">
        <v>63</v>
      </c>
      <c r="S3" s="91" t="s">
        <v>66</v>
      </c>
      <c r="U3" s="70" t="s">
        <v>98</v>
      </c>
      <c r="V3" s="71"/>
      <c r="W3" s="71"/>
      <c r="X3" s="71"/>
      <c r="Y3" s="71"/>
      <c r="Z3" s="72"/>
    </row>
    <row r="4" spans="2:26" ht="17" thickBot="1" x14ac:dyDescent="0.25">
      <c r="B4" s="113" t="s">
        <v>2</v>
      </c>
      <c r="C4" s="114"/>
      <c r="D4" s="10">
        <f>'Jan 2025'!V4 + 'Feb 2025'!V4 + 'Mar 2025'!V4 + 'Apr 2025'!V4 + 'May 2025'!V4 + 'June 2025'!V4 + 'July 2025'!V4 + 'Aug 2025'!V4 + 'Sept 2025'!V4 + 'Oct 2025'!V4 + 'Nov 2025'!V4 + 'Dec 2025'!V4</f>
        <v>0</v>
      </c>
      <c r="E4" s="3"/>
      <c r="F4" s="48" t="s">
        <v>23</v>
      </c>
      <c r="G4" s="45">
        <f>'Jan 2025'!Y4 + 'Feb 2025'!Y4 + 'Mar 2025'!Y4 + 'Apr 2025'!Y4 + 'May 2025'!Y4 + 'June 2025'!Y4 + 'July 2025'!Y4 + 'Aug 2025'!Y4 + 'Sept 2025'!Y4 + 'Oct 2025'!Y4 + 'Nov 2025'!Y4 + 'Dec 2025'!Y4</f>
        <v>0</v>
      </c>
      <c r="H4" s="34">
        <f>'Jan 2025'!Z4 + 'Feb 2025'!Z4 + 'Mar 2025'!Z4 + 'Apr 2025'!Z4 + 'May 2025'!Z4 + 'June 2025'!Z4 + 'July 2025'!Z4 + 'Aug 2025'!Z4 + 'Sept 2025'!Z4 + 'Oct 2025'!Z4 + 'Nov 2025'!Z4 + 'Dec 2025'!Z4</f>
        <v>0</v>
      </c>
      <c r="I4" s="38">
        <f t="shared" ref="I4:I9" si="0">IFERROR(H4/SUM($H$3:$H$9),0)</f>
        <v>0</v>
      </c>
      <c r="K4" s="11" t="s">
        <v>41</v>
      </c>
      <c r="L4" s="7">
        <f>'Jan 2025'!$V$4</f>
        <v>0</v>
      </c>
      <c r="M4">
        <f>COUNTA('Jan 2025'!B:B) - 1</f>
        <v>0</v>
      </c>
      <c r="N4" s="26">
        <f>IFERROR(L4/M4,0)</f>
        <v>0</v>
      </c>
      <c r="P4" s="11" t="s">
        <v>41</v>
      </c>
      <c r="Q4" s="7">
        <f>L4</f>
        <v>0</v>
      </c>
      <c r="R4">
        <f>M4</f>
        <v>0</v>
      </c>
      <c r="S4" s="26">
        <f>IFERROR(Q4/R4,0)</f>
        <v>0</v>
      </c>
      <c r="U4" s="73" t="s">
        <v>91</v>
      </c>
      <c r="V4" s="74"/>
      <c r="W4" s="74"/>
      <c r="X4" s="74"/>
      <c r="Y4" s="74"/>
      <c r="Z4" s="75"/>
    </row>
    <row r="5" spans="2:26" ht="17" thickBot="1" x14ac:dyDescent="0.25">
      <c r="B5" s="3"/>
      <c r="C5" s="3"/>
      <c r="D5" s="3"/>
      <c r="E5" s="3"/>
      <c r="F5" s="48" t="s">
        <v>24</v>
      </c>
      <c r="G5" s="45">
        <f>'Jan 2025'!Y5 + 'Feb 2025'!Y5 + 'Mar 2025'!Y5 + 'Apr 2025'!Y5 + 'May 2025'!Y5 + 'June 2025'!Y5 + 'July 2025'!Y5 + 'Aug 2025'!Y5 + 'Sept 2025'!Y5 + 'Oct 2025'!Y5 + 'Nov 2025'!Y5 + 'Dec 2025'!Y5</f>
        <v>0</v>
      </c>
      <c r="H5" s="34">
        <f>'Jan 2025'!Z5 + 'Feb 2025'!Z5 + 'Mar 2025'!Z5 + 'Apr 2025'!Z5 + 'May 2025'!Z5 + 'June 2025'!Z5 + 'July 2025'!Z5 + 'Aug 2025'!Z5 + 'Sept 2025'!Z5 + 'Oct 2025'!Z5 + 'Nov 2025'!Z5 + 'Dec 2025'!Z5</f>
        <v>0</v>
      </c>
      <c r="I5" s="38">
        <f t="shared" si="0"/>
        <v>0</v>
      </c>
      <c r="K5" s="11" t="s">
        <v>42</v>
      </c>
      <c r="L5" s="7">
        <f>'Feb 2025'!$V$4</f>
        <v>0</v>
      </c>
      <c r="M5">
        <f>COUNTA('Feb 2025'!B:B) - 1</f>
        <v>0</v>
      </c>
      <c r="N5" s="26" t="str">
        <f t="shared" ref="N5:N15" si="1">IFERROR(L5/M5,"")</f>
        <v/>
      </c>
      <c r="P5" s="11" t="s">
        <v>42</v>
      </c>
      <c r="Q5" s="7" t="str">
        <f ca="1">IF(MONTH(DATEVALUE($P5&amp;" 1")) &lt;= MONTH(TODAY()), SUM(L$4:L5), "")</f>
        <v/>
      </c>
      <c r="R5" t="str">
        <f ca="1">IF(MONTH(DATEVALUE($P5&amp;" 1")) &lt;= MONTH(TODAY()), SUM(M$4:M5), "")</f>
        <v/>
      </c>
      <c r="S5" s="26" t="str">
        <f t="shared" ref="S5:S15" ca="1" si="2">IFERROR(Q5/R5,"")</f>
        <v/>
      </c>
      <c r="U5" s="73" t="s">
        <v>92</v>
      </c>
      <c r="V5" s="74"/>
      <c r="W5" s="74"/>
      <c r="X5" s="74"/>
      <c r="Y5" s="74"/>
      <c r="Z5" s="75"/>
    </row>
    <row r="6" spans="2:26" x14ac:dyDescent="0.2">
      <c r="B6" s="109" t="s">
        <v>27</v>
      </c>
      <c r="C6" s="110"/>
      <c r="D6" s="58" t="s">
        <v>83</v>
      </c>
      <c r="E6" s="3"/>
      <c r="F6" s="48" t="s">
        <v>52</v>
      </c>
      <c r="G6" s="45">
        <f>'Jan 2025'!Y6 + 'Feb 2025'!Y6 + 'Mar 2025'!Y6 + 'Apr 2025'!Y6 + 'May 2025'!Y6 + 'June 2025'!Y6 + 'July 2025'!Y6 + 'Aug 2025'!Y6 + 'Sept 2025'!Y6 + 'Oct 2025'!Y6 + 'Nov 2025'!Y6 + 'Dec 2025'!Y6</f>
        <v>0</v>
      </c>
      <c r="H6" s="34">
        <f>'Jan 2025'!Z6 + 'Feb 2025'!Z6 + 'Mar 2025'!Z6 + 'Apr 2025'!Z6 + 'May 2025'!Z6 + 'June 2025'!Z6 + 'July 2025'!Z6 + 'Aug 2025'!Z6 + 'Sept 2025'!Z6 + 'Oct 2025'!Z6 + 'Nov 2025'!Z6 + 'Dec 2025'!Z6</f>
        <v>0</v>
      </c>
      <c r="I6" s="38">
        <f t="shared" si="0"/>
        <v>0</v>
      </c>
      <c r="K6" s="11" t="s">
        <v>43</v>
      </c>
      <c r="L6" s="7">
        <f>'Mar 2025'!$V$4</f>
        <v>0</v>
      </c>
      <c r="M6">
        <f>COUNTA('Mar 2025'!B:B) - 1</f>
        <v>0</v>
      </c>
      <c r="N6" s="26" t="str">
        <f t="shared" si="1"/>
        <v/>
      </c>
      <c r="P6" s="11" t="s">
        <v>43</v>
      </c>
      <c r="Q6" s="7" t="str">
        <f ca="1">IF(MONTH(DATEVALUE($P6&amp;" 1")) &lt;= MONTH(TODAY()), SUM(L$4:L6), "")</f>
        <v/>
      </c>
      <c r="R6" t="str">
        <f ca="1">IF(MONTH(DATEVALUE($P6&amp;" 1")) &lt;= MONTH(TODAY()), SUM(M$4:M6), "")</f>
        <v/>
      </c>
      <c r="S6" s="26" t="str">
        <f t="shared" ca="1" si="2"/>
        <v/>
      </c>
      <c r="U6" s="73" t="s">
        <v>93</v>
      </c>
      <c r="V6" s="74"/>
      <c r="W6" s="74"/>
      <c r="X6" s="74"/>
      <c r="Y6" s="74"/>
      <c r="Z6" s="75"/>
    </row>
    <row r="7" spans="2:26" x14ac:dyDescent="0.2">
      <c r="B7" s="101" t="s">
        <v>99</v>
      </c>
      <c r="C7" s="102"/>
      <c r="D7" s="8">
        <f>'Jan 2025'!V7 + 'Feb 2025'!V7 + 'Mar 2025'!V7 + 'Apr 2025'!V7 + 'May 2025'!V7 + 'June 2025'!V7 + 'July 2025'!V7 + 'Aug 2025'!V7 + 'Sept 2025'!V7 + 'Oct 2025'!V7 + 'Nov 2025'!V7 + 'Dec 2025'!V7</f>
        <v>0</v>
      </c>
      <c r="E7" s="3"/>
      <c r="F7" s="48" t="s">
        <v>87</v>
      </c>
      <c r="G7" s="45">
        <f>'Jan 2025'!Y7 + 'Feb 2025'!Y7 + 'Mar 2025'!Y7 + 'Apr 2025'!Y7 + 'May 2025'!Y7 + 'June 2025'!Y7 + 'July 2025'!Y7 + 'Aug 2025'!Y7 + 'Sept 2025'!Y7 + 'Oct 2025'!Y7 + 'Nov 2025'!Y7 + 'Dec 2025'!Y7</f>
        <v>0</v>
      </c>
      <c r="H7" s="34">
        <f>'Jan 2025'!Z7 + 'Feb 2025'!Z7 + 'Mar 2025'!Z7 + 'Apr 2025'!Z7 + 'May 2025'!Z7 + 'June 2025'!Z7 + 'July 2025'!Z7 + 'Aug 2025'!Z7 + 'Sept 2025'!Z7 + 'Oct 2025'!Z7 + 'Nov 2025'!Z7 + 'Dec 2025'!Z7</f>
        <v>0</v>
      </c>
      <c r="I7" s="38">
        <f t="shared" si="0"/>
        <v>0</v>
      </c>
      <c r="K7" s="11" t="s">
        <v>44</v>
      </c>
      <c r="L7" s="7">
        <f>'Apr 2025'!$V$4</f>
        <v>0</v>
      </c>
      <c r="M7">
        <f>COUNTA('Apr 2025'!B:B) - 1</f>
        <v>0</v>
      </c>
      <c r="N7" s="26" t="str">
        <f t="shared" si="1"/>
        <v/>
      </c>
      <c r="P7" s="11" t="s">
        <v>44</v>
      </c>
      <c r="Q7" s="7" t="str">
        <f ca="1">IF(MONTH(DATEVALUE($P7&amp;" 1")) &lt;= MONTH(TODAY()), SUM(L$4:L7), "")</f>
        <v/>
      </c>
      <c r="R7" t="str">
        <f ca="1">IF(MONTH(DATEVALUE($P7&amp;" 1")) &lt;= MONTH(TODAY()), SUM(M$4:M7), "")</f>
        <v/>
      </c>
      <c r="S7" s="26" t="str">
        <f t="shared" ca="1" si="2"/>
        <v/>
      </c>
      <c r="U7" s="73" t="s">
        <v>94</v>
      </c>
      <c r="V7" s="74"/>
      <c r="W7" s="74"/>
      <c r="X7" s="74"/>
      <c r="Y7" s="74"/>
      <c r="Z7" s="75"/>
    </row>
    <row r="8" spans="2:26" x14ac:dyDescent="0.2">
      <c r="B8" s="101" t="s">
        <v>100</v>
      </c>
      <c r="C8" s="102"/>
      <c r="D8" s="8">
        <f>'Jan 2025'!V8 + 'Feb 2025'!V8 + 'Mar 2025'!V8 + 'Apr 2025'!V8 + 'May 2025'!V8 + 'June 2025'!V8 + 'July 2025'!V8 + 'Aug 2025'!V8 + 'Sept 2025'!V8 + 'Oct 2025'!V8 + 'Nov 2025'!V8 + 'Dec 2025'!V8</f>
        <v>0</v>
      </c>
      <c r="E8" s="3"/>
      <c r="F8" s="48" t="s">
        <v>85</v>
      </c>
      <c r="G8" s="45">
        <f>'Jan 2025'!Y8 + 'Feb 2025'!Y8 + 'Mar 2025'!Y8 + 'Apr 2025'!Y8 + 'May 2025'!Y8 + 'June 2025'!Y8 + 'July 2025'!Y8 + 'Aug 2025'!Y8 + 'Sept 2025'!Y8 + 'Oct 2025'!Y8 + 'Nov 2025'!Y8 + 'Dec 2025'!Y8</f>
        <v>0</v>
      </c>
      <c r="H8" s="34">
        <f>'Jan 2025'!Z8 + 'Feb 2025'!Z8 + 'Mar 2025'!Z8 + 'Apr 2025'!Z8 + 'May 2025'!Z8 + 'June 2025'!Z8 + 'July 2025'!Z8 + 'Aug 2025'!Z8 + 'Sept 2025'!Z8 + 'Oct 2025'!Z8 + 'Nov 2025'!Z8 + 'Dec 2025'!Z8</f>
        <v>0</v>
      </c>
      <c r="I8" s="38">
        <f t="shared" si="0"/>
        <v>0</v>
      </c>
      <c r="K8" s="11" t="s">
        <v>45</v>
      </c>
      <c r="L8" s="7">
        <f>'May 2025'!$V$4</f>
        <v>0</v>
      </c>
      <c r="M8">
        <f>COUNTA('May 2025'!B:B) - 1</f>
        <v>0</v>
      </c>
      <c r="N8" s="26" t="str">
        <f t="shared" si="1"/>
        <v/>
      </c>
      <c r="P8" s="11" t="s">
        <v>45</v>
      </c>
      <c r="Q8" s="7" t="str">
        <f ca="1">IF(MONTH(DATEVALUE($P8&amp;" 1")) &lt;= MONTH(TODAY()), SUM(L$4:L8), "")</f>
        <v/>
      </c>
      <c r="R8" t="str">
        <f ca="1">IF(MONTH(DATEVALUE($P8&amp;" 1")) &lt;= MONTH(TODAY()), SUM(M$4:M8), "")</f>
        <v/>
      </c>
      <c r="S8" s="26" t="str">
        <f t="shared" ca="1" si="2"/>
        <v/>
      </c>
      <c r="U8" s="73" t="s">
        <v>95</v>
      </c>
      <c r="V8" s="74"/>
      <c r="W8" s="74"/>
      <c r="X8" s="74"/>
      <c r="Y8" s="74"/>
      <c r="Z8" s="75"/>
    </row>
    <row r="9" spans="2:26" ht="17" thickBot="1" x14ac:dyDescent="0.25">
      <c r="B9" s="101" t="s">
        <v>28</v>
      </c>
      <c r="C9" s="102"/>
      <c r="D9" s="51" t="e">
        <f>1-(D8/D7)</f>
        <v>#DIV/0!</v>
      </c>
      <c r="E9" s="3"/>
      <c r="F9" s="50" t="s">
        <v>53</v>
      </c>
      <c r="G9" s="44">
        <f>'Jan 2025'!Y9 + 'Feb 2025'!Y9 + 'Mar 2025'!Y9 + 'Apr 2025'!Y9 + 'May 2025'!Y9 + 'June 2025'!Y9 + 'July 2025'!Y9 + 'Aug 2025'!Y9 + 'Sept 2025'!Y9 + 'Oct 2025'!Y9 + 'Nov 2025'!Y9 + 'Dec 2025'!Y9</f>
        <v>0</v>
      </c>
      <c r="H9" s="35">
        <f>'Jan 2025'!Z9 + 'Feb 2025'!Z9 + 'Mar 2025'!Z9 + 'Apr 2025'!Z9 + 'May 2025'!Z9 + 'June 2025'!Z9 + 'July 2025'!Z9 + 'Aug 2025'!Z9 + 'Sept 2025'!Z9 + 'Oct 2025'!Z9 + 'Nov 2025'!Z9 + 'Dec 2025'!Z9</f>
        <v>0</v>
      </c>
      <c r="I9" s="39">
        <f t="shared" si="0"/>
        <v>0</v>
      </c>
      <c r="K9" s="11" t="s">
        <v>54</v>
      </c>
      <c r="L9" s="7">
        <f>'June 2025'!$V$4</f>
        <v>0</v>
      </c>
      <c r="M9">
        <f>COUNTA('June 2025'!B:B) - 1</f>
        <v>0</v>
      </c>
      <c r="N9" s="26" t="str">
        <f t="shared" si="1"/>
        <v/>
      </c>
      <c r="P9" s="11" t="s">
        <v>54</v>
      </c>
      <c r="Q9" s="7" t="str">
        <f ca="1">IF(MONTH(DATEVALUE($P9&amp;" 1")) &lt;= MONTH(TODAY()), SUM(L$4:L9), "")</f>
        <v/>
      </c>
      <c r="R9" t="str">
        <f ca="1">IF(MONTH(DATEVALUE($P9&amp;" 1")) &lt;= MONTH(TODAY()), SUM(M$4:M9), "")</f>
        <v/>
      </c>
      <c r="S9" s="26" t="str">
        <f t="shared" ca="1" si="2"/>
        <v/>
      </c>
      <c r="U9" s="73" t="s">
        <v>96</v>
      </c>
      <c r="V9" s="74"/>
      <c r="W9" s="74"/>
      <c r="X9" s="74"/>
      <c r="Y9" s="74"/>
      <c r="Z9" s="75"/>
    </row>
    <row r="10" spans="2:26" ht="17" thickBot="1" x14ac:dyDescent="0.25">
      <c r="B10" s="96" t="s">
        <v>9</v>
      </c>
      <c r="C10" s="97"/>
      <c r="D10" s="45">
        <f>'Jan 2025'!V10 + 'Feb 2025'!V10 + 'Mar 2025'!V10 + 'Apr 2025'!V10 + 'May 2025'!V10 + 'June 2025'!V10 + 'July 2025'!V10 + 'Aug 2025'!V10 + 'Sept 2025'!V10 + 'Oct 2025'!V10 + 'Nov 2025'!V10 + 'Dec 2025'!V10</f>
        <v>0</v>
      </c>
      <c r="E10" s="3"/>
      <c r="F10" s="32"/>
      <c r="G10" s="7"/>
      <c r="K10" s="11" t="s">
        <v>55</v>
      </c>
      <c r="L10" s="7">
        <f>'July 2025'!$V$4</f>
        <v>0</v>
      </c>
      <c r="M10">
        <f>COUNTA('July 2025'!B:B) - 1</f>
        <v>0</v>
      </c>
      <c r="N10" s="26" t="str">
        <f t="shared" si="1"/>
        <v/>
      </c>
      <c r="P10" s="11" t="s">
        <v>55</v>
      </c>
      <c r="Q10" s="7" t="str">
        <f ca="1">IF(MONTH(DATEVALUE($P10&amp;" 1")) &lt;= MONTH(TODAY()), SUM(L$4:L10), "")</f>
        <v/>
      </c>
      <c r="R10" t="str">
        <f ca="1">IF(MONTH(DATEVALUE($P10&amp;" 1")) &lt;= MONTH(TODAY()), SUM(M$4:M10), "")</f>
        <v/>
      </c>
      <c r="S10" s="26" t="str">
        <f t="shared" ca="1" si="2"/>
        <v/>
      </c>
      <c r="U10" s="76" t="s">
        <v>97</v>
      </c>
      <c r="V10" s="77"/>
      <c r="W10" s="77"/>
      <c r="X10" s="77"/>
      <c r="Y10" s="77"/>
      <c r="Z10" s="78"/>
    </row>
    <row r="11" spans="2:26" ht="17" thickBot="1" x14ac:dyDescent="0.25">
      <c r="B11" s="98" t="s">
        <v>58</v>
      </c>
      <c r="C11" s="99"/>
      <c r="D11" s="100"/>
      <c r="E11" s="3"/>
      <c r="F11" s="79" t="s">
        <v>11</v>
      </c>
      <c r="G11" s="83" t="s">
        <v>9</v>
      </c>
      <c r="H11" s="81" t="s">
        <v>84</v>
      </c>
      <c r="I11" s="82" t="s">
        <v>39</v>
      </c>
      <c r="J11" s="32"/>
      <c r="K11" s="11" t="s">
        <v>46</v>
      </c>
      <c r="L11" s="7">
        <f>'Aug 2025'!$V$4</f>
        <v>0</v>
      </c>
      <c r="M11">
        <f>COUNTA('Aug 2025'!B:B) - 1</f>
        <v>0</v>
      </c>
      <c r="N11" s="26" t="str">
        <f t="shared" si="1"/>
        <v/>
      </c>
      <c r="P11" s="11" t="s">
        <v>46</v>
      </c>
      <c r="Q11" s="7" t="str">
        <f ca="1">IF(MONTH(DATEVALUE($P11&amp;" 1")) &lt;= MONTH(TODAY()), SUM(L$4:L11), "")</f>
        <v/>
      </c>
      <c r="R11" t="str">
        <f ca="1">IF(MONTH(DATEVALUE($P11&amp;" 1")) &lt;= MONTH(TODAY()), SUM(M$4:M11), "")</f>
        <v/>
      </c>
      <c r="S11" s="26" t="str">
        <f ca="1">IFERROR(Q11/R11,"")</f>
        <v/>
      </c>
      <c r="U11" s="28"/>
    </row>
    <row r="12" spans="2:26" x14ac:dyDescent="0.2">
      <c r="B12" s="109" t="s">
        <v>22</v>
      </c>
      <c r="C12" s="110"/>
      <c r="D12" s="58" t="s">
        <v>59</v>
      </c>
      <c r="E12" s="3"/>
      <c r="F12" s="47" t="s">
        <v>17</v>
      </c>
      <c r="G12" s="45">
        <f>'Jan 2025'!Y12 + 'Feb 2025'!Y12 + 'Mar 2025'!Y12 + 'Apr 2025'!Y12 + 'May 2025'!Y12 + 'June 2025'!Y12 + 'July 2025'!Y12 + 'Aug 2025'!Y12 + 'Sept 2025'!Y12 + 'Oct 2025'!Y12 + 'Nov 2025'!Y12 + 'Dec 2025'!Y12</f>
        <v>0</v>
      </c>
      <c r="H12" s="40">
        <f>'Jan 2025'!Z12 + 'Feb 2025'!Z12 + 'Mar 2025'!Z12 + 'Apr 2025'!Z12 + 'May 2025'!Z12 + 'June 2025'!Z12 + 'July 2025'!Z12 + 'Aug 2025'!Z12 + 'Sept 2025'!Z12 + 'Oct 2025'!Z12 + 'Nov 2025'!Z12 + 'Dec 2025'!Z12</f>
        <v>0</v>
      </c>
      <c r="I12" s="41">
        <f>IFERROR(H12/SUM($H$12:$H$18),0)</f>
        <v>0</v>
      </c>
      <c r="K12" s="11" t="s">
        <v>56</v>
      </c>
      <c r="L12" s="7">
        <f>'Sept 2025'!$V$4</f>
        <v>0</v>
      </c>
      <c r="M12">
        <f>COUNTA('Sept 2025'!B:B) - 1</f>
        <v>0</v>
      </c>
      <c r="N12" s="26" t="str">
        <f t="shared" si="1"/>
        <v/>
      </c>
      <c r="P12" s="11" t="s">
        <v>56</v>
      </c>
      <c r="Q12" s="7" t="str">
        <f ca="1">IF(MONTH(DATEVALUE($P12&amp;" 1")) &lt;= MONTH(TODAY()), SUM(L$4:L12), "")</f>
        <v/>
      </c>
      <c r="R12" t="str">
        <f ca="1">IF(MONTH(DATEVALUE($P12&amp;" 1")) &lt;= MONTH(TODAY()), SUM(M$4:M12), "")</f>
        <v/>
      </c>
      <c r="S12" s="26" t="str">
        <f t="shared" ca="1" si="2"/>
        <v/>
      </c>
      <c r="U12" s="28"/>
    </row>
    <row r="13" spans="2:26" x14ac:dyDescent="0.2">
      <c r="B13" s="101" t="s">
        <v>99</v>
      </c>
      <c r="C13" s="102"/>
      <c r="D13" s="8">
        <f>'Jan 2025'!V13 + 'Feb 2025'!V13 + 'Mar 2025'!V13 + 'Apr 2025'!V13 + 'May 2025'!V13 + 'June 2025'!V13 + 'July 2025'!V13 + 'Aug 2025'!V13 + 'Sept 2025'!V13 + 'Oct 2025'!V13 + 'Nov 2025'!V13 + 'Dec 2025'!V13</f>
        <v>0</v>
      </c>
      <c r="E13" s="3"/>
      <c r="F13" s="48" t="s">
        <v>19</v>
      </c>
      <c r="G13" s="43">
        <f>'Jan 2025'!Y13 + 'Feb 2025'!Y13 + 'Mar 2025'!Y13 + 'Apr 2025'!Y13 + 'May 2025'!Y13 + 'June 2025'!Y13 + 'July 2025'!Y13 + 'Aug 2025'!Y13 + 'Sept 2025'!Y13 + 'Oct 2025'!Y13 + 'Nov 2025'!Y13 + 'Dec 2025'!Y13</f>
        <v>0</v>
      </c>
      <c r="H13" s="34">
        <f>'Jan 2025'!Z13 + 'Feb 2025'!Z13 + 'Mar 2025'!Z13 + 'Apr 2025'!Z13 + 'May 2025'!Z13 + 'June 2025'!Z13 + 'July 2025'!Z13 + 'Aug 2025'!Z13 + 'Sept 2025'!Z13 + 'Oct 2025'!Z13 + 'Nov 2025'!Z13 + 'Dec 2025'!Z13</f>
        <v>0</v>
      </c>
      <c r="I13" s="41">
        <f t="shared" ref="I13:I18" si="3">IFERROR(H13/SUM($H$12:$H$18),0)</f>
        <v>0</v>
      </c>
      <c r="K13" s="11" t="s">
        <v>47</v>
      </c>
      <c r="L13" s="7">
        <f>'Oct 2025'!$V$4</f>
        <v>0</v>
      </c>
      <c r="M13">
        <f>COUNTA('Oct 2025'!B:B) - 1</f>
        <v>0</v>
      </c>
      <c r="N13" s="26" t="str">
        <f t="shared" si="1"/>
        <v/>
      </c>
      <c r="P13" s="11" t="s">
        <v>47</v>
      </c>
      <c r="Q13" s="7" t="str">
        <f ca="1">IF(MONTH(DATEVALUE($P13&amp;" 1")) &lt;= MONTH(TODAY()), SUM(L$4:L13), "")</f>
        <v/>
      </c>
      <c r="R13" t="str">
        <f ca="1">IF(MONTH(DATEVALUE($P13&amp;" 1")) &lt;= MONTH(TODAY()), SUM(M$4:M13), "")</f>
        <v/>
      </c>
      <c r="S13" s="26" t="str">
        <f t="shared" ca="1" si="2"/>
        <v/>
      </c>
      <c r="U13" s="28"/>
    </row>
    <row r="14" spans="2:26" x14ac:dyDescent="0.2">
      <c r="B14" s="101" t="s">
        <v>100</v>
      </c>
      <c r="C14" s="102"/>
      <c r="D14" s="8">
        <f>'Jan 2025'!V14 + 'Feb 2025'!V14 + 'Mar 2025'!V14 + 'Apr 2025'!V14 + 'May 2025'!V14 + 'June 2025'!V14 + 'July 2025'!V14 + 'Aug 2025'!V14 + 'Sept 2025'!V14 + 'Oct 2025'!V14 + 'Nov 2025'!V14 + 'Dec 2025'!V14</f>
        <v>0</v>
      </c>
      <c r="E14" s="3"/>
      <c r="F14" s="48" t="s">
        <v>25</v>
      </c>
      <c r="G14" s="43">
        <f>'Jan 2025'!Y14 + 'Feb 2025'!Y14 + 'Mar 2025'!Y14 + 'Apr 2025'!Y14 + 'May 2025'!Y14 + 'June 2025'!Y14 + 'July 2025'!Y14 + 'Aug 2025'!Y14 + 'Sept 2025'!Y14 + 'Oct 2025'!Y14 + 'Nov 2025'!Y14 + 'Dec 2025'!Y14</f>
        <v>0</v>
      </c>
      <c r="H14" s="34">
        <f>'Jan 2025'!Z14 + 'Feb 2025'!Z14 + 'Mar 2025'!Z14 + 'Apr 2025'!Z14 + 'May 2025'!Z14 + 'June 2025'!Z14 + 'July 2025'!Z14 + 'Aug 2025'!Z14 + 'Sept 2025'!Z14 + 'Oct 2025'!Z14 + 'Nov 2025'!Z14 + 'Dec 2025'!Z14</f>
        <v>0</v>
      </c>
      <c r="I14" s="41">
        <f t="shared" si="3"/>
        <v>0</v>
      </c>
      <c r="K14" s="11" t="s">
        <v>48</v>
      </c>
      <c r="L14" s="7">
        <f>'Nov 2025'!$V$4</f>
        <v>0</v>
      </c>
      <c r="M14">
        <f>COUNTA('Nov 2025'!B:B) - 1</f>
        <v>0</v>
      </c>
      <c r="N14" s="26" t="str">
        <f t="shared" si="1"/>
        <v/>
      </c>
      <c r="P14" s="11" t="s">
        <v>48</v>
      </c>
      <c r="Q14" s="7" t="str">
        <f ca="1">IF(MONTH(DATEVALUE($P14&amp;" 1")) &lt;= MONTH(TODAY()), SUM(L$4:L14), "")</f>
        <v/>
      </c>
      <c r="R14" t="str">
        <f ca="1">IF(MONTH(DATEVALUE($P14&amp;" 1")) &lt;= MONTH(TODAY()), SUM(M$4:M14), "")</f>
        <v/>
      </c>
      <c r="S14" s="26" t="str">
        <f t="shared" ca="1" si="2"/>
        <v/>
      </c>
    </row>
    <row r="15" spans="2:26" ht="17" thickBot="1" x14ac:dyDescent="0.25">
      <c r="B15" s="101" t="s">
        <v>28</v>
      </c>
      <c r="C15" s="102"/>
      <c r="D15" s="51" t="e">
        <f>1-(D14/D13)</f>
        <v>#DIV/0!</v>
      </c>
      <c r="E15" s="3"/>
      <c r="F15" s="47" t="s">
        <v>26</v>
      </c>
      <c r="G15" s="43">
        <f>'Jan 2025'!Y15 + 'Feb 2025'!Y15 + 'Mar 2025'!Y15 + 'Apr 2025'!Y15 + 'May 2025'!Y15 + 'June 2025'!Y15 + 'July 2025'!Y15 + 'Aug 2025'!Y15 + 'Sept 2025'!Y15 + 'Oct 2025'!Y15 + 'Nov 2025'!Y15 + 'Dec 2025'!Y15</f>
        <v>0</v>
      </c>
      <c r="H15" s="34">
        <f>'Jan 2025'!Z15 + 'Feb 2025'!Z15 + 'Mar 2025'!Z15 + 'Apr 2025'!Z15 + 'May 2025'!Z15 + 'June 2025'!Z15 + 'July 2025'!Z15 + 'Aug 2025'!Z15 + 'Sept 2025'!Z15 + 'Oct 2025'!Z15 + 'Nov 2025'!Z15 + 'Dec 2025'!Z15</f>
        <v>0</v>
      </c>
      <c r="I15" s="41">
        <f t="shared" si="3"/>
        <v>0</v>
      </c>
      <c r="K15" s="6" t="s">
        <v>49</v>
      </c>
      <c r="L15" s="12">
        <f>'Dec 2025'!$V$4</f>
        <v>0</v>
      </c>
      <c r="M15" s="16">
        <f>COUNTA('Dec 2025'!B:B) - 1</f>
        <v>0</v>
      </c>
      <c r="N15" s="27" t="str">
        <f t="shared" si="1"/>
        <v/>
      </c>
      <c r="P15" s="6" t="s">
        <v>49</v>
      </c>
      <c r="Q15" s="12" t="str">
        <f ca="1">IF(MONTH(DATEVALUE($P15&amp;" 1")) &lt;= MONTH(TODAY()), SUM(L$4:L15), "")</f>
        <v/>
      </c>
      <c r="R15" s="16" t="str">
        <f ca="1">IF(MONTH(DATEVALUE($P15&amp;" 1")) &lt;= MONTH(TODAY()), SUM(M$4:M15), "")</f>
        <v/>
      </c>
      <c r="S15" s="27" t="str">
        <f t="shared" ca="1" si="2"/>
        <v/>
      </c>
    </row>
    <row r="16" spans="2:26" ht="17" thickBot="1" x14ac:dyDescent="0.25">
      <c r="B16" s="96" t="s">
        <v>9</v>
      </c>
      <c r="C16" s="97"/>
      <c r="D16" s="45">
        <f>'Jan 2025'!V16 + 'Feb 2025'!V16 + 'Mar 2025'!V16 + 'Apr 2025'!V16 + 'May 2025'!V16 + 'June 2025'!V16 + 'July 2025'!V16 + 'Aug 2025'!V16 + 'Sept 2025'!V16 + 'Oct 2025'!V16 + 'Nov 2025'!V16 + 'Dec 2025'!V16</f>
        <v>0</v>
      </c>
      <c r="E16" s="3"/>
      <c r="F16" s="48" t="s">
        <v>29</v>
      </c>
      <c r="G16" s="43">
        <f>'Jan 2025'!Y16 + 'Feb 2025'!Y16 + 'Mar 2025'!Y16 + 'Apr 2025'!Y16 + 'May 2025'!Y16 + 'June 2025'!Y16 + 'July 2025'!Y16 + 'Aug 2025'!Y16 + 'Sept 2025'!Y16 + 'Oct 2025'!Y16 + 'Nov 2025'!Y16 + 'Dec 2025'!Y16</f>
        <v>0</v>
      </c>
      <c r="H16" s="34">
        <f>'Jan 2025'!Z16 + 'Feb 2025'!Z16 + 'Mar 2025'!Z16 + 'Apr 2025'!Z16 + 'May 2025'!Z16 + 'June 2025'!Z16 + 'July 2025'!Z16 + 'Aug 2025'!Z16 + 'Sept 2025'!Z16 + 'Oct 2025'!Z16 + 'Nov 2025'!Z16 + 'Dec 2025'!Z16</f>
        <v>0</v>
      </c>
      <c r="I16" s="41">
        <f>IFERROR(H16/SUM($H$12:$H$18),0)</f>
        <v>0</v>
      </c>
    </row>
    <row r="17" spans="2:10" ht="17" thickBot="1" x14ac:dyDescent="0.25">
      <c r="B17" s="98" t="s">
        <v>58</v>
      </c>
      <c r="C17" s="99"/>
      <c r="D17" s="100"/>
      <c r="E17" s="3"/>
      <c r="F17" s="48" t="s">
        <v>30</v>
      </c>
      <c r="G17" s="43">
        <f>'Jan 2025'!Y17 + 'Feb 2025'!Y17 + 'Mar 2025'!Y17 + 'Apr 2025'!Y17 + 'May 2025'!Y17 + 'June 2025'!Y17 + 'July 2025'!Y17 + 'Aug 2025'!Y17 + 'Sept 2025'!Y17 + 'Oct 2025'!Y17 + 'Nov 2025'!Y17 + 'Dec 2025'!Y17</f>
        <v>0</v>
      </c>
      <c r="H17" s="34">
        <f>'Jan 2025'!Z17 + 'Feb 2025'!Z17 + 'Mar 2025'!Z17 + 'Apr 2025'!Z17 + 'May 2025'!Z17 + 'June 2025'!Z17 + 'July 2025'!Z17 + 'Aug 2025'!Z17 + 'Sept 2025'!Z17 + 'Oct 2025'!Z17 + 'Nov 2025'!Z17 + 'Dec 2025'!Z17</f>
        <v>0</v>
      </c>
      <c r="I17" s="41">
        <f t="shared" si="3"/>
        <v>0</v>
      </c>
    </row>
    <row r="18" spans="2:10" ht="17" thickBot="1" x14ac:dyDescent="0.25">
      <c r="C18" s="3"/>
      <c r="D18" s="3"/>
      <c r="E18" s="3"/>
      <c r="F18" s="50" t="s">
        <v>82</v>
      </c>
      <c r="G18" s="44">
        <f>'Jan 2025'!Y18 + 'Feb 2025'!Y18 + 'Mar 2025'!Y18 + 'Apr 2025'!Y18 + 'May 2025'!Y18 + 'June 2025'!Y18 + 'July 2025'!Y18 + 'Aug 2025'!Y18 + 'Sept 2025'!Y18 + 'Oct 2025'!Y18 + 'Nov 2025'!Y18 + 'Dec 2025'!Y18</f>
        <v>0</v>
      </c>
      <c r="H18" s="35">
        <f>'Jan 2025'!Z18 + 'Feb 2025'!Z18 + 'Mar 2025'!Z18 + 'Apr 2025'!Z18 + 'May 2025'!Z18 + 'June 2025'!Z18 + 'July 2025'!Z18 + 'Aug 2025'!Z18 + 'Sept 2025'!Z18 + 'Oct 2025'!Z18 + 'Nov 2025'!Z18 + 'Dec 2025'!Z18</f>
        <v>0</v>
      </c>
      <c r="I18" s="52">
        <f t="shared" si="3"/>
        <v>0</v>
      </c>
    </row>
    <row r="19" spans="2:10" ht="17" thickBot="1" x14ac:dyDescent="0.25">
      <c r="B19" s="103" t="s">
        <v>62</v>
      </c>
      <c r="C19" s="104"/>
      <c r="D19" s="13">
        <f>COUNTA('Jan 2025'!B:B) + COUNTA('Feb 2025'!B:B) + COUNTA('Mar 2025'!B:B) + COUNTA('Apr 2025'!B:B) +
COUNTA('May 2025'!B:B) + COUNTA('June 2025'!B:B) + COUNTA('July 2025'!B:B) + COUNTA('Aug 2025'!B:B) +
COUNTA('Sept 2025'!B:B) + COUNTA('Oct 2025'!B:B) + COUNTA('Nov 2025'!B:B) + COUNTA('Dec 2025'!B:B) - 12</f>
        <v>0</v>
      </c>
      <c r="E19" s="3"/>
      <c r="F19" s="32"/>
      <c r="G19" s="7"/>
    </row>
    <row r="20" spans="2:10" ht="17" thickBot="1" x14ac:dyDescent="0.25">
      <c r="B20" s="105" t="s">
        <v>64</v>
      </c>
      <c r="C20" s="106"/>
      <c r="D20" s="15">
        <f>SUM('Jan 2025'!U18, 'Feb 2025'!U18, 'Mar 2025'!U18, 'Apr 2025'!U18,
     'May 2025'!U18, 'June 2025'!U18, 'July 2025'!U18, 'Aug 2025'!U18,
     'Sept 2025'!U18, 'Oct 2025'!U18, 'Nov 2025'!U18, 'Dec 2025'!V20)</f>
        <v>0</v>
      </c>
      <c r="E20" s="3"/>
      <c r="F20" s="79" t="s">
        <v>50</v>
      </c>
      <c r="G20" s="83" t="s">
        <v>9</v>
      </c>
      <c r="H20" s="81" t="s">
        <v>84</v>
      </c>
      <c r="I20" s="82" t="s">
        <v>39</v>
      </c>
      <c r="J20" s="32"/>
    </row>
    <row r="21" spans="2:10" x14ac:dyDescent="0.2">
      <c r="B21" s="105" t="s">
        <v>65</v>
      </c>
      <c r="C21" s="106"/>
      <c r="D21" s="15">
        <f>SUM('Jan 2025'!U19, 'Feb 2025'!U19, 'Mar 2025'!U19, 'Apr 2025'!U19,
     'May 2025'!U19, 'June 2025'!U19, 'July 2025'!U19, 'Aug 2025'!U19,
     'Sept 2025'!U19, 'Oct 2025'!U19, 'Nov 2025'!U19, 'Dec 2025'!V21)</f>
        <v>0</v>
      </c>
      <c r="E21" s="3"/>
      <c r="F21" s="47" t="s">
        <v>20</v>
      </c>
      <c r="G21" s="45">
        <f>'Jan 2025'!Y21 + 'Feb 2025'!Y21 + 'Mar 2025'!Y21 + 'Apr 2025'!Y21 + 'May 2025'!Y21 + 'June 2025'!Y21 + 'July 2025'!Y21 + 'Aug 2025'!Y21 + 'Sept 2025'!Y21 + 'Oct 2025'!Y21 + 'Nov 2025'!Y21 + 'Dec 2025'!Y21</f>
        <v>0</v>
      </c>
      <c r="H21" s="40">
        <f>'Jan 2025'!Z21 + 'Feb 2025'!Z21 + 'Mar 2025'!Z21 + 'Apr 2025'!Z21 + 'May 2025'!Z21 + 'June 2025'!Z21 + 'July 2025'!Z21 + 'Aug 2025'!Z21 + 'Sept 2025'!Z21 + 'Oct 2025'!Z21 + 'Nov 2025'!Z21 + 'Dec 2025'!Z21</f>
        <v>0</v>
      </c>
      <c r="I21" s="41">
        <f>IFERROR(H21/SUM($H$21:$H$23),0)</f>
        <v>0</v>
      </c>
    </row>
    <row r="22" spans="2:10" ht="17" thickBot="1" x14ac:dyDescent="0.25">
      <c r="B22" s="107" t="s">
        <v>81</v>
      </c>
      <c r="C22" s="108"/>
      <c r="D22" s="14">
        <f>SUM('Jan 2025'!U20, 'Feb 2025'!U20, 'Mar 2025'!U20, 'Apr 2025'!U20,
     'May 2025'!U20, 'June 2025'!U20, 'July 2025'!U20, 'Aug 2025'!U20,
     'Sept 2025'!U20, 'Oct 2025'!U20, 'Nov 2025'!U20, 'Dec 2025'!V22)</f>
        <v>0</v>
      </c>
      <c r="E22" s="3"/>
      <c r="F22" s="48" t="s">
        <v>18</v>
      </c>
      <c r="G22" s="45">
        <f>'Jan 2025'!Y22 + 'Feb 2025'!Y22 + 'Mar 2025'!Y22 + 'Apr 2025'!Y22 + 'May 2025'!Y22 + 'June 2025'!Y22 + 'July 2025'!Y22 + 'Aug 2025'!Y22 + 'Sept 2025'!Y22 + 'Oct 2025'!Y22 + 'Nov 2025'!Y22 + 'Dec 2025'!Y22</f>
        <v>0</v>
      </c>
      <c r="H22" s="34">
        <f>'Jan 2025'!Z22 + 'Feb 2025'!Z22 + 'Mar 2025'!Z22 + 'Apr 2025'!Z22 + 'May 2025'!Z22 + 'June 2025'!Z22 + 'July 2025'!Z22 + 'Aug 2025'!Z22 + 'Sept 2025'!Z22 + 'Oct 2025'!Z22 + 'Nov 2025'!Z22 + 'Dec 2025'!Z22</f>
        <v>0</v>
      </c>
      <c r="I22" s="41">
        <f t="shared" ref="I22:I23" si="4">IFERROR(H22/SUM($H$21:$H$23),0)</f>
        <v>0</v>
      </c>
    </row>
    <row r="23" spans="2:10" ht="17" thickBot="1" x14ac:dyDescent="0.25">
      <c r="B23" s="3"/>
      <c r="C23" s="3"/>
      <c r="D23" s="3"/>
      <c r="E23" s="3"/>
      <c r="F23" s="50" t="s">
        <v>31</v>
      </c>
      <c r="G23" s="44">
        <f>'Jan 2025'!Y23 + 'Feb 2025'!Y23 + 'Mar 2025'!Y23 + 'Apr 2025'!Y23 + 'May 2025'!Y23 + 'June 2025'!Y23 + 'July 2025'!Y23 + 'Aug 2025'!Y23 + 'Sept 2025'!Y23 + 'Oct 2025'!Y23 + 'Nov 2025'!Y23 + 'Dec 2025'!Y23</f>
        <v>0</v>
      </c>
      <c r="H23" s="35">
        <f>'Jan 2025'!Z23 + 'Feb 2025'!Z23 + 'Mar 2025'!Z23 + 'Apr 2025'!Z23 + 'May 2025'!Z23 + 'June 2025'!Z23 + 'July 2025'!Z23 + 'Aug 2025'!Z23 + 'Sept 2025'!Z23 + 'Oct 2025'!Z23 + 'Nov 2025'!Z23 + 'Dec 2025'!Z23</f>
        <v>0</v>
      </c>
      <c r="I23" s="52">
        <f t="shared" si="4"/>
        <v>0</v>
      </c>
    </row>
    <row r="24" spans="2:10" ht="17" thickBot="1" x14ac:dyDescent="0.25">
      <c r="B24" s="3"/>
      <c r="C24" s="3"/>
      <c r="D24" s="3"/>
      <c r="E24" s="3"/>
      <c r="F24" s="32"/>
      <c r="G24" s="60"/>
    </row>
    <row r="25" spans="2:10" ht="17" thickBot="1" x14ac:dyDescent="0.25">
      <c r="B25" s="3"/>
      <c r="C25" s="3"/>
      <c r="D25" s="3"/>
      <c r="E25" s="3"/>
      <c r="F25" s="79" t="s">
        <v>12</v>
      </c>
      <c r="G25" s="83" t="s">
        <v>9</v>
      </c>
      <c r="H25" s="81" t="s">
        <v>84</v>
      </c>
      <c r="I25" s="82" t="s">
        <v>39</v>
      </c>
      <c r="J25" s="32"/>
    </row>
    <row r="26" spans="2:10" x14ac:dyDescent="0.2">
      <c r="B26" s="3"/>
      <c r="C26" s="3"/>
      <c r="D26" s="3"/>
      <c r="E26" s="3"/>
      <c r="F26" s="47" t="s">
        <v>32</v>
      </c>
      <c r="G26" s="45">
        <f>'Jan 2025'!Y26 + 'Feb 2025'!Y26 + 'Mar 2025'!Y26 + 'Apr 2025'!Y26 + 'May 2025'!Y26 + 'June 2025'!Y26 + 'July 2025'!Y26 + 'Aug 2025'!Y26 + 'Sept 2025'!Y26 + 'Oct 2025'!Y26 + 'Nov 2025'!Y26 + 'Dec 2025'!Y26</f>
        <v>0</v>
      </c>
      <c r="H26" s="40">
        <f>'Jan 2025'!Z26 + 'Feb 2025'!Z26 + 'Mar 2025'!Z26 + 'Apr 2025'!Z26 + 'May 2025'!Z26 + 'June 2025'!Z26 + 'July 2025'!Z26 + 'Aug 2025'!Z26 + 'Sept 2025'!Z26 + 'Oct 2025'!Z26 + 'Nov 2025'!Z26 + 'Dec 2025'!Z26</f>
        <v>0</v>
      </c>
      <c r="I26" s="41">
        <f>IFERROR(H26/SUM($H$26:$H$31),0)</f>
        <v>0</v>
      </c>
    </row>
    <row r="27" spans="2:10" x14ac:dyDescent="0.2">
      <c r="B27" s="3"/>
      <c r="C27" s="3"/>
      <c r="D27" s="3"/>
      <c r="E27" s="3"/>
      <c r="F27" s="48" t="s">
        <v>33</v>
      </c>
      <c r="G27" s="45">
        <f>'Jan 2025'!Y27 + 'Feb 2025'!Y27 + 'Mar 2025'!Y27 + 'Apr 2025'!Y27 + 'May 2025'!Y27 + 'June 2025'!Y27 + 'July 2025'!Y27 + 'Aug 2025'!Y27 + 'Sept 2025'!Y27 + 'Oct 2025'!Y27 + 'Nov 2025'!Y27 + 'Dec 2025'!Y27</f>
        <v>0</v>
      </c>
      <c r="H27" s="34">
        <f>'Jan 2025'!Z27 + 'Feb 2025'!Z27 + 'Mar 2025'!Z27 + 'Apr 2025'!Z27 + 'May 2025'!Z27 + 'June 2025'!Z27 + 'July 2025'!Z27 + 'Aug 2025'!Z27 + 'Sept 2025'!Z27 + 'Oct 2025'!Z27 + 'Nov 2025'!Z27 + 'Dec 2025'!Z27</f>
        <v>0</v>
      </c>
      <c r="I27" s="38">
        <f t="shared" ref="I27:I31" si="5">IFERROR(H27/SUM($H$26:$H$31),0)</f>
        <v>0</v>
      </c>
    </row>
    <row r="28" spans="2:10" x14ac:dyDescent="0.2">
      <c r="B28" s="3"/>
      <c r="C28" s="3"/>
      <c r="D28" s="3"/>
      <c r="E28" s="3"/>
      <c r="F28" s="48" t="s">
        <v>34</v>
      </c>
      <c r="G28" s="45">
        <f>'Jan 2025'!Y28 + 'Feb 2025'!Y28 + 'Mar 2025'!Y28 + 'Apr 2025'!Y28 + 'May 2025'!Y28 + 'June 2025'!Y28 + 'July 2025'!Y28 + 'Aug 2025'!Y28 + 'Sept 2025'!Y28 + 'Oct 2025'!Y28 + 'Nov 2025'!Y28 + 'Dec 2025'!Y28</f>
        <v>0</v>
      </c>
      <c r="H28" s="34">
        <f>'Jan 2025'!Z28 + 'Feb 2025'!Z28 + 'Mar 2025'!Z28 + 'Apr 2025'!Z28 + 'May 2025'!Z28 + 'June 2025'!Z28 + 'July 2025'!Z28 + 'Aug 2025'!Z28 + 'Sept 2025'!Z28 + 'Oct 2025'!Z28 + 'Nov 2025'!Z28 + 'Dec 2025'!Z28</f>
        <v>0</v>
      </c>
      <c r="I28" s="38">
        <f t="shared" si="5"/>
        <v>0</v>
      </c>
    </row>
    <row r="29" spans="2:10" x14ac:dyDescent="0.2">
      <c r="B29" s="3"/>
      <c r="C29" s="3"/>
      <c r="D29" s="3"/>
      <c r="E29" s="3"/>
      <c r="F29" s="47" t="s">
        <v>35</v>
      </c>
      <c r="G29" s="45">
        <f>'Jan 2025'!Y29 + 'Feb 2025'!Y29 + 'Mar 2025'!Y29 + 'Apr 2025'!Y29 + 'May 2025'!Y29 + 'June 2025'!Y29 + 'July 2025'!Y29 + 'Aug 2025'!Y29 + 'Sept 2025'!Y29 + 'Oct 2025'!Y29 + 'Nov 2025'!Y29 + 'Dec 2025'!Y29</f>
        <v>0</v>
      </c>
      <c r="H29" s="40">
        <f>'Jan 2025'!Z29 + 'Feb 2025'!Z29 + 'Mar 2025'!Z29 + 'Apr 2025'!Z29 + 'May 2025'!Z29 + 'June 2025'!Z29 + 'July 2025'!Z29 + 'Aug 2025'!Z29 + 'Sept 2025'!Z29 + 'Oct 2025'!Z29 + 'Nov 2025'!Z29 + 'Dec 2025'!Z29</f>
        <v>0</v>
      </c>
      <c r="I29" s="41">
        <f t="shared" si="5"/>
        <v>0</v>
      </c>
    </row>
    <row r="30" spans="2:10" x14ac:dyDescent="0.2">
      <c r="B30" s="3"/>
      <c r="C30" s="3"/>
      <c r="D30" s="3"/>
      <c r="E30" s="3"/>
      <c r="F30" s="48" t="s">
        <v>36</v>
      </c>
      <c r="G30" s="45">
        <f>'Jan 2025'!Y30 + 'Feb 2025'!Y30 + 'Mar 2025'!Y30 + 'Apr 2025'!Y30 + 'May 2025'!Y30 + 'June 2025'!Y30 + 'July 2025'!Y30 + 'Aug 2025'!Y30 + 'Sept 2025'!Y30 + 'Oct 2025'!Y30 + 'Nov 2025'!Y30 + 'Dec 2025'!Y30</f>
        <v>0</v>
      </c>
      <c r="H30" s="34">
        <f>'Jan 2025'!Z30 + 'Feb 2025'!Z30 + 'Mar 2025'!Z30 + 'Apr 2025'!Z30 + 'May 2025'!Z30 + 'June 2025'!Z30 + 'July 2025'!Z30 + 'Aug 2025'!Z30 + 'Sept 2025'!Z30 + 'Oct 2025'!Z30 + 'Nov 2025'!Z30 + 'Dec 2025'!Z30</f>
        <v>0</v>
      </c>
      <c r="I30" s="38">
        <f t="shared" si="5"/>
        <v>0</v>
      </c>
    </row>
    <row r="31" spans="2:10" ht="17" thickBot="1" x14ac:dyDescent="0.25">
      <c r="B31" s="3"/>
      <c r="C31" s="3"/>
      <c r="D31" s="3"/>
      <c r="E31" s="3"/>
      <c r="F31" s="49" t="s">
        <v>37</v>
      </c>
      <c r="G31" s="44">
        <f>'Jan 2025'!Y31 + 'Feb 2025'!Y31 + 'Mar 2025'!Y31 + 'Apr 2025'!Y31 + 'May 2025'!Y31 + 'June 2025'!Y31 + 'July 2025'!Y31 + 'Aug 2025'!Y31 + 'Sept 2025'!Y31 + 'Oct 2025'!Y31 + 'Nov 2025'!Y31 + 'Dec 2025'!Y31</f>
        <v>0</v>
      </c>
      <c r="H31" s="35">
        <f>'Jan 2025'!Z31 + 'Feb 2025'!Z31 + 'Mar 2025'!Z31 + 'Apr 2025'!Z31 + 'May 2025'!Z31 + 'June 2025'!Z31 + 'July 2025'!Z31 + 'Aug 2025'!Z31 + 'Sept 2025'!Z31 + 'Oct 2025'!Z31 + 'Nov 2025'!Z31 + 'Dec 2025'!Z31</f>
        <v>0</v>
      </c>
      <c r="I31" s="39">
        <f t="shared" si="5"/>
        <v>0</v>
      </c>
    </row>
    <row r="32" spans="2:10" ht="17" thickBot="1" x14ac:dyDescent="0.25">
      <c r="B32" s="3"/>
      <c r="C32" s="3"/>
      <c r="D32" s="3"/>
      <c r="E32" s="3"/>
      <c r="F32" s="32"/>
      <c r="G32" s="60"/>
    </row>
    <row r="33" spans="2:10" ht="17" thickBot="1" x14ac:dyDescent="0.25">
      <c r="B33" s="3"/>
      <c r="C33" s="3"/>
      <c r="D33" s="3"/>
      <c r="E33" s="3"/>
      <c r="F33" s="79" t="s">
        <v>3</v>
      </c>
      <c r="G33" s="83" t="s">
        <v>9</v>
      </c>
      <c r="H33" s="81" t="s">
        <v>84</v>
      </c>
      <c r="I33" s="82" t="s">
        <v>39</v>
      </c>
      <c r="J33" s="32"/>
    </row>
    <row r="34" spans="2:10" x14ac:dyDescent="0.2">
      <c r="B34" s="3"/>
      <c r="C34" s="3"/>
      <c r="D34" s="3"/>
      <c r="E34" s="3"/>
      <c r="F34" s="47">
        <v>1</v>
      </c>
      <c r="G34" s="45">
        <f>'Jan 2025'!Y34 + 'Feb 2025'!Y34 + 'Mar 2025'!Y34 + 'Apr 2025'!Y34 + 'May 2025'!Y34 + 'June 2025'!Y34 + 'July 2025'!Y34 + 'Aug 2025'!Y34 + 'Sept 2025'!Y34 + 'Oct 2025'!Y34 + 'Nov 2025'!Y34 + 'Dec 2025'!Y34</f>
        <v>0</v>
      </c>
      <c r="H34" s="40">
        <f>'Jan 2025'!Z34 + 'Feb 2025'!Z34 + 'Mar 2025'!Z34 + 'Apr 2025'!Z34 + 'May 2025'!Z34 + 'June 2025'!Z34 + 'July 2025'!Z34 + 'Aug 2025'!Z34 + 'Sept 2025'!Z34 + 'Oct 2025'!Z34 + 'Nov 2025'!Z34 + 'Dec 2025'!Z34</f>
        <v>0</v>
      </c>
      <c r="I34" s="41">
        <f>IFERROR(H34/SUM($H$34:$H$38),0)</f>
        <v>0</v>
      </c>
      <c r="J34" s="33"/>
    </row>
    <row r="35" spans="2:10" x14ac:dyDescent="0.2">
      <c r="B35" s="3"/>
      <c r="C35" s="3"/>
      <c r="D35" s="3"/>
      <c r="E35" s="3"/>
      <c r="F35" s="48">
        <v>2</v>
      </c>
      <c r="G35" s="45">
        <f>'Jan 2025'!Y35 + 'Feb 2025'!Y35 + 'Mar 2025'!Y35 + 'Apr 2025'!Y35 + 'May 2025'!Y35 + 'June 2025'!Y35 + 'July 2025'!Y35 + 'Aug 2025'!Y35 + 'Sept 2025'!Y35 + 'Oct 2025'!Y35 + 'Nov 2025'!Y35 + 'Dec 2025'!Y35</f>
        <v>0</v>
      </c>
      <c r="H35" s="34">
        <f>'Jan 2025'!Z35 + 'Feb 2025'!Z35 + 'Mar 2025'!Z35 + 'Apr 2025'!Z35 + 'May 2025'!Z35 + 'June 2025'!Z35 + 'July 2025'!Z35 + 'Aug 2025'!Z35 + 'Sept 2025'!Z35 + 'Oct 2025'!Z35 + 'Nov 2025'!Z35 + 'Dec 2025'!Z35</f>
        <v>0</v>
      </c>
      <c r="I35" s="41">
        <f t="shared" ref="I35:I38" si="6">IFERROR(H35/SUM($H$34:$H$38),0)</f>
        <v>0</v>
      </c>
      <c r="J35" s="33"/>
    </row>
    <row r="36" spans="2:10" x14ac:dyDescent="0.2">
      <c r="B36" s="3"/>
      <c r="C36" s="3"/>
      <c r="D36" s="3"/>
      <c r="E36" s="3"/>
      <c r="F36" s="48">
        <v>3</v>
      </c>
      <c r="G36" s="45">
        <f>'Jan 2025'!Y36 + 'Feb 2025'!Y36 + 'Mar 2025'!Y36 + 'Apr 2025'!Y36 + 'May 2025'!Y36 + 'June 2025'!Y36 + 'July 2025'!Y36 + 'Aug 2025'!Y36 + 'Sept 2025'!Y36 + 'Oct 2025'!Y36 + 'Nov 2025'!Y36 + 'Dec 2025'!Y36</f>
        <v>0</v>
      </c>
      <c r="H36" s="34">
        <f>'Jan 2025'!Z36 + 'Feb 2025'!Z36 + 'Mar 2025'!Z36 + 'Apr 2025'!Z36 + 'May 2025'!Z36 + 'June 2025'!Z36 + 'July 2025'!Z36 + 'Aug 2025'!Z36 + 'Sept 2025'!Z36 + 'Oct 2025'!Z36 + 'Nov 2025'!Z36 + 'Dec 2025'!Z36</f>
        <v>0</v>
      </c>
      <c r="I36" s="41">
        <f t="shared" si="6"/>
        <v>0</v>
      </c>
      <c r="J36" s="33"/>
    </row>
    <row r="37" spans="2:10" x14ac:dyDescent="0.2">
      <c r="B37" s="3"/>
      <c r="C37" s="3"/>
      <c r="D37" s="3"/>
      <c r="E37" s="3"/>
      <c r="F37" s="47">
        <v>4</v>
      </c>
      <c r="G37" s="45">
        <f>'Jan 2025'!Y37 + 'Feb 2025'!Y37 + 'Mar 2025'!Y37 + 'Apr 2025'!Y37 + 'May 2025'!Y37 + 'June 2025'!Y37 + 'July 2025'!Y37 + 'Aug 2025'!Y37 + 'Sept 2025'!Y37 + 'Oct 2025'!Y37 + 'Nov 2025'!Y37 + 'Dec 2025'!Y37</f>
        <v>0</v>
      </c>
      <c r="H37" s="34">
        <f>'Jan 2025'!Z37 + 'Feb 2025'!Z37 + 'Mar 2025'!Z37 + 'Apr 2025'!Z37 + 'May 2025'!Z37 + 'June 2025'!Z37 + 'July 2025'!Z37 + 'Aug 2025'!Z37 + 'Sept 2025'!Z37 + 'Oct 2025'!Z37 + 'Nov 2025'!Z37 + 'Dec 2025'!Z37</f>
        <v>0</v>
      </c>
      <c r="I37" s="41">
        <f t="shared" si="6"/>
        <v>0</v>
      </c>
      <c r="J37" s="33"/>
    </row>
    <row r="38" spans="2:10" ht="17" thickBot="1" x14ac:dyDescent="0.25">
      <c r="B38" s="3"/>
      <c r="C38" s="3"/>
      <c r="D38" s="3"/>
      <c r="E38" s="3"/>
      <c r="F38" s="49" t="s">
        <v>88</v>
      </c>
      <c r="G38" s="44">
        <f>'Jan 2025'!Y38 + 'Feb 2025'!Y38 + 'Mar 2025'!Y38 + 'Apr 2025'!Y38 + 'May 2025'!Y38 + 'June 2025'!Y38 + 'July 2025'!Y38 + 'Aug 2025'!Y38 + 'Sept 2025'!Y38 + 'Oct 2025'!Y38 + 'Nov 2025'!Y38 + 'Dec 2025'!Y38</f>
        <v>0</v>
      </c>
      <c r="H38" s="35">
        <f>'Jan 2025'!Z38 + 'Feb 2025'!Z38 + 'Mar 2025'!Z38 + 'Apr 2025'!Z38 + 'May 2025'!Z38 + 'June 2025'!Z38 + 'July 2025'!Z38 + 'Aug 2025'!Z38 + 'Sept 2025'!Z38 + 'Oct 2025'!Z38 + 'Nov 2025'!Z38 + 'Dec 2025'!Z38</f>
        <v>0</v>
      </c>
      <c r="I38" s="52">
        <f t="shared" si="6"/>
        <v>0</v>
      </c>
      <c r="J38" s="33"/>
    </row>
    <row r="39" spans="2:10" ht="17" thickBot="1" x14ac:dyDescent="0.25">
      <c r="B39" s="3"/>
      <c r="C39" s="3"/>
      <c r="D39" s="3"/>
      <c r="E39" s="3"/>
      <c r="F39" s="32"/>
      <c r="G39" s="60"/>
      <c r="H39" s="40"/>
      <c r="J39" s="33"/>
    </row>
    <row r="40" spans="2:10" ht="17" thickBot="1" x14ac:dyDescent="0.25">
      <c r="B40" s="3"/>
      <c r="C40" s="3"/>
      <c r="D40" s="3"/>
      <c r="E40" s="3"/>
      <c r="F40" s="79" t="s">
        <v>38</v>
      </c>
      <c r="G40" s="83" t="s">
        <v>9</v>
      </c>
      <c r="H40" s="81" t="s">
        <v>84</v>
      </c>
      <c r="I40" s="82" t="s">
        <v>39</v>
      </c>
      <c r="J40" s="33"/>
    </row>
    <row r="41" spans="2:10" x14ac:dyDescent="0.2">
      <c r="B41" s="3"/>
      <c r="C41" s="3"/>
      <c r="D41" s="3"/>
      <c r="E41" s="3"/>
      <c r="F41" s="47" t="s">
        <v>4</v>
      </c>
      <c r="G41" s="45">
        <f>'Jan 2025'!Y41 + 'Feb 2025'!Y41 + 'Mar 2025'!Y41 + 'Apr 2025'!Y41 + 'May 2025'!Y41 + 'June 2025'!Y41 + 'July 2025'!Y41 + 'Aug 2025'!Y41 + 'Sept 2025'!Y41 + 'Oct 2025'!Y41 + 'Nov 2025'!Y41 + 'Dec 2025'!Y41</f>
        <v>0</v>
      </c>
      <c r="H41" s="34">
        <f>'Jan 2025'!Z41 + 'Feb 2025'!Z41 + 'Mar 2025'!Z41 + 'Apr 2025'!Z41 + 'May 2025'!Z41 + 'June 2025'!Z41 + 'July 2025'!Z41 + 'Aug 2025'!Z41 + 'Sept 2025'!Z41 + 'Oct 2025'!Z41 + 'Nov 2025'!Z41 + 'Dec 2025'!Z41</f>
        <v>0</v>
      </c>
      <c r="I41" s="41">
        <f>IFERROR(H41/SUM($H$41:$H$43),0)</f>
        <v>0</v>
      </c>
      <c r="J41" s="33"/>
    </row>
    <row r="42" spans="2:10" x14ac:dyDescent="0.2">
      <c r="B42" s="3"/>
      <c r="C42" s="3"/>
      <c r="D42" s="3"/>
      <c r="E42" s="3"/>
      <c r="F42" s="48" t="s">
        <v>5</v>
      </c>
      <c r="G42" s="45">
        <f>'Jan 2025'!Y42 + 'Feb 2025'!Y42 + 'Mar 2025'!Y42 + 'Apr 2025'!Y42 + 'May 2025'!Y42 + 'June 2025'!Y42 + 'July 2025'!Y42 + 'Aug 2025'!Y42 + 'Sept 2025'!Y42 + 'Oct 2025'!Y42 + 'Nov 2025'!Y42 + 'Dec 2025'!Y42</f>
        <v>0</v>
      </c>
      <c r="H42" s="34">
        <f>'Jan 2025'!Z42 + 'Feb 2025'!Z42 + 'Mar 2025'!Z42 + 'Apr 2025'!Z42 + 'May 2025'!Z42 + 'June 2025'!Z42 + 'July 2025'!Z42 + 'Aug 2025'!Z42 + 'Sept 2025'!Z42 + 'Oct 2025'!Z42 + 'Nov 2025'!Z42 + 'Dec 2025'!Z42</f>
        <v>0</v>
      </c>
      <c r="I42" s="38">
        <f t="shared" ref="I42" si="7">IFERROR(H42/SUM($H$41:$H$43),0)</f>
        <v>0</v>
      </c>
      <c r="J42" s="33"/>
    </row>
    <row r="43" spans="2:10" ht="17" thickBot="1" x14ac:dyDescent="0.25">
      <c r="B43" s="3"/>
      <c r="C43" s="3"/>
      <c r="D43" s="3"/>
      <c r="E43" s="3"/>
      <c r="F43" s="50" t="s">
        <v>6</v>
      </c>
      <c r="G43" s="44">
        <f>'Jan 2025'!Y43 + 'Feb 2025'!Y43 + 'Mar 2025'!Y43 + 'Apr 2025'!Y43 + 'May 2025'!Y43 + 'June 2025'!Y43 + 'July 2025'!Y43 + 'Aug 2025'!Y43 + 'Sept 2025'!Y43 + 'Oct 2025'!Y43 + 'Nov 2025'!Y43 + 'Dec 2025'!Y43</f>
        <v>0</v>
      </c>
      <c r="H43" s="35">
        <f>'Jan 2025'!Z43 + 'Feb 2025'!Z43 + 'Mar 2025'!Z43 + 'Apr 2025'!Z43 + 'May 2025'!Z43 + 'June 2025'!Z43 + 'July 2025'!Z43 + 'Aug 2025'!Z43 + 'Sept 2025'!Z43 + 'Oct 2025'!Z43 + 'Nov 2025'!Z43 + 'Dec 2025'!Z43</f>
        <v>0</v>
      </c>
      <c r="I43" s="39">
        <f>IFERROR(H43/SUM($H$41:$H$43),0)</f>
        <v>0</v>
      </c>
      <c r="J43" s="33"/>
    </row>
    <row r="44" spans="2:10" ht="17" thickBot="1" x14ac:dyDescent="0.25">
      <c r="B44" s="3"/>
      <c r="C44" s="3"/>
      <c r="D44" s="3"/>
      <c r="E44" s="3"/>
      <c r="F44" s="32"/>
      <c r="G44" s="45"/>
      <c r="H44" s="40"/>
    </row>
    <row r="45" spans="2:10" ht="17" thickBot="1" x14ac:dyDescent="0.25">
      <c r="F45" s="79" t="s">
        <v>74</v>
      </c>
      <c r="G45" s="83" t="s">
        <v>9</v>
      </c>
      <c r="H45" s="81" t="s">
        <v>84</v>
      </c>
      <c r="I45" s="82" t="s">
        <v>39</v>
      </c>
      <c r="J45" s="32"/>
    </row>
    <row r="46" spans="2:10" x14ac:dyDescent="0.2">
      <c r="F46" s="47" t="s">
        <v>75</v>
      </c>
      <c r="G46" s="45">
        <f>'Jan 2025'!Y46 + 'Feb 2025'!Y46 + 'Mar 2025'!Y46 + 'Apr 2025'!Y46 + 'May 2025'!Y46 + 'June 2025'!Y46 + 'July 2025'!Y46 + 'Aug 2025'!Y46 + 'Sept 2025'!Y46 + 'Oct 2025'!Y46 + 'Nov 2025'!Y46 + 'Dec 2025'!Y46</f>
        <v>0</v>
      </c>
      <c r="H46" s="34">
        <f>'Jan 2025'!Z46 + 'Feb 2025'!Z46 + 'Mar 2025'!Z46 + 'Apr 2025'!Z46 + 'May 2025'!Z46 + 'June 2025'!Z46 + 'July 2025'!Z46 + 'Aug 2025'!Z46 + 'Sept 2025'!Z46 + 'Oct 2025'!Z46 + 'Nov 2025'!Z46 + 'Dec 2025'!Z46</f>
        <v>0</v>
      </c>
      <c r="I46" s="46">
        <f>IFERROR(H46/SUM($H$46:$H$47),0)</f>
        <v>0</v>
      </c>
    </row>
    <row r="47" spans="2:10" ht="17" thickBot="1" x14ac:dyDescent="0.25">
      <c r="F47" s="49" t="s">
        <v>69</v>
      </c>
      <c r="G47" s="44">
        <f>'Jan 2025'!Y47 + 'Feb 2025'!Y47 + 'Mar 2025'!Y47 + 'Apr 2025'!Y47 + 'May 2025'!Y47 + 'June 2025'!Y47 + 'July 2025'!Y47 + 'Aug 2025'!Y47 + 'Sept 2025'!Y47 + 'Oct 2025'!Y47 + 'Nov 2025'!Y47 + 'Dec 2025'!Y47</f>
        <v>0</v>
      </c>
      <c r="H47" s="35">
        <f>'Jan 2025'!Z47 + 'Feb 2025'!Z47 + 'Mar 2025'!Z47 + 'Apr 2025'!Z47 + 'May 2025'!Z47 + 'June 2025'!Z47 + 'July 2025'!Z47 + 'Aug 2025'!Z47 + 'Sept 2025'!Z47 + 'Oct 2025'!Z47 + 'Nov 2025'!Z47 + 'Dec 2025'!Z47</f>
        <v>0</v>
      </c>
      <c r="I47" s="53">
        <f>IFERROR(H47/SUM($H$46:$H$47),0)</f>
        <v>0</v>
      </c>
    </row>
    <row r="48" spans="2:10" ht="17" thickBot="1" x14ac:dyDescent="0.25">
      <c r="G48" s="45"/>
      <c r="H48" s="40"/>
      <c r="I48" s="31"/>
    </row>
    <row r="49" spans="1:19" ht="17" thickBot="1" x14ac:dyDescent="0.25">
      <c r="F49" s="79" t="s">
        <v>89</v>
      </c>
      <c r="G49" s="84" t="s">
        <v>9</v>
      </c>
      <c r="H49" s="84" t="s">
        <v>84</v>
      </c>
      <c r="I49" s="85" t="s">
        <v>39</v>
      </c>
    </row>
    <row r="50" spans="1:19" x14ac:dyDescent="0.2">
      <c r="F50" s="1" t="s">
        <v>101</v>
      </c>
      <c r="G50" s="66">
        <f>'Jan 2025'!Y50 + 'Feb 2025'!Y50 + 'Mar 2025'!Y50 + 'Apr 2025'!Y50 + 'May 2025'!Y50 + 'June 2025'!Y50 + 'July 2025'!Y50 + 'Aug 2025'!Y50 + 'Sept 2025'!Y50 + 'Oct 2025'!Y50 + 'Nov 2025'!Y50 + 'Dec 2025'!Y50</f>
        <v>0</v>
      </c>
      <c r="H50" s="63">
        <f>'Jan 2025'!Z50 + 'Feb 2025'!Z50 + 'Mar 2025'!Z50 + 'Apr 2025'!Z50 + 'May 2025'!Z50 + 'June 2025'!Z50 + 'July 2025'!Z50 + 'Aug 2025'!Z50 + 'Sept 2025'!Z50 + 'Oct 2025'!Z50 + 'Nov 2025'!Z50 + 'Dec 2025'!Z50</f>
        <v>0</v>
      </c>
      <c r="I50" s="54">
        <f>IFERROR(H50/SUM($H$50:$H$58),0)</f>
        <v>0</v>
      </c>
      <c r="J50" s="32"/>
    </row>
    <row r="51" spans="1:19" x14ac:dyDescent="0.2">
      <c r="F51" s="29" t="s">
        <v>102</v>
      </c>
      <c r="G51" s="67">
        <f>'Jan 2025'!Y51 + 'Feb 2025'!Y51 + 'Mar 2025'!Y51 + 'Apr 2025'!Y51 + 'May 2025'!Y51 + 'June 2025'!Y51 + 'July 2025'!Y51 + 'Aug 2025'!Y51 + 'Sept 2025'!Y51 + 'Oct 2025'!Y51 + 'Nov 2025'!Y51 + 'Dec 2025'!Y51</f>
        <v>0</v>
      </c>
      <c r="H51" s="64">
        <f>'Jan 2025'!Z51 + 'Feb 2025'!Z51 + 'Mar 2025'!Z51 + 'Apr 2025'!Z51 + 'May 2025'!Z51 + 'June 2025'!Z51 + 'July 2025'!Z51 + 'Aug 2025'!Z51 + 'Sept 2025'!Z51 + 'Oct 2025'!Z51 + 'Nov 2025'!Z51 + 'Dec 2025'!Z51</f>
        <v>0</v>
      </c>
      <c r="I51" s="36">
        <f t="shared" ref="I51:I58" si="8">IFERROR(H51/SUM($H$50:$H$58),0)</f>
        <v>0</v>
      </c>
    </row>
    <row r="52" spans="1:19" x14ac:dyDescent="0.2">
      <c r="F52" s="29" t="s">
        <v>103</v>
      </c>
      <c r="G52" s="67">
        <f>'Jan 2025'!Y52 + 'Feb 2025'!Y52 + 'Mar 2025'!Y52 + 'Apr 2025'!Y52 + 'May 2025'!Y52 + 'June 2025'!Y52 + 'July 2025'!Y52 + 'Aug 2025'!Y52 + 'Sept 2025'!Y52 + 'Oct 2025'!Y52 + 'Nov 2025'!Y52 + 'Dec 2025'!Y52</f>
        <v>0</v>
      </c>
      <c r="H52" s="64">
        <f>'Jan 2025'!Z52 + 'Feb 2025'!Z52 + 'Mar 2025'!Z52 + 'Apr 2025'!Z52 + 'May 2025'!Z52 + 'June 2025'!Z52 + 'July 2025'!Z52 + 'Aug 2025'!Z52 + 'Sept 2025'!Z52 + 'Oct 2025'!Z52 + 'Nov 2025'!Z52 + 'Dec 2025'!Z52</f>
        <v>0</v>
      </c>
      <c r="I52" s="36">
        <f t="shared" si="8"/>
        <v>0</v>
      </c>
    </row>
    <row r="53" spans="1:19" x14ac:dyDescent="0.2">
      <c r="F53" s="29" t="s">
        <v>104</v>
      </c>
      <c r="G53" s="67">
        <f>'Jan 2025'!Y53 + 'Feb 2025'!Y53 + 'Mar 2025'!Y53 + 'Apr 2025'!Y53 + 'May 2025'!Y53 + 'June 2025'!Y53 + 'July 2025'!Y53 + 'Aug 2025'!Y53 + 'Sept 2025'!Y53 + 'Oct 2025'!Y53 + 'Nov 2025'!Y53 + 'Dec 2025'!Y53</f>
        <v>0</v>
      </c>
      <c r="H53" s="64">
        <f>'Jan 2025'!Z53 + 'Feb 2025'!Z53 + 'Mar 2025'!Z53 + 'Apr 2025'!Z53 + 'May 2025'!Z53 + 'June 2025'!Z53 + 'July 2025'!Z53 + 'Aug 2025'!Z53 + 'Sept 2025'!Z53 + 'Oct 2025'!Z53 + 'Nov 2025'!Z53 + 'Dec 2025'!Z53</f>
        <v>0</v>
      </c>
      <c r="I53" s="36">
        <f t="shared" si="8"/>
        <v>0</v>
      </c>
    </row>
    <row r="54" spans="1:19" x14ac:dyDescent="0.2">
      <c r="F54" s="29" t="s">
        <v>105</v>
      </c>
      <c r="G54" s="67">
        <f>'Jan 2025'!Y54 + 'Feb 2025'!Y54 + 'Mar 2025'!Y54 + 'Apr 2025'!Y54 + 'May 2025'!Y54 + 'June 2025'!Y54 + 'July 2025'!Y54 + 'Aug 2025'!Y54 + 'Sept 2025'!Y54 + 'Oct 2025'!Y54 + 'Nov 2025'!Y54 + 'Dec 2025'!Y54</f>
        <v>0</v>
      </c>
      <c r="H54" s="64">
        <f>'Jan 2025'!Z54 + 'Feb 2025'!Z54 + 'Mar 2025'!Z54 + 'Apr 2025'!Z54 + 'May 2025'!Z54 + 'June 2025'!Z54 + 'July 2025'!Z54 + 'Aug 2025'!Z54 + 'Sept 2025'!Z54 + 'Oct 2025'!Z54 + 'Nov 2025'!Z54 + 'Dec 2025'!Z54</f>
        <v>0</v>
      </c>
      <c r="I54" s="36">
        <f t="shared" si="8"/>
        <v>0</v>
      </c>
    </row>
    <row r="55" spans="1:19" x14ac:dyDescent="0.2">
      <c r="A55" t="s">
        <v>86</v>
      </c>
      <c r="F55" s="29" t="s">
        <v>106</v>
      </c>
      <c r="G55" s="67">
        <f>'Jan 2025'!Y55 + 'Feb 2025'!Y55 + 'Mar 2025'!Y55 + 'Apr 2025'!Y55 + 'May 2025'!Y55 + 'June 2025'!Y55 + 'July 2025'!Y55 + 'Aug 2025'!Y55 + 'Sept 2025'!Y55 + 'Oct 2025'!Y55 + 'Nov 2025'!Y55 + 'Dec 2025'!Y55</f>
        <v>0</v>
      </c>
      <c r="H55" s="64">
        <f>'Jan 2025'!Z55 + 'Feb 2025'!Z55 + 'Mar 2025'!Z55 + 'Apr 2025'!Z55 + 'May 2025'!Z55 + 'June 2025'!Z55 + 'July 2025'!Z55 + 'Aug 2025'!Z55 + 'Sept 2025'!Z55 + 'Oct 2025'!Z55 + 'Nov 2025'!Z55 + 'Dec 2025'!Z55</f>
        <v>0</v>
      </c>
      <c r="I55" s="36">
        <f t="shared" si="8"/>
        <v>0</v>
      </c>
      <c r="L55" t="str">
        <f t="shared" ref="L55:L60" si="9">IF(LEN(E55)=0, "", IFERROR(IF(E55&gt;=0, K55 * (1 + E55/100) - K55, K55 / (ABS(E55)/100))+K55, ""))</f>
        <v/>
      </c>
      <c r="N55" t="str">
        <f t="shared" ref="N55:N60" si="10">IF(M55="Yes",L55-K55,IF(M55="No",-K55,""))</f>
        <v/>
      </c>
      <c r="O55" t="str">
        <f t="shared" ref="O55:O60" si="11">IF(AND(G55="No",H55="No"), "None", "")</f>
        <v/>
      </c>
      <c r="P55" t="str">
        <f t="shared" ref="P55:P60" si="12">IF(I55="No", "None", "")</f>
        <v/>
      </c>
      <c r="Q55" t="str">
        <f t="shared" ref="Q55:Q60" si="13">IF(AND(D55="Straight", M55 = "No"),IF(O55="None",P55,IF(P55="None",O55) ),"")</f>
        <v/>
      </c>
    </row>
    <row r="56" spans="1:19" x14ac:dyDescent="0.2">
      <c r="A56" s="55" t="s">
        <v>86</v>
      </c>
      <c r="F56" s="29" t="s">
        <v>107</v>
      </c>
      <c r="G56" s="67">
        <f>'Jan 2025'!Y56 + 'Feb 2025'!Y56 + 'Mar 2025'!Y56 + 'Apr 2025'!Y56 + 'May 2025'!Y56 + 'June 2025'!Y56 + 'July 2025'!Y56 + 'Aug 2025'!Y56 + 'Sept 2025'!Y56 + 'Oct 2025'!Y56 + 'Nov 2025'!Y56 + 'Dec 2025'!Y56</f>
        <v>0</v>
      </c>
      <c r="H56" s="64">
        <f>'Jan 2025'!Z56 + 'Feb 2025'!Z56 + 'Mar 2025'!Z56 + 'Apr 2025'!Z56 + 'May 2025'!Z56 + 'June 2025'!Z56 + 'July 2025'!Z56 + 'Aug 2025'!Z56 + 'Sept 2025'!Z56 + 'Oct 2025'!Z56 + 'Nov 2025'!Z56 + 'Dec 2025'!Z56</f>
        <v>0</v>
      </c>
      <c r="I56" s="36">
        <f>IFERROR(H56/SUM($H$50:$H$58),0)</f>
        <v>0</v>
      </c>
      <c r="K56" s="7"/>
      <c r="L56" s="7" t="str">
        <f t="shared" si="9"/>
        <v/>
      </c>
      <c r="N56" s="7" t="str">
        <f t="shared" si="10"/>
        <v/>
      </c>
      <c r="O56" t="str">
        <f t="shared" si="11"/>
        <v/>
      </c>
      <c r="P56" t="str">
        <f t="shared" si="12"/>
        <v/>
      </c>
      <c r="Q56" t="str">
        <f t="shared" si="13"/>
        <v/>
      </c>
    </row>
    <row r="57" spans="1:19" x14ac:dyDescent="0.2">
      <c r="A57" s="55" t="s">
        <v>86</v>
      </c>
      <c r="F57" s="29" t="s">
        <v>108</v>
      </c>
      <c r="G57" s="67">
        <f>'Jan 2025'!Y57 + 'Feb 2025'!Y57 + 'Mar 2025'!Y57 + 'Apr 2025'!Y57 + 'May 2025'!Y57 + 'June 2025'!Y57 + 'July 2025'!Y57 + 'Aug 2025'!Y57 + 'Sept 2025'!Y57 + 'Oct 2025'!Y57 + 'Nov 2025'!Y57 + 'Dec 2025'!Y57</f>
        <v>0</v>
      </c>
      <c r="H57" s="64">
        <f>'Jan 2025'!Z57 + 'Feb 2025'!Z57 + 'Mar 2025'!Z57 + 'Apr 2025'!Z57 + 'May 2025'!Z57 + 'June 2025'!Z57 + 'July 2025'!Z57 + 'Aug 2025'!Z57 + 'Sept 2025'!Z57 + 'Oct 2025'!Z57 + 'Nov 2025'!Z57 + 'Dec 2025'!Z57</f>
        <v>0</v>
      </c>
      <c r="I57" s="36">
        <f>IFERROR(H57/SUM($H$50:$H$58),0)</f>
        <v>0</v>
      </c>
      <c r="K57" s="7"/>
      <c r="L57" s="7" t="str">
        <f t="shared" si="9"/>
        <v/>
      </c>
      <c r="N57" s="7" t="str">
        <f t="shared" si="10"/>
        <v/>
      </c>
      <c r="O57" t="str">
        <f t="shared" si="11"/>
        <v/>
      </c>
      <c r="P57" t="str">
        <f t="shared" si="12"/>
        <v/>
      </c>
      <c r="Q57" t="str">
        <f t="shared" si="13"/>
        <v/>
      </c>
    </row>
    <row r="58" spans="1:19" ht="17" thickBot="1" x14ac:dyDescent="0.25">
      <c r="A58" s="55" t="s">
        <v>86</v>
      </c>
      <c r="F58" s="30" t="s">
        <v>90</v>
      </c>
      <c r="G58" s="68">
        <f>'Jan 2025'!Y58 + 'Feb 2025'!Y58 + 'Mar 2025'!Y58 + 'Apr 2025'!Y58 + 'May 2025'!Y58 + 'June 2025'!Y58 + 'July 2025'!Y58 + 'Aug 2025'!Y58 + 'Sept 2025'!Y58 + 'Oct 2025'!Y58 + 'Nov 2025'!Y58 + 'Dec 2025'!Y58</f>
        <v>0</v>
      </c>
      <c r="H58" s="69">
        <f>'Jan 2025'!Z58 + 'Feb 2025'!Z58 + 'Mar 2025'!Z58 + 'Apr 2025'!Z58 + 'May 2025'!Z58 + 'June 2025'!Z58 + 'July 2025'!Z58 + 'Aug 2025'!Z58 + 'Sept 2025'!Z58 + 'Oct 2025'!Z58 + 'Nov 2025'!Z58 + 'Dec 2025'!Z58</f>
        <v>0</v>
      </c>
      <c r="I58" s="37">
        <f t="shared" si="8"/>
        <v>0</v>
      </c>
      <c r="K58" s="7"/>
      <c r="L58" s="7" t="str">
        <f t="shared" si="9"/>
        <v/>
      </c>
      <c r="N58" s="7" t="str">
        <f t="shared" si="10"/>
        <v/>
      </c>
      <c r="O58" t="str">
        <f t="shared" si="11"/>
        <v/>
      </c>
      <c r="P58" t="str">
        <f t="shared" si="12"/>
        <v/>
      </c>
      <c r="Q58" t="str">
        <f t="shared" si="13"/>
        <v/>
      </c>
    </row>
    <row r="59" spans="1:19" x14ac:dyDescent="0.2">
      <c r="A59" s="55" t="s">
        <v>86</v>
      </c>
      <c r="F59" t="str">
        <f t="shared" ref="F59:F60" si="14">IF(OR(O59="", P59=""), "", SUM(IF((O59&lt;&gt;"None")*(O59&lt;&gt;""),LEN(O59)-LEN(SUBSTITUTE(O59,",",""))+1,0)) + SUM(IF((P59&lt;&gt;"None")*(P59&lt;&gt;""),LEN(P59)-LEN(SUBSTITUTE(P59,",",""))+1,0)))</f>
        <v/>
      </c>
      <c r="K59" s="7"/>
      <c r="L59" s="7" t="str">
        <f t="shared" si="9"/>
        <v/>
      </c>
      <c r="N59" s="7" t="str">
        <f t="shared" si="10"/>
        <v/>
      </c>
      <c r="O59" t="str">
        <f t="shared" si="11"/>
        <v/>
      </c>
      <c r="P59" t="str">
        <f t="shared" si="12"/>
        <v/>
      </c>
      <c r="Q59" t="str">
        <f t="shared" si="13"/>
        <v/>
      </c>
    </row>
    <row r="60" spans="1:19" x14ac:dyDescent="0.2">
      <c r="A60" s="55" t="s">
        <v>86</v>
      </c>
      <c r="F60" t="str">
        <f t="shared" si="14"/>
        <v/>
      </c>
      <c r="K60" s="7"/>
      <c r="L60" s="7" t="str">
        <f t="shared" si="9"/>
        <v/>
      </c>
      <c r="N60" s="7" t="str">
        <f t="shared" si="10"/>
        <v/>
      </c>
      <c r="O60" t="str">
        <f t="shared" si="11"/>
        <v/>
      </c>
      <c r="P60" t="str">
        <f t="shared" si="12"/>
        <v/>
      </c>
      <c r="Q60" t="str">
        <f t="shared" si="13"/>
        <v/>
      </c>
    </row>
    <row r="61" spans="1:19" x14ac:dyDescent="0.2">
      <c r="A61" s="56" t="s">
        <v>15</v>
      </c>
      <c r="B61" s="57" t="s">
        <v>10</v>
      </c>
      <c r="C61" s="57" t="s">
        <v>11</v>
      </c>
      <c r="D61" s="57" t="s">
        <v>50</v>
      </c>
      <c r="E61" s="57" t="s">
        <v>12</v>
      </c>
      <c r="F61" s="57" t="s">
        <v>3</v>
      </c>
      <c r="G61" s="57" t="s">
        <v>4</v>
      </c>
      <c r="H61" s="57" t="s">
        <v>60</v>
      </c>
      <c r="I61" s="57" t="s">
        <v>6</v>
      </c>
      <c r="J61" s="57" t="s">
        <v>69</v>
      </c>
      <c r="K61" s="57" t="s">
        <v>7</v>
      </c>
      <c r="L61" s="57" t="s">
        <v>8</v>
      </c>
      <c r="M61" s="57" t="s">
        <v>21</v>
      </c>
      <c r="N61" s="57" t="s">
        <v>9</v>
      </c>
      <c r="O61" s="57" t="s">
        <v>51</v>
      </c>
      <c r="P61" s="57" t="s">
        <v>13</v>
      </c>
      <c r="Q61" s="57" t="s">
        <v>14</v>
      </c>
      <c r="R61" s="57" t="s">
        <v>89</v>
      </c>
      <c r="S61" s="57" t="s">
        <v>61</v>
      </c>
    </row>
    <row r="62" spans="1:19" x14ac:dyDescent="0.2">
      <c r="A62" s="55" t="s">
        <v>86</v>
      </c>
      <c r="F62" t="str">
        <f t="shared" ref="F62" si="15">IF(OR(O62="", P62=""), "", SUM(IF((O62&lt;&gt;"None")*(O62&lt;&gt;""),LEN(O62)-LEN(SUBSTITUTE(O62,",",""))+1,0)) + SUM(IF((P62&lt;&gt;"None")*(P62&lt;&gt;""),LEN(P62)-LEN(SUBSTITUTE(P62,",",""))+1,0)))</f>
        <v/>
      </c>
      <c r="K62" s="7"/>
      <c r="L62" s="7" t="str">
        <f t="shared" ref="L62:L73" si="16">IF(LEN(E62)=0, "", IFERROR(IF(E62&gt;=0, K62 * (1 + E62/100) - K62, K62 / (ABS(E62)/100))+K62, ""))</f>
        <v/>
      </c>
      <c r="N62" s="7" t="str">
        <f t="shared" ref="N62:N73" si="17">IF(M62="Yes",L62-K62,IF(M62="No",-K62,""))</f>
        <v/>
      </c>
      <c r="O62" t="str">
        <f t="shared" ref="O62:O73" si="18">IF(AND(G62="No",H62="No"), "None", "")</f>
        <v/>
      </c>
      <c r="P62" t="str">
        <f t="shared" ref="P62:P73" si="19">IF(I62="No", "None", "")</f>
        <v/>
      </c>
      <c r="Q62" t="str">
        <f t="shared" ref="Q62:Q73" si="20">IF(AND(D62="Straight", M62 = "No"),IF(O62="None",P62,IF(P62="None",O62) ),"")</f>
        <v/>
      </c>
      <c r="S62" t="str">
        <f>""</f>
        <v/>
      </c>
    </row>
    <row r="63" spans="1:19" x14ac:dyDescent="0.2">
      <c r="A63" s="55" t="s">
        <v>86</v>
      </c>
      <c r="F63" t="str">
        <f t="shared" ref="F63:F73" si="21">IF(OR(O63="", P63=""), "", SUM(IF((O63&lt;&gt;"None")*(O63&lt;&gt;""),LEN(O63)-LEN(SUBSTITUTE(O63,",",""))+1,0)) + SUM(IF((P63&lt;&gt;"None")*(P63&lt;&gt;""),LEN(P63)-LEN(SUBSTITUTE(P63,",",""))+1,0)))</f>
        <v/>
      </c>
      <c r="K63" s="7"/>
      <c r="L63" s="7" t="str">
        <f t="shared" si="16"/>
        <v/>
      </c>
      <c r="N63" s="7" t="str">
        <f t="shared" si="17"/>
        <v/>
      </c>
      <c r="O63" t="str">
        <f t="shared" si="18"/>
        <v/>
      </c>
      <c r="P63" t="str">
        <f t="shared" si="19"/>
        <v/>
      </c>
      <c r="Q63" t="str">
        <f t="shared" si="20"/>
        <v/>
      </c>
      <c r="S63" t="str">
        <f>""</f>
        <v/>
      </c>
    </row>
    <row r="64" spans="1:19" x14ac:dyDescent="0.2">
      <c r="A64" s="55" t="s">
        <v>86</v>
      </c>
      <c r="F64" t="str">
        <f t="shared" si="21"/>
        <v/>
      </c>
      <c r="K64" s="7"/>
      <c r="L64" s="7" t="str">
        <f t="shared" si="16"/>
        <v/>
      </c>
      <c r="N64" s="7" t="str">
        <f t="shared" si="17"/>
        <v/>
      </c>
      <c r="O64" t="str">
        <f t="shared" si="18"/>
        <v/>
      </c>
      <c r="P64" t="str">
        <f t="shared" si="19"/>
        <v/>
      </c>
      <c r="Q64" t="str">
        <f t="shared" si="20"/>
        <v/>
      </c>
      <c r="S64" t="str">
        <f>""</f>
        <v/>
      </c>
    </row>
    <row r="65" spans="1:19" x14ac:dyDescent="0.2">
      <c r="A65" s="55" t="s">
        <v>86</v>
      </c>
      <c r="F65" t="str">
        <f t="shared" si="21"/>
        <v/>
      </c>
      <c r="K65" s="7"/>
      <c r="L65" s="7" t="str">
        <f t="shared" si="16"/>
        <v/>
      </c>
      <c r="N65" s="7" t="str">
        <f t="shared" si="17"/>
        <v/>
      </c>
      <c r="O65" t="str">
        <f t="shared" si="18"/>
        <v/>
      </c>
      <c r="P65" t="str">
        <f t="shared" si="19"/>
        <v/>
      </c>
      <c r="Q65" t="str">
        <f t="shared" si="20"/>
        <v/>
      </c>
      <c r="S65" t="str">
        <f>""</f>
        <v/>
      </c>
    </row>
    <row r="66" spans="1:19" x14ac:dyDescent="0.2">
      <c r="A66" s="55" t="s">
        <v>86</v>
      </c>
      <c r="F66" t="str">
        <f t="shared" si="21"/>
        <v/>
      </c>
      <c r="K66" s="7"/>
      <c r="L66" s="7" t="str">
        <f t="shared" si="16"/>
        <v/>
      </c>
      <c r="N66" s="7" t="str">
        <f t="shared" si="17"/>
        <v/>
      </c>
      <c r="O66" t="str">
        <f t="shared" si="18"/>
        <v/>
      </c>
      <c r="P66" t="str">
        <f t="shared" si="19"/>
        <v/>
      </c>
      <c r="Q66" t="str">
        <f t="shared" si="20"/>
        <v/>
      </c>
      <c r="S66" t="str">
        <f>""</f>
        <v/>
      </c>
    </row>
    <row r="67" spans="1:19" x14ac:dyDescent="0.2">
      <c r="A67" s="55" t="s">
        <v>86</v>
      </c>
      <c r="F67" t="str">
        <f t="shared" si="21"/>
        <v/>
      </c>
      <c r="K67" s="7"/>
      <c r="L67" s="7" t="str">
        <f t="shared" si="16"/>
        <v/>
      </c>
      <c r="N67" s="7" t="str">
        <f t="shared" si="17"/>
        <v/>
      </c>
      <c r="O67" t="str">
        <f t="shared" si="18"/>
        <v/>
      </c>
      <c r="P67" t="str">
        <f t="shared" si="19"/>
        <v/>
      </c>
      <c r="Q67" t="str">
        <f t="shared" si="20"/>
        <v/>
      </c>
      <c r="S67" t="str">
        <f>""</f>
        <v/>
      </c>
    </row>
    <row r="68" spans="1:19" x14ac:dyDescent="0.2">
      <c r="A68" s="55" t="s">
        <v>86</v>
      </c>
      <c r="F68" t="str">
        <f t="shared" si="21"/>
        <v/>
      </c>
      <c r="K68" s="7"/>
      <c r="L68" s="7" t="str">
        <f t="shared" si="16"/>
        <v/>
      </c>
      <c r="N68" s="7" t="str">
        <f t="shared" si="17"/>
        <v/>
      </c>
      <c r="O68" t="str">
        <f t="shared" si="18"/>
        <v/>
      </c>
      <c r="P68" t="str">
        <f t="shared" si="19"/>
        <v/>
      </c>
      <c r="Q68" t="str">
        <f t="shared" si="20"/>
        <v/>
      </c>
      <c r="S68" t="str">
        <f>""</f>
        <v/>
      </c>
    </row>
    <row r="69" spans="1:19" x14ac:dyDescent="0.2">
      <c r="A69" s="55" t="s">
        <v>86</v>
      </c>
      <c r="F69" t="str">
        <f t="shared" si="21"/>
        <v/>
      </c>
      <c r="K69" s="7"/>
      <c r="L69" s="7" t="str">
        <f t="shared" si="16"/>
        <v/>
      </c>
      <c r="N69" s="7" t="str">
        <f t="shared" si="17"/>
        <v/>
      </c>
      <c r="O69" t="str">
        <f t="shared" si="18"/>
        <v/>
      </c>
      <c r="P69" t="str">
        <f t="shared" si="19"/>
        <v/>
      </c>
      <c r="Q69" t="str">
        <f t="shared" si="20"/>
        <v/>
      </c>
      <c r="S69" t="str">
        <f>""</f>
        <v/>
      </c>
    </row>
    <row r="70" spans="1:19" x14ac:dyDescent="0.2">
      <c r="A70" s="55" t="s">
        <v>86</v>
      </c>
      <c r="F70" t="str">
        <f t="shared" si="21"/>
        <v/>
      </c>
      <c r="K70" s="7"/>
      <c r="L70" s="7" t="str">
        <f t="shared" si="16"/>
        <v/>
      </c>
      <c r="N70" s="7" t="str">
        <f t="shared" si="17"/>
        <v/>
      </c>
      <c r="O70" t="str">
        <f t="shared" si="18"/>
        <v/>
      </c>
      <c r="P70" t="str">
        <f t="shared" si="19"/>
        <v/>
      </c>
      <c r="Q70" t="str">
        <f t="shared" si="20"/>
        <v/>
      </c>
      <c r="S70" t="str">
        <f>""</f>
        <v/>
      </c>
    </row>
    <row r="71" spans="1:19" x14ac:dyDescent="0.2">
      <c r="A71" s="55" t="s">
        <v>86</v>
      </c>
      <c r="F71" t="str">
        <f t="shared" si="21"/>
        <v/>
      </c>
      <c r="K71" s="7"/>
      <c r="L71" s="7" t="str">
        <f t="shared" si="16"/>
        <v/>
      </c>
      <c r="N71" s="7" t="str">
        <f t="shared" si="17"/>
        <v/>
      </c>
      <c r="O71" t="str">
        <f t="shared" si="18"/>
        <v/>
      </c>
      <c r="P71" t="str">
        <f t="shared" si="19"/>
        <v/>
      </c>
      <c r="Q71" t="str">
        <f t="shared" si="20"/>
        <v/>
      </c>
      <c r="S71" t="str">
        <f>""</f>
        <v/>
      </c>
    </row>
    <row r="72" spans="1:19" x14ac:dyDescent="0.2">
      <c r="A72" s="55" t="s">
        <v>86</v>
      </c>
      <c r="F72" t="str">
        <f t="shared" si="21"/>
        <v/>
      </c>
      <c r="K72" s="7"/>
      <c r="L72" s="7" t="str">
        <f t="shared" si="16"/>
        <v/>
      </c>
      <c r="N72" s="7" t="str">
        <f t="shared" si="17"/>
        <v/>
      </c>
      <c r="O72" t="str">
        <f t="shared" si="18"/>
        <v/>
      </c>
      <c r="P72" t="str">
        <f t="shared" si="19"/>
        <v/>
      </c>
      <c r="Q72" t="str">
        <f t="shared" si="20"/>
        <v/>
      </c>
      <c r="S72" t="str">
        <f>""</f>
        <v/>
      </c>
    </row>
    <row r="73" spans="1:19" x14ac:dyDescent="0.2">
      <c r="A73" s="55" t="s">
        <v>86</v>
      </c>
      <c r="F73" t="str">
        <f t="shared" si="21"/>
        <v/>
      </c>
      <c r="K73" s="7"/>
      <c r="L73" s="7" t="str">
        <f t="shared" si="16"/>
        <v/>
      </c>
      <c r="N73" s="7" t="str">
        <f t="shared" si="17"/>
        <v/>
      </c>
      <c r="O73" t="str">
        <f t="shared" si="18"/>
        <v/>
      </c>
      <c r="P73" t="str">
        <f t="shared" si="19"/>
        <v/>
      </c>
      <c r="Q73" t="str">
        <f t="shared" si="20"/>
        <v/>
      </c>
      <c r="S73" t="str">
        <f>""</f>
        <v/>
      </c>
    </row>
    <row r="74" spans="1:19" x14ac:dyDescent="0.2">
      <c r="A74" s="55"/>
      <c r="K74" s="7"/>
      <c r="L74" s="7"/>
      <c r="N74" s="7"/>
    </row>
    <row r="75" spans="1:19" x14ac:dyDescent="0.2">
      <c r="A75" s="55"/>
      <c r="K75" s="7"/>
      <c r="L75" s="7"/>
      <c r="N75" s="7"/>
    </row>
    <row r="76" spans="1:19" x14ac:dyDescent="0.2">
      <c r="A76" s="55"/>
      <c r="K76" s="7"/>
      <c r="L76" s="7"/>
      <c r="N76" s="7"/>
    </row>
  </sheetData>
  <mergeCells count="22">
    <mergeCell ref="B19:C19"/>
    <mergeCell ref="B20:C20"/>
    <mergeCell ref="B21:C21"/>
    <mergeCell ref="B22:C22"/>
    <mergeCell ref="K2:N2"/>
    <mergeCell ref="B9:C9"/>
    <mergeCell ref="B11:D11"/>
    <mergeCell ref="B12:C12"/>
    <mergeCell ref="B13:C13"/>
    <mergeCell ref="B14:C14"/>
    <mergeCell ref="B15:C15"/>
    <mergeCell ref="B2:C2"/>
    <mergeCell ref="B3:C3"/>
    <mergeCell ref="B4:C4"/>
    <mergeCell ref="B6:C6"/>
    <mergeCell ref="B7:C7"/>
    <mergeCell ref="P2:S2"/>
    <mergeCell ref="B16:C16"/>
    <mergeCell ref="B10:C10"/>
    <mergeCell ref="U2:Z2"/>
    <mergeCell ref="B17:D17"/>
    <mergeCell ref="B8:C8"/>
  </mergeCells>
  <phoneticPr fontId="11" type="noConversion"/>
  <conditionalFormatting sqref="I48">
    <cfRule type="dataBar" priority="960">
      <dataBar>
        <cfvo type="percent" val="0"/>
        <cfvo type="percent" val="100"/>
        <color rgb="FFA68ADF"/>
      </dataBar>
      <extLst>
        <ext xmlns:x14="http://schemas.microsoft.com/office/spreadsheetml/2009/9/main" uri="{B025F937-C7B1-47D3-B67F-A62EFF666E3E}">
          <x14:id>{14E804DE-A3FA-DE42-A0EF-E770E0029ECA}</x14:id>
        </ext>
      </extLst>
    </cfRule>
  </conditionalFormatting>
  <conditionalFormatting sqref="L4:L15">
    <cfRule type="dataBar" priority="971">
      <dataBar>
        <cfvo type="percent" val="0"/>
        <cfvo type="percent" val="100"/>
        <color theme="9"/>
      </dataBar>
      <extLst>
        <ext xmlns:x14="http://schemas.microsoft.com/office/spreadsheetml/2009/9/main" uri="{B025F937-C7B1-47D3-B67F-A62EFF666E3E}">
          <x14:id>{1DEEB9C4-07A7-5C40-86C8-DED81E8A6B89}</x14:id>
        </ext>
      </extLst>
    </cfRule>
  </conditionalFormatting>
  <conditionalFormatting sqref="M4:M15">
    <cfRule type="dataBar" priority="966">
      <dataBar>
        <cfvo type="num" val="0"/>
        <cfvo type="num" val="150"/>
        <color rgb="FF76D6FF"/>
      </dataBar>
      <extLst>
        <ext xmlns:x14="http://schemas.microsoft.com/office/spreadsheetml/2009/9/main" uri="{B025F937-C7B1-47D3-B67F-A62EFF666E3E}">
          <x14:id>{E81516C4-BDD5-1D4E-9F76-88C158AE6565}</x14:id>
        </ext>
      </extLst>
    </cfRule>
  </conditionalFormatting>
  <conditionalFormatting sqref="N4:N15">
    <cfRule type="dataBar" priority="967">
      <dataBar>
        <cfvo type="num" val="-10"/>
        <cfvo type="num" val="10"/>
        <color theme="9"/>
      </dataBar>
      <extLst>
        <ext xmlns:x14="http://schemas.microsoft.com/office/spreadsheetml/2009/9/main" uri="{B025F937-C7B1-47D3-B67F-A62EFF666E3E}">
          <x14:id>{C31E9CF3-5285-254D-B490-7A25533E4043}</x14:id>
        </ext>
      </extLst>
    </cfRule>
  </conditionalFormatting>
  <conditionalFormatting sqref="Q4:Q15">
    <cfRule type="dataBar" priority="965">
      <dataBar>
        <cfvo type="percent" val="0"/>
        <cfvo type="percent" val="100"/>
        <color theme="9"/>
      </dataBar>
      <extLst>
        <ext xmlns:x14="http://schemas.microsoft.com/office/spreadsheetml/2009/9/main" uri="{B025F937-C7B1-47D3-B67F-A62EFF666E3E}">
          <x14:id>{0D8321E7-4761-9E49-BDB3-806D4D12FA3D}</x14:id>
        </ext>
      </extLst>
    </cfRule>
  </conditionalFormatting>
  <conditionalFormatting sqref="R4:R15">
    <cfRule type="dataBar" priority="963">
      <dataBar>
        <cfvo type="num" val="0"/>
        <cfvo type="num" val="150"/>
        <color rgb="FF76D6FF"/>
      </dataBar>
      <extLst>
        <ext xmlns:x14="http://schemas.microsoft.com/office/spreadsheetml/2009/9/main" uri="{B025F937-C7B1-47D3-B67F-A62EFF666E3E}">
          <x14:id>{897CA69F-273D-2549-840F-30C684571CFF}</x14:id>
        </ext>
      </extLst>
    </cfRule>
  </conditionalFormatting>
  <conditionalFormatting sqref="S4:S15">
    <cfRule type="dataBar" priority="964">
      <dataBar>
        <cfvo type="num" val="-10"/>
        <cfvo type="num" val="10"/>
        <color theme="9"/>
      </dataBar>
      <extLst>
        <ext xmlns:x14="http://schemas.microsoft.com/office/spreadsheetml/2009/9/main" uri="{B025F937-C7B1-47D3-B67F-A62EFF666E3E}">
          <x14:id>{7568D03E-74CC-F54A-A299-0C812E1570C7}</x14:id>
        </ext>
      </extLst>
    </cfRule>
  </conditionalFormatting>
  <conditionalFormatting sqref="D15">
    <cfRule type="dataBar" priority="415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{9CDD08BF-84B4-9648-96D3-5A279E9971EE}</x14:id>
        </ext>
      </extLst>
    </cfRule>
  </conditionalFormatting>
  <conditionalFormatting sqref="D9">
    <cfRule type="dataBar" priority="414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{3BB14689-1D26-E748-89A6-AA4A560FA90D}</x14:id>
        </ext>
      </extLst>
    </cfRule>
  </conditionalFormatting>
  <conditionalFormatting sqref="D16">
    <cfRule type="dataBar" priority="412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{B60076B6-E636-A94D-BF24-DD698C97C479}</x14:id>
        </ext>
      </extLst>
    </cfRule>
    <cfRule type="colorScale" priority="413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D10">
    <cfRule type="dataBar" priority="410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{3908BAAC-58CD-6B49-AD27-29F7366C9F12}</x14:id>
        </ext>
      </extLst>
    </cfRule>
    <cfRule type="colorScale" priority="411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D4">
    <cfRule type="colorScale" priority="409">
      <colorScale>
        <cfvo type="num" val="-50"/>
        <cfvo type="num" val="0"/>
        <cfvo type="num" val="50"/>
        <color rgb="FFC00000"/>
        <color theme="0"/>
        <color rgb="FF00B050"/>
      </colorScale>
    </cfRule>
  </conditionalFormatting>
  <conditionalFormatting sqref="G12:G18">
    <cfRule type="dataBar" priority="407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{F51564F8-996D-CD40-BF6D-DF1C5E2D54FA}</x14:id>
        </ext>
      </extLst>
    </cfRule>
    <cfRule type="colorScale" priority="408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I41:I43 I26:I31 I3:I9 I34:I38 I12:I18 I21:I23">
    <cfRule type="dataBar" priority="406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{50317A13-D8CD-F44D-8AFF-0B75F9712E65}</x14:id>
        </ext>
      </extLst>
    </cfRule>
  </conditionalFormatting>
  <conditionalFormatting sqref="I46:I47">
    <cfRule type="dataBar" priority="405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{BCCEB914-FECC-5C47-8ECB-D45E3AE89C1E}</x14:id>
        </ext>
      </extLst>
    </cfRule>
  </conditionalFormatting>
  <conditionalFormatting sqref="H3:H58">
    <cfRule type="dataBar" priority="404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{181FB47D-A7BD-E148-8168-170168A16F4E}</x14:id>
        </ext>
      </extLst>
    </cfRule>
  </conditionalFormatting>
  <conditionalFormatting sqref="G3:G9">
    <cfRule type="dataBar" priority="402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{7EC552B7-A16C-C54F-BDCC-D5A4B15705A2}</x14:id>
        </ext>
      </extLst>
    </cfRule>
    <cfRule type="colorScale" priority="403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G50:G58 G21:G48">
    <cfRule type="dataBar" priority="400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{DF1C8DAB-5E40-D641-9950-66D89E8FB0EA}</x14:id>
        </ext>
      </extLst>
    </cfRule>
    <cfRule type="colorScale" priority="401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N54">
    <cfRule type="dataBar" priority="186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{0728D87A-DF6C-724D-B0BD-15AA0EE8C421}</x14:id>
        </ext>
      </extLst>
    </cfRule>
  </conditionalFormatting>
  <conditionalFormatting sqref="N55">
    <cfRule type="dataBar" priority="185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{EEE4BCAD-B1C3-2049-8B02-793756B70680}</x14:id>
        </ext>
      </extLst>
    </cfRule>
  </conditionalFormatting>
  <conditionalFormatting sqref="N56">
    <cfRule type="dataBar" priority="184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{6AAE7FB2-5090-3948-800D-14FDBEE84166}</x14:id>
        </ext>
      </extLst>
    </cfRule>
  </conditionalFormatting>
  <conditionalFormatting sqref="N57">
    <cfRule type="dataBar" priority="183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{4090FD1C-B1E5-9E42-A693-B80B06CEEDBE}</x14:id>
        </ext>
      </extLst>
    </cfRule>
  </conditionalFormatting>
  <conditionalFormatting sqref="N58">
    <cfRule type="dataBar" priority="182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{F50F0F51-C98E-FF4E-9B23-45AD2428E8DF}</x14:id>
        </ext>
      </extLst>
    </cfRule>
  </conditionalFormatting>
  <conditionalFormatting sqref="N59">
    <cfRule type="dataBar" priority="181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{B394BF65-DD50-2E48-AA1C-823D3A0B5AC2}</x14:id>
        </ext>
      </extLst>
    </cfRule>
  </conditionalFormatting>
  <conditionalFormatting sqref="N60">
    <cfRule type="dataBar" priority="180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{95B4345D-C4DF-3444-8985-F32FEC9A9E86}</x14:id>
        </ext>
      </extLst>
    </cfRule>
  </conditionalFormatting>
  <conditionalFormatting sqref="G49">
    <cfRule type="dataBar" priority="147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{EE394555-B0E0-9B4C-B394-52CFB9751953}</x14:id>
        </ext>
      </extLst>
    </cfRule>
  </conditionalFormatting>
  <conditionalFormatting sqref="I50:I58">
    <cfRule type="dataBar" priority="144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{0E180C16-CB75-1D4B-BEA0-78E758B56659}</x14:id>
        </ext>
      </extLst>
    </cfRule>
  </conditionalFormatting>
  <conditionalFormatting sqref="N76">
    <cfRule type="dataBar" priority="118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{653308CB-455E-E542-A63C-746C3146B298}</x14:id>
        </ext>
      </extLst>
    </cfRule>
  </conditionalFormatting>
  <conditionalFormatting sqref="N74">
    <cfRule type="dataBar" priority="67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{9C6B5B39-4BDA-EB4D-AE7F-A24CEFED886A}</x14:id>
        </ext>
      </extLst>
    </cfRule>
  </conditionalFormatting>
  <conditionalFormatting sqref="N75">
    <cfRule type="dataBar" priority="66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{E2DC7F81-FCF8-5A44-82D0-8903EFDFE67E}</x14:id>
        </ext>
      </extLst>
    </cfRule>
  </conditionalFormatting>
  <conditionalFormatting sqref="N61">
    <cfRule type="dataBar" priority="13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{EC1BEA52-FB8D-8047-81AD-DCBF5F954FF0}</x14:id>
        </ext>
      </extLst>
    </cfRule>
  </conditionalFormatting>
  <conditionalFormatting sqref="N62">
    <cfRule type="dataBar" priority="12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{905DC22D-B26D-064F-B6D3-09CB3788BC47}</x14:id>
        </ext>
      </extLst>
    </cfRule>
  </conditionalFormatting>
  <conditionalFormatting sqref="N63">
    <cfRule type="dataBar" priority="11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{C5BE442D-DD95-1347-A754-6E0E99974471}</x14:id>
        </ext>
      </extLst>
    </cfRule>
  </conditionalFormatting>
  <conditionalFormatting sqref="N64">
    <cfRule type="dataBar" priority="10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{2D119793-8E06-8340-AA82-05C398404F11}</x14:id>
        </ext>
      </extLst>
    </cfRule>
  </conditionalFormatting>
  <conditionalFormatting sqref="N65">
    <cfRule type="dataBar" priority="9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{71B99E4F-12AC-4F4E-AEE0-C4B69D247882}</x14:id>
        </ext>
      </extLst>
    </cfRule>
  </conditionalFormatting>
  <conditionalFormatting sqref="N66">
    <cfRule type="dataBar" priority="8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{B60B6DED-850B-1E47-B15E-069C1B69D079}</x14:id>
        </ext>
      </extLst>
    </cfRule>
  </conditionalFormatting>
  <conditionalFormatting sqref="N67">
    <cfRule type="dataBar" priority="7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{5D189316-49B3-C14B-8942-F186281760BA}</x14:id>
        </ext>
      </extLst>
    </cfRule>
  </conditionalFormatting>
  <conditionalFormatting sqref="N68">
    <cfRule type="dataBar" priority="6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{9D79AFFB-0955-6743-90E0-D1719860569D}</x14:id>
        </ext>
      </extLst>
    </cfRule>
  </conditionalFormatting>
  <conditionalFormatting sqref="N69">
    <cfRule type="dataBar" priority="5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{F07F120E-AF81-9448-91D7-C339FAB72663}</x14:id>
        </ext>
      </extLst>
    </cfRule>
  </conditionalFormatting>
  <conditionalFormatting sqref="N70">
    <cfRule type="dataBar" priority="4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{7F723141-7A7E-964C-9F26-EE922F2AF66D}</x14:id>
        </ext>
      </extLst>
    </cfRule>
  </conditionalFormatting>
  <conditionalFormatting sqref="N71">
    <cfRule type="dataBar" priority="3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{34B1028D-E8DB-9F49-93E3-67C338239FA9}</x14:id>
        </ext>
      </extLst>
    </cfRule>
  </conditionalFormatting>
  <conditionalFormatting sqref="N72">
    <cfRule type="dataBar" priority="2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{AB6EEEFD-EF9B-294F-8B2F-626ADC623238}</x14:id>
        </ext>
      </extLst>
    </cfRule>
  </conditionalFormatting>
  <conditionalFormatting sqref="N73">
    <cfRule type="dataBar" priority="1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{D96E5A93-E601-C742-A7F8-7CACEE160E63}</x14:id>
        </ext>
      </extLst>
    </cfRule>
  </conditionalFormatting>
  <dataValidations count="4">
    <dataValidation type="list" allowBlank="1" showInputMessage="1" showErrorMessage="1" sqref="D55:D60 D62:D76" xr:uid="{1EF94C39-8619-194C-863B-FA3AADED773C}">
      <formula1>"Straight, Parlay, Boost"</formula1>
    </dataValidation>
    <dataValidation type="list" allowBlank="1" showInputMessage="1" showErrorMessage="1" sqref="M55:M60 G59:I60 J55:J60 G62:J76 M62:M76" xr:uid="{052E7BC5-262B-7D40-8738-E162528CC5AA}">
      <formula1>"Yes, No"</formula1>
    </dataValidation>
    <dataValidation type="list" allowBlank="1" showInputMessage="1" showErrorMessage="1" sqref="B55:B60 B62:B76" xr:uid="{375F8B4B-26BD-CA44-BB1C-79FEDBBCFCAB}">
      <formula1>$X$3:$X$9</formula1>
    </dataValidation>
    <dataValidation type="list" allowBlank="1" showInputMessage="1" showErrorMessage="1" sqref="R55:R60 R62:R76" xr:uid="{2955611E-44A1-2145-86B6-30DA60125C83}">
      <formula1>$X$50:$X$58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5" r:id="rId3" name="Button 35">
              <controlPr defaultSize="0" print="0" autoFill="0" autoPict="0" macro="[0]!ConsolidateSheets2025_AtoS">
                <anchor moveWithCells="1" sizeWithCells="1">
                  <from>
                    <xdr:col>1</xdr:col>
                    <xdr:colOff>63500</xdr:colOff>
                    <xdr:row>33</xdr:row>
                    <xdr:rowOff>63500</xdr:rowOff>
                  </from>
                  <to>
                    <xdr:col>3</xdr:col>
                    <xdr:colOff>927100</xdr:colOff>
                    <xdr:row>40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4E804DE-A3FA-DE42-A0EF-E770E0029ECA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I48</xm:sqref>
        </x14:conditionalFormatting>
        <x14:conditionalFormatting xmlns:xm="http://schemas.microsoft.com/office/excel/2006/main">
          <x14:cfRule type="dataBar" id="{1DEEB9C4-07A7-5C40-86C8-DED81E8A6B89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L4:L15</xm:sqref>
        </x14:conditionalFormatting>
        <x14:conditionalFormatting xmlns:xm="http://schemas.microsoft.com/office/excel/2006/main">
          <x14:cfRule type="dataBar" id="{E81516C4-BDD5-1D4E-9F76-88C158AE6565}">
            <x14:dataBar minLength="0" maxLength="100" gradient="0">
              <x14:cfvo type="num">
                <xm:f>0</xm:f>
              </x14:cfvo>
              <x14:cfvo type="num">
                <xm:f>150</xm:f>
              </x14:cfvo>
              <x14:negativeFillColor rgb="FFFF0000"/>
              <x14:axisColor rgb="FF000000"/>
            </x14:dataBar>
          </x14:cfRule>
          <xm:sqref>M4:M15</xm:sqref>
        </x14:conditionalFormatting>
        <x14:conditionalFormatting xmlns:xm="http://schemas.microsoft.com/office/excel/2006/main">
          <x14:cfRule type="dataBar" id="{C31E9CF3-5285-254D-B490-7A25533E4043}">
            <x14:dataBar minLength="0" maxLength="100" gradient="0">
              <x14:cfvo type="num">
                <xm:f>-10</xm:f>
              </x14:cfvo>
              <x14:cfvo type="num">
                <xm:f>10</xm:f>
              </x14:cfvo>
              <x14:negativeFillColor rgb="FFFF0000"/>
              <x14:axisColor rgb="FF000000"/>
            </x14:dataBar>
          </x14:cfRule>
          <xm:sqref>N4:N15</xm:sqref>
        </x14:conditionalFormatting>
        <x14:conditionalFormatting xmlns:xm="http://schemas.microsoft.com/office/excel/2006/main">
          <x14:cfRule type="dataBar" id="{0D8321E7-4761-9E49-BDB3-806D4D12FA3D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Q4:Q15</xm:sqref>
        </x14:conditionalFormatting>
        <x14:conditionalFormatting xmlns:xm="http://schemas.microsoft.com/office/excel/2006/main">
          <x14:cfRule type="dataBar" id="{897CA69F-273D-2549-840F-30C684571CFF}">
            <x14:dataBar minLength="0" maxLength="100" gradient="0">
              <x14:cfvo type="num">
                <xm:f>0</xm:f>
              </x14:cfvo>
              <x14:cfvo type="num">
                <xm:f>150</xm:f>
              </x14:cfvo>
              <x14:negativeFillColor rgb="FFFF0000"/>
              <x14:axisColor rgb="FF000000"/>
            </x14:dataBar>
          </x14:cfRule>
          <xm:sqref>R4:R15</xm:sqref>
        </x14:conditionalFormatting>
        <x14:conditionalFormatting xmlns:xm="http://schemas.microsoft.com/office/excel/2006/main">
          <x14:cfRule type="dataBar" id="{7568D03E-74CC-F54A-A299-0C812E1570C7}">
            <x14:dataBar minLength="0" maxLength="100" gradient="0">
              <x14:cfvo type="num">
                <xm:f>-10</xm:f>
              </x14:cfvo>
              <x14:cfvo type="num">
                <xm:f>10</xm:f>
              </x14:cfvo>
              <x14:negativeFillColor rgb="FFFF0000"/>
              <x14:axisColor rgb="FF000000"/>
            </x14:dataBar>
          </x14:cfRule>
          <xm:sqref>S4:S15</xm:sqref>
        </x14:conditionalFormatting>
        <x14:conditionalFormatting xmlns:xm="http://schemas.microsoft.com/office/excel/2006/main">
          <x14:cfRule type="dataBar" id="{9CDD08BF-84B4-9648-96D3-5A279E9971EE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D15</xm:sqref>
        </x14:conditionalFormatting>
        <x14:conditionalFormatting xmlns:xm="http://schemas.microsoft.com/office/excel/2006/main">
          <x14:cfRule type="dataBar" id="{3BB14689-1D26-E748-89A6-AA4A560FA90D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D9</xm:sqref>
        </x14:conditionalFormatting>
        <x14:conditionalFormatting xmlns:xm="http://schemas.microsoft.com/office/excel/2006/main">
          <x14:cfRule type="dataBar" id="{B60076B6-E636-A94D-BF24-DD698C97C47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D16</xm:sqref>
        </x14:conditionalFormatting>
        <x14:conditionalFormatting xmlns:xm="http://schemas.microsoft.com/office/excel/2006/main">
          <x14:cfRule type="dataBar" id="{3908BAAC-58CD-6B49-AD27-29F7366C9F1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D10</xm:sqref>
        </x14:conditionalFormatting>
        <x14:conditionalFormatting xmlns:xm="http://schemas.microsoft.com/office/excel/2006/main">
          <x14:cfRule type="dataBar" id="{F51564F8-996D-CD40-BF6D-DF1C5E2D54F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G12:G18</xm:sqref>
        </x14:conditionalFormatting>
        <x14:conditionalFormatting xmlns:xm="http://schemas.microsoft.com/office/excel/2006/main">
          <x14:cfRule type="dataBar" id="{50317A13-D8CD-F44D-8AFF-0B75F9712E65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I41:I43 I26:I31 I3:I9 I34:I38 I12:I18 I21:I23</xm:sqref>
        </x14:conditionalFormatting>
        <x14:conditionalFormatting xmlns:xm="http://schemas.microsoft.com/office/excel/2006/main">
          <x14:cfRule type="dataBar" id="{BCCEB914-FECC-5C47-8ECB-D45E3AE89C1E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I46:I47</xm:sqref>
        </x14:conditionalFormatting>
        <x14:conditionalFormatting xmlns:xm="http://schemas.microsoft.com/office/excel/2006/main">
          <x14:cfRule type="dataBar" id="{181FB47D-A7BD-E148-8168-170168A16F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H3:H58</xm:sqref>
        </x14:conditionalFormatting>
        <x14:conditionalFormatting xmlns:xm="http://schemas.microsoft.com/office/excel/2006/main">
          <x14:cfRule type="dataBar" id="{7EC552B7-A16C-C54F-BDCC-D5A4B15705A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G3:G9</xm:sqref>
        </x14:conditionalFormatting>
        <x14:conditionalFormatting xmlns:xm="http://schemas.microsoft.com/office/excel/2006/main">
          <x14:cfRule type="dataBar" id="{DF1C8DAB-5E40-D641-9950-66D89E8FB0E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G50:G58 G21:G48</xm:sqref>
        </x14:conditionalFormatting>
        <x14:conditionalFormatting xmlns:xm="http://schemas.microsoft.com/office/excel/2006/main">
          <x14:cfRule type="dataBar" id="{0728D87A-DF6C-724D-B0BD-15AA0EE8C42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N54</xm:sqref>
        </x14:conditionalFormatting>
        <x14:conditionalFormatting xmlns:xm="http://schemas.microsoft.com/office/excel/2006/main">
          <x14:cfRule type="dataBar" id="{EEE4BCAD-B1C3-2049-8B02-793756B7068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N55</xm:sqref>
        </x14:conditionalFormatting>
        <x14:conditionalFormatting xmlns:xm="http://schemas.microsoft.com/office/excel/2006/main">
          <x14:cfRule type="dataBar" id="{6AAE7FB2-5090-3948-800D-14FDBEE8416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N56</xm:sqref>
        </x14:conditionalFormatting>
        <x14:conditionalFormatting xmlns:xm="http://schemas.microsoft.com/office/excel/2006/main">
          <x14:cfRule type="dataBar" id="{4090FD1C-B1E5-9E42-A693-B80B06CEEDB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N57</xm:sqref>
        </x14:conditionalFormatting>
        <x14:conditionalFormatting xmlns:xm="http://schemas.microsoft.com/office/excel/2006/main">
          <x14:cfRule type="dataBar" id="{F50F0F51-C98E-FF4E-9B23-45AD2428E8D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N58</xm:sqref>
        </x14:conditionalFormatting>
        <x14:conditionalFormatting xmlns:xm="http://schemas.microsoft.com/office/excel/2006/main">
          <x14:cfRule type="dataBar" id="{B394BF65-DD50-2E48-AA1C-823D3A0B5AC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N59</xm:sqref>
        </x14:conditionalFormatting>
        <x14:conditionalFormatting xmlns:xm="http://schemas.microsoft.com/office/excel/2006/main">
          <x14:cfRule type="dataBar" id="{95B4345D-C4DF-3444-8985-F32FEC9A9E8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N60</xm:sqref>
        </x14:conditionalFormatting>
        <x14:conditionalFormatting xmlns:xm="http://schemas.microsoft.com/office/excel/2006/main">
          <x14:cfRule type="dataBar" id="{EE394555-B0E0-9B4C-B394-52CFB97519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G49</xm:sqref>
        </x14:conditionalFormatting>
        <x14:conditionalFormatting xmlns:xm="http://schemas.microsoft.com/office/excel/2006/main">
          <x14:cfRule type="dataBar" id="{0E180C16-CB75-1D4B-BEA0-78E758B56659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I50:I58</xm:sqref>
        </x14:conditionalFormatting>
        <x14:conditionalFormatting xmlns:xm="http://schemas.microsoft.com/office/excel/2006/main">
          <x14:cfRule type="dataBar" id="{653308CB-455E-E542-A63C-746C3146B29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N76</xm:sqref>
        </x14:conditionalFormatting>
        <x14:conditionalFormatting xmlns:xm="http://schemas.microsoft.com/office/excel/2006/main">
          <x14:cfRule type="dataBar" id="{9C6B5B39-4BDA-EB4D-AE7F-A24CEFED886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N74</xm:sqref>
        </x14:conditionalFormatting>
        <x14:conditionalFormatting xmlns:xm="http://schemas.microsoft.com/office/excel/2006/main">
          <x14:cfRule type="dataBar" id="{E2DC7F81-FCF8-5A44-82D0-8903EFDFE67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N75</xm:sqref>
        </x14:conditionalFormatting>
        <x14:conditionalFormatting xmlns:xm="http://schemas.microsoft.com/office/excel/2006/main">
          <x14:cfRule type="dataBar" id="{EC1BEA52-FB8D-8047-81AD-DCBF5F954FF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N61</xm:sqref>
        </x14:conditionalFormatting>
        <x14:conditionalFormatting xmlns:xm="http://schemas.microsoft.com/office/excel/2006/main">
          <x14:cfRule type="dataBar" id="{905DC22D-B26D-064F-B6D3-09CB3788BC4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N62</xm:sqref>
        </x14:conditionalFormatting>
        <x14:conditionalFormatting xmlns:xm="http://schemas.microsoft.com/office/excel/2006/main">
          <x14:cfRule type="dataBar" id="{C5BE442D-DD95-1347-A754-6E0E9997447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N63</xm:sqref>
        </x14:conditionalFormatting>
        <x14:conditionalFormatting xmlns:xm="http://schemas.microsoft.com/office/excel/2006/main">
          <x14:cfRule type="dataBar" id="{2D119793-8E06-8340-AA82-05C398404F1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N64</xm:sqref>
        </x14:conditionalFormatting>
        <x14:conditionalFormatting xmlns:xm="http://schemas.microsoft.com/office/excel/2006/main">
          <x14:cfRule type="dataBar" id="{71B99E4F-12AC-4F4E-AEE0-C4B69D2478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N65</xm:sqref>
        </x14:conditionalFormatting>
        <x14:conditionalFormatting xmlns:xm="http://schemas.microsoft.com/office/excel/2006/main">
          <x14:cfRule type="dataBar" id="{B60B6DED-850B-1E47-B15E-069C1B69D07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N66</xm:sqref>
        </x14:conditionalFormatting>
        <x14:conditionalFormatting xmlns:xm="http://schemas.microsoft.com/office/excel/2006/main">
          <x14:cfRule type="dataBar" id="{5D189316-49B3-C14B-8942-F186281760B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N67</xm:sqref>
        </x14:conditionalFormatting>
        <x14:conditionalFormatting xmlns:xm="http://schemas.microsoft.com/office/excel/2006/main">
          <x14:cfRule type="dataBar" id="{9D79AFFB-0955-6743-90E0-D1719860569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N68</xm:sqref>
        </x14:conditionalFormatting>
        <x14:conditionalFormatting xmlns:xm="http://schemas.microsoft.com/office/excel/2006/main">
          <x14:cfRule type="dataBar" id="{F07F120E-AF81-9448-91D7-C339FAB7266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N69</xm:sqref>
        </x14:conditionalFormatting>
        <x14:conditionalFormatting xmlns:xm="http://schemas.microsoft.com/office/excel/2006/main">
          <x14:cfRule type="dataBar" id="{7F723141-7A7E-964C-9F26-EE922F2AF6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N70</xm:sqref>
        </x14:conditionalFormatting>
        <x14:conditionalFormatting xmlns:xm="http://schemas.microsoft.com/office/excel/2006/main">
          <x14:cfRule type="dataBar" id="{34B1028D-E8DB-9F49-93E3-67C338239FA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N71</xm:sqref>
        </x14:conditionalFormatting>
        <x14:conditionalFormatting xmlns:xm="http://schemas.microsoft.com/office/excel/2006/main">
          <x14:cfRule type="dataBar" id="{AB6EEEFD-EF9B-294F-8B2F-626ADC62323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N72</xm:sqref>
        </x14:conditionalFormatting>
        <x14:conditionalFormatting xmlns:xm="http://schemas.microsoft.com/office/excel/2006/main">
          <x14:cfRule type="dataBar" id="{D96E5A93-E601-C742-A7F8-7CACEE160E6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N73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05CC1-7C33-B74F-BA12-D2A2BF7FA283}">
  <sheetPr codeName="Sheet3"/>
  <dimension ref="A1:AL581"/>
  <sheetViews>
    <sheetView topLeftCell="C1" zoomScale="80" zoomScaleNormal="80" workbookViewId="0">
      <pane ySplit="1" topLeftCell="A3" activePane="bottomLeft" state="frozen"/>
      <selection pane="bottomLeft" activeCell="B2" sqref="B2:B1048576"/>
    </sheetView>
  </sheetViews>
  <sheetFormatPr baseColWidth="10" defaultRowHeight="16" x14ac:dyDescent="0.2"/>
  <cols>
    <col min="1" max="1" width="11.5" style="18" bestFit="1" customWidth="1"/>
    <col min="4" max="4" width="11.5" bestFit="1" customWidth="1"/>
    <col min="6" max="6" width="14.83203125" bestFit="1" customWidth="1"/>
    <col min="8" max="8" width="12.5" bestFit="1" customWidth="1"/>
    <col min="11" max="11" width="10.83203125" style="7"/>
    <col min="14" max="14" width="13.5" bestFit="1" customWidth="1"/>
    <col min="15" max="15" width="21.1640625" bestFit="1" customWidth="1"/>
    <col min="16" max="16" width="31.33203125" customWidth="1"/>
    <col min="17" max="17" width="24.83203125" customWidth="1"/>
    <col min="18" max="18" width="11.5" customWidth="1"/>
    <col min="19" max="19" width="19.33203125" customWidth="1"/>
    <col min="20" max="20" width="11.6640625" bestFit="1" customWidth="1"/>
    <col min="22" max="22" width="12.6640625" bestFit="1" customWidth="1"/>
    <col min="24" max="24" width="14.83203125" style="32" bestFit="1" customWidth="1"/>
    <col min="26" max="26" width="10.83203125" hidden="1" customWidth="1"/>
    <col min="29" max="29" width="10.83203125" style="18"/>
    <col min="30" max="30" width="11" style="7" customWidth="1"/>
    <col min="31" max="31" width="10.1640625" style="7" bestFit="1" customWidth="1"/>
    <col min="38" max="38" width="0" hidden="1" customWidth="1"/>
  </cols>
  <sheetData>
    <row r="1" spans="1:38" ht="17" thickBot="1" x14ac:dyDescent="0.25">
      <c r="A1" s="56" t="s">
        <v>15</v>
      </c>
      <c r="B1" s="57" t="s">
        <v>10</v>
      </c>
      <c r="C1" s="57" t="s">
        <v>11</v>
      </c>
      <c r="D1" s="57" t="s">
        <v>50</v>
      </c>
      <c r="E1" s="57" t="s">
        <v>12</v>
      </c>
      <c r="F1" s="57" t="s">
        <v>3</v>
      </c>
      <c r="G1" s="57" t="s">
        <v>4</v>
      </c>
      <c r="H1" s="57" t="s">
        <v>60</v>
      </c>
      <c r="I1" s="57" t="s">
        <v>6</v>
      </c>
      <c r="J1" s="57" t="s">
        <v>69</v>
      </c>
      <c r="K1" s="57" t="s">
        <v>7</v>
      </c>
      <c r="L1" s="57" t="s">
        <v>8</v>
      </c>
      <c r="M1" s="57" t="s">
        <v>21</v>
      </c>
      <c r="N1" s="57" t="s">
        <v>9</v>
      </c>
      <c r="O1" s="57" t="s">
        <v>51</v>
      </c>
      <c r="P1" s="57" t="s">
        <v>13</v>
      </c>
      <c r="Q1" s="57" t="s">
        <v>14</v>
      </c>
      <c r="R1" s="57" t="s">
        <v>89</v>
      </c>
      <c r="S1" s="57" t="s">
        <v>61</v>
      </c>
    </row>
    <row r="2" spans="1:38" ht="17" thickBot="1" x14ac:dyDescent="0.25">
      <c r="A2" s="55" t="s">
        <v>86</v>
      </c>
      <c r="F2" t="str">
        <f t="shared" ref="F2:F12" si="0">IF(OR(O2="", P2=""), "", SUM(IF((O2&lt;&gt;"None")*(O2&lt;&gt;""),LEN(O2)-LEN(SUBSTITUTE(O2,",",""))+1,0)) + SUM(IF((P2&lt;&gt;"None")*(P2&lt;&gt;""),LEN(P2)-LEN(SUBSTITUTE(P2,",",""))+1,0)))</f>
        <v/>
      </c>
      <c r="L2" s="7" t="str">
        <f t="shared" ref="L2:L12" si="1">IF(LEN(E2)=0, "", IFERROR(IF(E2&gt;=0, K2 * (1 + E2/100) - K2, K2 / (ABS(E2)/100))+K2, ""))</f>
        <v/>
      </c>
      <c r="N2" s="7" t="str">
        <f t="shared" ref="N2:N12" si="2">IF(M2="Yes",L2-K2,IF(M2="No",-K2,""))</f>
        <v/>
      </c>
      <c r="O2" t="str">
        <f t="shared" ref="O2:O12" si="3">IF(AND(G2="No",H2="No"), "None", "")</f>
        <v/>
      </c>
      <c r="P2" t="str">
        <f t="shared" ref="P2:P12" si="4">IF(I2="No", "None", "")</f>
        <v/>
      </c>
      <c r="Q2" t="str">
        <f t="shared" ref="Q2:Q33" si="5">IF(AND(D2="Straight", M2 = "No"),IF(O2="None",P2,IF(P2="None",O2) ),"")</f>
        <v/>
      </c>
      <c r="S2" t="str">
        <f>""</f>
        <v/>
      </c>
      <c r="T2" s="109" t="s">
        <v>0</v>
      </c>
      <c r="U2" s="110"/>
      <c r="V2" s="4">
        <v>0</v>
      </c>
      <c r="X2" s="79" t="s">
        <v>10</v>
      </c>
      <c r="Y2" s="80" t="s">
        <v>9</v>
      </c>
      <c r="Z2" s="81" t="s">
        <v>84</v>
      </c>
      <c r="AA2" s="82" t="s">
        <v>39</v>
      </c>
      <c r="AC2" s="86" t="s">
        <v>70</v>
      </c>
      <c r="AD2" s="87" t="s">
        <v>9</v>
      </c>
      <c r="AE2" s="88" t="s">
        <v>71</v>
      </c>
    </row>
    <row r="3" spans="1:38" x14ac:dyDescent="0.2">
      <c r="F3" t="str">
        <f t="shared" ref="F3:F11" si="6">IF(OR(O3="", P3=""), "", SUM(IF((O3&lt;&gt;"None")*(O3&lt;&gt;""),LEN(O3)-LEN(SUBSTITUTE(O3,",",""))+1,0)) + SUM(IF((P3&lt;&gt;"None")*(P3&lt;&gt;""),LEN(P3)-LEN(SUBSTITUTE(P3,",",""))+1,0)))</f>
        <v/>
      </c>
      <c r="L3" s="7" t="str">
        <f t="shared" ref="L3:L11" si="7">IF(LEN(E3)=0, "", IFERROR(IF(E3&gt;=0, K3 * (1 + E3/100) - K3, K3 / (ABS(E3)/100))+K3, ""))</f>
        <v/>
      </c>
      <c r="N3" s="7" t="str">
        <f t="shared" ref="N3:N11" si="8">IF(M3="Yes",L3-K3,IF(M3="No",-K3,""))</f>
        <v/>
      </c>
      <c r="O3" t="str">
        <f t="shared" ref="O3:O11" si="9">IF(AND(G3="No",H3="No"), "None", "")</f>
        <v/>
      </c>
      <c r="P3" t="str">
        <f t="shared" ref="P3:P11" si="10">IF(I3="No", "None", "")</f>
        <v/>
      </c>
      <c r="Q3" t="str">
        <f t="shared" si="5"/>
        <v/>
      </c>
      <c r="S3" t="str">
        <f>""</f>
        <v/>
      </c>
      <c r="T3" s="101" t="s">
        <v>1</v>
      </c>
      <c r="U3" s="102"/>
      <c r="V3" s="5">
        <f>V2+V4</f>
        <v>0</v>
      </c>
      <c r="X3" s="47" t="s">
        <v>16</v>
      </c>
      <c r="Y3" s="45">
        <f>SUMIF($B:B,X3,N:N)</f>
        <v>0</v>
      </c>
      <c r="Z3" s="40">
        <f t="shared" ref="Z3:Z9" si="11">COUNTIF(B:B,X3)</f>
        <v>0</v>
      </c>
      <c r="AA3" s="41">
        <f t="shared" ref="AA3:AA9" si="12">IFERROR(COUNTIFS(B:B, X3)/COUNTA($B$2:$B$994),0)</f>
        <v>0</v>
      </c>
      <c r="AC3" s="17" t="str" cm="1">
        <f t="array" ref="AC3">IFERROR(INDEX($AL$2:$AL$300, MATCH(0, COUNTIF($AC$2:AC2, $AL$2:$AL$300) + IF($AL$2:$AL$300="", 1, 0), 0)), "")</f>
        <v/>
      </c>
      <c r="AD3" s="9">
        <f t="shared" ref="AD3:AD25" si="13">IF(ISBLANK(AC3),"",SUMIF(A:A,AC3,N:N))</f>
        <v>0</v>
      </c>
      <c r="AE3" s="19">
        <f>SUM(AD$3:AD3)</f>
        <v>0</v>
      </c>
      <c r="AL3" s="18" t="str">
        <f>IF(COUNTIF($A$2:A2, A2) = 1, A2, "")</f>
        <v/>
      </c>
    </row>
    <row r="4" spans="1:38" ht="17" thickBot="1" x14ac:dyDescent="0.25">
      <c r="F4" t="str">
        <f t="shared" si="6"/>
        <v/>
      </c>
      <c r="L4" s="7" t="str">
        <f t="shared" si="7"/>
        <v/>
      </c>
      <c r="N4" s="7" t="str">
        <f t="shared" si="8"/>
        <v/>
      </c>
      <c r="O4" t="str">
        <f t="shared" si="9"/>
        <v/>
      </c>
      <c r="P4" t="str">
        <f t="shared" si="10"/>
        <v/>
      </c>
      <c r="Q4" t="str">
        <f t="shared" si="5"/>
        <v/>
      </c>
      <c r="S4" t="str">
        <f>""</f>
        <v/>
      </c>
      <c r="T4" s="96" t="s">
        <v>2</v>
      </c>
      <c r="U4" s="97"/>
      <c r="V4" s="10">
        <f>SUM(N2:N1048576)</f>
        <v>0</v>
      </c>
      <c r="X4" s="48" t="s">
        <v>23</v>
      </c>
      <c r="Y4" s="45">
        <f>SUMIF($B:B,X4,N:N)</f>
        <v>0</v>
      </c>
      <c r="Z4" s="34">
        <f t="shared" si="11"/>
        <v>0</v>
      </c>
      <c r="AA4" s="38">
        <f t="shared" si="12"/>
        <v>0</v>
      </c>
      <c r="AC4" s="17" t="str" cm="1">
        <f t="array" ref="AC4">IFERROR(INDEX($AL$2:$AL$300, MATCH(0, COUNTIF($AC$2:AC3, $AL$2:$AL$300) + IF($AL$2:$AL$300="", 1, 0), 0)), "")</f>
        <v/>
      </c>
      <c r="AD4" s="9">
        <f t="shared" si="13"/>
        <v>0</v>
      </c>
      <c r="AE4" s="19">
        <f>SUM(AD$3:AD4)</f>
        <v>0</v>
      </c>
      <c r="AL4" s="18" t="str">
        <f>IF(COUNTIF($A$2:A3, A3) = 1, A3, "")</f>
        <v/>
      </c>
    </row>
    <row r="5" spans="1:38" ht="17" thickBot="1" x14ac:dyDescent="0.25">
      <c r="F5" t="str">
        <f t="shared" si="6"/>
        <v/>
      </c>
      <c r="L5" s="7" t="str">
        <f t="shared" si="7"/>
        <v/>
      </c>
      <c r="N5" s="7" t="str">
        <f t="shared" si="8"/>
        <v/>
      </c>
      <c r="O5" t="str">
        <f t="shared" si="9"/>
        <v/>
      </c>
      <c r="P5" t="str">
        <f t="shared" si="10"/>
        <v/>
      </c>
      <c r="Q5" t="str">
        <f t="shared" si="5"/>
        <v/>
      </c>
      <c r="S5" t="str">
        <f>""</f>
        <v/>
      </c>
      <c r="X5" s="48" t="s">
        <v>24</v>
      </c>
      <c r="Y5" s="45">
        <f>SUMIF($B:B,X5,N:N)</f>
        <v>0</v>
      </c>
      <c r="Z5" s="34">
        <f t="shared" si="11"/>
        <v>0</v>
      </c>
      <c r="AA5" s="38">
        <f t="shared" si="12"/>
        <v>0</v>
      </c>
      <c r="AC5" s="17" t="str" cm="1">
        <f t="array" ref="AC5">IFERROR(INDEX($AL$2:$AL$300, MATCH(0, COUNTIF($AC$2:AC4, $AL$2:$AL$300) + IF($AL$2:$AL$300="", 1, 0), 0)), "")</f>
        <v/>
      </c>
      <c r="AD5" s="9">
        <f t="shared" si="13"/>
        <v>0</v>
      </c>
      <c r="AE5" s="19">
        <f>SUM(AD$3:AD5)</f>
        <v>0</v>
      </c>
      <c r="AL5" s="18" t="str">
        <f>IF(COUNTIF($A$2:A4, A4) = 1, A4, "")</f>
        <v/>
      </c>
    </row>
    <row r="6" spans="1:38" x14ac:dyDescent="0.2">
      <c r="F6" t="str">
        <f t="shared" si="6"/>
        <v/>
      </c>
      <c r="L6" s="7" t="str">
        <f t="shared" si="7"/>
        <v/>
      </c>
      <c r="N6" s="7" t="str">
        <f t="shared" si="8"/>
        <v/>
      </c>
      <c r="O6" t="str">
        <f t="shared" si="9"/>
        <v/>
      </c>
      <c r="P6" t="str">
        <f t="shared" si="10"/>
        <v/>
      </c>
      <c r="Q6" t="str">
        <f t="shared" si="5"/>
        <v/>
      </c>
      <c r="S6" t="str">
        <f>""</f>
        <v/>
      </c>
      <c r="T6" s="109" t="s">
        <v>27</v>
      </c>
      <c r="U6" s="110"/>
      <c r="V6" s="58" t="str">
        <f>Master!D6</f>
        <v>Lions</v>
      </c>
      <c r="X6" s="48" t="s">
        <v>52</v>
      </c>
      <c r="Y6" s="45">
        <f>SUMIF($B:B,X6,N:N)</f>
        <v>0</v>
      </c>
      <c r="Z6" s="34">
        <f t="shared" si="11"/>
        <v>0</v>
      </c>
      <c r="AA6" s="38">
        <f t="shared" si="12"/>
        <v>0</v>
      </c>
      <c r="AC6" s="17" t="str" cm="1">
        <f t="array" ref="AC6">IFERROR(INDEX($AL$2:$AL$300, MATCH(0, COUNTIF($AC$2:AC5, $AL$2:$AL$300) + IF($AL$2:$AL$300="", 1, 0), 0)), "")</f>
        <v/>
      </c>
      <c r="AD6" s="9">
        <f t="shared" si="13"/>
        <v>0</v>
      </c>
      <c r="AE6" s="19">
        <f>SUM(AD$3:AD6)</f>
        <v>0</v>
      </c>
      <c r="AL6" s="18" t="str">
        <f>IF(COUNTIF($A$2:A5, A5) = 1, A5, "")</f>
        <v/>
      </c>
    </row>
    <row r="7" spans="1:38" x14ac:dyDescent="0.2">
      <c r="F7" t="str">
        <f t="shared" si="6"/>
        <v/>
      </c>
      <c r="L7" s="7" t="str">
        <f t="shared" si="7"/>
        <v/>
      </c>
      <c r="N7" s="7" t="str">
        <f t="shared" si="8"/>
        <v/>
      </c>
      <c r="O7" t="str">
        <f t="shared" si="9"/>
        <v/>
      </c>
      <c r="P7" t="str">
        <f t="shared" si="10"/>
        <v/>
      </c>
      <c r="Q7" t="str">
        <f t="shared" si="5"/>
        <v/>
      </c>
      <c r="S7" t="str">
        <f>""</f>
        <v/>
      </c>
      <c r="T7" s="101" t="s">
        <v>99</v>
      </c>
      <c r="U7" s="102"/>
      <c r="V7" s="8" cm="1">
        <f t="array" ref="V7">SUM(IF(ISNUMBER(SEARCH(V6, SUBSTITUTE($O$2:$O$998, ",", ""))), 1, 0))</f>
        <v>0</v>
      </c>
      <c r="X7" s="48" t="s">
        <v>87</v>
      </c>
      <c r="Y7" s="45">
        <f>SUMIF($B:B,X7,N:N)</f>
        <v>0</v>
      </c>
      <c r="Z7" s="34">
        <f t="shared" si="11"/>
        <v>0</v>
      </c>
      <c r="AA7" s="38">
        <f t="shared" si="12"/>
        <v>0</v>
      </c>
      <c r="AC7" s="17" t="str" cm="1">
        <f t="array" ref="AC7">IFERROR(INDEX($AL$2:$AL$300, MATCH(0, COUNTIF($AC$2:AC6, $AL$2:$AL$300) + IF($AL$2:$AL$300="", 1, 0), 0)), "")</f>
        <v/>
      </c>
      <c r="AD7" s="9">
        <f t="shared" si="13"/>
        <v>0</v>
      </c>
      <c r="AE7" s="20">
        <f>SUM(AD$3:AD7)</f>
        <v>0</v>
      </c>
      <c r="AL7" s="18" t="str">
        <f>IF(COUNTIF($A$2:A6, A6) = 1, A6, "")</f>
        <v/>
      </c>
    </row>
    <row r="8" spans="1:38" x14ac:dyDescent="0.2">
      <c r="F8" t="str">
        <f t="shared" si="6"/>
        <v/>
      </c>
      <c r="L8" s="7" t="str">
        <f t="shared" si="7"/>
        <v/>
      </c>
      <c r="N8" s="7" t="str">
        <f t="shared" si="8"/>
        <v/>
      </c>
      <c r="O8" t="str">
        <f t="shared" si="9"/>
        <v/>
      </c>
      <c r="P8" t="str">
        <f t="shared" si="10"/>
        <v/>
      </c>
      <c r="Q8" t="str">
        <f t="shared" si="5"/>
        <v/>
      </c>
      <c r="S8" t="str">
        <f>""</f>
        <v/>
      </c>
      <c r="T8" s="101" t="s">
        <v>100</v>
      </c>
      <c r="U8" s="102"/>
      <c r="V8" s="8" cm="1">
        <f t="array" ref="V8">SUM(IF(ISNUMBER(SEARCH(V6, SUBSTITUTE($Q$2:$Q$998, ",", ""))), 1, 0))</f>
        <v>0</v>
      </c>
      <c r="X8" s="48" t="s">
        <v>85</v>
      </c>
      <c r="Y8" s="45">
        <f>SUMIF($B:B,X8,N:N)</f>
        <v>0</v>
      </c>
      <c r="Z8" s="34">
        <f t="shared" si="11"/>
        <v>0</v>
      </c>
      <c r="AA8" s="38">
        <f t="shared" si="12"/>
        <v>0</v>
      </c>
      <c r="AC8" s="17" t="str" cm="1">
        <f t="array" ref="AC8">IFERROR(INDEX($AL$2:$AL$300, MATCH(0, COUNTIF($AC$2:AC7, $AL$2:$AL$300) + IF($AL$2:$AL$300="", 1, 0), 0)), "")</f>
        <v/>
      </c>
      <c r="AD8" s="9">
        <f t="shared" si="13"/>
        <v>0</v>
      </c>
      <c r="AE8" s="19">
        <f>SUM(AD$3:AD8)</f>
        <v>0</v>
      </c>
      <c r="AL8" s="18" t="str">
        <f>IF(COUNTIF($A$2:A7, A7) = 1, A7, "")</f>
        <v/>
      </c>
    </row>
    <row r="9" spans="1:38" ht="17" thickBot="1" x14ac:dyDescent="0.25">
      <c r="F9" t="str">
        <f t="shared" si="6"/>
        <v/>
      </c>
      <c r="L9" s="7" t="str">
        <f t="shared" si="7"/>
        <v/>
      </c>
      <c r="N9" s="7" t="str">
        <f t="shared" si="8"/>
        <v/>
      </c>
      <c r="O9" t="str">
        <f t="shared" si="9"/>
        <v/>
      </c>
      <c r="P9" t="str">
        <f t="shared" si="10"/>
        <v/>
      </c>
      <c r="Q9" t="str">
        <f t="shared" si="5"/>
        <v/>
      </c>
      <c r="S9" t="str">
        <f>""</f>
        <v/>
      </c>
      <c r="T9" s="101" t="s">
        <v>28</v>
      </c>
      <c r="U9" s="102"/>
      <c r="V9" s="51" t="e">
        <f>1-(V8/V7)</f>
        <v>#DIV/0!</v>
      </c>
      <c r="X9" s="50" t="s">
        <v>53</v>
      </c>
      <c r="Y9" s="44">
        <f>SUMIF($B:B,X9,N:N)</f>
        <v>0</v>
      </c>
      <c r="Z9" s="35">
        <f t="shared" si="11"/>
        <v>0</v>
      </c>
      <c r="AA9" s="39">
        <f t="shared" si="12"/>
        <v>0</v>
      </c>
      <c r="AC9" s="17" t="str" cm="1">
        <f t="array" ref="AC9">IFERROR(INDEX($AL$2:$AL$300, MATCH(0, COUNTIF($AC$2:AC8, $AL$2:$AL$300) + IF($AL$2:$AL$300="", 1, 0), 0)), "")</f>
        <v/>
      </c>
      <c r="AD9" s="9">
        <f t="shared" si="13"/>
        <v>0</v>
      </c>
      <c r="AE9" s="19">
        <f>SUM(AD$3:AD9)</f>
        <v>0</v>
      </c>
      <c r="AL9" s="18" t="str">
        <f>IF(COUNTIF($A$2:A8, A8) = 1, A8, "")</f>
        <v/>
      </c>
    </row>
    <row r="10" spans="1:38" ht="17" thickBot="1" x14ac:dyDescent="0.25">
      <c r="F10" t="str">
        <f t="shared" si="6"/>
        <v/>
      </c>
      <c r="L10" s="7" t="str">
        <f t="shared" si="7"/>
        <v/>
      </c>
      <c r="N10" s="7" t="str">
        <f t="shared" si="8"/>
        <v/>
      </c>
      <c r="O10" t="str">
        <f t="shared" si="9"/>
        <v/>
      </c>
      <c r="P10" t="str">
        <f t="shared" si="10"/>
        <v/>
      </c>
      <c r="Q10" t="str">
        <f t="shared" si="5"/>
        <v/>
      </c>
      <c r="S10" t="str">
        <f>""</f>
        <v/>
      </c>
      <c r="T10" s="115" t="s">
        <v>9</v>
      </c>
      <c r="U10" s="116"/>
      <c r="V10" s="45" cm="1">
        <f t="array" ref="V10">SUMPRODUCT(--($D$2:$D$998="Straight"), --ISNUMBER(SEARCH(V6, SUBSTITUTE($O$2:$O$998, ",", ""))), $N$2:$N$998)</f>
        <v>0</v>
      </c>
      <c r="Y10" s="7"/>
      <c r="AC10" s="17" t="str" cm="1">
        <f t="array" ref="AC10">IFERROR(INDEX($AL$2:$AL$300, MATCH(0, COUNTIF($AC$2:AC9, $AL$2:$AL$300) + IF($AL$2:$AL$300="", 1, 0), 0)), "")</f>
        <v/>
      </c>
      <c r="AD10" s="9">
        <f t="shared" si="13"/>
        <v>0</v>
      </c>
      <c r="AE10" s="19">
        <f>SUM(AD$3:AD10)</f>
        <v>0</v>
      </c>
      <c r="AL10" s="18" t="str">
        <f>IF(COUNTIF($A$2:A9, A9) = 1, A9, "")</f>
        <v/>
      </c>
    </row>
    <row r="11" spans="1:38" ht="17" thickBot="1" x14ac:dyDescent="0.25">
      <c r="F11" t="str">
        <f t="shared" si="6"/>
        <v/>
      </c>
      <c r="L11" s="7" t="str">
        <f t="shared" si="7"/>
        <v/>
      </c>
      <c r="N11" s="7" t="str">
        <f t="shared" si="8"/>
        <v/>
      </c>
      <c r="O11" t="str">
        <f t="shared" si="9"/>
        <v/>
      </c>
      <c r="P11" t="str">
        <f t="shared" si="10"/>
        <v/>
      </c>
      <c r="Q11" t="str">
        <f t="shared" si="5"/>
        <v/>
      </c>
      <c r="S11" t="str">
        <f>""</f>
        <v/>
      </c>
      <c r="T11" s="117" t="s">
        <v>57</v>
      </c>
      <c r="U11" s="118"/>
      <c r="V11" s="119"/>
      <c r="X11" s="79" t="s">
        <v>11</v>
      </c>
      <c r="Y11" s="83" t="s">
        <v>9</v>
      </c>
      <c r="Z11" s="81" t="s">
        <v>84</v>
      </c>
      <c r="AA11" s="82" t="s">
        <v>39</v>
      </c>
      <c r="AC11" s="17" t="str" cm="1">
        <f t="array" ref="AC11">IFERROR(INDEX($AL$2:$AL$300, MATCH(0, COUNTIF($AC$2:AC10, $AL$2:$AL$300) + IF($AL$2:$AL$300="", 1, 0), 0)), "")</f>
        <v/>
      </c>
      <c r="AD11" s="9">
        <f t="shared" si="13"/>
        <v>0</v>
      </c>
      <c r="AE11" s="20">
        <f>SUM(AD$3:AD11)</f>
        <v>0</v>
      </c>
      <c r="AL11" s="18" t="str">
        <f>IF(COUNTIF($A$2:A10, A10) = 1, A10, "")</f>
        <v/>
      </c>
    </row>
    <row r="12" spans="1:38" x14ac:dyDescent="0.2">
      <c r="F12" t="str">
        <f t="shared" si="0"/>
        <v/>
      </c>
      <c r="L12" s="7" t="str">
        <f t="shared" si="1"/>
        <v/>
      </c>
      <c r="N12" s="7" t="str">
        <f t="shared" si="2"/>
        <v/>
      </c>
      <c r="O12" t="str">
        <f t="shared" si="3"/>
        <v/>
      </c>
      <c r="P12" t="str">
        <f t="shared" si="4"/>
        <v/>
      </c>
      <c r="Q12" t="str">
        <f t="shared" si="5"/>
        <v/>
      </c>
      <c r="S12" t="str">
        <f>""</f>
        <v/>
      </c>
      <c r="T12" s="109" t="s">
        <v>22</v>
      </c>
      <c r="U12" s="110"/>
      <c r="V12" s="58" t="str">
        <f>Master!D12</f>
        <v>Josh Allen</v>
      </c>
      <c r="X12" s="47" t="s">
        <v>17</v>
      </c>
      <c r="Y12" s="45">
        <f t="shared" ref="Y12:Y18" si="14">SUMIF(C:C,X12,N:N)</f>
        <v>0</v>
      </c>
      <c r="Z12" s="40">
        <f t="shared" ref="Z12:Z18" si="15">COUNTIF(C:C,X12)</f>
        <v>0</v>
      </c>
      <c r="AA12" s="41">
        <f t="shared" ref="AA12:AA18" si="16">IFERROR(COUNTIFS(C:C, X12)/COUNTA($C$2:$C$994),0)</f>
        <v>0</v>
      </c>
      <c r="AC12" s="17" t="str" cm="1">
        <f t="array" ref="AC12">IFERROR(INDEX($AL$2:$AL$300, MATCH(0, COUNTIF($AC$2:AC11, $AL$2:$AL$300) + IF($AL$2:$AL$300="", 1, 0), 0)), "")</f>
        <v/>
      </c>
      <c r="AD12" s="9">
        <f t="shared" si="13"/>
        <v>0</v>
      </c>
      <c r="AE12" s="19">
        <f>SUM(AD$3:AD12)</f>
        <v>0</v>
      </c>
      <c r="AL12" s="18" t="str">
        <f>IF(COUNTIF($A$2:A11, A11) = 1, A11, "")</f>
        <v/>
      </c>
    </row>
    <row r="13" spans="1:38" x14ac:dyDescent="0.2">
      <c r="F13" t="str">
        <f t="shared" ref="F13:F65" si="17">IF(OR(O13="", P13=""), "", SUM(IF((O13&lt;&gt;"None")*(O13&lt;&gt;""),LEN(O13)-LEN(SUBSTITUTE(O13,",",""))+1,0)) + SUM(IF((P13&lt;&gt;"None")*(P13&lt;&gt;""),LEN(P13)-LEN(SUBSTITUTE(P13,",",""))+1,0)))</f>
        <v/>
      </c>
      <c r="L13" s="7" t="str">
        <f t="shared" ref="L13:L65" si="18">IF(LEN(E13)=0, "", IFERROR(IF(E13&gt;=0, K13 * (1 + E13/100) - K13, K13 / (ABS(E13)/100))+K13, ""))</f>
        <v/>
      </c>
      <c r="N13" s="7" t="str">
        <f t="shared" ref="N13:N65" si="19">IF(M13="Yes",L13-K13,IF(M13="No",-K13,""))</f>
        <v/>
      </c>
      <c r="O13" t="str">
        <f t="shared" ref="O13:O65" si="20">IF(AND(G13="No",H13="No"), "None", "")</f>
        <v/>
      </c>
      <c r="P13" t="str">
        <f t="shared" ref="P13:P17" si="21">IF(I13="No", "None", "")</f>
        <v/>
      </c>
      <c r="Q13" t="str">
        <f t="shared" si="5"/>
        <v/>
      </c>
      <c r="S13" t="str">
        <f>""</f>
        <v/>
      </c>
      <c r="T13" s="101" t="s">
        <v>99</v>
      </c>
      <c r="U13" s="102"/>
      <c r="V13" s="8" cm="1">
        <f t="array" ref="V13">SUM(IF(ISNUMBER(SEARCH(V12, SUBSTITUTE($P$2:$P$998, ",", ""))), 1, 0))</f>
        <v>0</v>
      </c>
      <c r="X13" s="48" t="s">
        <v>19</v>
      </c>
      <c r="Y13" s="43">
        <f t="shared" si="14"/>
        <v>0</v>
      </c>
      <c r="Z13" s="34">
        <f t="shared" si="15"/>
        <v>0</v>
      </c>
      <c r="AA13" s="41">
        <f t="shared" si="16"/>
        <v>0</v>
      </c>
      <c r="AC13" s="17" t="str" cm="1">
        <f t="array" ref="AC13">IFERROR(INDEX($AL$2:$AL$300, MATCH(0, COUNTIF($AC$2:AC12, $AL$2:$AL$300) + IF($AL$2:$AL$300="", 1, 0), 0)), "")</f>
        <v/>
      </c>
      <c r="AD13" s="9">
        <f t="shared" si="13"/>
        <v>0</v>
      </c>
      <c r="AE13" s="19">
        <f>SUM(AD$3:AD13)</f>
        <v>0</v>
      </c>
      <c r="AL13" s="18" t="str">
        <f>IF(COUNTIF($A$2:A12, A12) = 1, A12, "")</f>
        <v/>
      </c>
    </row>
    <row r="14" spans="1:38" x14ac:dyDescent="0.2">
      <c r="F14" t="str">
        <f t="shared" si="17"/>
        <v/>
      </c>
      <c r="L14" s="7" t="str">
        <f t="shared" si="18"/>
        <v/>
      </c>
      <c r="N14" s="7" t="str">
        <f t="shared" si="19"/>
        <v/>
      </c>
      <c r="O14" t="str">
        <f t="shared" si="20"/>
        <v/>
      </c>
      <c r="P14" t="str">
        <f t="shared" si="21"/>
        <v/>
      </c>
      <c r="Q14" t="str">
        <f t="shared" si="5"/>
        <v/>
      </c>
      <c r="S14" t="str">
        <f>""</f>
        <v/>
      </c>
      <c r="T14" s="101" t="s">
        <v>100</v>
      </c>
      <c r="U14" s="102"/>
      <c r="V14" s="8" cm="1">
        <f t="array" ref="V14">SUM(IF(ISNUMBER(SEARCH(V12, SUBSTITUTE($Q$2:$Q$998, ",", ""))), 1, 0))</f>
        <v>0</v>
      </c>
      <c r="X14" s="48" t="s">
        <v>25</v>
      </c>
      <c r="Y14" s="43">
        <f t="shared" si="14"/>
        <v>0</v>
      </c>
      <c r="Z14" s="34">
        <f t="shared" si="15"/>
        <v>0</v>
      </c>
      <c r="AA14" s="41">
        <f t="shared" si="16"/>
        <v>0</v>
      </c>
      <c r="AC14" s="17" t="str" cm="1">
        <f t="array" ref="AC14">IFERROR(INDEX($AL$2:$AL$300, MATCH(0, COUNTIF($AC$2:AC13, $AL$2:$AL$300) + IF($AL$2:$AL$300="", 1, 0), 0)), "")</f>
        <v/>
      </c>
      <c r="AD14" s="9">
        <f t="shared" si="13"/>
        <v>0</v>
      </c>
      <c r="AE14" s="19">
        <f>SUM(AD$3:AD14)</f>
        <v>0</v>
      </c>
      <c r="AL14" s="18" t="str">
        <f>IF(COUNTIF($A$2:A13, A13) = 1, A13, "")</f>
        <v/>
      </c>
    </row>
    <row r="15" spans="1:38" x14ac:dyDescent="0.2">
      <c r="F15" t="str">
        <f t="shared" si="17"/>
        <v/>
      </c>
      <c r="L15" s="7" t="str">
        <f t="shared" si="18"/>
        <v/>
      </c>
      <c r="N15" s="7" t="str">
        <f t="shared" si="19"/>
        <v/>
      </c>
      <c r="O15" t="str">
        <f t="shared" si="20"/>
        <v/>
      </c>
      <c r="P15" t="str">
        <f t="shared" si="21"/>
        <v/>
      </c>
      <c r="Q15" t="str">
        <f t="shared" si="5"/>
        <v/>
      </c>
      <c r="S15" t="str">
        <f>""</f>
        <v/>
      </c>
      <c r="T15" s="101" t="s">
        <v>28</v>
      </c>
      <c r="U15" s="102"/>
      <c r="V15" s="51" t="e">
        <f>1-(V14/V13)</f>
        <v>#DIV/0!</v>
      </c>
      <c r="X15" s="47" t="s">
        <v>26</v>
      </c>
      <c r="Y15" s="43">
        <f t="shared" si="14"/>
        <v>0</v>
      </c>
      <c r="Z15" s="34">
        <f t="shared" si="15"/>
        <v>0</v>
      </c>
      <c r="AA15" s="41">
        <f t="shared" si="16"/>
        <v>0</v>
      </c>
      <c r="AC15" s="17" t="str" cm="1">
        <f t="array" ref="AC15">IFERROR(INDEX($AL$2:$AL$300, MATCH(0, COUNTIF($AC$2:AC14, $AL$2:$AL$300) + IF($AL$2:$AL$300="", 1, 0), 0)), "")</f>
        <v/>
      </c>
      <c r="AD15" s="9">
        <f t="shared" si="13"/>
        <v>0</v>
      </c>
      <c r="AE15" s="20">
        <f>SUM(AD$3:AD15)</f>
        <v>0</v>
      </c>
      <c r="AL15" s="18" t="str">
        <f>IF(COUNTIF($A$2:A14, A14) = 1, A14, "")</f>
        <v/>
      </c>
    </row>
    <row r="16" spans="1:38" ht="17" thickBot="1" x14ac:dyDescent="0.25">
      <c r="F16" t="str">
        <f t="shared" si="17"/>
        <v/>
      </c>
      <c r="L16" s="7" t="str">
        <f t="shared" si="18"/>
        <v/>
      </c>
      <c r="N16" s="7" t="str">
        <f t="shared" si="19"/>
        <v/>
      </c>
      <c r="O16" t="str">
        <f t="shared" si="20"/>
        <v/>
      </c>
      <c r="P16" t="str">
        <f t="shared" si="21"/>
        <v/>
      </c>
      <c r="Q16" t="str">
        <f t="shared" si="5"/>
        <v/>
      </c>
      <c r="S16" t="str">
        <f>""</f>
        <v/>
      </c>
      <c r="T16" s="115" t="s">
        <v>9</v>
      </c>
      <c r="U16" s="116"/>
      <c r="V16" s="45" cm="1">
        <f t="array" ref="V16">SUMPRODUCT(--($D$2:$D$998="Straight"), --ISNUMBER(SEARCH(V12, SUBSTITUTE($P$2:$P$998, ",", ""))), $N$2:$N$998)</f>
        <v>0</v>
      </c>
      <c r="X16" s="48" t="s">
        <v>29</v>
      </c>
      <c r="Y16" s="43">
        <f t="shared" si="14"/>
        <v>0</v>
      </c>
      <c r="Z16" s="34">
        <f t="shared" si="15"/>
        <v>0</v>
      </c>
      <c r="AA16" s="41">
        <f t="shared" si="16"/>
        <v>0</v>
      </c>
      <c r="AC16" s="17" t="str" cm="1">
        <f t="array" ref="AC16">IFERROR(INDEX($AL$2:$AL$300, MATCH(0, COUNTIF($AC$2:AC15, $AL$2:$AL$300) + IF($AL$2:$AL$300="", 1, 0), 0)), "")</f>
        <v/>
      </c>
      <c r="AD16" s="9">
        <f t="shared" si="13"/>
        <v>0</v>
      </c>
      <c r="AE16" s="19">
        <f>SUM(AD$3:AD16)</f>
        <v>0</v>
      </c>
      <c r="AL16" s="18" t="str">
        <f>IF(COUNTIF($A$2:A15, A15) = 1, A15, "")</f>
        <v/>
      </c>
    </row>
    <row r="17" spans="6:38" ht="17" thickBot="1" x14ac:dyDescent="0.25">
      <c r="F17" t="str">
        <f t="shared" si="17"/>
        <v/>
      </c>
      <c r="L17" s="7" t="str">
        <f t="shared" si="18"/>
        <v/>
      </c>
      <c r="N17" s="7" t="str">
        <f t="shared" si="19"/>
        <v/>
      </c>
      <c r="O17" t="str">
        <f t="shared" si="20"/>
        <v/>
      </c>
      <c r="P17" t="str">
        <f t="shared" si="21"/>
        <v/>
      </c>
      <c r="Q17" t="str">
        <f t="shared" si="5"/>
        <v/>
      </c>
      <c r="S17" t="str">
        <f>""</f>
        <v/>
      </c>
      <c r="T17" s="117" t="s">
        <v>57</v>
      </c>
      <c r="U17" s="118"/>
      <c r="V17" s="119"/>
      <c r="X17" s="48" t="s">
        <v>30</v>
      </c>
      <c r="Y17" s="43">
        <f t="shared" si="14"/>
        <v>0</v>
      </c>
      <c r="Z17" s="34">
        <f t="shared" si="15"/>
        <v>0</v>
      </c>
      <c r="AA17" s="41">
        <f t="shared" si="16"/>
        <v>0</v>
      </c>
      <c r="AC17" s="17" t="str" cm="1">
        <f t="array" ref="AC17">IFERROR(INDEX($AL$2:$AL$300, MATCH(0, COUNTIF($AC$2:AC16, $AL$2:$AL$300) + IF($AL$2:$AL$300="", 1, 0), 0)), "")</f>
        <v/>
      </c>
      <c r="AD17" s="9">
        <f t="shared" si="13"/>
        <v>0</v>
      </c>
      <c r="AE17" s="19">
        <f>SUM(AD$3:AD17)</f>
        <v>0</v>
      </c>
      <c r="AL17" s="18" t="str">
        <f>IF(COUNTIF($A$2:A16, A16) = 1, A16, "")</f>
        <v/>
      </c>
    </row>
    <row r="18" spans="6:38" ht="17" thickBot="1" x14ac:dyDescent="0.25">
      <c r="F18" t="str">
        <f t="shared" si="17"/>
        <v/>
      </c>
      <c r="L18" s="7" t="str">
        <f t="shared" si="18"/>
        <v/>
      </c>
      <c r="N18" s="7" t="str">
        <f t="shared" si="19"/>
        <v/>
      </c>
      <c r="O18" t="str">
        <f t="shared" si="20"/>
        <v/>
      </c>
      <c r="P18" t="str">
        <f>IF(I18="No", "None", "")</f>
        <v/>
      </c>
      <c r="Q18" t="str">
        <f t="shared" si="5"/>
        <v/>
      </c>
      <c r="S18" t="str">
        <f>""</f>
        <v/>
      </c>
      <c r="X18" s="50" t="s">
        <v>82</v>
      </c>
      <c r="Y18" s="44">
        <f t="shared" si="14"/>
        <v>0</v>
      </c>
      <c r="Z18" s="35">
        <f t="shared" si="15"/>
        <v>0</v>
      </c>
      <c r="AA18" s="52">
        <f t="shared" si="16"/>
        <v>0</v>
      </c>
      <c r="AC18" s="17" t="str" cm="1">
        <f t="array" ref="AC18">IFERROR(INDEX($AL$2:$AL$300, MATCH(0, COUNTIF($AC$2:AC17, $AL$2:$AL$300) + IF($AL$2:$AL$300="", 1, 0), 0)), "")</f>
        <v/>
      </c>
      <c r="AD18" s="9">
        <f t="shared" si="13"/>
        <v>0</v>
      </c>
      <c r="AE18" s="19">
        <f>SUM(AD$3:AD18)</f>
        <v>0</v>
      </c>
      <c r="AL18" s="18" t="str">
        <f>IF(COUNTIF($A$2:A17, A17) = 1, A17, "")</f>
        <v/>
      </c>
    </row>
    <row r="19" spans="6:38" ht="17" thickBot="1" x14ac:dyDescent="0.25">
      <c r="F19" t="str">
        <f t="shared" si="17"/>
        <v/>
      </c>
      <c r="L19" s="7" t="str">
        <f t="shared" si="18"/>
        <v/>
      </c>
      <c r="N19" s="7" t="str">
        <f t="shared" si="19"/>
        <v/>
      </c>
      <c r="O19" t="str">
        <f t="shared" si="20"/>
        <v/>
      </c>
      <c r="P19" t="str">
        <f t="shared" ref="P19:P82" si="22">IF(I19="No", "None", "")</f>
        <v/>
      </c>
      <c r="Q19" t="str">
        <f t="shared" si="5"/>
        <v/>
      </c>
      <c r="S19" t="str">
        <f>""</f>
        <v/>
      </c>
      <c r="T19" s="103" t="s">
        <v>62</v>
      </c>
      <c r="U19" s="104"/>
      <c r="V19" s="13">
        <f>COUNTA(B:B) - 1</f>
        <v>0</v>
      </c>
      <c r="Y19" s="7"/>
      <c r="AC19" s="17" t="str" cm="1">
        <f t="array" ref="AC19">IFERROR(INDEX($AL$2:$AL$300, MATCH(0, COUNTIF($AC$2:AC18, $AL$2:$AL$300) + IF($AL$2:$AL$300="", 1, 0), 0)), "")</f>
        <v/>
      </c>
      <c r="AD19" s="9">
        <f t="shared" si="13"/>
        <v>0</v>
      </c>
      <c r="AE19" s="20">
        <f>SUM(AD$3:AD19)</f>
        <v>0</v>
      </c>
      <c r="AL19" s="18" t="str">
        <f>IF(COUNTIF($A$2:A18, A18) = 1, A18, "")</f>
        <v/>
      </c>
    </row>
    <row r="20" spans="6:38" ht="17" thickBot="1" x14ac:dyDescent="0.25">
      <c r="F20" t="str">
        <f t="shared" si="17"/>
        <v/>
      </c>
      <c r="L20" s="7" t="str">
        <f t="shared" si="18"/>
        <v/>
      </c>
      <c r="N20" s="7" t="str">
        <f t="shared" si="19"/>
        <v/>
      </c>
      <c r="O20" t="str">
        <f t="shared" si="20"/>
        <v/>
      </c>
      <c r="P20" t="str">
        <f t="shared" si="22"/>
        <v/>
      </c>
      <c r="Q20" t="str">
        <f t="shared" si="5"/>
        <v/>
      </c>
      <c r="S20" t="str">
        <f>""</f>
        <v/>
      </c>
      <c r="T20" s="111" t="s">
        <v>64</v>
      </c>
      <c r="U20" s="112"/>
      <c r="V20" s="24">
        <f>COUNTIF(M:M, "Yes")</f>
        <v>0</v>
      </c>
      <c r="X20" s="79" t="s">
        <v>50</v>
      </c>
      <c r="Y20" s="83" t="s">
        <v>9</v>
      </c>
      <c r="Z20" s="81" t="s">
        <v>84</v>
      </c>
      <c r="AA20" s="82" t="s">
        <v>39</v>
      </c>
      <c r="AC20" s="17" t="str" cm="1">
        <f t="array" ref="AC20">IFERROR(INDEX($AL$2:$AL$300, MATCH(0, COUNTIF($AC$2:AC19, $AL$2:$AL$300) + IF($AL$2:$AL$300="", 1, 0), 0)), "")</f>
        <v/>
      </c>
      <c r="AD20" s="9">
        <f t="shared" si="13"/>
        <v>0</v>
      </c>
      <c r="AE20" s="19">
        <f>SUM(AD$3:AD20)</f>
        <v>0</v>
      </c>
      <c r="AL20" s="18" t="str">
        <f>IF(COUNTIF($A$2:A19, A19) = 1, A19, "")</f>
        <v/>
      </c>
    </row>
    <row r="21" spans="6:38" x14ac:dyDescent="0.2">
      <c r="F21" t="str">
        <f t="shared" si="17"/>
        <v/>
      </c>
      <c r="L21" s="7" t="str">
        <f t="shared" si="18"/>
        <v/>
      </c>
      <c r="N21" s="7" t="str">
        <f t="shared" si="19"/>
        <v/>
      </c>
      <c r="O21" t="str">
        <f t="shared" si="20"/>
        <v/>
      </c>
      <c r="P21" t="str">
        <f t="shared" si="22"/>
        <v/>
      </c>
      <c r="Q21" t="str">
        <f t="shared" si="5"/>
        <v/>
      </c>
      <c r="S21" t="str">
        <f>""</f>
        <v/>
      </c>
      <c r="T21" s="111" t="s">
        <v>65</v>
      </c>
      <c r="U21" s="112"/>
      <c r="V21" s="25">
        <f>COUNTIF(M:M, "No")</f>
        <v>0</v>
      </c>
      <c r="X21" s="47" t="s">
        <v>20</v>
      </c>
      <c r="Y21" s="45">
        <f>SUMIF(D:D,X21,N:N)</f>
        <v>0</v>
      </c>
      <c r="Z21" s="40">
        <f>COUNTIF(D:D,X21)</f>
        <v>0</v>
      </c>
      <c r="AA21" s="41">
        <f>IFERROR(COUNTIFS(D:D, X21)/COUNTA($D$2:$D$994),0)</f>
        <v>0</v>
      </c>
      <c r="AC21" s="17" t="str" cm="1">
        <f t="array" ref="AC21">IFERROR(INDEX($AL$2:$AL$300, MATCH(0, COUNTIF($AC$2:AC20, $AL$2:$AL$300) + IF($AL$2:$AL$300="", 1, 0), 0)), "")</f>
        <v/>
      </c>
      <c r="AD21" s="9">
        <f t="shared" si="13"/>
        <v>0</v>
      </c>
      <c r="AE21" s="19">
        <f>SUM(AD$3:AD21)</f>
        <v>0</v>
      </c>
      <c r="AL21" s="18" t="str">
        <f>IF(COUNTIF($A$2:A20, A20) = 1, A20, "")</f>
        <v/>
      </c>
    </row>
    <row r="22" spans="6:38" ht="17" thickBot="1" x14ac:dyDescent="0.25">
      <c r="F22" t="str">
        <f t="shared" si="17"/>
        <v/>
      </c>
      <c r="L22" s="7" t="str">
        <f t="shared" si="18"/>
        <v/>
      </c>
      <c r="N22" s="7" t="str">
        <f t="shared" si="19"/>
        <v/>
      </c>
      <c r="O22" t="str">
        <f t="shared" si="20"/>
        <v/>
      </c>
      <c r="P22" t="str">
        <f t="shared" si="22"/>
        <v/>
      </c>
      <c r="Q22" t="str">
        <f t="shared" si="5"/>
        <v/>
      </c>
      <c r="S22" t="str">
        <f>""</f>
        <v/>
      </c>
      <c r="T22" s="107" t="s">
        <v>76</v>
      </c>
      <c r="U22" s="108"/>
      <c r="V22" s="14">
        <f>V19-V20-V21</f>
        <v>0</v>
      </c>
      <c r="X22" s="48" t="s">
        <v>18</v>
      </c>
      <c r="Y22" s="45">
        <f>SUMIF(D:D,X22,N:N)</f>
        <v>0</v>
      </c>
      <c r="Z22" s="34">
        <f>COUNTIF(D:D,X22)</f>
        <v>0</v>
      </c>
      <c r="AA22" s="41">
        <f>IFERROR(COUNTIFS(D:D, X22)/COUNTA($D$2:$D$994),0)</f>
        <v>0</v>
      </c>
      <c r="AC22" s="17" t="str" cm="1">
        <f t="array" ref="AC22">IFERROR(INDEX($AL$2:$AL$300, MATCH(0, COUNTIF($AC$2:AC21, $AL$2:$AL$300) + IF($AL$2:$AL$300="", 1, 0), 0)), "")</f>
        <v/>
      </c>
      <c r="AD22" s="9">
        <f t="shared" si="13"/>
        <v>0</v>
      </c>
      <c r="AE22" s="19">
        <f>SUM(AD$3:AD22)</f>
        <v>0</v>
      </c>
      <c r="AL22" s="18" t="str">
        <f>IF(COUNTIF($A$2:A21, A21) = 1, A21, "")</f>
        <v/>
      </c>
    </row>
    <row r="23" spans="6:38" ht="17" thickBot="1" x14ac:dyDescent="0.25">
      <c r="F23" t="str">
        <f t="shared" si="17"/>
        <v/>
      </c>
      <c r="L23" s="7" t="str">
        <f t="shared" si="18"/>
        <v/>
      </c>
      <c r="N23" s="7" t="str">
        <f t="shared" si="19"/>
        <v/>
      </c>
      <c r="O23" t="str">
        <f t="shared" si="20"/>
        <v/>
      </c>
      <c r="P23" t="str">
        <f t="shared" si="22"/>
        <v/>
      </c>
      <c r="Q23" t="str">
        <f t="shared" si="5"/>
        <v/>
      </c>
      <c r="S23" t="str">
        <f>""</f>
        <v/>
      </c>
      <c r="X23" s="50" t="s">
        <v>31</v>
      </c>
      <c r="Y23" s="44">
        <f>SUMIF(D:D,X23,N:N)</f>
        <v>0</v>
      </c>
      <c r="Z23" s="35">
        <f>COUNTIF(D:D,X23)</f>
        <v>0</v>
      </c>
      <c r="AA23" s="52">
        <f>IFERROR(COUNTIFS(D:D, X23)/COUNTA($D$2:$D$994),0)</f>
        <v>0</v>
      </c>
      <c r="AC23" s="17" t="str" cm="1">
        <f t="array" ref="AC23">IFERROR(INDEX($AL$2:$AL$300, MATCH(0, COUNTIF($AC$2:AC22, $AL$2:$AL$300) + IF($AL$2:$AL$300="", 1, 0), 0)), "")</f>
        <v/>
      </c>
      <c r="AD23" s="9">
        <f t="shared" si="13"/>
        <v>0</v>
      </c>
      <c r="AE23" s="20">
        <f>SUM(AD$3:AD23)</f>
        <v>0</v>
      </c>
      <c r="AL23" s="18" t="str">
        <f>IF(COUNTIF($A$2:A22, A22) = 1, A22, "")</f>
        <v/>
      </c>
    </row>
    <row r="24" spans="6:38" ht="17" thickBot="1" x14ac:dyDescent="0.25">
      <c r="F24" t="str">
        <f t="shared" si="17"/>
        <v/>
      </c>
      <c r="L24" s="7" t="str">
        <f t="shared" si="18"/>
        <v/>
      </c>
      <c r="N24" s="7" t="str">
        <f t="shared" si="19"/>
        <v/>
      </c>
      <c r="O24" t="str">
        <f t="shared" si="20"/>
        <v/>
      </c>
      <c r="P24" t="str">
        <f t="shared" si="22"/>
        <v/>
      </c>
      <c r="Q24" t="str">
        <f t="shared" si="5"/>
        <v/>
      </c>
      <c r="S24" t="str">
        <f>""</f>
        <v/>
      </c>
      <c r="Y24" s="60"/>
      <c r="AC24" s="17" t="str" cm="1">
        <f t="array" ref="AC24">IFERROR(INDEX($AL$2:$AL$300, MATCH(0, COUNTIF($AC$2:AC23, $AL$2:$AL$300) + IF($AL$2:$AL$300="", 1, 0), 0)), "")</f>
        <v/>
      </c>
      <c r="AD24" s="9">
        <f t="shared" si="13"/>
        <v>0</v>
      </c>
      <c r="AE24" s="19">
        <f>SUM(AD$3:AD24)</f>
        <v>0</v>
      </c>
      <c r="AL24" s="18" t="str">
        <f>IF(COUNTIF($A$2:A23, A23) = 1, A23, "")</f>
        <v/>
      </c>
    </row>
    <row r="25" spans="6:38" ht="17" thickBot="1" x14ac:dyDescent="0.25">
      <c r="F25" t="str">
        <f t="shared" si="17"/>
        <v/>
      </c>
      <c r="L25" s="7" t="str">
        <f t="shared" si="18"/>
        <v/>
      </c>
      <c r="N25" s="7" t="str">
        <f t="shared" si="19"/>
        <v/>
      </c>
      <c r="O25" t="str">
        <f t="shared" si="20"/>
        <v/>
      </c>
      <c r="P25" t="str">
        <f t="shared" si="22"/>
        <v/>
      </c>
      <c r="Q25" t="str">
        <f t="shared" si="5"/>
        <v/>
      </c>
      <c r="S25" t="str">
        <f>""</f>
        <v/>
      </c>
      <c r="X25" s="79" t="s">
        <v>12</v>
      </c>
      <c r="Y25" s="83" t="s">
        <v>9</v>
      </c>
      <c r="Z25" s="81" t="s">
        <v>84</v>
      </c>
      <c r="AA25" s="82" t="s">
        <v>39</v>
      </c>
      <c r="AC25" s="21" t="str" cm="1">
        <f t="array" ref="AC25">IFERROR(INDEX($AL$2:$AL$300, MATCH(0, COUNTIF($AC$2:AC24, $AL$2:$AL$300) + IF($AL$2:$AL$300="", 1, 0), 0)), "")</f>
        <v/>
      </c>
      <c r="AD25" s="22">
        <f t="shared" si="13"/>
        <v>0</v>
      </c>
      <c r="AE25" s="23">
        <f>SUM(AD$3:AD25)</f>
        <v>0</v>
      </c>
      <c r="AL25" s="18" t="str">
        <f>IF(COUNTIF($A$2:A24, A24) = 1, A24, "")</f>
        <v/>
      </c>
    </row>
    <row r="26" spans="6:38" x14ac:dyDescent="0.2">
      <c r="F26" t="str">
        <f t="shared" si="17"/>
        <v/>
      </c>
      <c r="L26" s="7" t="str">
        <f t="shared" si="18"/>
        <v/>
      </c>
      <c r="N26" s="7" t="str">
        <f t="shared" si="19"/>
        <v/>
      </c>
      <c r="O26" t="str">
        <f t="shared" si="20"/>
        <v/>
      </c>
      <c r="P26" t="str">
        <f t="shared" si="22"/>
        <v/>
      </c>
      <c r="Q26" t="str">
        <f t="shared" si="5"/>
        <v/>
      </c>
      <c r="S26" t="str">
        <f>""</f>
        <v/>
      </c>
      <c r="X26" s="47" t="s">
        <v>32</v>
      </c>
      <c r="Y26" s="45">
        <f>SUMIFS(N:N, E:E, "&lt;-150")</f>
        <v>0</v>
      </c>
      <c r="Z26" s="40">
        <f>COUNTIFS(E:E, "&lt; -150")</f>
        <v>0</v>
      </c>
      <c r="AA26" s="41">
        <f>IFERROR(COUNTIFS(E:E, "&lt; -150")/COUNTA($E$2:$E$993),0)</f>
        <v>0</v>
      </c>
      <c r="AC26" s="59"/>
      <c r="AL26" s="18" t="str">
        <f>IF(COUNTIF($A$2:A25, A25) = 1, A25, "")</f>
        <v/>
      </c>
    </row>
    <row r="27" spans="6:38" x14ac:dyDescent="0.2">
      <c r="F27" t="str">
        <f t="shared" si="17"/>
        <v/>
      </c>
      <c r="L27" s="7" t="str">
        <f t="shared" si="18"/>
        <v/>
      </c>
      <c r="N27" s="7" t="str">
        <f t="shared" si="19"/>
        <v/>
      </c>
      <c r="O27" t="str">
        <f t="shared" si="20"/>
        <v/>
      </c>
      <c r="P27" t="str">
        <f t="shared" si="22"/>
        <v/>
      </c>
      <c r="Q27" t="str">
        <f t="shared" si="5"/>
        <v/>
      </c>
      <c r="S27" t="str">
        <f>""</f>
        <v/>
      </c>
      <c r="X27" s="48" t="s">
        <v>33</v>
      </c>
      <c r="Y27" s="45">
        <f>SUMIFS(N:N, E:E, "&gt;=-150", E:E, "&lt;100")</f>
        <v>0</v>
      </c>
      <c r="Z27" s="34">
        <f>COUNTIFS(E:E, "&lt; 100", E:E, "&gt;=-150")</f>
        <v>0</v>
      </c>
      <c r="AA27" s="38">
        <f>IFERROR(COUNTIFS(E:E, "&lt; 100", E:E, "&gt;=-150")/COUNTA($E$2:$E$6993),0)</f>
        <v>0</v>
      </c>
      <c r="AC27" s="59"/>
      <c r="AL27" s="18" t="str">
        <f>IF(COUNTIF($A$2:A26, A26) = 1, A26, "")</f>
        <v/>
      </c>
    </row>
    <row r="28" spans="6:38" x14ac:dyDescent="0.2">
      <c r="F28" t="str">
        <f t="shared" si="17"/>
        <v/>
      </c>
      <c r="L28" s="7" t="str">
        <f t="shared" si="18"/>
        <v/>
      </c>
      <c r="N28" s="7" t="str">
        <f t="shared" si="19"/>
        <v/>
      </c>
      <c r="O28" t="str">
        <f t="shared" si="20"/>
        <v/>
      </c>
      <c r="P28" t="str">
        <f t="shared" si="22"/>
        <v/>
      </c>
      <c r="Q28" t="str">
        <f t="shared" si="5"/>
        <v/>
      </c>
      <c r="S28" t="str">
        <f>""</f>
        <v/>
      </c>
      <c r="X28" s="48" t="s">
        <v>34</v>
      </c>
      <c r="Y28" s="45">
        <f>SUMIFS(N:N, E:E, "&gt;=100", E:E, "&lt;125")</f>
        <v>0</v>
      </c>
      <c r="Z28" s="34">
        <f>COUNTIFS(E:E, "&lt; 125", E:E, "&gt;=100")</f>
        <v>0</v>
      </c>
      <c r="AA28" s="38">
        <f>IFERROR(COUNTIFS(E:E, "&lt; 125", E:E, "&gt;=100")/COUNTA($E$2:$E$6993),0)</f>
        <v>0</v>
      </c>
      <c r="AC28" s="59"/>
      <c r="AL28" s="18" t="str">
        <f>IF(COUNTIF($A$2:A27, A27) = 1, A27, "")</f>
        <v/>
      </c>
    </row>
    <row r="29" spans="6:38" x14ac:dyDescent="0.2">
      <c r="F29" t="str">
        <f t="shared" si="17"/>
        <v/>
      </c>
      <c r="L29" s="7" t="str">
        <f t="shared" si="18"/>
        <v/>
      </c>
      <c r="N29" s="7" t="str">
        <f t="shared" si="19"/>
        <v/>
      </c>
      <c r="O29" t="str">
        <f t="shared" si="20"/>
        <v/>
      </c>
      <c r="P29" t="str">
        <f t="shared" si="22"/>
        <v/>
      </c>
      <c r="Q29" t="str">
        <f t="shared" si="5"/>
        <v/>
      </c>
      <c r="S29" t="str">
        <f>""</f>
        <v/>
      </c>
      <c r="X29" s="47" t="s">
        <v>35</v>
      </c>
      <c r="Y29" s="45">
        <f>SUMIFS(N:N, E:E, "&gt;=125", E:E, "&lt;150")</f>
        <v>0</v>
      </c>
      <c r="Z29" s="40">
        <f>COUNTIFS(E:E, "&lt; 150", E:E, "&gt;=125")</f>
        <v>0</v>
      </c>
      <c r="AA29" s="41">
        <f>IFERROR(COUNTIFS(E:E, "&lt; 150", E:E, "&gt;=125")/COUNTA($E$2:$E$6993),0)</f>
        <v>0</v>
      </c>
      <c r="AC29" s="59"/>
      <c r="AL29" s="18" t="str">
        <f>IF(COUNTIF($A$2:A28, A28) = 1, A28, "")</f>
        <v/>
      </c>
    </row>
    <row r="30" spans="6:38" x14ac:dyDescent="0.2">
      <c r="F30" t="str">
        <f t="shared" si="17"/>
        <v/>
      </c>
      <c r="L30" s="7" t="str">
        <f t="shared" si="18"/>
        <v/>
      </c>
      <c r="N30" s="7" t="str">
        <f t="shared" si="19"/>
        <v/>
      </c>
      <c r="O30" t="str">
        <f t="shared" si="20"/>
        <v/>
      </c>
      <c r="P30" t="str">
        <f t="shared" si="22"/>
        <v/>
      </c>
      <c r="Q30" t="str">
        <f t="shared" si="5"/>
        <v/>
      </c>
      <c r="S30" t="str">
        <f>""</f>
        <v/>
      </c>
      <c r="X30" s="48" t="s">
        <v>36</v>
      </c>
      <c r="Y30" s="45">
        <f>SUMIFS(N:N, E:E, "&gt;=150", E:E, "&lt;200")</f>
        <v>0</v>
      </c>
      <c r="Z30" s="34">
        <f>COUNTIFS(E:E, "&lt; 200", E:E, "&gt;=150")</f>
        <v>0</v>
      </c>
      <c r="AA30" s="38">
        <f>IFERROR(COUNTIFS(E:E, "&lt; 200", E:E, "&gt;=150")/COUNTA($E$2:$E$6993),0)</f>
        <v>0</v>
      </c>
      <c r="AC30" s="59"/>
      <c r="AL30" s="18" t="str">
        <f>IF(COUNTIF($A$2:A29, A29) = 1, A29, "")</f>
        <v/>
      </c>
    </row>
    <row r="31" spans="6:38" ht="17" thickBot="1" x14ac:dyDescent="0.25">
      <c r="F31" t="str">
        <f t="shared" si="17"/>
        <v/>
      </c>
      <c r="L31" s="7" t="str">
        <f t="shared" si="18"/>
        <v/>
      </c>
      <c r="N31" s="7" t="str">
        <f t="shared" si="19"/>
        <v/>
      </c>
      <c r="O31" t="str">
        <f t="shared" si="20"/>
        <v/>
      </c>
      <c r="P31" t="str">
        <f t="shared" si="22"/>
        <v/>
      </c>
      <c r="Q31" t="str">
        <f t="shared" si="5"/>
        <v/>
      </c>
      <c r="S31" t="str">
        <f>""</f>
        <v/>
      </c>
      <c r="X31" s="49" t="s">
        <v>37</v>
      </c>
      <c r="Y31" s="44">
        <f>SUMIFS(N:N, E:E, "&gt;=200")</f>
        <v>0</v>
      </c>
      <c r="Z31" s="35">
        <f>COUNTIFS(E:E, "&gt;=200")</f>
        <v>0</v>
      </c>
      <c r="AA31" s="39">
        <f>IFERROR(COUNTIFS(E:E, "&gt;=200")/COUNTA($E$2:$E$69993),0)</f>
        <v>0</v>
      </c>
      <c r="AC31" s="59"/>
      <c r="AL31" s="18" t="str">
        <f>IF(COUNTIF($A$2:A30, A30) = 1, A30, "")</f>
        <v/>
      </c>
    </row>
    <row r="32" spans="6:38" ht="17" thickBot="1" x14ac:dyDescent="0.25">
      <c r="F32" t="str">
        <f t="shared" si="17"/>
        <v/>
      </c>
      <c r="L32" s="7" t="str">
        <f t="shared" si="18"/>
        <v/>
      </c>
      <c r="N32" s="7" t="str">
        <f t="shared" si="19"/>
        <v/>
      </c>
      <c r="O32" t="str">
        <f t="shared" si="20"/>
        <v/>
      </c>
      <c r="P32" t="str">
        <f t="shared" si="22"/>
        <v/>
      </c>
      <c r="Q32" t="str">
        <f t="shared" si="5"/>
        <v/>
      </c>
      <c r="S32" t="str">
        <f>""</f>
        <v/>
      </c>
      <c r="Y32" s="60"/>
      <c r="AC32" s="59"/>
      <c r="AL32" s="18" t="str">
        <f>IF(COUNTIF($A$2:A31, A31) = 1, A31, "")</f>
        <v/>
      </c>
    </row>
    <row r="33" spans="6:38" ht="17" thickBot="1" x14ac:dyDescent="0.25">
      <c r="F33" t="str">
        <f t="shared" si="17"/>
        <v/>
      </c>
      <c r="L33" s="7" t="str">
        <f t="shared" si="18"/>
        <v/>
      </c>
      <c r="N33" s="7" t="str">
        <f t="shared" si="19"/>
        <v/>
      </c>
      <c r="O33" t="str">
        <f t="shared" si="20"/>
        <v/>
      </c>
      <c r="P33" t="str">
        <f t="shared" si="22"/>
        <v/>
      </c>
      <c r="Q33" t="str">
        <f t="shared" si="5"/>
        <v/>
      </c>
      <c r="S33" t="str">
        <f>""</f>
        <v/>
      </c>
      <c r="X33" s="79" t="s">
        <v>3</v>
      </c>
      <c r="Y33" s="83" t="s">
        <v>9</v>
      </c>
      <c r="Z33" s="81" t="s">
        <v>84</v>
      </c>
      <c r="AA33" s="82" t="s">
        <v>39</v>
      </c>
      <c r="AC33" s="59"/>
      <c r="AL33" s="18" t="str">
        <f>IF(COUNTIF($A$2:A32, A32) = 1, A32, "")</f>
        <v/>
      </c>
    </row>
    <row r="34" spans="6:38" x14ac:dyDescent="0.2">
      <c r="F34" t="str">
        <f t="shared" si="17"/>
        <v/>
      </c>
      <c r="L34" s="7" t="str">
        <f t="shared" si="18"/>
        <v/>
      </c>
      <c r="N34" s="7" t="str">
        <f t="shared" si="19"/>
        <v/>
      </c>
      <c r="O34" t="str">
        <f t="shared" si="20"/>
        <v/>
      </c>
      <c r="P34" t="str">
        <f t="shared" si="22"/>
        <v/>
      </c>
      <c r="Q34" t="str">
        <f t="shared" ref="Q34:Q65" si="23">IF(AND(D34="Straight", M34 = "No"),IF(O34="None",P34,IF(P34="None",O34) ),"")</f>
        <v/>
      </c>
      <c r="S34" t="str">
        <f>""</f>
        <v/>
      </c>
      <c r="X34" s="47">
        <v>1</v>
      </c>
      <c r="Y34" s="45">
        <f>SUMIFS(N:N, F:F, X34)</f>
        <v>0</v>
      </c>
      <c r="Z34" s="40">
        <f>COUNTIF(F:F,X34)</f>
        <v>0</v>
      </c>
      <c r="AA34" s="41">
        <f>IFERROR(COUNTIFS(F:F, X34)/COUNTA($E$2:$E$993),0)</f>
        <v>0</v>
      </c>
      <c r="AC34" s="59"/>
      <c r="AL34" s="18" t="str">
        <f>IF(COUNTIF($A$2:A33, A33) = 1, A33, "")</f>
        <v/>
      </c>
    </row>
    <row r="35" spans="6:38" x14ac:dyDescent="0.2">
      <c r="F35" t="str">
        <f t="shared" si="17"/>
        <v/>
      </c>
      <c r="L35" s="7" t="str">
        <f t="shared" si="18"/>
        <v/>
      </c>
      <c r="N35" s="7" t="str">
        <f t="shared" si="19"/>
        <v/>
      </c>
      <c r="O35" t="str">
        <f t="shared" si="20"/>
        <v/>
      </c>
      <c r="P35" t="str">
        <f t="shared" si="22"/>
        <v/>
      </c>
      <c r="Q35" t="str">
        <f t="shared" si="23"/>
        <v/>
      </c>
      <c r="S35" t="str">
        <f>""</f>
        <v/>
      </c>
      <c r="X35" s="48">
        <v>2</v>
      </c>
      <c r="Y35" s="45">
        <f>SUMIFS(N:N, F:F, X35)</f>
        <v>0</v>
      </c>
      <c r="Z35" s="34">
        <f>COUNTIF(F:F,X35)</f>
        <v>0</v>
      </c>
      <c r="AA35" s="41">
        <f>IFERROR(COUNTIFS(F:F, X35)/COUNTA($E$2:$E$993),0)</f>
        <v>0</v>
      </c>
      <c r="AC35" s="59"/>
      <c r="AL35" s="18" t="str">
        <f>IF(COUNTIF($A$2:A34, A34) = 1, A34, "")</f>
        <v/>
      </c>
    </row>
    <row r="36" spans="6:38" x14ac:dyDescent="0.2">
      <c r="F36" t="str">
        <f t="shared" si="17"/>
        <v/>
      </c>
      <c r="L36" s="7" t="str">
        <f t="shared" si="18"/>
        <v/>
      </c>
      <c r="N36" s="7" t="str">
        <f t="shared" si="19"/>
        <v/>
      </c>
      <c r="O36" t="str">
        <f t="shared" si="20"/>
        <v/>
      </c>
      <c r="P36" t="str">
        <f t="shared" si="22"/>
        <v/>
      </c>
      <c r="Q36" t="str">
        <f t="shared" si="23"/>
        <v/>
      </c>
      <c r="S36" t="str">
        <f>""</f>
        <v/>
      </c>
      <c r="X36" s="48">
        <v>3</v>
      </c>
      <c r="Y36" s="45">
        <f>SUMIFS(N:N, F:F, X36)</f>
        <v>0</v>
      </c>
      <c r="Z36" s="34">
        <f>COUNTIF(F:F,X36)</f>
        <v>0</v>
      </c>
      <c r="AA36" s="41">
        <f>IFERROR(COUNTIFS(F:F, X36)/COUNTA($E$2:$E$993),0)</f>
        <v>0</v>
      </c>
      <c r="AL36" s="18" t="str">
        <f>IF(COUNTIF($A$2:A35, A35) = 1, A35, "")</f>
        <v/>
      </c>
    </row>
    <row r="37" spans="6:38" x14ac:dyDescent="0.2">
      <c r="F37" t="str">
        <f t="shared" si="17"/>
        <v/>
      </c>
      <c r="L37" s="7" t="str">
        <f t="shared" si="18"/>
        <v/>
      </c>
      <c r="N37" s="7" t="str">
        <f t="shared" si="19"/>
        <v/>
      </c>
      <c r="O37" t="str">
        <f t="shared" si="20"/>
        <v/>
      </c>
      <c r="P37" t="str">
        <f t="shared" si="22"/>
        <v/>
      </c>
      <c r="Q37" t="str">
        <f t="shared" si="23"/>
        <v/>
      </c>
      <c r="S37" t="str">
        <f>""</f>
        <v/>
      </c>
      <c r="X37" s="47">
        <v>4</v>
      </c>
      <c r="Y37" s="45">
        <f>SUMIFS(N:N, F:F, X37)</f>
        <v>0</v>
      </c>
      <c r="Z37" s="34">
        <f>COUNTIF(F:F,X37)</f>
        <v>0</v>
      </c>
      <c r="AA37" s="41">
        <f>IFERROR(COUNTIFS(F:F, X37)/COUNTA($E$2:$E$993),0)</f>
        <v>0</v>
      </c>
      <c r="AL37" s="18" t="str">
        <f>IF(COUNTIF($A$2:A36, A36) = 1, A36, "")</f>
        <v/>
      </c>
    </row>
    <row r="38" spans="6:38" ht="17" thickBot="1" x14ac:dyDescent="0.25">
      <c r="F38" t="str">
        <f t="shared" si="17"/>
        <v/>
      </c>
      <c r="L38" s="7" t="str">
        <f t="shared" si="18"/>
        <v/>
      </c>
      <c r="N38" s="7" t="str">
        <f t="shared" si="19"/>
        <v/>
      </c>
      <c r="O38" t="str">
        <f t="shared" si="20"/>
        <v/>
      </c>
      <c r="P38" t="str">
        <f t="shared" si="22"/>
        <v/>
      </c>
      <c r="Q38" t="str">
        <f t="shared" si="23"/>
        <v/>
      </c>
      <c r="S38" t="str">
        <f>""</f>
        <v/>
      </c>
      <c r="X38" s="49" t="s">
        <v>88</v>
      </c>
      <c r="Y38" s="44">
        <f>SUMIFS(N:N, F:F, "&gt;4")</f>
        <v>0</v>
      </c>
      <c r="Z38" s="35">
        <f>COUNTIF(F:F,"&gt;4")</f>
        <v>0</v>
      </c>
      <c r="AA38" s="52">
        <f>IFERROR(COUNTIFS(F:F, X38)/COUNTA($E$2:$E$993),0)</f>
        <v>0</v>
      </c>
      <c r="AL38" s="18" t="str">
        <f>IF(COUNTIF($A$2:A37, A37) = 1, A37, "")</f>
        <v/>
      </c>
    </row>
    <row r="39" spans="6:38" ht="17" thickBot="1" x14ac:dyDescent="0.25">
      <c r="F39" t="str">
        <f t="shared" si="17"/>
        <v/>
      </c>
      <c r="L39" s="7" t="str">
        <f t="shared" si="18"/>
        <v/>
      </c>
      <c r="N39" s="7" t="str">
        <f t="shared" si="19"/>
        <v/>
      </c>
      <c r="O39" t="str">
        <f t="shared" si="20"/>
        <v/>
      </c>
      <c r="P39" t="str">
        <f t="shared" si="22"/>
        <v/>
      </c>
      <c r="Q39" t="str">
        <f t="shared" si="23"/>
        <v/>
      </c>
      <c r="S39" t="str">
        <f>""</f>
        <v/>
      </c>
      <c r="Y39" s="60"/>
      <c r="AL39" s="18" t="str">
        <f>IF(COUNTIF($A$2:A38, A38) = 1, A38, "")</f>
        <v/>
      </c>
    </row>
    <row r="40" spans="6:38" ht="17" thickBot="1" x14ac:dyDescent="0.25">
      <c r="F40" t="str">
        <f t="shared" si="17"/>
        <v/>
      </c>
      <c r="L40" s="7" t="str">
        <f t="shared" si="18"/>
        <v/>
      </c>
      <c r="N40" s="7" t="str">
        <f t="shared" si="19"/>
        <v/>
      </c>
      <c r="O40" t="str">
        <f t="shared" si="20"/>
        <v/>
      </c>
      <c r="P40" t="str">
        <f t="shared" si="22"/>
        <v/>
      </c>
      <c r="Q40" t="str">
        <f t="shared" si="23"/>
        <v/>
      </c>
      <c r="S40" t="str">
        <f>""</f>
        <v/>
      </c>
      <c r="X40" s="79" t="s">
        <v>38</v>
      </c>
      <c r="Y40" s="83" t="s">
        <v>9</v>
      </c>
      <c r="Z40" s="81" t="s">
        <v>84</v>
      </c>
      <c r="AA40" s="82" t="s">
        <v>39</v>
      </c>
      <c r="AL40" s="18" t="str">
        <f>IF(COUNTIF($A$2:A39, A39) = 1, A39, "")</f>
        <v/>
      </c>
    </row>
    <row r="41" spans="6:38" x14ac:dyDescent="0.2">
      <c r="F41" t="str">
        <f t="shared" si="17"/>
        <v/>
      </c>
      <c r="L41" s="7" t="str">
        <f t="shared" si="18"/>
        <v/>
      </c>
      <c r="N41" s="7" t="str">
        <f t="shared" si="19"/>
        <v/>
      </c>
      <c r="O41" t="str">
        <f t="shared" si="20"/>
        <v/>
      </c>
      <c r="P41" t="str">
        <f t="shared" si="22"/>
        <v/>
      </c>
      <c r="Q41" t="str">
        <f t="shared" si="23"/>
        <v/>
      </c>
      <c r="S41" t="str">
        <f>""</f>
        <v/>
      </c>
      <c r="X41" s="47" t="s">
        <v>4</v>
      </c>
      <c r="Y41" s="45">
        <f>SUMIFS(N:N,G:G, "Yes")</f>
        <v>0</v>
      </c>
      <c r="Z41" s="40">
        <f>COUNTIF(G:G,"Yes")</f>
        <v>0</v>
      </c>
      <c r="AA41" s="41">
        <f>IFERROR(COUNTIFS(G:G, "Yes")/COUNTA($G$2:$G$994),0)</f>
        <v>0</v>
      </c>
      <c r="AL41" s="18" t="str">
        <f>IF(COUNTIF($A$2:A40, A40) = 1, A40, "")</f>
        <v/>
      </c>
    </row>
    <row r="42" spans="6:38" x14ac:dyDescent="0.2">
      <c r="F42" t="str">
        <f t="shared" si="17"/>
        <v/>
      </c>
      <c r="L42" s="7" t="str">
        <f t="shared" si="18"/>
        <v/>
      </c>
      <c r="N42" s="7" t="str">
        <f t="shared" si="19"/>
        <v/>
      </c>
      <c r="O42" t="str">
        <f t="shared" si="20"/>
        <v/>
      </c>
      <c r="P42" t="str">
        <f t="shared" si="22"/>
        <v/>
      </c>
      <c r="Q42" t="str">
        <f t="shared" si="23"/>
        <v/>
      </c>
      <c r="S42" t="str">
        <f>""</f>
        <v/>
      </c>
      <c r="X42" s="48" t="s">
        <v>5</v>
      </c>
      <c r="Y42" s="45">
        <f>SUMIFS(N:N,H:H, "Yes")</f>
        <v>0</v>
      </c>
      <c r="Z42" s="34">
        <f>COUNTIF(H:H,"Yes")</f>
        <v>0</v>
      </c>
      <c r="AA42" s="38">
        <f>IFERROR(COUNTIFS(H:H, "Yes")/COUNTA($G$2:$G$994),0)</f>
        <v>0</v>
      </c>
      <c r="AL42" s="18" t="str">
        <f>IF(COUNTIF($A$2:A41, A41) = 1, A41, "")</f>
        <v/>
      </c>
    </row>
    <row r="43" spans="6:38" ht="17" thickBot="1" x14ac:dyDescent="0.25">
      <c r="F43" t="str">
        <f t="shared" si="17"/>
        <v/>
      </c>
      <c r="L43" s="7" t="str">
        <f t="shared" si="18"/>
        <v/>
      </c>
      <c r="N43" s="7" t="str">
        <f t="shared" si="19"/>
        <v/>
      </c>
      <c r="O43" t="str">
        <f t="shared" si="20"/>
        <v/>
      </c>
      <c r="P43" t="str">
        <f t="shared" si="22"/>
        <v/>
      </c>
      <c r="Q43" t="str">
        <f t="shared" si="23"/>
        <v/>
      </c>
      <c r="S43" t="str">
        <f>""</f>
        <v/>
      </c>
      <c r="X43" s="50" t="s">
        <v>6</v>
      </c>
      <c r="Y43" s="45">
        <f>SUMIFS(N:N,I:I, "Yes")</f>
        <v>0</v>
      </c>
      <c r="Z43" s="42">
        <f>COUNTIF(I:I,"Yes")</f>
        <v>0</v>
      </c>
      <c r="AA43" s="39">
        <f>IFERROR(COUNTIFS(I:I, "Yes")/COUNTA($G$2:$G$994),0)</f>
        <v>0</v>
      </c>
      <c r="AL43" s="18" t="str">
        <f>IF(COUNTIF($A$2:A42, A42) = 1, A42, "")</f>
        <v/>
      </c>
    </row>
    <row r="44" spans="6:38" ht="17" thickBot="1" x14ac:dyDescent="0.25">
      <c r="F44" t="str">
        <f t="shared" si="17"/>
        <v/>
      </c>
      <c r="L44" s="7" t="str">
        <f t="shared" si="18"/>
        <v/>
      </c>
      <c r="N44" s="7" t="str">
        <f t="shared" si="19"/>
        <v/>
      </c>
      <c r="O44" t="str">
        <f t="shared" si="20"/>
        <v/>
      </c>
      <c r="P44" t="str">
        <f t="shared" si="22"/>
        <v/>
      </c>
      <c r="Q44" t="str">
        <f t="shared" si="23"/>
        <v/>
      </c>
      <c r="S44" t="str">
        <f>""</f>
        <v/>
      </c>
      <c r="Y44" s="60"/>
      <c r="AL44" s="18" t="str">
        <f>IF(COUNTIF($A$2:A43, A43) = 1, A43, "")</f>
        <v/>
      </c>
    </row>
    <row r="45" spans="6:38" ht="17" thickBot="1" x14ac:dyDescent="0.25">
      <c r="F45" t="str">
        <f t="shared" si="17"/>
        <v/>
      </c>
      <c r="L45" s="7" t="str">
        <f t="shared" si="18"/>
        <v/>
      </c>
      <c r="N45" s="7" t="str">
        <f t="shared" si="19"/>
        <v/>
      </c>
      <c r="O45" t="str">
        <f t="shared" si="20"/>
        <v/>
      </c>
      <c r="P45" t="str">
        <f t="shared" si="22"/>
        <v/>
      </c>
      <c r="Q45" t="str">
        <f t="shared" si="23"/>
        <v/>
      </c>
      <c r="S45" t="str">
        <f>""</f>
        <v/>
      </c>
      <c r="X45" s="79" t="s">
        <v>74</v>
      </c>
      <c r="Y45" s="83" t="s">
        <v>9</v>
      </c>
      <c r="Z45" s="81" t="s">
        <v>84</v>
      </c>
      <c r="AA45" s="82" t="s">
        <v>39</v>
      </c>
      <c r="AL45" s="18" t="str">
        <f>IF(COUNTIF($A$2:A44, A44) = 1, A44, "")</f>
        <v/>
      </c>
    </row>
    <row r="46" spans="6:38" x14ac:dyDescent="0.2">
      <c r="F46" t="str">
        <f t="shared" si="17"/>
        <v/>
      </c>
      <c r="L46" s="7" t="str">
        <f t="shared" si="18"/>
        <v/>
      </c>
      <c r="N46" s="7" t="str">
        <f t="shared" si="19"/>
        <v/>
      </c>
      <c r="O46" t="str">
        <f t="shared" si="20"/>
        <v/>
      </c>
      <c r="P46" t="str">
        <f t="shared" si="22"/>
        <v/>
      </c>
      <c r="Q46" t="str">
        <f t="shared" si="23"/>
        <v/>
      </c>
      <c r="S46" t="str">
        <f>""</f>
        <v/>
      </c>
      <c r="X46" s="47" t="s">
        <v>75</v>
      </c>
      <c r="Y46" s="45">
        <f>SUMIFS(N:N,J:J,"No")</f>
        <v>0</v>
      </c>
      <c r="Z46" s="40">
        <f>COUNTIF(J:J,"No")</f>
        <v>0</v>
      </c>
      <c r="AA46" s="46">
        <f>IFERROR(COUNTIFS($J$2:$J$1048576, "No")/COUNTA($G$2:$G$994), 0)</f>
        <v>0</v>
      </c>
      <c r="AL46" s="18" t="str">
        <f>IF(COUNTIF($A$2:A45, A45) = 1, A45, "")</f>
        <v/>
      </c>
    </row>
    <row r="47" spans="6:38" ht="17" thickBot="1" x14ac:dyDescent="0.25">
      <c r="F47" t="str">
        <f t="shared" si="17"/>
        <v/>
      </c>
      <c r="L47" s="7" t="str">
        <f t="shared" si="18"/>
        <v/>
      </c>
      <c r="N47" s="7" t="str">
        <f t="shared" si="19"/>
        <v/>
      </c>
      <c r="O47" t="str">
        <f t="shared" si="20"/>
        <v/>
      </c>
      <c r="P47" t="str">
        <f t="shared" si="22"/>
        <v/>
      </c>
      <c r="Q47" t="str">
        <f t="shared" si="23"/>
        <v/>
      </c>
      <c r="S47" t="str">
        <f>""</f>
        <v/>
      </c>
      <c r="X47" s="49" t="s">
        <v>69</v>
      </c>
      <c r="Y47" s="44">
        <f>SUMIFS(N:N,J:J,"Yes")</f>
        <v>0</v>
      </c>
      <c r="Z47" s="35">
        <f>COUNTIF(J:J,"Yes")</f>
        <v>0</v>
      </c>
      <c r="AA47" s="53">
        <f>IFERROR(COUNTIFS($J$2:$J$1048576, "Yes")/COUNTA($G$2:$G$994), 0)</f>
        <v>0</v>
      </c>
      <c r="AL47" s="18" t="str">
        <f>IF(COUNTIF($A$2:A46, A46) = 1, A46, "")</f>
        <v/>
      </c>
    </row>
    <row r="48" spans="6:38" ht="17" thickBot="1" x14ac:dyDescent="0.25">
      <c r="F48" t="str">
        <f t="shared" si="17"/>
        <v/>
      </c>
      <c r="L48" s="7" t="str">
        <f t="shared" si="18"/>
        <v/>
      </c>
      <c r="N48" s="7" t="str">
        <f t="shared" si="19"/>
        <v/>
      </c>
      <c r="O48" t="str">
        <f t="shared" si="20"/>
        <v/>
      </c>
      <c r="P48" t="str">
        <f t="shared" si="22"/>
        <v/>
      </c>
      <c r="Q48" t="str">
        <f t="shared" si="23"/>
        <v/>
      </c>
      <c r="S48" t="str">
        <f>""</f>
        <v/>
      </c>
      <c r="AL48" s="18" t="str">
        <f>IF(COUNTIF($A$2:A47, A47) = 1, A47, "")</f>
        <v/>
      </c>
    </row>
    <row r="49" spans="6:38" ht="17" thickBot="1" x14ac:dyDescent="0.25">
      <c r="F49" t="str">
        <f t="shared" si="17"/>
        <v/>
      </c>
      <c r="L49" s="7" t="str">
        <f t="shared" si="18"/>
        <v/>
      </c>
      <c r="N49" s="7" t="str">
        <f t="shared" si="19"/>
        <v/>
      </c>
      <c r="O49" t="str">
        <f t="shared" si="20"/>
        <v/>
      </c>
      <c r="P49" t="str">
        <f t="shared" si="22"/>
        <v/>
      </c>
      <c r="Q49" t="str">
        <f t="shared" si="23"/>
        <v/>
      </c>
      <c r="S49" t="str">
        <f>""</f>
        <v/>
      </c>
      <c r="X49" s="92" t="s">
        <v>89</v>
      </c>
      <c r="Y49" s="83" t="s">
        <v>9</v>
      </c>
      <c r="Z49" s="81" t="s">
        <v>84</v>
      </c>
      <c r="AA49" s="82" t="s">
        <v>39</v>
      </c>
      <c r="AL49" s="18" t="str">
        <f>IF(COUNTIF($A$2:A48, A48) = 1, A48, "")</f>
        <v/>
      </c>
    </row>
    <row r="50" spans="6:38" x14ac:dyDescent="0.2">
      <c r="F50" t="str">
        <f t="shared" si="17"/>
        <v/>
      </c>
      <c r="L50" s="7" t="str">
        <f t="shared" si="18"/>
        <v/>
      </c>
      <c r="N50" s="7" t="str">
        <f t="shared" si="19"/>
        <v/>
      </c>
      <c r="O50" t="str">
        <f t="shared" si="20"/>
        <v/>
      </c>
      <c r="P50" t="str">
        <f t="shared" si="22"/>
        <v/>
      </c>
      <c r="Q50" t="str">
        <f t="shared" si="23"/>
        <v/>
      </c>
      <c r="S50" t="str">
        <f>""</f>
        <v/>
      </c>
      <c r="X50" s="48" t="str">
        <f>Master!F50</f>
        <v>Source 1</v>
      </c>
      <c r="Y50" s="62">
        <f t="shared" ref="Y50:Y58" si="24">SUMIFS(N:N,R:R,X50)</f>
        <v>0</v>
      </c>
      <c r="Z50" s="63">
        <f t="shared" ref="Z50:Z58" si="25">COUNTIF(R:R,X50)</f>
        <v>0</v>
      </c>
      <c r="AA50" s="54">
        <f t="shared" ref="AA50:AA58" si="26">IFERROR(COUNTIFS(R:R, X50)/COUNTA($R$2:$R$994), 0)</f>
        <v>0</v>
      </c>
      <c r="AL50" s="18" t="str">
        <f>IF(COUNTIF($A$2:A49, A49) = 1, A49, "")</f>
        <v/>
      </c>
    </row>
    <row r="51" spans="6:38" x14ac:dyDescent="0.2">
      <c r="F51" t="str">
        <f t="shared" si="17"/>
        <v/>
      </c>
      <c r="L51" s="7" t="str">
        <f t="shared" si="18"/>
        <v/>
      </c>
      <c r="N51" s="7" t="str">
        <f t="shared" si="19"/>
        <v/>
      </c>
      <c r="O51" t="str">
        <f t="shared" si="20"/>
        <v/>
      </c>
      <c r="P51" t="str">
        <f t="shared" si="22"/>
        <v/>
      </c>
      <c r="Q51" t="str">
        <f t="shared" si="23"/>
        <v/>
      </c>
      <c r="S51" t="str">
        <f>""</f>
        <v/>
      </c>
      <c r="X51" s="48" t="str">
        <f>Master!F51</f>
        <v>Source 2</v>
      </c>
      <c r="Y51" s="45">
        <f t="shared" si="24"/>
        <v>0</v>
      </c>
      <c r="Z51" s="64">
        <f t="shared" si="25"/>
        <v>0</v>
      </c>
      <c r="AA51" s="46">
        <f t="shared" si="26"/>
        <v>0</v>
      </c>
      <c r="AL51" s="18" t="str">
        <f>IF(COUNTIF($A$2:A50, A50) = 1, A50, "")</f>
        <v/>
      </c>
    </row>
    <row r="52" spans="6:38" x14ac:dyDescent="0.2">
      <c r="F52" t="str">
        <f t="shared" si="17"/>
        <v/>
      </c>
      <c r="L52" s="7" t="str">
        <f t="shared" si="18"/>
        <v/>
      </c>
      <c r="N52" s="7" t="str">
        <f t="shared" si="19"/>
        <v/>
      </c>
      <c r="O52" t="str">
        <f t="shared" si="20"/>
        <v/>
      </c>
      <c r="P52" t="str">
        <f t="shared" si="22"/>
        <v/>
      </c>
      <c r="Q52" t="str">
        <f t="shared" si="23"/>
        <v/>
      </c>
      <c r="S52" t="str">
        <f>""</f>
        <v/>
      </c>
      <c r="X52" s="48" t="str">
        <f>Master!F52</f>
        <v>Source 3</v>
      </c>
      <c r="Y52" s="45">
        <f t="shared" si="24"/>
        <v>0</v>
      </c>
      <c r="Z52" s="64">
        <f t="shared" si="25"/>
        <v>0</v>
      </c>
      <c r="AA52" s="46">
        <f t="shared" si="26"/>
        <v>0</v>
      </c>
      <c r="AL52" s="18" t="str">
        <f>IF(COUNTIF($A$2:A51, A51) = 1, A51, "")</f>
        <v/>
      </c>
    </row>
    <row r="53" spans="6:38" x14ac:dyDescent="0.2">
      <c r="F53" t="str">
        <f t="shared" si="17"/>
        <v/>
      </c>
      <c r="L53" s="7" t="str">
        <f t="shared" si="18"/>
        <v/>
      </c>
      <c r="N53" s="7" t="str">
        <f t="shared" si="19"/>
        <v/>
      </c>
      <c r="O53" t="str">
        <f t="shared" si="20"/>
        <v/>
      </c>
      <c r="P53" t="str">
        <f t="shared" si="22"/>
        <v/>
      </c>
      <c r="Q53" t="str">
        <f t="shared" si="23"/>
        <v/>
      </c>
      <c r="S53" t="str">
        <f>""</f>
        <v/>
      </c>
      <c r="X53" s="48" t="str">
        <f>Master!F53</f>
        <v>Source 4</v>
      </c>
      <c r="Y53" s="45">
        <f t="shared" si="24"/>
        <v>0</v>
      </c>
      <c r="Z53" s="64">
        <f t="shared" si="25"/>
        <v>0</v>
      </c>
      <c r="AA53" s="46">
        <f t="shared" si="26"/>
        <v>0</v>
      </c>
      <c r="AL53" s="18" t="str">
        <f>IF(COUNTIF($A$2:A52, A52) = 1, A52, "")</f>
        <v/>
      </c>
    </row>
    <row r="54" spans="6:38" x14ac:dyDescent="0.2">
      <c r="F54" t="str">
        <f t="shared" si="17"/>
        <v/>
      </c>
      <c r="L54" s="7" t="str">
        <f t="shared" si="18"/>
        <v/>
      </c>
      <c r="N54" s="7" t="str">
        <f t="shared" si="19"/>
        <v/>
      </c>
      <c r="O54" t="str">
        <f t="shared" si="20"/>
        <v/>
      </c>
      <c r="P54" t="str">
        <f t="shared" si="22"/>
        <v/>
      </c>
      <c r="Q54" t="str">
        <f t="shared" si="23"/>
        <v/>
      </c>
      <c r="S54" t="str">
        <f>""</f>
        <v/>
      </c>
      <c r="X54" s="48" t="str">
        <f>Master!F54</f>
        <v>Source 5</v>
      </c>
      <c r="Y54" s="45">
        <f t="shared" si="24"/>
        <v>0</v>
      </c>
      <c r="Z54" s="64">
        <f t="shared" si="25"/>
        <v>0</v>
      </c>
      <c r="AA54" s="46">
        <f t="shared" si="26"/>
        <v>0</v>
      </c>
      <c r="AL54" s="18" t="str">
        <f>IF(COUNTIF($A$2:A53, A53) = 1, A53, "")</f>
        <v/>
      </c>
    </row>
    <row r="55" spans="6:38" x14ac:dyDescent="0.2">
      <c r="F55" t="str">
        <f t="shared" si="17"/>
        <v/>
      </c>
      <c r="L55" s="7" t="str">
        <f t="shared" si="18"/>
        <v/>
      </c>
      <c r="N55" s="7" t="str">
        <f t="shared" si="19"/>
        <v/>
      </c>
      <c r="O55" t="str">
        <f t="shared" si="20"/>
        <v/>
      </c>
      <c r="P55" t="str">
        <f t="shared" si="22"/>
        <v/>
      </c>
      <c r="Q55" t="str">
        <f t="shared" si="23"/>
        <v/>
      </c>
      <c r="S55" t="str">
        <f>""</f>
        <v/>
      </c>
      <c r="X55" s="48" t="str">
        <f>Master!F55</f>
        <v>Source 6</v>
      </c>
      <c r="Y55" s="45">
        <f t="shared" si="24"/>
        <v>0</v>
      </c>
      <c r="Z55" s="64">
        <f t="shared" si="25"/>
        <v>0</v>
      </c>
      <c r="AA55" s="46">
        <f t="shared" si="26"/>
        <v>0</v>
      </c>
      <c r="AL55" s="18" t="str">
        <f>IF(COUNTIF($A$2:A54, A54) = 1, A54, "")</f>
        <v/>
      </c>
    </row>
    <row r="56" spans="6:38" x14ac:dyDescent="0.2">
      <c r="F56" t="str">
        <f t="shared" si="17"/>
        <v/>
      </c>
      <c r="L56" s="7" t="str">
        <f t="shared" si="18"/>
        <v/>
      </c>
      <c r="N56" s="7" t="str">
        <f t="shared" si="19"/>
        <v/>
      </c>
      <c r="O56" t="str">
        <f t="shared" si="20"/>
        <v/>
      </c>
      <c r="P56" t="str">
        <f t="shared" si="22"/>
        <v/>
      </c>
      <c r="Q56" t="str">
        <f t="shared" si="23"/>
        <v/>
      </c>
      <c r="S56" t="str">
        <f>""</f>
        <v/>
      </c>
      <c r="X56" s="48" t="str">
        <f>Master!F56</f>
        <v>Source 7</v>
      </c>
      <c r="Y56" s="45">
        <f t="shared" si="24"/>
        <v>0</v>
      </c>
      <c r="Z56" s="64">
        <f t="shared" si="25"/>
        <v>0</v>
      </c>
      <c r="AA56" s="46">
        <f t="shared" si="26"/>
        <v>0</v>
      </c>
      <c r="AL56" s="18" t="str">
        <f>IF(COUNTIF($A$2:A55, A55) = 1, A55, "")</f>
        <v/>
      </c>
    </row>
    <row r="57" spans="6:38" x14ac:dyDescent="0.2">
      <c r="F57" t="str">
        <f t="shared" si="17"/>
        <v/>
      </c>
      <c r="L57" s="7" t="str">
        <f t="shared" si="18"/>
        <v/>
      </c>
      <c r="N57" s="7" t="str">
        <f t="shared" si="19"/>
        <v/>
      </c>
      <c r="O57" t="str">
        <f t="shared" si="20"/>
        <v/>
      </c>
      <c r="P57" t="str">
        <f t="shared" si="22"/>
        <v/>
      </c>
      <c r="Q57" t="str">
        <f t="shared" si="23"/>
        <v/>
      </c>
      <c r="S57" t="str">
        <f>""</f>
        <v/>
      </c>
      <c r="X57" s="48" t="str">
        <f>Master!F57</f>
        <v>Source 8</v>
      </c>
      <c r="Y57" s="45">
        <f t="shared" si="24"/>
        <v>0</v>
      </c>
      <c r="Z57" s="64">
        <f t="shared" si="25"/>
        <v>0</v>
      </c>
      <c r="AA57" s="46">
        <f t="shared" si="26"/>
        <v>0</v>
      </c>
      <c r="AL57" s="18" t="str">
        <f>IF(COUNTIF($A$2:A56, A56) = 1, A56, "")</f>
        <v/>
      </c>
    </row>
    <row r="58" spans="6:38" ht="17" thickBot="1" x14ac:dyDescent="0.25">
      <c r="F58" t="str">
        <f t="shared" si="17"/>
        <v/>
      </c>
      <c r="L58" s="7" t="str">
        <f t="shared" si="18"/>
        <v/>
      </c>
      <c r="N58" s="7" t="str">
        <f t="shared" si="19"/>
        <v/>
      </c>
      <c r="O58" t="str">
        <f t="shared" si="20"/>
        <v/>
      </c>
      <c r="P58" t="str">
        <f t="shared" si="22"/>
        <v/>
      </c>
      <c r="Q58" t="str">
        <f t="shared" si="23"/>
        <v/>
      </c>
      <c r="S58" t="str">
        <f>""</f>
        <v/>
      </c>
      <c r="X58" s="49" t="s">
        <v>90</v>
      </c>
      <c r="Y58" s="44">
        <f t="shared" si="24"/>
        <v>0</v>
      </c>
      <c r="Z58" s="65">
        <f t="shared" si="25"/>
        <v>0</v>
      </c>
      <c r="AA58" s="53">
        <f t="shared" si="26"/>
        <v>0</v>
      </c>
      <c r="AL58" s="18" t="str">
        <f>IF(COUNTIF($A$2:A57, A57) = 1, A57, "")</f>
        <v/>
      </c>
    </row>
    <row r="59" spans="6:38" x14ac:dyDescent="0.2">
      <c r="F59" t="str">
        <f t="shared" si="17"/>
        <v/>
      </c>
      <c r="L59" s="7" t="str">
        <f t="shared" si="18"/>
        <v/>
      </c>
      <c r="N59" s="7" t="str">
        <f t="shared" si="19"/>
        <v/>
      </c>
      <c r="O59" t="str">
        <f t="shared" si="20"/>
        <v/>
      </c>
      <c r="P59" t="str">
        <f t="shared" si="22"/>
        <v/>
      </c>
      <c r="Q59" t="str">
        <f t="shared" si="23"/>
        <v/>
      </c>
      <c r="S59" t="str">
        <f>""</f>
        <v/>
      </c>
      <c r="AL59" s="18" t="str">
        <f>IF(COUNTIF($A$2:A58, A58) = 1, A58, "")</f>
        <v/>
      </c>
    </row>
    <row r="60" spans="6:38" x14ac:dyDescent="0.2">
      <c r="F60" t="str">
        <f t="shared" si="17"/>
        <v/>
      </c>
      <c r="L60" s="7" t="str">
        <f t="shared" si="18"/>
        <v/>
      </c>
      <c r="N60" s="7" t="str">
        <f t="shared" si="19"/>
        <v/>
      </c>
      <c r="O60" t="str">
        <f t="shared" si="20"/>
        <v/>
      </c>
      <c r="P60" t="str">
        <f t="shared" si="22"/>
        <v/>
      </c>
      <c r="Q60" t="str">
        <f t="shared" si="23"/>
        <v/>
      </c>
      <c r="S60" t="str">
        <f>""</f>
        <v/>
      </c>
      <c r="AL60" s="18" t="str">
        <f>IF(COUNTIF($A$2:A59, A59) = 1, A59, "")</f>
        <v/>
      </c>
    </row>
    <row r="61" spans="6:38" x14ac:dyDescent="0.2">
      <c r="F61" t="str">
        <f t="shared" si="17"/>
        <v/>
      </c>
      <c r="L61" s="7" t="str">
        <f t="shared" si="18"/>
        <v/>
      </c>
      <c r="N61" s="7" t="str">
        <f t="shared" si="19"/>
        <v/>
      </c>
      <c r="O61" t="str">
        <f t="shared" si="20"/>
        <v/>
      </c>
      <c r="P61" t="str">
        <f t="shared" si="22"/>
        <v/>
      </c>
      <c r="Q61" t="str">
        <f t="shared" si="23"/>
        <v/>
      </c>
      <c r="S61" t="str">
        <f>""</f>
        <v/>
      </c>
      <c r="AL61" s="18" t="str">
        <f>IF(COUNTIF($A$2:A60, A60) = 1, A60, "")</f>
        <v/>
      </c>
    </row>
    <row r="62" spans="6:38" x14ac:dyDescent="0.2">
      <c r="F62" t="str">
        <f t="shared" si="17"/>
        <v/>
      </c>
      <c r="L62" s="7" t="str">
        <f t="shared" si="18"/>
        <v/>
      </c>
      <c r="N62" s="7" t="str">
        <f t="shared" si="19"/>
        <v/>
      </c>
      <c r="O62" t="str">
        <f t="shared" si="20"/>
        <v/>
      </c>
      <c r="P62" t="str">
        <f t="shared" si="22"/>
        <v/>
      </c>
      <c r="Q62" t="str">
        <f t="shared" si="23"/>
        <v/>
      </c>
      <c r="S62" t="str">
        <f>""</f>
        <v/>
      </c>
      <c r="AL62" s="18" t="str">
        <f>IF(COUNTIF($A$2:A61, A61) = 1, A61, "")</f>
        <v/>
      </c>
    </row>
    <row r="63" spans="6:38" x14ac:dyDescent="0.2">
      <c r="F63" t="str">
        <f t="shared" si="17"/>
        <v/>
      </c>
      <c r="L63" s="7" t="str">
        <f t="shared" si="18"/>
        <v/>
      </c>
      <c r="N63" s="7" t="str">
        <f t="shared" si="19"/>
        <v/>
      </c>
      <c r="O63" t="str">
        <f t="shared" si="20"/>
        <v/>
      </c>
      <c r="P63" t="str">
        <f t="shared" si="22"/>
        <v/>
      </c>
      <c r="Q63" t="str">
        <f t="shared" si="23"/>
        <v/>
      </c>
      <c r="S63" t="str">
        <f>""</f>
        <v/>
      </c>
      <c r="AL63" s="18" t="str">
        <f>IF(COUNTIF($A$2:A62, A62) = 1, A62, "")</f>
        <v/>
      </c>
    </row>
    <row r="64" spans="6:38" x14ac:dyDescent="0.2">
      <c r="F64" t="str">
        <f t="shared" si="17"/>
        <v/>
      </c>
      <c r="L64" s="7" t="str">
        <f t="shared" si="18"/>
        <v/>
      </c>
      <c r="N64" s="7" t="str">
        <f t="shared" si="19"/>
        <v/>
      </c>
      <c r="O64" t="str">
        <f t="shared" si="20"/>
        <v/>
      </c>
      <c r="P64" t="str">
        <f t="shared" si="22"/>
        <v/>
      </c>
      <c r="Q64" t="str">
        <f t="shared" si="23"/>
        <v/>
      </c>
      <c r="S64" t="str">
        <f>""</f>
        <v/>
      </c>
      <c r="AL64" s="18" t="str">
        <f>IF(COUNTIF($A$2:A63, A63) = 1, A63, "")</f>
        <v/>
      </c>
    </row>
    <row r="65" spans="6:38" x14ac:dyDescent="0.2">
      <c r="F65" t="str">
        <f t="shared" si="17"/>
        <v/>
      </c>
      <c r="L65" s="7" t="str">
        <f t="shared" si="18"/>
        <v/>
      </c>
      <c r="N65" s="7" t="str">
        <f t="shared" si="19"/>
        <v/>
      </c>
      <c r="O65" t="str">
        <f t="shared" si="20"/>
        <v/>
      </c>
      <c r="P65" t="str">
        <f t="shared" si="22"/>
        <v/>
      </c>
      <c r="Q65" t="str">
        <f t="shared" si="23"/>
        <v/>
      </c>
      <c r="S65" t="str">
        <f>""</f>
        <v/>
      </c>
      <c r="AL65" s="18" t="str">
        <f>IF(COUNTIF($A$2:A64, A64) = 1, A64, "")</f>
        <v/>
      </c>
    </row>
    <row r="66" spans="6:38" x14ac:dyDescent="0.2">
      <c r="F66" t="str">
        <f t="shared" ref="F66:F129" si="27">IF(OR(O66="", P66=""), "", SUM(IF((O66&lt;&gt;"None")*(O66&lt;&gt;""),LEN(O66)-LEN(SUBSTITUTE(O66,",",""))+1,0)) + SUM(IF((P66&lt;&gt;"None")*(P66&lt;&gt;""),LEN(P66)-LEN(SUBSTITUTE(P66,",",""))+1,0)))</f>
        <v/>
      </c>
      <c r="L66" s="7" t="str">
        <f t="shared" ref="L66:L129" si="28">IF(LEN(E66)=0, "", IFERROR(IF(E66&gt;=0, K66 * (1 + E66/100) - K66, K66 / (ABS(E66)/100))+K66, ""))</f>
        <v/>
      </c>
      <c r="N66" s="7" t="str">
        <f t="shared" ref="N66:N129" si="29">IF(M66="Yes",L66-K66,IF(M66="No",-K66,""))</f>
        <v/>
      </c>
      <c r="O66" t="str">
        <f t="shared" ref="O66:O129" si="30">IF(AND(G66="No",H66="No"), "None", "")</f>
        <v/>
      </c>
      <c r="P66" t="str">
        <f t="shared" si="22"/>
        <v/>
      </c>
      <c r="Q66" t="str">
        <f t="shared" ref="Q66:Q97" si="31">IF(AND(D66="Straight", M66 = "No"),IF(O66="None",P66,IF(P66="None",O66) ),"")</f>
        <v/>
      </c>
      <c r="S66" t="str">
        <f>""</f>
        <v/>
      </c>
      <c r="AL66" s="18" t="str">
        <f>IF(COUNTIF($A$2:A65, A65) = 1, A65, "")</f>
        <v/>
      </c>
    </row>
    <row r="67" spans="6:38" x14ac:dyDescent="0.2">
      <c r="F67" t="str">
        <f t="shared" si="27"/>
        <v/>
      </c>
      <c r="L67" s="7" t="str">
        <f t="shared" si="28"/>
        <v/>
      </c>
      <c r="N67" s="7" t="str">
        <f t="shared" si="29"/>
        <v/>
      </c>
      <c r="O67" t="str">
        <f t="shared" si="30"/>
        <v/>
      </c>
      <c r="P67" t="str">
        <f t="shared" si="22"/>
        <v/>
      </c>
      <c r="Q67" t="str">
        <f t="shared" si="31"/>
        <v/>
      </c>
      <c r="S67" t="str">
        <f>""</f>
        <v/>
      </c>
      <c r="AL67" s="18" t="str">
        <f>IF(COUNTIF($A$2:A66, A66) = 1, A66, "")</f>
        <v/>
      </c>
    </row>
    <row r="68" spans="6:38" x14ac:dyDescent="0.2">
      <c r="F68" t="str">
        <f t="shared" si="27"/>
        <v/>
      </c>
      <c r="L68" s="7" t="str">
        <f t="shared" si="28"/>
        <v/>
      </c>
      <c r="N68" s="7" t="str">
        <f t="shared" si="29"/>
        <v/>
      </c>
      <c r="O68" t="str">
        <f t="shared" si="30"/>
        <v/>
      </c>
      <c r="P68" t="str">
        <f t="shared" si="22"/>
        <v/>
      </c>
      <c r="Q68" t="str">
        <f t="shared" si="31"/>
        <v/>
      </c>
      <c r="S68" t="str">
        <f>""</f>
        <v/>
      </c>
      <c r="AL68" s="18" t="str">
        <f>IF(COUNTIF($A$2:A67, A67) = 1, A67, "")</f>
        <v/>
      </c>
    </row>
    <row r="69" spans="6:38" x14ac:dyDescent="0.2">
      <c r="F69" t="str">
        <f t="shared" si="27"/>
        <v/>
      </c>
      <c r="L69" s="7" t="str">
        <f t="shared" si="28"/>
        <v/>
      </c>
      <c r="N69" s="7" t="str">
        <f t="shared" si="29"/>
        <v/>
      </c>
      <c r="O69" t="str">
        <f t="shared" si="30"/>
        <v/>
      </c>
      <c r="P69" t="str">
        <f t="shared" si="22"/>
        <v/>
      </c>
      <c r="Q69" t="str">
        <f t="shared" si="31"/>
        <v/>
      </c>
      <c r="S69" t="str">
        <f>""</f>
        <v/>
      </c>
      <c r="AL69" s="18" t="str">
        <f>IF(COUNTIF($A$2:A68, A68) = 1, A68, "")</f>
        <v/>
      </c>
    </row>
    <row r="70" spans="6:38" x14ac:dyDescent="0.2">
      <c r="F70" t="str">
        <f t="shared" si="27"/>
        <v/>
      </c>
      <c r="L70" s="7" t="str">
        <f t="shared" si="28"/>
        <v/>
      </c>
      <c r="N70" s="7" t="str">
        <f t="shared" si="29"/>
        <v/>
      </c>
      <c r="O70" t="str">
        <f t="shared" si="30"/>
        <v/>
      </c>
      <c r="P70" t="str">
        <f t="shared" si="22"/>
        <v/>
      </c>
      <c r="Q70" t="str">
        <f t="shared" si="31"/>
        <v/>
      </c>
      <c r="S70" t="str">
        <f>""</f>
        <v/>
      </c>
      <c r="AL70" s="18" t="str">
        <f>IF(COUNTIF($A$2:A69, A69) = 1, A69, "")</f>
        <v/>
      </c>
    </row>
    <row r="71" spans="6:38" x14ac:dyDescent="0.2">
      <c r="F71" t="str">
        <f t="shared" si="27"/>
        <v/>
      </c>
      <c r="L71" s="7" t="str">
        <f t="shared" si="28"/>
        <v/>
      </c>
      <c r="N71" s="7" t="str">
        <f t="shared" si="29"/>
        <v/>
      </c>
      <c r="O71" t="str">
        <f t="shared" si="30"/>
        <v/>
      </c>
      <c r="P71" t="str">
        <f t="shared" si="22"/>
        <v/>
      </c>
      <c r="Q71" t="str">
        <f t="shared" si="31"/>
        <v/>
      </c>
      <c r="S71" t="str">
        <f>""</f>
        <v/>
      </c>
      <c r="AL71" s="18" t="str">
        <f>IF(COUNTIF($A$2:A70, A70) = 1, A70, "")</f>
        <v/>
      </c>
    </row>
    <row r="72" spans="6:38" x14ac:dyDescent="0.2">
      <c r="F72" t="str">
        <f t="shared" si="27"/>
        <v/>
      </c>
      <c r="L72" s="7" t="str">
        <f t="shared" si="28"/>
        <v/>
      </c>
      <c r="N72" s="7" t="str">
        <f t="shared" si="29"/>
        <v/>
      </c>
      <c r="O72" t="str">
        <f t="shared" si="30"/>
        <v/>
      </c>
      <c r="P72" t="str">
        <f t="shared" si="22"/>
        <v/>
      </c>
      <c r="Q72" t="str">
        <f t="shared" si="31"/>
        <v/>
      </c>
      <c r="S72" t="str">
        <f>""</f>
        <v/>
      </c>
      <c r="AL72" s="18" t="str">
        <f>IF(COUNTIF($A$2:A71, A71) = 1, A71, "")</f>
        <v/>
      </c>
    </row>
    <row r="73" spans="6:38" x14ac:dyDescent="0.2">
      <c r="F73" t="str">
        <f t="shared" si="27"/>
        <v/>
      </c>
      <c r="L73" s="7" t="str">
        <f t="shared" si="28"/>
        <v/>
      </c>
      <c r="N73" s="7" t="str">
        <f t="shared" si="29"/>
        <v/>
      </c>
      <c r="O73" t="str">
        <f t="shared" si="30"/>
        <v/>
      </c>
      <c r="P73" t="str">
        <f t="shared" si="22"/>
        <v/>
      </c>
      <c r="Q73" t="str">
        <f t="shared" si="31"/>
        <v/>
      </c>
      <c r="S73" t="str">
        <f>""</f>
        <v/>
      </c>
      <c r="AL73" s="18" t="str">
        <f>IF(COUNTIF($A$2:A72, A72) = 1, A72, "")</f>
        <v/>
      </c>
    </row>
    <row r="74" spans="6:38" x14ac:dyDescent="0.2">
      <c r="F74" t="str">
        <f t="shared" si="27"/>
        <v/>
      </c>
      <c r="L74" s="7" t="str">
        <f t="shared" si="28"/>
        <v/>
      </c>
      <c r="N74" s="7" t="str">
        <f t="shared" si="29"/>
        <v/>
      </c>
      <c r="O74" t="str">
        <f t="shared" si="30"/>
        <v/>
      </c>
      <c r="P74" t="str">
        <f t="shared" si="22"/>
        <v/>
      </c>
      <c r="Q74" t="str">
        <f t="shared" si="31"/>
        <v/>
      </c>
      <c r="S74" t="str">
        <f>""</f>
        <v/>
      </c>
      <c r="AL74" s="18" t="str">
        <f>IF(COUNTIF($A$2:A73, A73) = 1, A73, "")</f>
        <v/>
      </c>
    </row>
    <row r="75" spans="6:38" x14ac:dyDescent="0.2">
      <c r="F75" t="str">
        <f t="shared" si="27"/>
        <v/>
      </c>
      <c r="L75" s="7" t="str">
        <f t="shared" si="28"/>
        <v/>
      </c>
      <c r="N75" s="7" t="str">
        <f t="shared" si="29"/>
        <v/>
      </c>
      <c r="O75" t="str">
        <f t="shared" si="30"/>
        <v/>
      </c>
      <c r="P75" t="str">
        <f t="shared" si="22"/>
        <v/>
      </c>
      <c r="Q75" t="str">
        <f t="shared" si="31"/>
        <v/>
      </c>
      <c r="S75" t="str">
        <f>""</f>
        <v/>
      </c>
      <c r="AL75" s="18" t="str">
        <f>IF(COUNTIF($A$2:A74, A74) = 1, A74, "")</f>
        <v/>
      </c>
    </row>
    <row r="76" spans="6:38" x14ac:dyDescent="0.2">
      <c r="F76" t="str">
        <f t="shared" si="27"/>
        <v/>
      </c>
      <c r="L76" s="7" t="str">
        <f t="shared" si="28"/>
        <v/>
      </c>
      <c r="N76" s="7" t="str">
        <f t="shared" si="29"/>
        <v/>
      </c>
      <c r="O76" t="str">
        <f t="shared" si="30"/>
        <v/>
      </c>
      <c r="P76" t="str">
        <f t="shared" si="22"/>
        <v/>
      </c>
      <c r="Q76" t="str">
        <f t="shared" si="31"/>
        <v/>
      </c>
      <c r="S76" t="str">
        <f>""</f>
        <v/>
      </c>
      <c r="AL76" s="18" t="str">
        <f>IF(COUNTIF($A$2:A75, A75) = 1, A75, "")</f>
        <v/>
      </c>
    </row>
    <row r="77" spans="6:38" x14ac:dyDescent="0.2">
      <c r="F77" t="str">
        <f t="shared" si="27"/>
        <v/>
      </c>
      <c r="L77" s="7" t="str">
        <f t="shared" si="28"/>
        <v/>
      </c>
      <c r="N77" s="7" t="str">
        <f t="shared" si="29"/>
        <v/>
      </c>
      <c r="O77" t="str">
        <f t="shared" si="30"/>
        <v/>
      </c>
      <c r="P77" t="str">
        <f t="shared" si="22"/>
        <v/>
      </c>
      <c r="Q77" t="str">
        <f t="shared" si="31"/>
        <v/>
      </c>
      <c r="S77" t="str">
        <f>""</f>
        <v/>
      </c>
      <c r="AL77" s="18" t="str">
        <f>IF(COUNTIF($A$2:A76, A76) = 1, A76, "")</f>
        <v/>
      </c>
    </row>
    <row r="78" spans="6:38" x14ac:dyDescent="0.2">
      <c r="F78" t="str">
        <f t="shared" si="27"/>
        <v/>
      </c>
      <c r="L78" s="7" t="str">
        <f t="shared" si="28"/>
        <v/>
      </c>
      <c r="N78" s="7" t="str">
        <f t="shared" si="29"/>
        <v/>
      </c>
      <c r="O78" t="str">
        <f t="shared" si="30"/>
        <v/>
      </c>
      <c r="P78" t="str">
        <f t="shared" si="22"/>
        <v/>
      </c>
      <c r="Q78" t="str">
        <f t="shared" si="31"/>
        <v/>
      </c>
      <c r="S78" t="str">
        <f>""</f>
        <v/>
      </c>
      <c r="AL78" s="18" t="str">
        <f>IF(COUNTIF($A$2:A77, A77) = 1, A77, "")</f>
        <v/>
      </c>
    </row>
    <row r="79" spans="6:38" x14ac:dyDescent="0.2">
      <c r="F79" t="str">
        <f t="shared" si="27"/>
        <v/>
      </c>
      <c r="L79" s="7" t="str">
        <f t="shared" si="28"/>
        <v/>
      </c>
      <c r="N79" s="7" t="str">
        <f t="shared" si="29"/>
        <v/>
      </c>
      <c r="O79" t="str">
        <f t="shared" si="30"/>
        <v/>
      </c>
      <c r="P79" t="str">
        <f t="shared" si="22"/>
        <v/>
      </c>
      <c r="Q79" t="str">
        <f t="shared" si="31"/>
        <v/>
      </c>
      <c r="S79" t="str">
        <f>""</f>
        <v/>
      </c>
      <c r="AL79" s="18" t="str">
        <f>IF(COUNTIF($A$2:A78, A78) = 1, A78, "")</f>
        <v/>
      </c>
    </row>
    <row r="80" spans="6:38" x14ac:dyDescent="0.2">
      <c r="F80" t="str">
        <f t="shared" si="27"/>
        <v/>
      </c>
      <c r="L80" s="7" t="str">
        <f t="shared" si="28"/>
        <v/>
      </c>
      <c r="N80" s="7" t="str">
        <f t="shared" si="29"/>
        <v/>
      </c>
      <c r="O80" t="str">
        <f t="shared" si="30"/>
        <v/>
      </c>
      <c r="P80" t="str">
        <f t="shared" si="22"/>
        <v/>
      </c>
      <c r="Q80" t="str">
        <f t="shared" si="31"/>
        <v/>
      </c>
      <c r="S80" t="str">
        <f>""</f>
        <v/>
      </c>
      <c r="AL80" s="18" t="str">
        <f>IF(COUNTIF($A$2:A79, A79) = 1, A79, "")</f>
        <v/>
      </c>
    </row>
    <row r="81" spans="6:38" x14ac:dyDescent="0.2">
      <c r="F81" t="str">
        <f t="shared" si="27"/>
        <v/>
      </c>
      <c r="L81" s="7" t="str">
        <f t="shared" si="28"/>
        <v/>
      </c>
      <c r="N81" s="7" t="str">
        <f t="shared" si="29"/>
        <v/>
      </c>
      <c r="O81" t="str">
        <f t="shared" si="30"/>
        <v/>
      </c>
      <c r="P81" t="str">
        <f t="shared" si="22"/>
        <v/>
      </c>
      <c r="Q81" t="str">
        <f t="shared" si="31"/>
        <v/>
      </c>
      <c r="S81" t="str">
        <f>""</f>
        <v/>
      </c>
      <c r="AL81" s="18" t="str">
        <f>IF(COUNTIF($A$2:A80, A80) = 1, A80, "")</f>
        <v/>
      </c>
    </row>
    <row r="82" spans="6:38" x14ac:dyDescent="0.2">
      <c r="F82" t="str">
        <f t="shared" si="27"/>
        <v/>
      </c>
      <c r="L82" s="7" t="str">
        <f t="shared" si="28"/>
        <v/>
      </c>
      <c r="N82" s="7" t="str">
        <f t="shared" si="29"/>
        <v/>
      </c>
      <c r="O82" t="str">
        <f t="shared" si="30"/>
        <v/>
      </c>
      <c r="P82" t="str">
        <f t="shared" si="22"/>
        <v/>
      </c>
      <c r="Q82" t="str">
        <f t="shared" si="31"/>
        <v/>
      </c>
      <c r="S82" t="str">
        <f>""</f>
        <v/>
      </c>
      <c r="AL82" s="18" t="str">
        <f>IF(COUNTIF($A$2:A81, A81) = 1, A81, "")</f>
        <v/>
      </c>
    </row>
    <row r="83" spans="6:38" x14ac:dyDescent="0.2">
      <c r="F83" t="str">
        <f t="shared" si="27"/>
        <v/>
      </c>
      <c r="L83" s="7" t="str">
        <f t="shared" si="28"/>
        <v/>
      </c>
      <c r="N83" s="7" t="str">
        <f t="shared" si="29"/>
        <v/>
      </c>
      <c r="O83" t="str">
        <f t="shared" si="30"/>
        <v/>
      </c>
      <c r="P83" t="str">
        <f t="shared" ref="P83:P143" si="32">IF(I83="No", "None", "")</f>
        <v/>
      </c>
      <c r="Q83" t="str">
        <f t="shared" si="31"/>
        <v/>
      </c>
      <c r="S83" t="str">
        <f>""</f>
        <v/>
      </c>
      <c r="AL83" s="18" t="str">
        <f>IF(COUNTIF($A$2:A82, A82) = 1, A82, "")</f>
        <v/>
      </c>
    </row>
    <row r="84" spans="6:38" x14ac:dyDescent="0.2">
      <c r="F84" t="str">
        <f t="shared" si="27"/>
        <v/>
      </c>
      <c r="L84" s="7" t="str">
        <f t="shared" si="28"/>
        <v/>
      </c>
      <c r="N84" s="7" t="str">
        <f t="shared" si="29"/>
        <v/>
      </c>
      <c r="O84" t="str">
        <f t="shared" si="30"/>
        <v/>
      </c>
      <c r="P84" t="str">
        <f t="shared" si="32"/>
        <v/>
      </c>
      <c r="Q84" t="str">
        <f t="shared" si="31"/>
        <v/>
      </c>
      <c r="S84" t="str">
        <f>""</f>
        <v/>
      </c>
      <c r="AL84" s="18" t="str">
        <f>IF(COUNTIF($A$2:A83, A83) = 1, A83, "")</f>
        <v/>
      </c>
    </row>
    <row r="85" spans="6:38" x14ac:dyDescent="0.2">
      <c r="F85" t="str">
        <f t="shared" si="27"/>
        <v/>
      </c>
      <c r="L85" s="7" t="str">
        <f t="shared" si="28"/>
        <v/>
      </c>
      <c r="N85" s="7" t="str">
        <f t="shared" si="29"/>
        <v/>
      </c>
      <c r="O85" t="str">
        <f t="shared" si="30"/>
        <v/>
      </c>
      <c r="P85" t="str">
        <f t="shared" si="32"/>
        <v/>
      </c>
      <c r="Q85" t="str">
        <f t="shared" si="31"/>
        <v/>
      </c>
      <c r="S85" t="str">
        <f>""</f>
        <v/>
      </c>
      <c r="AL85" s="18" t="str">
        <f>IF(COUNTIF($A$2:A84, A84) = 1, A84, "")</f>
        <v/>
      </c>
    </row>
    <row r="86" spans="6:38" x14ac:dyDescent="0.2">
      <c r="F86" t="str">
        <f t="shared" si="27"/>
        <v/>
      </c>
      <c r="L86" s="7" t="str">
        <f t="shared" si="28"/>
        <v/>
      </c>
      <c r="N86" s="7" t="str">
        <f t="shared" si="29"/>
        <v/>
      </c>
      <c r="O86" t="str">
        <f t="shared" si="30"/>
        <v/>
      </c>
      <c r="P86" t="str">
        <f t="shared" si="32"/>
        <v/>
      </c>
      <c r="Q86" t="str">
        <f t="shared" si="31"/>
        <v/>
      </c>
      <c r="S86" t="str">
        <f>""</f>
        <v/>
      </c>
      <c r="AL86" s="18" t="str">
        <f>IF(COUNTIF($A$2:A85, A85) = 1, A85, "")</f>
        <v/>
      </c>
    </row>
    <row r="87" spans="6:38" x14ac:dyDescent="0.2">
      <c r="F87" t="str">
        <f t="shared" si="27"/>
        <v/>
      </c>
      <c r="L87" s="7" t="str">
        <f t="shared" si="28"/>
        <v/>
      </c>
      <c r="N87" s="7" t="str">
        <f t="shared" si="29"/>
        <v/>
      </c>
      <c r="O87" t="str">
        <f t="shared" si="30"/>
        <v/>
      </c>
      <c r="P87" t="str">
        <f t="shared" si="32"/>
        <v/>
      </c>
      <c r="Q87" t="str">
        <f t="shared" si="31"/>
        <v/>
      </c>
      <c r="S87" t="str">
        <f>""</f>
        <v/>
      </c>
      <c r="AL87" s="18" t="str">
        <f>IF(COUNTIF($A$2:A86, A86) = 1, A86, "")</f>
        <v/>
      </c>
    </row>
    <row r="88" spans="6:38" x14ac:dyDescent="0.2">
      <c r="F88" t="str">
        <f t="shared" si="27"/>
        <v/>
      </c>
      <c r="L88" s="7" t="str">
        <f t="shared" si="28"/>
        <v/>
      </c>
      <c r="N88" s="7" t="str">
        <f t="shared" si="29"/>
        <v/>
      </c>
      <c r="O88" t="str">
        <f t="shared" si="30"/>
        <v/>
      </c>
      <c r="P88" t="str">
        <f t="shared" si="32"/>
        <v/>
      </c>
      <c r="Q88" t="str">
        <f t="shared" si="31"/>
        <v/>
      </c>
      <c r="S88" t="str">
        <f>""</f>
        <v/>
      </c>
      <c r="AL88" s="18" t="str">
        <f>IF(COUNTIF($A$2:A87, A87) = 1, A87, "")</f>
        <v/>
      </c>
    </row>
    <row r="89" spans="6:38" x14ac:dyDescent="0.2">
      <c r="F89" t="str">
        <f t="shared" si="27"/>
        <v/>
      </c>
      <c r="L89" s="7" t="str">
        <f t="shared" si="28"/>
        <v/>
      </c>
      <c r="N89" s="7" t="str">
        <f t="shared" si="29"/>
        <v/>
      </c>
      <c r="O89" t="str">
        <f t="shared" si="30"/>
        <v/>
      </c>
      <c r="P89" t="str">
        <f t="shared" si="32"/>
        <v/>
      </c>
      <c r="Q89" t="str">
        <f t="shared" si="31"/>
        <v/>
      </c>
      <c r="S89" t="str">
        <f>""</f>
        <v/>
      </c>
      <c r="AL89" s="18" t="str">
        <f>IF(COUNTIF($A$2:A88, A88) = 1, A88, "")</f>
        <v/>
      </c>
    </row>
    <row r="90" spans="6:38" x14ac:dyDescent="0.2">
      <c r="F90" t="str">
        <f t="shared" si="27"/>
        <v/>
      </c>
      <c r="L90" s="7" t="str">
        <f t="shared" si="28"/>
        <v/>
      </c>
      <c r="N90" s="7" t="str">
        <f t="shared" si="29"/>
        <v/>
      </c>
      <c r="O90" t="str">
        <f t="shared" si="30"/>
        <v/>
      </c>
      <c r="P90" t="str">
        <f t="shared" si="32"/>
        <v/>
      </c>
      <c r="Q90" t="str">
        <f t="shared" si="31"/>
        <v/>
      </c>
      <c r="S90" t="str">
        <f>""</f>
        <v/>
      </c>
      <c r="AL90" s="18" t="str">
        <f>IF(COUNTIF($A$2:A89, A89) = 1, A89, "")</f>
        <v/>
      </c>
    </row>
    <row r="91" spans="6:38" x14ac:dyDescent="0.2">
      <c r="F91" t="str">
        <f t="shared" si="27"/>
        <v/>
      </c>
      <c r="L91" s="7" t="str">
        <f t="shared" si="28"/>
        <v/>
      </c>
      <c r="N91" s="7" t="str">
        <f t="shared" si="29"/>
        <v/>
      </c>
      <c r="O91" t="str">
        <f t="shared" si="30"/>
        <v/>
      </c>
      <c r="P91" t="str">
        <f t="shared" si="32"/>
        <v/>
      </c>
      <c r="Q91" t="str">
        <f t="shared" si="31"/>
        <v/>
      </c>
      <c r="S91" t="str">
        <f>""</f>
        <v/>
      </c>
      <c r="AL91" s="18" t="str">
        <f>IF(COUNTIF($A$2:A90, A90) = 1, A90, "")</f>
        <v/>
      </c>
    </row>
    <row r="92" spans="6:38" x14ac:dyDescent="0.2">
      <c r="F92" t="str">
        <f t="shared" si="27"/>
        <v/>
      </c>
      <c r="L92" s="7" t="str">
        <f t="shared" si="28"/>
        <v/>
      </c>
      <c r="N92" s="7" t="str">
        <f t="shared" si="29"/>
        <v/>
      </c>
      <c r="O92" t="str">
        <f t="shared" si="30"/>
        <v/>
      </c>
      <c r="P92" t="str">
        <f t="shared" si="32"/>
        <v/>
      </c>
      <c r="Q92" t="str">
        <f t="shared" si="31"/>
        <v/>
      </c>
      <c r="S92" t="str">
        <f>""</f>
        <v/>
      </c>
      <c r="AL92" s="18" t="str">
        <f>IF(COUNTIF($A$2:A91, A91) = 1, A91, "")</f>
        <v/>
      </c>
    </row>
    <row r="93" spans="6:38" x14ac:dyDescent="0.2">
      <c r="F93" t="str">
        <f t="shared" si="27"/>
        <v/>
      </c>
      <c r="L93" s="7" t="str">
        <f t="shared" si="28"/>
        <v/>
      </c>
      <c r="N93" s="7" t="str">
        <f t="shared" si="29"/>
        <v/>
      </c>
      <c r="O93" t="str">
        <f t="shared" si="30"/>
        <v/>
      </c>
      <c r="P93" t="str">
        <f t="shared" si="32"/>
        <v/>
      </c>
      <c r="Q93" t="str">
        <f t="shared" si="31"/>
        <v/>
      </c>
      <c r="S93" t="str">
        <f>""</f>
        <v/>
      </c>
      <c r="AL93" s="18" t="str">
        <f>IF(COUNTIF($A$2:A92, A92) = 1, A92, "")</f>
        <v/>
      </c>
    </row>
    <row r="94" spans="6:38" x14ac:dyDescent="0.2">
      <c r="F94" t="str">
        <f t="shared" si="27"/>
        <v/>
      </c>
      <c r="L94" s="7" t="str">
        <f t="shared" si="28"/>
        <v/>
      </c>
      <c r="N94" s="7" t="str">
        <f t="shared" si="29"/>
        <v/>
      </c>
      <c r="O94" t="str">
        <f t="shared" si="30"/>
        <v/>
      </c>
      <c r="P94" t="str">
        <f t="shared" si="32"/>
        <v/>
      </c>
      <c r="Q94" t="str">
        <f t="shared" si="31"/>
        <v/>
      </c>
      <c r="S94" t="str">
        <f>""</f>
        <v/>
      </c>
      <c r="AL94" s="18" t="str">
        <f>IF(COUNTIF($A$2:A93, A93) = 1, A93, "")</f>
        <v/>
      </c>
    </row>
    <row r="95" spans="6:38" x14ac:dyDescent="0.2">
      <c r="F95" t="str">
        <f t="shared" si="27"/>
        <v/>
      </c>
      <c r="L95" s="7" t="str">
        <f t="shared" si="28"/>
        <v/>
      </c>
      <c r="N95" s="7" t="str">
        <f t="shared" si="29"/>
        <v/>
      </c>
      <c r="O95" t="str">
        <f t="shared" si="30"/>
        <v/>
      </c>
      <c r="P95" t="str">
        <f t="shared" si="32"/>
        <v/>
      </c>
      <c r="Q95" t="str">
        <f t="shared" si="31"/>
        <v/>
      </c>
      <c r="S95" t="str">
        <f>""</f>
        <v/>
      </c>
      <c r="AL95" s="18" t="str">
        <f>IF(COUNTIF($A$2:A94, A94) = 1, A94, "")</f>
        <v/>
      </c>
    </row>
    <row r="96" spans="6:38" x14ac:dyDescent="0.2">
      <c r="F96" t="str">
        <f t="shared" si="27"/>
        <v/>
      </c>
      <c r="L96" s="7" t="str">
        <f t="shared" si="28"/>
        <v/>
      </c>
      <c r="N96" s="7" t="str">
        <f t="shared" si="29"/>
        <v/>
      </c>
      <c r="O96" t="str">
        <f t="shared" si="30"/>
        <v/>
      </c>
      <c r="P96" t="str">
        <f t="shared" si="32"/>
        <v/>
      </c>
      <c r="Q96" t="str">
        <f t="shared" si="31"/>
        <v/>
      </c>
      <c r="S96" t="str">
        <f>""</f>
        <v/>
      </c>
      <c r="AL96" s="18" t="str">
        <f>IF(COUNTIF($A$2:A95, A95) = 1, A95, "")</f>
        <v/>
      </c>
    </row>
    <row r="97" spans="6:38" x14ac:dyDescent="0.2">
      <c r="F97" t="str">
        <f t="shared" si="27"/>
        <v/>
      </c>
      <c r="L97" s="7" t="str">
        <f t="shared" si="28"/>
        <v/>
      </c>
      <c r="N97" s="7" t="str">
        <f t="shared" si="29"/>
        <v/>
      </c>
      <c r="O97" t="str">
        <f t="shared" si="30"/>
        <v/>
      </c>
      <c r="P97" t="str">
        <f t="shared" si="32"/>
        <v/>
      </c>
      <c r="Q97" t="str">
        <f t="shared" si="31"/>
        <v/>
      </c>
      <c r="S97" t="str">
        <f>""</f>
        <v/>
      </c>
      <c r="AL97" s="18" t="str">
        <f>IF(COUNTIF($A$2:A96, A96) = 1, A96, "")</f>
        <v/>
      </c>
    </row>
    <row r="98" spans="6:38" x14ac:dyDescent="0.2">
      <c r="F98" t="str">
        <f t="shared" si="27"/>
        <v/>
      </c>
      <c r="L98" s="7" t="str">
        <f t="shared" si="28"/>
        <v/>
      </c>
      <c r="N98" s="7" t="str">
        <f t="shared" si="29"/>
        <v/>
      </c>
      <c r="O98" t="str">
        <f t="shared" si="30"/>
        <v/>
      </c>
      <c r="P98" t="str">
        <f t="shared" si="32"/>
        <v/>
      </c>
      <c r="Q98" t="str">
        <f t="shared" ref="Q98:Q129" si="33">IF(AND(D98="Straight", M98 = "No"),IF(O98="None",P98,IF(P98="None",O98) ),"")</f>
        <v/>
      </c>
      <c r="S98" t="str">
        <f>""</f>
        <v/>
      </c>
      <c r="AL98" s="18" t="str">
        <f>IF(COUNTIF($A$2:A97, A97) = 1, A97, "")</f>
        <v/>
      </c>
    </row>
    <row r="99" spans="6:38" x14ac:dyDescent="0.2">
      <c r="F99" t="str">
        <f t="shared" si="27"/>
        <v/>
      </c>
      <c r="L99" s="7" t="str">
        <f t="shared" si="28"/>
        <v/>
      </c>
      <c r="N99" s="7" t="str">
        <f t="shared" si="29"/>
        <v/>
      </c>
      <c r="O99" t="str">
        <f t="shared" si="30"/>
        <v/>
      </c>
      <c r="P99" t="str">
        <f t="shared" si="32"/>
        <v/>
      </c>
      <c r="Q99" t="str">
        <f t="shared" si="33"/>
        <v/>
      </c>
      <c r="S99" t="str">
        <f>""</f>
        <v/>
      </c>
      <c r="AL99" s="18" t="str">
        <f>IF(COUNTIF($A$2:A98, A98) = 1, A98, "")</f>
        <v/>
      </c>
    </row>
    <row r="100" spans="6:38" x14ac:dyDescent="0.2">
      <c r="F100" t="str">
        <f t="shared" si="27"/>
        <v/>
      </c>
      <c r="L100" s="7" t="str">
        <f t="shared" si="28"/>
        <v/>
      </c>
      <c r="N100" s="7" t="str">
        <f t="shared" si="29"/>
        <v/>
      </c>
      <c r="O100" t="str">
        <f t="shared" si="30"/>
        <v/>
      </c>
      <c r="P100" t="str">
        <f t="shared" si="32"/>
        <v/>
      </c>
      <c r="Q100" t="str">
        <f t="shared" si="33"/>
        <v/>
      </c>
      <c r="S100" t="str">
        <f>""</f>
        <v/>
      </c>
      <c r="AL100" s="18" t="str">
        <f>IF(COUNTIF($A$2:A99, A99) = 1, A99, "")</f>
        <v/>
      </c>
    </row>
    <row r="101" spans="6:38" x14ac:dyDescent="0.2">
      <c r="F101" t="str">
        <f t="shared" si="27"/>
        <v/>
      </c>
      <c r="L101" s="7" t="str">
        <f t="shared" si="28"/>
        <v/>
      </c>
      <c r="N101" s="7" t="str">
        <f t="shared" si="29"/>
        <v/>
      </c>
      <c r="O101" t="str">
        <f t="shared" si="30"/>
        <v/>
      </c>
      <c r="P101" t="str">
        <f t="shared" si="32"/>
        <v/>
      </c>
      <c r="Q101" t="str">
        <f t="shared" si="33"/>
        <v/>
      </c>
      <c r="S101" t="str">
        <f>""</f>
        <v/>
      </c>
      <c r="AL101" s="18" t="str">
        <f>IF(COUNTIF($A$2:A100, A100) = 1, A100, "")</f>
        <v/>
      </c>
    </row>
    <row r="102" spans="6:38" x14ac:dyDescent="0.2">
      <c r="F102" t="str">
        <f t="shared" si="27"/>
        <v/>
      </c>
      <c r="L102" s="7" t="str">
        <f t="shared" si="28"/>
        <v/>
      </c>
      <c r="N102" s="7" t="str">
        <f t="shared" si="29"/>
        <v/>
      </c>
      <c r="O102" t="str">
        <f t="shared" si="30"/>
        <v/>
      </c>
      <c r="P102" t="str">
        <f t="shared" si="32"/>
        <v/>
      </c>
      <c r="Q102" t="str">
        <f t="shared" si="33"/>
        <v/>
      </c>
      <c r="S102" t="str">
        <f>""</f>
        <v/>
      </c>
      <c r="AL102" s="18" t="str">
        <f>IF(COUNTIF($A$2:A101, A101) = 1, A101, "")</f>
        <v/>
      </c>
    </row>
    <row r="103" spans="6:38" x14ac:dyDescent="0.2">
      <c r="F103" t="str">
        <f t="shared" si="27"/>
        <v/>
      </c>
      <c r="L103" s="7" t="str">
        <f t="shared" si="28"/>
        <v/>
      </c>
      <c r="N103" s="7" t="str">
        <f t="shared" si="29"/>
        <v/>
      </c>
      <c r="O103" t="str">
        <f t="shared" si="30"/>
        <v/>
      </c>
      <c r="P103" t="str">
        <f t="shared" si="32"/>
        <v/>
      </c>
      <c r="Q103" t="str">
        <f t="shared" si="33"/>
        <v/>
      </c>
      <c r="S103" t="str">
        <f>""</f>
        <v/>
      </c>
      <c r="AL103" s="18" t="str">
        <f>IF(COUNTIF($A$2:A102, A102) = 1, A102, "")</f>
        <v/>
      </c>
    </row>
    <row r="104" spans="6:38" x14ac:dyDescent="0.2">
      <c r="F104" t="str">
        <f t="shared" si="27"/>
        <v/>
      </c>
      <c r="L104" s="7" t="str">
        <f t="shared" si="28"/>
        <v/>
      </c>
      <c r="N104" s="7" t="str">
        <f t="shared" si="29"/>
        <v/>
      </c>
      <c r="O104" t="str">
        <f t="shared" si="30"/>
        <v/>
      </c>
      <c r="P104" t="str">
        <f t="shared" si="32"/>
        <v/>
      </c>
      <c r="Q104" t="str">
        <f t="shared" si="33"/>
        <v/>
      </c>
      <c r="S104" t="str">
        <f>""</f>
        <v/>
      </c>
      <c r="AL104" s="18" t="str">
        <f>IF(COUNTIF($A$2:A103, A103) = 1, A103, "")</f>
        <v/>
      </c>
    </row>
    <row r="105" spans="6:38" x14ac:dyDescent="0.2">
      <c r="F105" t="str">
        <f t="shared" si="27"/>
        <v/>
      </c>
      <c r="L105" s="7" t="str">
        <f t="shared" si="28"/>
        <v/>
      </c>
      <c r="N105" s="7" t="str">
        <f t="shared" si="29"/>
        <v/>
      </c>
      <c r="O105" t="str">
        <f t="shared" si="30"/>
        <v/>
      </c>
      <c r="P105" t="str">
        <f t="shared" si="32"/>
        <v/>
      </c>
      <c r="Q105" t="str">
        <f t="shared" si="33"/>
        <v/>
      </c>
      <c r="S105" t="str">
        <f>""</f>
        <v/>
      </c>
      <c r="AL105" s="18" t="str">
        <f>IF(COUNTIF($A$2:A104, A104) = 1, A104, "")</f>
        <v/>
      </c>
    </row>
    <row r="106" spans="6:38" x14ac:dyDescent="0.2">
      <c r="F106" t="str">
        <f t="shared" si="27"/>
        <v/>
      </c>
      <c r="L106" s="7" t="str">
        <f t="shared" si="28"/>
        <v/>
      </c>
      <c r="N106" s="7" t="str">
        <f t="shared" si="29"/>
        <v/>
      </c>
      <c r="O106" t="str">
        <f t="shared" si="30"/>
        <v/>
      </c>
      <c r="P106" t="str">
        <f t="shared" si="32"/>
        <v/>
      </c>
      <c r="Q106" t="str">
        <f t="shared" si="33"/>
        <v/>
      </c>
      <c r="S106" t="str">
        <f>""</f>
        <v/>
      </c>
      <c r="AL106" s="18" t="str">
        <f>IF(COUNTIF($A$2:A105, A105) = 1, A105, "")</f>
        <v/>
      </c>
    </row>
    <row r="107" spans="6:38" x14ac:dyDescent="0.2">
      <c r="F107" t="str">
        <f t="shared" si="27"/>
        <v/>
      </c>
      <c r="L107" s="7" t="str">
        <f t="shared" si="28"/>
        <v/>
      </c>
      <c r="N107" s="7" t="str">
        <f t="shared" si="29"/>
        <v/>
      </c>
      <c r="O107" t="str">
        <f t="shared" si="30"/>
        <v/>
      </c>
      <c r="P107" t="str">
        <f t="shared" si="32"/>
        <v/>
      </c>
      <c r="Q107" t="str">
        <f t="shared" si="33"/>
        <v/>
      </c>
      <c r="S107" t="str">
        <f>""</f>
        <v/>
      </c>
      <c r="AL107" s="18" t="str">
        <f>IF(COUNTIF($A$2:A106, A106) = 1, A106, "")</f>
        <v/>
      </c>
    </row>
    <row r="108" spans="6:38" x14ac:dyDescent="0.2">
      <c r="F108" t="str">
        <f t="shared" si="27"/>
        <v/>
      </c>
      <c r="L108" s="7" t="str">
        <f t="shared" si="28"/>
        <v/>
      </c>
      <c r="N108" s="7" t="str">
        <f t="shared" si="29"/>
        <v/>
      </c>
      <c r="O108" t="str">
        <f t="shared" si="30"/>
        <v/>
      </c>
      <c r="P108" t="str">
        <f t="shared" si="32"/>
        <v/>
      </c>
      <c r="Q108" t="str">
        <f t="shared" si="33"/>
        <v/>
      </c>
      <c r="S108" t="str">
        <f>""</f>
        <v/>
      </c>
      <c r="AL108" s="18" t="str">
        <f>IF(COUNTIF($A$2:A107, A107) = 1, A107, "")</f>
        <v/>
      </c>
    </row>
    <row r="109" spans="6:38" x14ac:dyDescent="0.2">
      <c r="F109" t="str">
        <f t="shared" si="27"/>
        <v/>
      </c>
      <c r="L109" s="7" t="str">
        <f t="shared" si="28"/>
        <v/>
      </c>
      <c r="N109" s="7" t="str">
        <f t="shared" si="29"/>
        <v/>
      </c>
      <c r="O109" t="str">
        <f t="shared" si="30"/>
        <v/>
      </c>
      <c r="P109" t="str">
        <f t="shared" si="32"/>
        <v/>
      </c>
      <c r="Q109" t="str">
        <f t="shared" si="33"/>
        <v/>
      </c>
      <c r="S109" t="str">
        <f>""</f>
        <v/>
      </c>
      <c r="AL109" s="18" t="str">
        <f>IF(COUNTIF($A$2:A108, A108) = 1, A108, "")</f>
        <v/>
      </c>
    </row>
    <row r="110" spans="6:38" x14ac:dyDescent="0.2">
      <c r="F110" t="str">
        <f t="shared" si="27"/>
        <v/>
      </c>
      <c r="L110" s="7" t="str">
        <f t="shared" si="28"/>
        <v/>
      </c>
      <c r="N110" s="7" t="str">
        <f t="shared" si="29"/>
        <v/>
      </c>
      <c r="O110" t="str">
        <f t="shared" si="30"/>
        <v/>
      </c>
      <c r="P110" t="str">
        <f t="shared" si="32"/>
        <v/>
      </c>
      <c r="Q110" t="str">
        <f t="shared" si="33"/>
        <v/>
      </c>
      <c r="S110" t="str">
        <f>""</f>
        <v/>
      </c>
      <c r="AL110" s="18" t="str">
        <f>IF(COUNTIF($A$2:A109, A109) = 1, A109, "")</f>
        <v/>
      </c>
    </row>
    <row r="111" spans="6:38" x14ac:dyDescent="0.2">
      <c r="F111" t="str">
        <f t="shared" si="27"/>
        <v/>
      </c>
      <c r="L111" s="7" t="str">
        <f t="shared" si="28"/>
        <v/>
      </c>
      <c r="N111" s="7" t="str">
        <f t="shared" si="29"/>
        <v/>
      </c>
      <c r="O111" t="str">
        <f t="shared" si="30"/>
        <v/>
      </c>
      <c r="P111" t="str">
        <f t="shared" si="32"/>
        <v/>
      </c>
      <c r="Q111" t="str">
        <f t="shared" si="33"/>
        <v/>
      </c>
      <c r="S111" t="str">
        <f>""</f>
        <v/>
      </c>
      <c r="AL111" s="18" t="str">
        <f>IF(COUNTIF($A$2:A110, A110) = 1, A110, "")</f>
        <v/>
      </c>
    </row>
    <row r="112" spans="6:38" x14ac:dyDescent="0.2">
      <c r="F112" t="str">
        <f t="shared" si="27"/>
        <v/>
      </c>
      <c r="L112" s="7" t="str">
        <f t="shared" si="28"/>
        <v/>
      </c>
      <c r="N112" s="7" t="str">
        <f t="shared" si="29"/>
        <v/>
      </c>
      <c r="O112" t="str">
        <f t="shared" si="30"/>
        <v/>
      </c>
      <c r="P112" t="str">
        <f t="shared" si="32"/>
        <v/>
      </c>
      <c r="Q112" t="str">
        <f t="shared" si="33"/>
        <v/>
      </c>
      <c r="S112" t="str">
        <f>""</f>
        <v/>
      </c>
      <c r="AL112" s="18" t="str">
        <f>IF(COUNTIF($A$2:A111, A111) = 1, A111, "")</f>
        <v/>
      </c>
    </row>
    <row r="113" spans="6:38" x14ac:dyDescent="0.2">
      <c r="F113" t="str">
        <f t="shared" si="27"/>
        <v/>
      </c>
      <c r="L113" s="7" t="str">
        <f t="shared" si="28"/>
        <v/>
      </c>
      <c r="N113" s="7" t="str">
        <f t="shared" si="29"/>
        <v/>
      </c>
      <c r="O113" t="str">
        <f t="shared" si="30"/>
        <v/>
      </c>
      <c r="P113" t="str">
        <f t="shared" si="32"/>
        <v/>
      </c>
      <c r="Q113" t="str">
        <f t="shared" si="33"/>
        <v/>
      </c>
      <c r="S113" t="str">
        <f>""</f>
        <v/>
      </c>
      <c r="AL113" s="18" t="str">
        <f>IF(COUNTIF($A$2:A112, A112) = 1, A112, "")</f>
        <v/>
      </c>
    </row>
    <row r="114" spans="6:38" x14ac:dyDescent="0.2">
      <c r="F114" t="str">
        <f t="shared" si="27"/>
        <v/>
      </c>
      <c r="L114" s="7" t="str">
        <f t="shared" si="28"/>
        <v/>
      </c>
      <c r="N114" s="7" t="str">
        <f t="shared" si="29"/>
        <v/>
      </c>
      <c r="O114" t="str">
        <f t="shared" si="30"/>
        <v/>
      </c>
      <c r="P114" t="str">
        <f t="shared" si="32"/>
        <v/>
      </c>
      <c r="Q114" t="str">
        <f t="shared" si="33"/>
        <v/>
      </c>
      <c r="S114" t="str">
        <f>""</f>
        <v/>
      </c>
      <c r="AL114" s="18" t="str">
        <f>IF(COUNTIF($A$2:A113, A113) = 1, A113, "")</f>
        <v/>
      </c>
    </row>
    <row r="115" spans="6:38" x14ac:dyDescent="0.2">
      <c r="F115" t="str">
        <f t="shared" si="27"/>
        <v/>
      </c>
      <c r="L115" s="7" t="str">
        <f t="shared" si="28"/>
        <v/>
      </c>
      <c r="N115" s="7" t="str">
        <f t="shared" si="29"/>
        <v/>
      </c>
      <c r="O115" t="str">
        <f t="shared" si="30"/>
        <v/>
      </c>
      <c r="P115" t="str">
        <f t="shared" si="32"/>
        <v/>
      </c>
      <c r="Q115" t="str">
        <f t="shared" si="33"/>
        <v/>
      </c>
      <c r="S115" t="str">
        <f>""</f>
        <v/>
      </c>
      <c r="AL115" s="18" t="str">
        <f>IF(COUNTIF($A$2:A114, A114) = 1, A114, "")</f>
        <v/>
      </c>
    </row>
    <row r="116" spans="6:38" x14ac:dyDescent="0.2">
      <c r="F116" t="str">
        <f t="shared" si="27"/>
        <v/>
      </c>
      <c r="L116" s="7" t="str">
        <f t="shared" si="28"/>
        <v/>
      </c>
      <c r="N116" s="7" t="str">
        <f t="shared" si="29"/>
        <v/>
      </c>
      <c r="O116" t="str">
        <f t="shared" si="30"/>
        <v/>
      </c>
      <c r="P116" t="str">
        <f t="shared" si="32"/>
        <v/>
      </c>
      <c r="Q116" t="str">
        <f t="shared" si="33"/>
        <v/>
      </c>
      <c r="S116" t="str">
        <f>""</f>
        <v/>
      </c>
      <c r="AL116" s="18" t="str">
        <f>IF(COUNTIF($A$2:A115, A115) = 1, A115, "")</f>
        <v/>
      </c>
    </row>
    <row r="117" spans="6:38" x14ac:dyDescent="0.2">
      <c r="F117" t="str">
        <f t="shared" si="27"/>
        <v/>
      </c>
      <c r="L117" s="7" t="str">
        <f t="shared" si="28"/>
        <v/>
      </c>
      <c r="N117" s="7" t="str">
        <f t="shared" si="29"/>
        <v/>
      </c>
      <c r="O117" t="str">
        <f t="shared" si="30"/>
        <v/>
      </c>
      <c r="P117" t="str">
        <f t="shared" si="32"/>
        <v/>
      </c>
      <c r="Q117" t="str">
        <f t="shared" si="33"/>
        <v/>
      </c>
      <c r="S117" t="str">
        <f>""</f>
        <v/>
      </c>
      <c r="AL117" s="18" t="str">
        <f>IF(COUNTIF($A$2:A116, A116) = 1, A116, "")</f>
        <v/>
      </c>
    </row>
    <row r="118" spans="6:38" x14ac:dyDescent="0.2">
      <c r="F118" t="str">
        <f t="shared" si="27"/>
        <v/>
      </c>
      <c r="L118" s="7" t="str">
        <f t="shared" si="28"/>
        <v/>
      </c>
      <c r="N118" s="7" t="str">
        <f t="shared" si="29"/>
        <v/>
      </c>
      <c r="O118" t="str">
        <f t="shared" si="30"/>
        <v/>
      </c>
      <c r="P118" t="str">
        <f t="shared" si="32"/>
        <v/>
      </c>
      <c r="Q118" t="str">
        <f t="shared" si="33"/>
        <v/>
      </c>
      <c r="S118" t="str">
        <f>""</f>
        <v/>
      </c>
      <c r="AL118" s="18" t="str">
        <f>IF(COUNTIF($A$2:A117, A117) = 1, A117, "")</f>
        <v/>
      </c>
    </row>
    <row r="119" spans="6:38" x14ac:dyDescent="0.2">
      <c r="F119" t="str">
        <f t="shared" si="27"/>
        <v/>
      </c>
      <c r="L119" s="7" t="str">
        <f t="shared" si="28"/>
        <v/>
      </c>
      <c r="N119" s="7" t="str">
        <f t="shared" si="29"/>
        <v/>
      </c>
      <c r="O119" t="str">
        <f t="shared" si="30"/>
        <v/>
      </c>
      <c r="P119" t="str">
        <f t="shared" si="32"/>
        <v/>
      </c>
      <c r="Q119" t="str">
        <f t="shared" si="33"/>
        <v/>
      </c>
      <c r="S119" t="str">
        <f>""</f>
        <v/>
      </c>
      <c r="AL119" s="18" t="str">
        <f>IF(COUNTIF($A$2:A118, A118) = 1, A118, "")</f>
        <v/>
      </c>
    </row>
    <row r="120" spans="6:38" x14ac:dyDescent="0.2">
      <c r="F120" t="str">
        <f t="shared" si="27"/>
        <v/>
      </c>
      <c r="L120" s="7" t="str">
        <f t="shared" si="28"/>
        <v/>
      </c>
      <c r="N120" s="7" t="str">
        <f t="shared" si="29"/>
        <v/>
      </c>
      <c r="O120" t="str">
        <f t="shared" si="30"/>
        <v/>
      </c>
      <c r="P120" t="str">
        <f t="shared" si="32"/>
        <v/>
      </c>
      <c r="Q120" t="str">
        <f t="shared" si="33"/>
        <v/>
      </c>
      <c r="S120" t="str">
        <f>""</f>
        <v/>
      </c>
      <c r="AL120" s="18" t="str">
        <f>IF(COUNTIF($A$2:A119, A119) = 1, A119, "")</f>
        <v/>
      </c>
    </row>
    <row r="121" spans="6:38" x14ac:dyDescent="0.2">
      <c r="F121" t="str">
        <f t="shared" si="27"/>
        <v/>
      </c>
      <c r="L121" s="7" t="str">
        <f t="shared" si="28"/>
        <v/>
      </c>
      <c r="N121" s="7" t="str">
        <f t="shared" si="29"/>
        <v/>
      </c>
      <c r="O121" t="str">
        <f t="shared" si="30"/>
        <v/>
      </c>
      <c r="P121" t="str">
        <f t="shared" si="32"/>
        <v/>
      </c>
      <c r="Q121" t="str">
        <f t="shared" si="33"/>
        <v/>
      </c>
      <c r="S121" t="str">
        <f>""</f>
        <v/>
      </c>
      <c r="AL121" s="18" t="str">
        <f>IF(COUNTIF($A$2:A120, A120) = 1, A120, "")</f>
        <v/>
      </c>
    </row>
    <row r="122" spans="6:38" x14ac:dyDescent="0.2">
      <c r="F122" t="str">
        <f t="shared" si="27"/>
        <v/>
      </c>
      <c r="L122" s="7" t="str">
        <f t="shared" si="28"/>
        <v/>
      </c>
      <c r="N122" s="7" t="str">
        <f t="shared" si="29"/>
        <v/>
      </c>
      <c r="O122" t="str">
        <f t="shared" si="30"/>
        <v/>
      </c>
      <c r="P122" t="str">
        <f t="shared" si="32"/>
        <v/>
      </c>
      <c r="Q122" t="str">
        <f t="shared" si="33"/>
        <v/>
      </c>
      <c r="S122" t="str">
        <f>""</f>
        <v/>
      </c>
      <c r="AL122" s="18" t="str">
        <f>IF(COUNTIF($A$2:A121, A121) = 1, A121, "")</f>
        <v/>
      </c>
    </row>
    <row r="123" spans="6:38" x14ac:dyDescent="0.2">
      <c r="F123" t="str">
        <f t="shared" si="27"/>
        <v/>
      </c>
      <c r="L123" s="7" t="str">
        <f t="shared" si="28"/>
        <v/>
      </c>
      <c r="N123" s="7" t="str">
        <f t="shared" si="29"/>
        <v/>
      </c>
      <c r="O123" t="str">
        <f t="shared" si="30"/>
        <v/>
      </c>
      <c r="P123" t="str">
        <f t="shared" si="32"/>
        <v/>
      </c>
      <c r="Q123" t="str">
        <f t="shared" si="33"/>
        <v/>
      </c>
      <c r="S123" t="str">
        <f>""</f>
        <v/>
      </c>
      <c r="AL123" s="18" t="str">
        <f>IF(COUNTIF($A$2:A122, A122) = 1, A122, "")</f>
        <v/>
      </c>
    </row>
    <row r="124" spans="6:38" x14ac:dyDescent="0.2">
      <c r="F124" t="str">
        <f t="shared" si="27"/>
        <v/>
      </c>
      <c r="L124" s="7" t="str">
        <f t="shared" si="28"/>
        <v/>
      </c>
      <c r="N124" s="7" t="str">
        <f t="shared" si="29"/>
        <v/>
      </c>
      <c r="O124" t="str">
        <f t="shared" si="30"/>
        <v/>
      </c>
      <c r="P124" t="str">
        <f t="shared" si="32"/>
        <v/>
      </c>
      <c r="Q124" t="str">
        <f t="shared" si="33"/>
        <v/>
      </c>
      <c r="S124" t="str">
        <f>""</f>
        <v/>
      </c>
      <c r="AL124" s="18" t="str">
        <f>IF(COUNTIF($A$2:A123, A123) = 1, A123, "")</f>
        <v/>
      </c>
    </row>
    <row r="125" spans="6:38" x14ac:dyDescent="0.2">
      <c r="F125" t="str">
        <f t="shared" si="27"/>
        <v/>
      </c>
      <c r="L125" s="7" t="str">
        <f t="shared" si="28"/>
        <v/>
      </c>
      <c r="N125" s="7" t="str">
        <f t="shared" si="29"/>
        <v/>
      </c>
      <c r="O125" t="str">
        <f t="shared" si="30"/>
        <v/>
      </c>
      <c r="P125" t="str">
        <f t="shared" si="32"/>
        <v/>
      </c>
      <c r="Q125" t="str">
        <f t="shared" si="33"/>
        <v/>
      </c>
      <c r="S125" t="str">
        <f>""</f>
        <v/>
      </c>
      <c r="AL125" s="18" t="str">
        <f>IF(COUNTIF($A$2:A124, A124) = 1, A124, "")</f>
        <v/>
      </c>
    </row>
    <row r="126" spans="6:38" x14ac:dyDescent="0.2">
      <c r="F126" t="str">
        <f t="shared" si="27"/>
        <v/>
      </c>
      <c r="L126" s="7" t="str">
        <f t="shared" si="28"/>
        <v/>
      </c>
      <c r="N126" s="7" t="str">
        <f t="shared" si="29"/>
        <v/>
      </c>
      <c r="O126" t="str">
        <f t="shared" si="30"/>
        <v/>
      </c>
      <c r="P126" t="str">
        <f t="shared" si="32"/>
        <v/>
      </c>
      <c r="Q126" t="str">
        <f t="shared" si="33"/>
        <v/>
      </c>
      <c r="S126" t="str">
        <f>""</f>
        <v/>
      </c>
      <c r="AL126" s="18" t="str">
        <f>IF(COUNTIF($A$2:A125, A125) = 1, A125, "")</f>
        <v/>
      </c>
    </row>
    <row r="127" spans="6:38" x14ac:dyDescent="0.2">
      <c r="F127" t="str">
        <f t="shared" si="27"/>
        <v/>
      </c>
      <c r="L127" s="7" t="str">
        <f t="shared" si="28"/>
        <v/>
      </c>
      <c r="N127" s="7" t="str">
        <f t="shared" si="29"/>
        <v/>
      </c>
      <c r="O127" t="str">
        <f t="shared" si="30"/>
        <v/>
      </c>
      <c r="P127" t="str">
        <f t="shared" si="32"/>
        <v/>
      </c>
      <c r="Q127" t="str">
        <f t="shared" si="33"/>
        <v/>
      </c>
      <c r="S127" t="str">
        <f>""</f>
        <v/>
      </c>
      <c r="AL127" s="18" t="str">
        <f>IF(COUNTIF($A$2:A126, A126) = 1, A126, "")</f>
        <v/>
      </c>
    </row>
    <row r="128" spans="6:38" x14ac:dyDescent="0.2">
      <c r="F128" t="str">
        <f t="shared" si="27"/>
        <v/>
      </c>
      <c r="L128" s="7" t="str">
        <f t="shared" si="28"/>
        <v/>
      </c>
      <c r="N128" s="7" t="str">
        <f t="shared" si="29"/>
        <v/>
      </c>
      <c r="O128" t="str">
        <f t="shared" si="30"/>
        <v/>
      </c>
      <c r="P128" t="str">
        <f t="shared" si="32"/>
        <v/>
      </c>
      <c r="Q128" t="str">
        <f t="shared" si="33"/>
        <v/>
      </c>
      <c r="S128" t="str">
        <f>""</f>
        <v/>
      </c>
      <c r="AL128" s="18" t="str">
        <f>IF(COUNTIF($A$2:A127, A127) = 1, A127, "")</f>
        <v/>
      </c>
    </row>
    <row r="129" spans="6:38" x14ac:dyDescent="0.2">
      <c r="F129" t="str">
        <f t="shared" si="27"/>
        <v/>
      </c>
      <c r="L129" s="7" t="str">
        <f t="shared" si="28"/>
        <v/>
      </c>
      <c r="N129" s="7" t="str">
        <f t="shared" si="29"/>
        <v/>
      </c>
      <c r="O129" t="str">
        <f t="shared" si="30"/>
        <v/>
      </c>
      <c r="P129" t="str">
        <f t="shared" si="32"/>
        <v/>
      </c>
      <c r="Q129" t="str">
        <f t="shared" si="33"/>
        <v/>
      </c>
      <c r="S129" t="str">
        <f>""</f>
        <v/>
      </c>
      <c r="AL129" s="18" t="str">
        <f>IF(COUNTIF($A$2:A128, A128) = 1, A128, "")</f>
        <v/>
      </c>
    </row>
    <row r="130" spans="6:38" x14ac:dyDescent="0.2">
      <c r="F130" t="str">
        <f t="shared" ref="F130:F143" si="34">IF(OR(O130="", P130=""), "", SUM(IF((O130&lt;&gt;"None")*(O130&lt;&gt;""),LEN(O130)-LEN(SUBSTITUTE(O130,",",""))+1,0)) + SUM(IF((P130&lt;&gt;"None")*(P130&lt;&gt;""),LEN(P130)-LEN(SUBSTITUTE(P130,",",""))+1,0)))</f>
        <v/>
      </c>
      <c r="L130" s="7" t="str">
        <f t="shared" ref="L130:L143" si="35">IF(LEN(E130)=0, "", IFERROR(IF(E130&gt;=0, K130 * (1 + E130/100) - K130, K130 / (ABS(E130)/100))+K130, ""))</f>
        <v/>
      </c>
      <c r="N130" s="7" t="str">
        <f t="shared" ref="N130:N143" si="36">IF(M130="Yes",L130-K130,IF(M130="No",-K130,""))</f>
        <v/>
      </c>
      <c r="O130" t="str">
        <f t="shared" ref="O130:O143" si="37">IF(AND(G130="No",H130="No"), "None", "")</f>
        <v/>
      </c>
      <c r="P130" t="str">
        <f t="shared" si="32"/>
        <v/>
      </c>
      <c r="Q130" t="str">
        <f t="shared" ref="Q130:Q143" si="38">IF(AND(D130="Straight", M130 = "No"),IF(O130="None",P130,IF(P130="None",O130) ),"")</f>
        <v/>
      </c>
      <c r="S130" t="str">
        <f>""</f>
        <v/>
      </c>
      <c r="AL130" s="18" t="str">
        <f>IF(COUNTIF($A$2:A129, A129) = 1, A129, "")</f>
        <v/>
      </c>
    </row>
    <row r="131" spans="6:38" x14ac:dyDescent="0.2">
      <c r="F131" t="str">
        <f t="shared" si="34"/>
        <v/>
      </c>
      <c r="L131" s="7" t="str">
        <f t="shared" si="35"/>
        <v/>
      </c>
      <c r="N131" s="7" t="str">
        <f t="shared" si="36"/>
        <v/>
      </c>
      <c r="O131" t="str">
        <f t="shared" si="37"/>
        <v/>
      </c>
      <c r="P131" t="str">
        <f t="shared" si="32"/>
        <v/>
      </c>
      <c r="Q131" t="str">
        <f t="shared" si="38"/>
        <v/>
      </c>
      <c r="S131" t="str">
        <f>""</f>
        <v/>
      </c>
      <c r="AL131" s="18" t="str">
        <f>IF(COUNTIF($A$2:A130, A130) = 1, A130, "")</f>
        <v/>
      </c>
    </row>
    <row r="132" spans="6:38" x14ac:dyDescent="0.2">
      <c r="F132" t="str">
        <f t="shared" si="34"/>
        <v/>
      </c>
      <c r="L132" s="7" t="str">
        <f t="shared" si="35"/>
        <v/>
      </c>
      <c r="N132" s="7" t="str">
        <f t="shared" si="36"/>
        <v/>
      </c>
      <c r="O132" t="str">
        <f t="shared" si="37"/>
        <v/>
      </c>
      <c r="P132" t="str">
        <f t="shared" si="32"/>
        <v/>
      </c>
      <c r="Q132" t="str">
        <f t="shared" si="38"/>
        <v/>
      </c>
      <c r="S132" t="str">
        <f>""</f>
        <v/>
      </c>
      <c r="AL132" s="18" t="str">
        <f>IF(COUNTIF($A$2:A131, A131) = 1, A131, "")</f>
        <v/>
      </c>
    </row>
    <row r="133" spans="6:38" x14ac:dyDescent="0.2">
      <c r="F133" t="str">
        <f t="shared" si="34"/>
        <v/>
      </c>
      <c r="L133" s="7" t="str">
        <f t="shared" si="35"/>
        <v/>
      </c>
      <c r="N133" s="7" t="str">
        <f t="shared" si="36"/>
        <v/>
      </c>
      <c r="O133" t="str">
        <f t="shared" si="37"/>
        <v/>
      </c>
      <c r="P133" t="str">
        <f t="shared" si="32"/>
        <v/>
      </c>
      <c r="Q133" t="str">
        <f t="shared" si="38"/>
        <v/>
      </c>
      <c r="S133" t="str">
        <f>""</f>
        <v/>
      </c>
      <c r="AL133" s="18" t="str">
        <f>IF(COUNTIF($A$2:A132, A132) = 1, A132, "")</f>
        <v/>
      </c>
    </row>
    <row r="134" spans="6:38" x14ac:dyDescent="0.2">
      <c r="F134" t="str">
        <f t="shared" si="34"/>
        <v/>
      </c>
      <c r="L134" s="7" t="str">
        <f t="shared" si="35"/>
        <v/>
      </c>
      <c r="N134" s="7" t="str">
        <f t="shared" si="36"/>
        <v/>
      </c>
      <c r="O134" t="str">
        <f t="shared" si="37"/>
        <v/>
      </c>
      <c r="P134" t="str">
        <f t="shared" si="32"/>
        <v/>
      </c>
      <c r="Q134" t="str">
        <f t="shared" si="38"/>
        <v/>
      </c>
      <c r="S134" t="str">
        <f>""</f>
        <v/>
      </c>
      <c r="AL134" s="18" t="str">
        <f>IF(COUNTIF($A$2:A133, A133) = 1, A133, "")</f>
        <v/>
      </c>
    </row>
    <row r="135" spans="6:38" x14ac:dyDescent="0.2">
      <c r="F135" t="str">
        <f t="shared" si="34"/>
        <v/>
      </c>
      <c r="L135" s="7" t="str">
        <f t="shared" si="35"/>
        <v/>
      </c>
      <c r="N135" s="7" t="str">
        <f t="shared" si="36"/>
        <v/>
      </c>
      <c r="O135" t="str">
        <f t="shared" si="37"/>
        <v/>
      </c>
      <c r="P135" t="str">
        <f t="shared" si="32"/>
        <v/>
      </c>
      <c r="Q135" t="str">
        <f t="shared" si="38"/>
        <v/>
      </c>
      <c r="S135" t="str">
        <f>""</f>
        <v/>
      </c>
      <c r="AL135" s="18" t="str">
        <f>IF(COUNTIF($A$2:A134, A134) = 1, A134, "")</f>
        <v/>
      </c>
    </row>
    <row r="136" spans="6:38" x14ac:dyDescent="0.2">
      <c r="F136" t="str">
        <f t="shared" si="34"/>
        <v/>
      </c>
      <c r="L136" s="7" t="str">
        <f t="shared" si="35"/>
        <v/>
      </c>
      <c r="N136" s="7" t="str">
        <f t="shared" si="36"/>
        <v/>
      </c>
      <c r="O136" t="str">
        <f t="shared" si="37"/>
        <v/>
      </c>
      <c r="P136" t="str">
        <f t="shared" si="32"/>
        <v/>
      </c>
      <c r="Q136" t="str">
        <f t="shared" si="38"/>
        <v/>
      </c>
      <c r="S136" t="str">
        <f>""</f>
        <v/>
      </c>
      <c r="AL136" s="18" t="str">
        <f>IF(COUNTIF($A$2:A135, A135) = 1, A135, "")</f>
        <v/>
      </c>
    </row>
    <row r="137" spans="6:38" x14ac:dyDescent="0.2">
      <c r="F137" t="str">
        <f t="shared" si="34"/>
        <v/>
      </c>
      <c r="L137" s="7" t="str">
        <f t="shared" si="35"/>
        <v/>
      </c>
      <c r="N137" s="7" t="str">
        <f t="shared" si="36"/>
        <v/>
      </c>
      <c r="O137" t="str">
        <f t="shared" si="37"/>
        <v/>
      </c>
      <c r="P137" t="str">
        <f t="shared" si="32"/>
        <v/>
      </c>
      <c r="Q137" t="str">
        <f t="shared" si="38"/>
        <v/>
      </c>
      <c r="S137" t="str">
        <f>""</f>
        <v/>
      </c>
      <c r="AL137" s="18" t="str">
        <f>IF(COUNTIF($A$2:A136, A136) = 1, A136, "")</f>
        <v/>
      </c>
    </row>
    <row r="138" spans="6:38" x14ac:dyDescent="0.2">
      <c r="F138" t="str">
        <f t="shared" si="34"/>
        <v/>
      </c>
      <c r="L138" s="7" t="str">
        <f t="shared" si="35"/>
        <v/>
      </c>
      <c r="N138" s="7" t="str">
        <f t="shared" si="36"/>
        <v/>
      </c>
      <c r="O138" t="str">
        <f t="shared" si="37"/>
        <v/>
      </c>
      <c r="P138" t="str">
        <f t="shared" si="32"/>
        <v/>
      </c>
      <c r="Q138" t="str">
        <f t="shared" si="38"/>
        <v/>
      </c>
      <c r="S138" t="str">
        <f>""</f>
        <v/>
      </c>
      <c r="AL138" s="18" t="str">
        <f>IF(COUNTIF($A$2:A137, A137) = 1, A137, "")</f>
        <v/>
      </c>
    </row>
    <row r="139" spans="6:38" x14ac:dyDescent="0.2">
      <c r="F139" t="str">
        <f t="shared" si="34"/>
        <v/>
      </c>
      <c r="L139" s="7" t="str">
        <f t="shared" si="35"/>
        <v/>
      </c>
      <c r="N139" s="7" t="str">
        <f t="shared" si="36"/>
        <v/>
      </c>
      <c r="O139" t="str">
        <f t="shared" si="37"/>
        <v/>
      </c>
      <c r="P139" t="str">
        <f t="shared" si="32"/>
        <v/>
      </c>
      <c r="Q139" t="str">
        <f t="shared" si="38"/>
        <v/>
      </c>
      <c r="S139" t="str">
        <f>""</f>
        <v/>
      </c>
      <c r="AL139" s="18" t="str">
        <f>IF(COUNTIF($A$2:A138, A138) = 1, A138, "")</f>
        <v/>
      </c>
    </row>
    <row r="140" spans="6:38" x14ac:dyDescent="0.2">
      <c r="F140" t="str">
        <f t="shared" si="34"/>
        <v/>
      </c>
      <c r="L140" s="7" t="str">
        <f t="shared" si="35"/>
        <v/>
      </c>
      <c r="N140" s="7" t="str">
        <f t="shared" si="36"/>
        <v/>
      </c>
      <c r="O140" t="str">
        <f t="shared" si="37"/>
        <v/>
      </c>
      <c r="P140" t="str">
        <f t="shared" si="32"/>
        <v/>
      </c>
      <c r="Q140" t="str">
        <f t="shared" si="38"/>
        <v/>
      </c>
      <c r="S140" t="str">
        <f>""</f>
        <v/>
      </c>
      <c r="AL140" s="18" t="str">
        <f>IF(COUNTIF($A$2:A139, A139) = 1, A139, "")</f>
        <v/>
      </c>
    </row>
    <row r="141" spans="6:38" x14ac:dyDescent="0.2">
      <c r="F141" t="str">
        <f t="shared" si="34"/>
        <v/>
      </c>
      <c r="L141" s="7" t="str">
        <f t="shared" si="35"/>
        <v/>
      </c>
      <c r="N141" s="7" t="str">
        <f t="shared" si="36"/>
        <v/>
      </c>
      <c r="O141" t="str">
        <f t="shared" si="37"/>
        <v/>
      </c>
      <c r="P141" t="str">
        <f t="shared" si="32"/>
        <v/>
      </c>
      <c r="Q141" t="str">
        <f t="shared" si="38"/>
        <v/>
      </c>
      <c r="S141" t="str">
        <f>""</f>
        <v/>
      </c>
      <c r="AL141" s="18" t="str">
        <f>IF(COUNTIF($A$2:A140, A140) = 1, A140, "")</f>
        <v/>
      </c>
    </row>
    <row r="142" spans="6:38" x14ac:dyDescent="0.2">
      <c r="F142" t="str">
        <f t="shared" si="34"/>
        <v/>
      </c>
      <c r="L142" s="7" t="str">
        <f t="shared" si="35"/>
        <v/>
      </c>
      <c r="N142" s="7" t="str">
        <f t="shared" si="36"/>
        <v/>
      </c>
      <c r="O142" t="str">
        <f t="shared" si="37"/>
        <v/>
      </c>
      <c r="P142" t="str">
        <f t="shared" si="32"/>
        <v/>
      </c>
      <c r="Q142" t="str">
        <f t="shared" si="38"/>
        <v/>
      </c>
      <c r="S142" t="str">
        <f>""</f>
        <v/>
      </c>
      <c r="AL142" s="18" t="str">
        <f>IF(COUNTIF($A$2:A141, A141) = 1, A141, "")</f>
        <v/>
      </c>
    </row>
    <row r="143" spans="6:38" x14ac:dyDescent="0.2">
      <c r="F143" t="str">
        <f t="shared" si="34"/>
        <v/>
      </c>
      <c r="L143" s="7" t="str">
        <f t="shared" si="35"/>
        <v/>
      </c>
      <c r="N143" s="7" t="str">
        <f t="shared" si="36"/>
        <v/>
      </c>
      <c r="O143" t="str">
        <f t="shared" si="37"/>
        <v/>
      </c>
      <c r="P143" t="str">
        <f t="shared" si="32"/>
        <v/>
      </c>
      <c r="Q143" t="str">
        <f t="shared" si="38"/>
        <v/>
      </c>
      <c r="S143" t="str">
        <f>""</f>
        <v/>
      </c>
      <c r="AL143" s="18" t="str">
        <f>IF(COUNTIF($A$2:A142, A142) = 1, A142, "")</f>
        <v/>
      </c>
    </row>
    <row r="144" spans="6:38" x14ac:dyDescent="0.2">
      <c r="F144" t="str">
        <f t="shared" ref="F144:F207" si="39">IF(OR(O144="", P144=""), "", SUM(IF((O144&lt;&gt;"None")*(O144&lt;&gt;""),LEN(O144)-LEN(SUBSTITUTE(O144,",",""))+1,0)) + SUM(IF((P144&lt;&gt;"None")*(P144&lt;&gt;""),LEN(P144)-LEN(SUBSTITUTE(P144,",",""))+1,0)))</f>
        <v/>
      </c>
      <c r="L144" s="7" t="str">
        <f t="shared" ref="L144:L207" si="40">IF(LEN(E144)=0, "", IFERROR(IF(E144&gt;=0, K144 * (1 + E144/100) - K144, K144 / (ABS(E144)/100))+K144, ""))</f>
        <v/>
      </c>
      <c r="N144" s="7" t="str">
        <f t="shared" ref="N144:N207" si="41">IF(M144="Yes",L144-K144,IF(M144="No",-K144,""))</f>
        <v/>
      </c>
      <c r="O144" t="str">
        <f t="shared" ref="O144:O207" si="42">IF(AND(G144="No",H144="No"), "None", "")</f>
        <v/>
      </c>
      <c r="P144" t="str">
        <f t="shared" ref="P144:P207" si="43">IF(I144="No", "None", "")</f>
        <v/>
      </c>
      <c r="Q144" t="str">
        <f t="shared" ref="Q144:Q207" si="44">IF(AND(D144="Straight", M144 = "No"),IF(O144="None",P144,IF(P144="None",O144) ),"")</f>
        <v/>
      </c>
      <c r="S144" t="str">
        <f>""</f>
        <v/>
      </c>
      <c r="AL144" s="18" t="str">
        <f>IF(COUNTIF($A$2:A143, A143) = 1, A143, "")</f>
        <v/>
      </c>
    </row>
    <row r="145" spans="6:38" x14ac:dyDescent="0.2">
      <c r="F145" t="str">
        <f t="shared" si="39"/>
        <v/>
      </c>
      <c r="L145" s="7" t="str">
        <f t="shared" si="40"/>
        <v/>
      </c>
      <c r="N145" s="7" t="str">
        <f t="shared" si="41"/>
        <v/>
      </c>
      <c r="O145" t="str">
        <f t="shared" si="42"/>
        <v/>
      </c>
      <c r="P145" t="str">
        <f t="shared" si="43"/>
        <v/>
      </c>
      <c r="Q145" t="str">
        <f t="shared" si="44"/>
        <v/>
      </c>
      <c r="S145" t="str">
        <f>""</f>
        <v/>
      </c>
      <c r="AL145" s="18" t="str">
        <f>IF(COUNTIF($A$2:A144, A144) = 1, A144, "")</f>
        <v/>
      </c>
    </row>
    <row r="146" spans="6:38" x14ac:dyDescent="0.2">
      <c r="F146" t="str">
        <f t="shared" si="39"/>
        <v/>
      </c>
      <c r="L146" s="7" t="str">
        <f t="shared" si="40"/>
        <v/>
      </c>
      <c r="N146" s="7" t="str">
        <f t="shared" si="41"/>
        <v/>
      </c>
      <c r="O146" t="str">
        <f t="shared" si="42"/>
        <v/>
      </c>
      <c r="P146" t="str">
        <f t="shared" si="43"/>
        <v/>
      </c>
      <c r="Q146" t="str">
        <f t="shared" si="44"/>
        <v/>
      </c>
      <c r="S146" t="str">
        <f>""</f>
        <v/>
      </c>
      <c r="AL146" s="18" t="str">
        <f>IF(COUNTIF($A$2:A145, A145) = 1, A145, "")</f>
        <v/>
      </c>
    </row>
    <row r="147" spans="6:38" x14ac:dyDescent="0.2">
      <c r="F147" t="str">
        <f t="shared" si="39"/>
        <v/>
      </c>
      <c r="L147" s="7" t="str">
        <f t="shared" si="40"/>
        <v/>
      </c>
      <c r="N147" s="7" t="str">
        <f t="shared" si="41"/>
        <v/>
      </c>
      <c r="O147" t="str">
        <f t="shared" si="42"/>
        <v/>
      </c>
      <c r="P147" t="str">
        <f t="shared" si="43"/>
        <v/>
      </c>
      <c r="Q147" t="str">
        <f t="shared" si="44"/>
        <v/>
      </c>
      <c r="S147" t="str">
        <f>""</f>
        <v/>
      </c>
      <c r="AL147" s="18" t="str">
        <f>IF(COUNTIF($A$2:A146, A146) = 1, A146, "")</f>
        <v/>
      </c>
    </row>
    <row r="148" spans="6:38" x14ac:dyDescent="0.2">
      <c r="F148" t="str">
        <f t="shared" si="39"/>
        <v/>
      </c>
      <c r="L148" s="7" t="str">
        <f t="shared" si="40"/>
        <v/>
      </c>
      <c r="N148" s="7" t="str">
        <f t="shared" si="41"/>
        <v/>
      </c>
      <c r="O148" t="str">
        <f t="shared" si="42"/>
        <v/>
      </c>
      <c r="P148" t="str">
        <f t="shared" si="43"/>
        <v/>
      </c>
      <c r="Q148" t="str">
        <f t="shared" si="44"/>
        <v/>
      </c>
      <c r="S148" t="str">
        <f>""</f>
        <v/>
      </c>
      <c r="AL148" s="18" t="str">
        <f>IF(COUNTIF($A$2:A147, A147) = 1, A147, "")</f>
        <v/>
      </c>
    </row>
    <row r="149" spans="6:38" x14ac:dyDescent="0.2">
      <c r="F149" t="str">
        <f t="shared" si="39"/>
        <v/>
      </c>
      <c r="L149" s="7" t="str">
        <f t="shared" si="40"/>
        <v/>
      </c>
      <c r="N149" s="7" t="str">
        <f t="shared" si="41"/>
        <v/>
      </c>
      <c r="O149" t="str">
        <f t="shared" si="42"/>
        <v/>
      </c>
      <c r="P149" t="str">
        <f t="shared" si="43"/>
        <v/>
      </c>
      <c r="Q149" t="str">
        <f t="shared" si="44"/>
        <v/>
      </c>
      <c r="S149" t="str">
        <f>""</f>
        <v/>
      </c>
      <c r="AL149" s="18" t="str">
        <f>IF(COUNTIF($A$2:A148, A148) = 1, A148, "")</f>
        <v/>
      </c>
    </row>
    <row r="150" spans="6:38" x14ac:dyDescent="0.2">
      <c r="F150" t="str">
        <f t="shared" si="39"/>
        <v/>
      </c>
      <c r="L150" s="7" t="str">
        <f t="shared" si="40"/>
        <v/>
      </c>
      <c r="N150" s="7" t="str">
        <f t="shared" si="41"/>
        <v/>
      </c>
      <c r="O150" t="str">
        <f t="shared" si="42"/>
        <v/>
      </c>
      <c r="P150" t="str">
        <f t="shared" si="43"/>
        <v/>
      </c>
      <c r="Q150" t="str">
        <f t="shared" si="44"/>
        <v/>
      </c>
      <c r="S150" t="str">
        <f>""</f>
        <v/>
      </c>
      <c r="AL150" s="18" t="str">
        <f>IF(COUNTIF($A$2:A149, A149) = 1, A149, "")</f>
        <v/>
      </c>
    </row>
    <row r="151" spans="6:38" x14ac:dyDescent="0.2">
      <c r="F151" t="str">
        <f t="shared" si="39"/>
        <v/>
      </c>
      <c r="L151" s="7" t="str">
        <f t="shared" si="40"/>
        <v/>
      </c>
      <c r="N151" s="7" t="str">
        <f t="shared" si="41"/>
        <v/>
      </c>
      <c r="O151" t="str">
        <f t="shared" si="42"/>
        <v/>
      </c>
      <c r="P151" t="str">
        <f t="shared" si="43"/>
        <v/>
      </c>
      <c r="Q151" t="str">
        <f t="shared" si="44"/>
        <v/>
      </c>
      <c r="S151" t="str">
        <f>""</f>
        <v/>
      </c>
      <c r="AL151" s="18" t="str">
        <f>IF(COUNTIF($A$2:A150, A150) = 1, A150, "")</f>
        <v/>
      </c>
    </row>
    <row r="152" spans="6:38" x14ac:dyDescent="0.2">
      <c r="F152" t="str">
        <f t="shared" si="39"/>
        <v/>
      </c>
      <c r="L152" s="7" t="str">
        <f t="shared" si="40"/>
        <v/>
      </c>
      <c r="N152" s="7" t="str">
        <f t="shared" si="41"/>
        <v/>
      </c>
      <c r="O152" t="str">
        <f t="shared" si="42"/>
        <v/>
      </c>
      <c r="P152" t="str">
        <f t="shared" si="43"/>
        <v/>
      </c>
      <c r="Q152" t="str">
        <f t="shared" si="44"/>
        <v/>
      </c>
      <c r="S152" t="str">
        <f>""</f>
        <v/>
      </c>
      <c r="AL152" s="18" t="str">
        <f>IF(COUNTIF($A$2:A151, A151) = 1, A151, "")</f>
        <v/>
      </c>
    </row>
    <row r="153" spans="6:38" x14ac:dyDescent="0.2">
      <c r="F153" t="str">
        <f t="shared" si="39"/>
        <v/>
      </c>
      <c r="L153" s="7" t="str">
        <f t="shared" si="40"/>
        <v/>
      </c>
      <c r="N153" s="7" t="str">
        <f t="shared" si="41"/>
        <v/>
      </c>
      <c r="O153" t="str">
        <f t="shared" si="42"/>
        <v/>
      </c>
      <c r="P153" t="str">
        <f t="shared" si="43"/>
        <v/>
      </c>
      <c r="Q153" t="str">
        <f t="shared" si="44"/>
        <v/>
      </c>
      <c r="S153" t="str">
        <f>""</f>
        <v/>
      </c>
      <c r="AL153" s="18" t="str">
        <f>IF(COUNTIF($A$2:A152, A152) = 1, A152, "")</f>
        <v/>
      </c>
    </row>
    <row r="154" spans="6:38" x14ac:dyDescent="0.2">
      <c r="F154" t="str">
        <f t="shared" si="39"/>
        <v/>
      </c>
      <c r="L154" s="7" t="str">
        <f t="shared" si="40"/>
        <v/>
      </c>
      <c r="N154" s="7" t="str">
        <f t="shared" si="41"/>
        <v/>
      </c>
      <c r="O154" t="str">
        <f t="shared" si="42"/>
        <v/>
      </c>
      <c r="P154" t="str">
        <f t="shared" si="43"/>
        <v/>
      </c>
      <c r="Q154" t="str">
        <f t="shared" si="44"/>
        <v/>
      </c>
      <c r="S154" t="str">
        <f>""</f>
        <v/>
      </c>
      <c r="AL154" s="18" t="str">
        <f>IF(COUNTIF($A$2:A153, A153) = 1, A153, "")</f>
        <v/>
      </c>
    </row>
    <row r="155" spans="6:38" x14ac:dyDescent="0.2">
      <c r="F155" t="str">
        <f t="shared" si="39"/>
        <v/>
      </c>
      <c r="L155" s="7" t="str">
        <f t="shared" si="40"/>
        <v/>
      </c>
      <c r="N155" s="7" t="str">
        <f t="shared" si="41"/>
        <v/>
      </c>
      <c r="O155" t="str">
        <f t="shared" si="42"/>
        <v/>
      </c>
      <c r="P155" t="str">
        <f t="shared" si="43"/>
        <v/>
      </c>
      <c r="Q155" t="str">
        <f t="shared" si="44"/>
        <v/>
      </c>
      <c r="S155" t="str">
        <f>""</f>
        <v/>
      </c>
      <c r="AL155" s="18" t="str">
        <f>IF(COUNTIF($A$2:A154, A154) = 1, A154, "")</f>
        <v/>
      </c>
    </row>
    <row r="156" spans="6:38" x14ac:dyDescent="0.2">
      <c r="F156" t="str">
        <f t="shared" si="39"/>
        <v/>
      </c>
      <c r="L156" s="7" t="str">
        <f t="shared" si="40"/>
        <v/>
      </c>
      <c r="N156" s="7" t="str">
        <f t="shared" si="41"/>
        <v/>
      </c>
      <c r="O156" t="str">
        <f t="shared" si="42"/>
        <v/>
      </c>
      <c r="P156" t="str">
        <f t="shared" si="43"/>
        <v/>
      </c>
      <c r="Q156" t="str">
        <f t="shared" si="44"/>
        <v/>
      </c>
      <c r="S156" t="str">
        <f>""</f>
        <v/>
      </c>
      <c r="AL156" s="18" t="str">
        <f>IF(COUNTIF($A$2:A155, A155) = 1, A155, "")</f>
        <v/>
      </c>
    </row>
    <row r="157" spans="6:38" x14ac:dyDescent="0.2">
      <c r="F157" t="str">
        <f t="shared" si="39"/>
        <v/>
      </c>
      <c r="L157" s="7" t="str">
        <f t="shared" si="40"/>
        <v/>
      </c>
      <c r="N157" s="7" t="str">
        <f t="shared" si="41"/>
        <v/>
      </c>
      <c r="O157" t="str">
        <f t="shared" si="42"/>
        <v/>
      </c>
      <c r="P157" t="str">
        <f t="shared" si="43"/>
        <v/>
      </c>
      <c r="Q157" t="str">
        <f t="shared" si="44"/>
        <v/>
      </c>
      <c r="S157" t="str">
        <f>""</f>
        <v/>
      </c>
      <c r="AL157" s="18" t="str">
        <f>IF(COUNTIF($A$2:A156, A156) = 1, A156, "")</f>
        <v/>
      </c>
    </row>
    <row r="158" spans="6:38" x14ac:dyDescent="0.2">
      <c r="F158" t="str">
        <f t="shared" si="39"/>
        <v/>
      </c>
      <c r="L158" s="7" t="str">
        <f t="shared" si="40"/>
        <v/>
      </c>
      <c r="N158" s="7" t="str">
        <f t="shared" si="41"/>
        <v/>
      </c>
      <c r="O158" t="str">
        <f t="shared" si="42"/>
        <v/>
      </c>
      <c r="P158" t="str">
        <f t="shared" si="43"/>
        <v/>
      </c>
      <c r="Q158" t="str">
        <f t="shared" si="44"/>
        <v/>
      </c>
      <c r="S158" t="str">
        <f>""</f>
        <v/>
      </c>
      <c r="AL158" s="18" t="str">
        <f>IF(COUNTIF($A$2:A157, A157) = 1, A157, "")</f>
        <v/>
      </c>
    </row>
    <row r="159" spans="6:38" x14ac:dyDescent="0.2">
      <c r="F159" t="str">
        <f t="shared" si="39"/>
        <v/>
      </c>
      <c r="L159" s="7" t="str">
        <f t="shared" si="40"/>
        <v/>
      </c>
      <c r="N159" s="7" t="str">
        <f t="shared" si="41"/>
        <v/>
      </c>
      <c r="O159" t="str">
        <f t="shared" si="42"/>
        <v/>
      </c>
      <c r="P159" t="str">
        <f t="shared" si="43"/>
        <v/>
      </c>
      <c r="Q159" t="str">
        <f t="shared" si="44"/>
        <v/>
      </c>
      <c r="S159" t="str">
        <f>""</f>
        <v/>
      </c>
      <c r="AL159" s="18" t="str">
        <f>IF(COUNTIF($A$2:A158, A158) = 1, A158, "")</f>
        <v/>
      </c>
    </row>
    <row r="160" spans="6:38" x14ac:dyDescent="0.2">
      <c r="F160" t="str">
        <f t="shared" si="39"/>
        <v/>
      </c>
      <c r="L160" s="7" t="str">
        <f t="shared" si="40"/>
        <v/>
      </c>
      <c r="N160" s="7" t="str">
        <f t="shared" si="41"/>
        <v/>
      </c>
      <c r="O160" t="str">
        <f t="shared" si="42"/>
        <v/>
      </c>
      <c r="P160" t="str">
        <f t="shared" si="43"/>
        <v/>
      </c>
      <c r="Q160" t="str">
        <f t="shared" si="44"/>
        <v/>
      </c>
      <c r="S160" t="str">
        <f>""</f>
        <v/>
      </c>
      <c r="AL160" s="18" t="str">
        <f>IF(COUNTIF($A$2:A159, A159) = 1, A159, "")</f>
        <v/>
      </c>
    </row>
    <row r="161" spans="6:38" x14ac:dyDescent="0.2">
      <c r="F161" t="str">
        <f t="shared" si="39"/>
        <v/>
      </c>
      <c r="L161" s="7" t="str">
        <f t="shared" si="40"/>
        <v/>
      </c>
      <c r="N161" s="7" t="str">
        <f t="shared" si="41"/>
        <v/>
      </c>
      <c r="O161" t="str">
        <f t="shared" si="42"/>
        <v/>
      </c>
      <c r="P161" t="str">
        <f t="shared" si="43"/>
        <v/>
      </c>
      <c r="Q161" t="str">
        <f t="shared" si="44"/>
        <v/>
      </c>
      <c r="S161" t="str">
        <f>""</f>
        <v/>
      </c>
      <c r="AL161" s="18" t="str">
        <f>IF(COUNTIF($A$2:A160, A160) = 1, A160, "")</f>
        <v/>
      </c>
    </row>
    <row r="162" spans="6:38" x14ac:dyDescent="0.2">
      <c r="F162" t="str">
        <f t="shared" si="39"/>
        <v/>
      </c>
      <c r="L162" s="7" t="str">
        <f t="shared" si="40"/>
        <v/>
      </c>
      <c r="N162" s="7" t="str">
        <f t="shared" si="41"/>
        <v/>
      </c>
      <c r="O162" t="str">
        <f t="shared" si="42"/>
        <v/>
      </c>
      <c r="P162" t="str">
        <f t="shared" si="43"/>
        <v/>
      </c>
      <c r="Q162" t="str">
        <f t="shared" si="44"/>
        <v/>
      </c>
      <c r="S162" t="str">
        <f>""</f>
        <v/>
      </c>
      <c r="AL162" s="18" t="str">
        <f>IF(COUNTIF($A$2:A161, A161) = 1, A161, "")</f>
        <v/>
      </c>
    </row>
    <row r="163" spans="6:38" x14ac:dyDescent="0.2">
      <c r="F163" t="str">
        <f t="shared" si="39"/>
        <v/>
      </c>
      <c r="L163" s="7" t="str">
        <f t="shared" si="40"/>
        <v/>
      </c>
      <c r="N163" s="7" t="str">
        <f t="shared" si="41"/>
        <v/>
      </c>
      <c r="O163" t="str">
        <f t="shared" si="42"/>
        <v/>
      </c>
      <c r="P163" t="str">
        <f t="shared" si="43"/>
        <v/>
      </c>
      <c r="Q163" t="str">
        <f t="shared" si="44"/>
        <v/>
      </c>
      <c r="S163" t="str">
        <f>""</f>
        <v/>
      </c>
      <c r="AL163" s="18" t="str">
        <f>IF(COUNTIF($A$2:A162, A162) = 1, A162, "")</f>
        <v/>
      </c>
    </row>
    <row r="164" spans="6:38" x14ac:dyDescent="0.2">
      <c r="F164" t="str">
        <f t="shared" si="39"/>
        <v/>
      </c>
      <c r="L164" s="7" t="str">
        <f t="shared" si="40"/>
        <v/>
      </c>
      <c r="N164" s="7" t="str">
        <f t="shared" si="41"/>
        <v/>
      </c>
      <c r="O164" t="str">
        <f t="shared" si="42"/>
        <v/>
      </c>
      <c r="P164" t="str">
        <f t="shared" si="43"/>
        <v/>
      </c>
      <c r="Q164" t="str">
        <f t="shared" si="44"/>
        <v/>
      </c>
      <c r="S164" t="str">
        <f>""</f>
        <v/>
      </c>
      <c r="AL164" s="18" t="str">
        <f>IF(COUNTIF($A$2:A163, A163) = 1, A163, "")</f>
        <v/>
      </c>
    </row>
    <row r="165" spans="6:38" x14ac:dyDescent="0.2">
      <c r="F165" t="str">
        <f t="shared" si="39"/>
        <v/>
      </c>
      <c r="L165" s="7" t="str">
        <f t="shared" si="40"/>
        <v/>
      </c>
      <c r="N165" s="7" t="str">
        <f t="shared" si="41"/>
        <v/>
      </c>
      <c r="O165" t="str">
        <f t="shared" si="42"/>
        <v/>
      </c>
      <c r="P165" t="str">
        <f t="shared" si="43"/>
        <v/>
      </c>
      <c r="Q165" t="str">
        <f t="shared" si="44"/>
        <v/>
      </c>
      <c r="S165" t="str">
        <f>""</f>
        <v/>
      </c>
      <c r="AL165" s="18" t="str">
        <f>IF(COUNTIF($A$2:A164, A164) = 1, A164, "")</f>
        <v/>
      </c>
    </row>
    <row r="166" spans="6:38" x14ac:dyDescent="0.2">
      <c r="F166" t="str">
        <f t="shared" si="39"/>
        <v/>
      </c>
      <c r="L166" s="7" t="str">
        <f t="shared" si="40"/>
        <v/>
      </c>
      <c r="N166" s="7" t="str">
        <f t="shared" si="41"/>
        <v/>
      </c>
      <c r="O166" t="str">
        <f t="shared" si="42"/>
        <v/>
      </c>
      <c r="P166" t="str">
        <f t="shared" si="43"/>
        <v/>
      </c>
      <c r="Q166" t="str">
        <f t="shared" si="44"/>
        <v/>
      </c>
      <c r="S166" t="str">
        <f>""</f>
        <v/>
      </c>
      <c r="AL166" s="18" t="str">
        <f>IF(COUNTIF($A$2:A165, A165) = 1, A165, "")</f>
        <v/>
      </c>
    </row>
    <row r="167" spans="6:38" x14ac:dyDescent="0.2">
      <c r="F167" t="str">
        <f t="shared" si="39"/>
        <v/>
      </c>
      <c r="L167" s="7" t="str">
        <f t="shared" si="40"/>
        <v/>
      </c>
      <c r="N167" s="7" t="str">
        <f t="shared" si="41"/>
        <v/>
      </c>
      <c r="O167" t="str">
        <f t="shared" si="42"/>
        <v/>
      </c>
      <c r="P167" t="str">
        <f t="shared" si="43"/>
        <v/>
      </c>
      <c r="Q167" t="str">
        <f t="shared" si="44"/>
        <v/>
      </c>
      <c r="S167" t="str">
        <f>""</f>
        <v/>
      </c>
      <c r="AL167" s="18" t="str">
        <f>IF(COUNTIF($A$2:A166, A166) = 1, A166, "")</f>
        <v/>
      </c>
    </row>
    <row r="168" spans="6:38" x14ac:dyDescent="0.2">
      <c r="F168" t="str">
        <f t="shared" si="39"/>
        <v/>
      </c>
      <c r="L168" s="7" t="str">
        <f t="shared" si="40"/>
        <v/>
      </c>
      <c r="N168" s="7" t="str">
        <f t="shared" si="41"/>
        <v/>
      </c>
      <c r="O168" t="str">
        <f t="shared" si="42"/>
        <v/>
      </c>
      <c r="P168" t="str">
        <f t="shared" si="43"/>
        <v/>
      </c>
      <c r="Q168" t="str">
        <f t="shared" si="44"/>
        <v/>
      </c>
      <c r="S168" t="str">
        <f>""</f>
        <v/>
      </c>
      <c r="AL168" s="18" t="str">
        <f>IF(COUNTIF($A$2:A167, A167) = 1, A167, "")</f>
        <v/>
      </c>
    </row>
    <row r="169" spans="6:38" x14ac:dyDescent="0.2">
      <c r="F169" t="str">
        <f t="shared" si="39"/>
        <v/>
      </c>
      <c r="L169" s="7" t="str">
        <f t="shared" si="40"/>
        <v/>
      </c>
      <c r="N169" s="7" t="str">
        <f t="shared" si="41"/>
        <v/>
      </c>
      <c r="O169" t="str">
        <f t="shared" si="42"/>
        <v/>
      </c>
      <c r="P169" t="str">
        <f t="shared" si="43"/>
        <v/>
      </c>
      <c r="Q169" t="str">
        <f t="shared" si="44"/>
        <v/>
      </c>
      <c r="S169" t="str">
        <f>""</f>
        <v/>
      </c>
      <c r="AL169" s="18" t="str">
        <f>IF(COUNTIF($A$2:A168, A168) = 1, A168, "")</f>
        <v/>
      </c>
    </row>
    <row r="170" spans="6:38" x14ac:dyDescent="0.2">
      <c r="F170" t="str">
        <f t="shared" si="39"/>
        <v/>
      </c>
      <c r="L170" s="7" t="str">
        <f t="shared" si="40"/>
        <v/>
      </c>
      <c r="N170" s="7" t="str">
        <f t="shared" si="41"/>
        <v/>
      </c>
      <c r="O170" t="str">
        <f t="shared" si="42"/>
        <v/>
      </c>
      <c r="P170" t="str">
        <f t="shared" si="43"/>
        <v/>
      </c>
      <c r="Q170" t="str">
        <f t="shared" si="44"/>
        <v/>
      </c>
      <c r="S170" t="str">
        <f>""</f>
        <v/>
      </c>
      <c r="AL170" s="18" t="str">
        <f>IF(COUNTIF($A$2:A169, A169) = 1, A169, "")</f>
        <v/>
      </c>
    </row>
    <row r="171" spans="6:38" x14ac:dyDescent="0.2">
      <c r="F171" t="str">
        <f t="shared" si="39"/>
        <v/>
      </c>
      <c r="L171" s="7" t="str">
        <f t="shared" si="40"/>
        <v/>
      </c>
      <c r="N171" s="7" t="str">
        <f t="shared" si="41"/>
        <v/>
      </c>
      <c r="O171" t="str">
        <f t="shared" si="42"/>
        <v/>
      </c>
      <c r="P171" t="str">
        <f t="shared" si="43"/>
        <v/>
      </c>
      <c r="Q171" t="str">
        <f t="shared" si="44"/>
        <v/>
      </c>
      <c r="S171" t="str">
        <f>""</f>
        <v/>
      </c>
      <c r="AL171" s="18" t="str">
        <f>IF(COUNTIF($A$2:A170, A170) = 1, A170, "")</f>
        <v/>
      </c>
    </row>
    <row r="172" spans="6:38" x14ac:dyDescent="0.2">
      <c r="F172" t="str">
        <f t="shared" si="39"/>
        <v/>
      </c>
      <c r="L172" s="7" t="str">
        <f t="shared" si="40"/>
        <v/>
      </c>
      <c r="N172" s="7" t="str">
        <f t="shared" si="41"/>
        <v/>
      </c>
      <c r="O172" t="str">
        <f t="shared" si="42"/>
        <v/>
      </c>
      <c r="P172" t="str">
        <f t="shared" si="43"/>
        <v/>
      </c>
      <c r="Q172" t="str">
        <f t="shared" si="44"/>
        <v/>
      </c>
      <c r="S172" t="str">
        <f>""</f>
        <v/>
      </c>
      <c r="AL172" s="18" t="str">
        <f>IF(COUNTIF($A$2:A171, A171) = 1, A171, "")</f>
        <v/>
      </c>
    </row>
    <row r="173" spans="6:38" x14ac:dyDescent="0.2">
      <c r="F173" t="str">
        <f t="shared" si="39"/>
        <v/>
      </c>
      <c r="L173" s="7" t="str">
        <f t="shared" si="40"/>
        <v/>
      </c>
      <c r="N173" s="7" t="str">
        <f t="shared" si="41"/>
        <v/>
      </c>
      <c r="O173" t="str">
        <f t="shared" si="42"/>
        <v/>
      </c>
      <c r="P173" t="str">
        <f t="shared" si="43"/>
        <v/>
      </c>
      <c r="Q173" t="str">
        <f t="shared" si="44"/>
        <v/>
      </c>
      <c r="S173" t="str">
        <f>""</f>
        <v/>
      </c>
      <c r="AL173" s="18" t="str">
        <f>IF(COUNTIF($A$2:A172, A172) = 1, A172, "")</f>
        <v/>
      </c>
    </row>
    <row r="174" spans="6:38" x14ac:dyDescent="0.2">
      <c r="F174" t="str">
        <f t="shared" si="39"/>
        <v/>
      </c>
      <c r="L174" s="7" t="str">
        <f t="shared" si="40"/>
        <v/>
      </c>
      <c r="N174" s="7" t="str">
        <f t="shared" si="41"/>
        <v/>
      </c>
      <c r="O174" t="str">
        <f t="shared" si="42"/>
        <v/>
      </c>
      <c r="P174" t="str">
        <f t="shared" si="43"/>
        <v/>
      </c>
      <c r="Q174" t="str">
        <f t="shared" si="44"/>
        <v/>
      </c>
      <c r="S174" t="str">
        <f>""</f>
        <v/>
      </c>
      <c r="AL174" s="18" t="str">
        <f>IF(COUNTIF($A$2:A173, A173) = 1, A173, "")</f>
        <v/>
      </c>
    </row>
    <row r="175" spans="6:38" x14ac:dyDescent="0.2">
      <c r="F175" t="str">
        <f t="shared" si="39"/>
        <v/>
      </c>
      <c r="L175" s="7" t="str">
        <f t="shared" si="40"/>
        <v/>
      </c>
      <c r="N175" s="7" t="str">
        <f t="shared" si="41"/>
        <v/>
      </c>
      <c r="O175" t="str">
        <f t="shared" si="42"/>
        <v/>
      </c>
      <c r="P175" t="str">
        <f t="shared" si="43"/>
        <v/>
      </c>
      <c r="Q175" t="str">
        <f t="shared" si="44"/>
        <v/>
      </c>
      <c r="S175" t="str">
        <f>""</f>
        <v/>
      </c>
      <c r="AL175" s="18" t="str">
        <f>IF(COUNTIF($A$2:A174, A174) = 1, A174, "")</f>
        <v/>
      </c>
    </row>
    <row r="176" spans="6:38" x14ac:dyDescent="0.2">
      <c r="F176" t="str">
        <f t="shared" si="39"/>
        <v/>
      </c>
      <c r="L176" s="7" t="str">
        <f t="shared" si="40"/>
        <v/>
      </c>
      <c r="N176" s="7" t="str">
        <f t="shared" si="41"/>
        <v/>
      </c>
      <c r="O176" t="str">
        <f t="shared" si="42"/>
        <v/>
      </c>
      <c r="P176" t="str">
        <f t="shared" si="43"/>
        <v/>
      </c>
      <c r="Q176" t="str">
        <f t="shared" si="44"/>
        <v/>
      </c>
      <c r="S176" t="str">
        <f>""</f>
        <v/>
      </c>
      <c r="AL176" s="18" t="str">
        <f>IF(COUNTIF($A$2:A175, A175) = 1, A175, "")</f>
        <v/>
      </c>
    </row>
    <row r="177" spans="6:38" x14ac:dyDescent="0.2">
      <c r="F177" t="str">
        <f t="shared" si="39"/>
        <v/>
      </c>
      <c r="L177" s="7" t="str">
        <f t="shared" si="40"/>
        <v/>
      </c>
      <c r="N177" s="7" t="str">
        <f t="shared" si="41"/>
        <v/>
      </c>
      <c r="O177" t="str">
        <f t="shared" si="42"/>
        <v/>
      </c>
      <c r="P177" t="str">
        <f t="shared" si="43"/>
        <v/>
      </c>
      <c r="Q177" t="str">
        <f t="shared" si="44"/>
        <v/>
      </c>
      <c r="S177" t="str">
        <f>""</f>
        <v/>
      </c>
      <c r="AL177" s="18" t="str">
        <f>IF(COUNTIF($A$2:A176, A176) = 1, A176, "")</f>
        <v/>
      </c>
    </row>
    <row r="178" spans="6:38" x14ac:dyDescent="0.2">
      <c r="F178" t="str">
        <f t="shared" si="39"/>
        <v/>
      </c>
      <c r="L178" s="7" t="str">
        <f t="shared" si="40"/>
        <v/>
      </c>
      <c r="N178" s="7" t="str">
        <f t="shared" si="41"/>
        <v/>
      </c>
      <c r="O178" t="str">
        <f t="shared" si="42"/>
        <v/>
      </c>
      <c r="P178" t="str">
        <f t="shared" si="43"/>
        <v/>
      </c>
      <c r="Q178" t="str">
        <f t="shared" si="44"/>
        <v/>
      </c>
      <c r="S178" t="str">
        <f>""</f>
        <v/>
      </c>
      <c r="AL178" s="18" t="str">
        <f>IF(COUNTIF($A$2:A177, A177) = 1, A177, "")</f>
        <v/>
      </c>
    </row>
    <row r="179" spans="6:38" x14ac:dyDescent="0.2">
      <c r="F179" t="str">
        <f t="shared" si="39"/>
        <v/>
      </c>
      <c r="L179" s="7" t="str">
        <f t="shared" si="40"/>
        <v/>
      </c>
      <c r="N179" s="7" t="str">
        <f t="shared" si="41"/>
        <v/>
      </c>
      <c r="O179" t="str">
        <f t="shared" si="42"/>
        <v/>
      </c>
      <c r="P179" t="str">
        <f t="shared" si="43"/>
        <v/>
      </c>
      <c r="Q179" t="str">
        <f t="shared" si="44"/>
        <v/>
      </c>
      <c r="S179" t="str">
        <f>""</f>
        <v/>
      </c>
      <c r="AL179" s="18" t="str">
        <f>IF(COUNTIF($A$2:A178, A178) = 1, A178, "")</f>
        <v/>
      </c>
    </row>
    <row r="180" spans="6:38" x14ac:dyDescent="0.2">
      <c r="F180" t="str">
        <f t="shared" si="39"/>
        <v/>
      </c>
      <c r="L180" s="7" t="str">
        <f t="shared" si="40"/>
        <v/>
      </c>
      <c r="N180" s="7" t="str">
        <f t="shared" si="41"/>
        <v/>
      </c>
      <c r="O180" t="str">
        <f t="shared" si="42"/>
        <v/>
      </c>
      <c r="P180" t="str">
        <f t="shared" si="43"/>
        <v/>
      </c>
      <c r="Q180" t="str">
        <f t="shared" si="44"/>
        <v/>
      </c>
      <c r="S180" t="str">
        <f>""</f>
        <v/>
      </c>
      <c r="AL180" s="18" t="str">
        <f>IF(COUNTIF($A$2:A179, A179) = 1, A179, "")</f>
        <v/>
      </c>
    </row>
    <row r="181" spans="6:38" x14ac:dyDescent="0.2">
      <c r="F181" t="str">
        <f t="shared" si="39"/>
        <v/>
      </c>
      <c r="L181" s="7" t="str">
        <f t="shared" si="40"/>
        <v/>
      </c>
      <c r="N181" s="7" t="str">
        <f t="shared" si="41"/>
        <v/>
      </c>
      <c r="O181" t="str">
        <f t="shared" si="42"/>
        <v/>
      </c>
      <c r="P181" t="str">
        <f t="shared" si="43"/>
        <v/>
      </c>
      <c r="Q181" t="str">
        <f t="shared" si="44"/>
        <v/>
      </c>
      <c r="S181" t="str">
        <f>""</f>
        <v/>
      </c>
      <c r="AL181" s="18" t="str">
        <f>IF(COUNTIF($A$2:A180, A180) = 1, A180, "")</f>
        <v/>
      </c>
    </row>
    <row r="182" spans="6:38" x14ac:dyDescent="0.2">
      <c r="F182" t="str">
        <f t="shared" si="39"/>
        <v/>
      </c>
      <c r="L182" s="7" t="str">
        <f t="shared" si="40"/>
        <v/>
      </c>
      <c r="N182" s="7" t="str">
        <f t="shared" si="41"/>
        <v/>
      </c>
      <c r="O182" t="str">
        <f t="shared" si="42"/>
        <v/>
      </c>
      <c r="P182" t="str">
        <f t="shared" si="43"/>
        <v/>
      </c>
      <c r="Q182" t="str">
        <f t="shared" si="44"/>
        <v/>
      </c>
      <c r="S182" t="str">
        <f>""</f>
        <v/>
      </c>
      <c r="AL182" s="18" t="str">
        <f>IF(COUNTIF($A$2:A181, A181) = 1, A181, "")</f>
        <v/>
      </c>
    </row>
    <row r="183" spans="6:38" x14ac:dyDescent="0.2">
      <c r="F183" t="str">
        <f t="shared" si="39"/>
        <v/>
      </c>
      <c r="L183" s="7" t="str">
        <f t="shared" si="40"/>
        <v/>
      </c>
      <c r="N183" s="7" t="str">
        <f t="shared" si="41"/>
        <v/>
      </c>
      <c r="O183" t="str">
        <f t="shared" si="42"/>
        <v/>
      </c>
      <c r="P183" t="str">
        <f t="shared" si="43"/>
        <v/>
      </c>
      <c r="Q183" t="str">
        <f t="shared" si="44"/>
        <v/>
      </c>
      <c r="S183" t="str">
        <f>""</f>
        <v/>
      </c>
      <c r="AL183" s="18" t="str">
        <f>IF(COUNTIF($A$2:A182, A182) = 1, A182, "")</f>
        <v/>
      </c>
    </row>
    <row r="184" spans="6:38" x14ac:dyDescent="0.2">
      <c r="F184" t="str">
        <f t="shared" si="39"/>
        <v/>
      </c>
      <c r="L184" s="7" t="str">
        <f t="shared" si="40"/>
        <v/>
      </c>
      <c r="N184" s="7" t="str">
        <f t="shared" si="41"/>
        <v/>
      </c>
      <c r="O184" t="str">
        <f t="shared" si="42"/>
        <v/>
      </c>
      <c r="P184" t="str">
        <f t="shared" si="43"/>
        <v/>
      </c>
      <c r="Q184" t="str">
        <f t="shared" si="44"/>
        <v/>
      </c>
      <c r="S184" t="str">
        <f>""</f>
        <v/>
      </c>
      <c r="AL184" s="18" t="str">
        <f>IF(COUNTIF($A$2:A183, A183) = 1, A183, "")</f>
        <v/>
      </c>
    </row>
    <row r="185" spans="6:38" x14ac:dyDescent="0.2">
      <c r="F185" t="str">
        <f t="shared" si="39"/>
        <v/>
      </c>
      <c r="L185" s="7" t="str">
        <f t="shared" si="40"/>
        <v/>
      </c>
      <c r="N185" s="7" t="str">
        <f t="shared" si="41"/>
        <v/>
      </c>
      <c r="O185" t="str">
        <f t="shared" si="42"/>
        <v/>
      </c>
      <c r="P185" t="str">
        <f t="shared" si="43"/>
        <v/>
      </c>
      <c r="Q185" t="str">
        <f t="shared" si="44"/>
        <v/>
      </c>
      <c r="S185" t="str">
        <f>""</f>
        <v/>
      </c>
      <c r="AL185" s="18" t="str">
        <f>IF(COUNTIF($A$2:A184, A184) = 1, A184, "")</f>
        <v/>
      </c>
    </row>
    <row r="186" spans="6:38" x14ac:dyDescent="0.2">
      <c r="F186" t="str">
        <f t="shared" si="39"/>
        <v/>
      </c>
      <c r="L186" s="7" t="str">
        <f t="shared" si="40"/>
        <v/>
      </c>
      <c r="N186" s="7" t="str">
        <f t="shared" si="41"/>
        <v/>
      </c>
      <c r="O186" t="str">
        <f t="shared" si="42"/>
        <v/>
      </c>
      <c r="P186" t="str">
        <f t="shared" si="43"/>
        <v/>
      </c>
      <c r="Q186" t="str">
        <f t="shared" si="44"/>
        <v/>
      </c>
      <c r="S186" t="str">
        <f>""</f>
        <v/>
      </c>
      <c r="AL186" s="18" t="str">
        <f>IF(COUNTIF($A$2:A185, A185) = 1, A185, "")</f>
        <v/>
      </c>
    </row>
    <row r="187" spans="6:38" x14ac:dyDescent="0.2">
      <c r="F187" t="str">
        <f t="shared" si="39"/>
        <v/>
      </c>
      <c r="L187" s="7" t="str">
        <f t="shared" si="40"/>
        <v/>
      </c>
      <c r="N187" s="7" t="str">
        <f t="shared" si="41"/>
        <v/>
      </c>
      <c r="O187" t="str">
        <f t="shared" si="42"/>
        <v/>
      </c>
      <c r="P187" t="str">
        <f t="shared" si="43"/>
        <v/>
      </c>
      <c r="Q187" t="str">
        <f t="shared" si="44"/>
        <v/>
      </c>
      <c r="S187" t="str">
        <f>""</f>
        <v/>
      </c>
      <c r="AL187" s="18" t="str">
        <f>IF(COUNTIF($A$2:A186, A186) = 1, A186, "")</f>
        <v/>
      </c>
    </row>
    <row r="188" spans="6:38" x14ac:dyDescent="0.2">
      <c r="F188" t="str">
        <f t="shared" si="39"/>
        <v/>
      </c>
      <c r="L188" s="7" t="str">
        <f t="shared" si="40"/>
        <v/>
      </c>
      <c r="N188" s="7" t="str">
        <f t="shared" si="41"/>
        <v/>
      </c>
      <c r="O188" t="str">
        <f t="shared" si="42"/>
        <v/>
      </c>
      <c r="P188" t="str">
        <f t="shared" si="43"/>
        <v/>
      </c>
      <c r="Q188" t="str">
        <f t="shared" si="44"/>
        <v/>
      </c>
      <c r="S188" t="str">
        <f>""</f>
        <v/>
      </c>
      <c r="AL188" s="18" t="str">
        <f>IF(COUNTIF($A$2:A187, A187) = 1, A187, "")</f>
        <v/>
      </c>
    </row>
    <row r="189" spans="6:38" x14ac:dyDescent="0.2">
      <c r="F189" t="str">
        <f t="shared" si="39"/>
        <v/>
      </c>
      <c r="L189" s="7" t="str">
        <f t="shared" si="40"/>
        <v/>
      </c>
      <c r="N189" s="7" t="str">
        <f t="shared" si="41"/>
        <v/>
      </c>
      <c r="O189" t="str">
        <f t="shared" si="42"/>
        <v/>
      </c>
      <c r="P189" t="str">
        <f t="shared" si="43"/>
        <v/>
      </c>
      <c r="Q189" t="str">
        <f t="shared" si="44"/>
        <v/>
      </c>
      <c r="S189" t="str">
        <f>""</f>
        <v/>
      </c>
      <c r="AL189" s="18" t="str">
        <f>IF(COUNTIF($A$2:A188, A188) = 1, A188, "")</f>
        <v/>
      </c>
    </row>
    <row r="190" spans="6:38" x14ac:dyDescent="0.2">
      <c r="F190" t="str">
        <f t="shared" si="39"/>
        <v/>
      </c>
      <c r="L190" s="7" t="str">
        <f t="shared" si="40"/>
        <v/>
      </c>
      <c r="N190" s="7" t="str">
        <f t="shared" si="41"/>
        <v/>
      </c>
      <c r="O190" t="str">
        <f t="shared" si="42"/>
        <v/>
      </c>
      <c r="P190" t="str">
        <f t="shared" si="43"/>
        <v/>
      </c>
      <c r="Q190" t="str">
        <f t="shared" si="44"/>
        <v/>
      </c>
      <c r="S190" t="str">
        <f>""</f>
        <v/>
      </c>
      <c r="AL190" s="18" t="str">
        <f>IF(COUNTIF($A$2:A189, A189) = 1, A189, "")</f>
        <v/>
      </c>
    </row>
    <row r="191" spans="6:38" x14ac:dyDescent="0.2">
      <c r="F191" t="str">
        <f t="shared" si="39"/>
        <v/>
      </c>
      <c r="L191" s="7" t="str">
        <f t="shared" si="40"/>
        <v/>
      </c>
      <c r="N191" s="7" t="str">
        <f t="shared" si="41"/>
        <v/>
      </c>
      <c r="O191" t="str">
        <f t="shared" si="42"/>
        <v/>
      </c>
      <c r="P191" t="str">
        <f t="shared" si="43"/>
        <v/>
      </c>
      <c r="Q191" t="str">
        <f t="shared" si="44"/>
        <v/>
      </c>
      <c r="S191" t="str">
        <f>""</f>
        <v/>
      </c>
      <c r="AL191" s="18" t="str">
        <f>IF(COUNTIF($A$2:A190, A190) = 1, A190, "")</f>
        <v/>
      </c>
    </row>
    <row r="192" spans="6:38" x14ac:dyDescent="0.2">
      <c r="F192" t="str">
        <f t="shared" si="39"/>
        <v/>
      </c>
      <c r="L192" s="7" t="str">
        <f t="shared" si="40"/>
        <v/>
      </c>
      <c r="N192" s="7" t="str">
        <f t="shared" si="41"/>
        <v/>
      </c>
      <c r="O192" t="str">
        <f t="shared" si="42"/>
        <v/>
      </c>
      <c r="P192" t="str">
        <f t="shared" si="43"/>
        <v/>
      </c>
      <c r="Q192" t="str">
        <f t="shared" si="44"/>
        <v/>
      </c>
      <c r="S192" t="str">
        <f>""</f>
        <v/>
      </c>
      <c r="AL192" s="18" t="str">
        <f>IF(COUNTIF($A$2:A191, A191) = 1, A191, "")</f>
        <v/>
      </c>
    </row>
    <row r="193" spans="6:38" x14ac:dyDescent="0.2">
      <c r="F193" t="str">
        <f t="shared" si="39"/>
        <v/>
      </c>
      <c r="L193" s="7" t="str">
        <f t="shared" si="40"/>
        <v/>
      </c>
      <c r="N193" s="7" t="str">
        <f t="shared" si="41"/>
        <v/>
      </c>
      <c r="O193" t="str">
        <f t="shared" si="42"/>
        <v/>
      </c>
      <c r="P193" t="str">
        <f t="shared" si="43"/>
        <v/>
      </c>
      <c r="Q193" t="str">
        <f t="shared" si="44"/>
        <v/>
      </c>
      <c r="S193" t="str">
        <f>""</f>
        <v/>
      </c>
      <c r="AL193" s="18" t="str">
        <f>IF(COUNTIF($A$2:A192, A192) = 1, A192, "")</f>
        <v/>
      </c>
    </row>
    <row r="194" spans="6:38" x14ac:dyDescent="0.2">
      <c r="F194" t="str">
        <f t="shared" si="39"/>
        <v/>
      </c>
      <c r="L194" s="7" t="str">
        <f t="shared" si="40"/>
        <v/>
      </c>
      <c r="N194" s="7" t="str">
        <f t="shared" si="41"/>
        <v/>
      </c>
      <c r="O194" t="str">
        <f t="shared" si="42"/>
        <v/>
      </c>
      <c r="P194" t="str">
        <f t="shared" si="43"/>
        <v/>
      </c>
      <c r="Q194" t="str">
        <f t="shared" si="44"/>
        <v/>
      </c>
      <c r="S194" t="str">
        <f>""</f>
        <v/>
      </c>
      <c r="AL194" s="18" t="str">
        <f>IF(COUNTIF($A$2:A193, A193) = 1, A193, "")</f>
        <v/>
      </c>
    </row>
    <row r="195" spans="6:38" x14ac:dyDescent="0.2">
      <c r="F195" t="str">
        <f t="shared" si="39"/>
        <v/>
      </c>
      <c r="L195" s="7" t="str">
        <f t="shared" si="40"/>
        <v/>
      </c>
      <c r="N195" s="7" t="str">
        <f t="shared" si="41"/>
        <v/>
      </c>
      <c r="O195" t="str">
        <f t="shared" si="42"/>
        <v/>
      </c>
      <c r="P195" t="str">
        <f t="shared" si="43"/>
        <v/>
      </c>
      <c r="Q195" t="str">
        <f t="shared" si="44"/>
        <v/>
      </c>
      <c r="S195" t="str">
        <f>""</f>
        <v/>
      </c>
      <c r="AL195" s="18" t="str">
        <f>IF(COUNTIF($A$2:A194, A194) = 1, A194, "")</f>
        <v/>
      </c>
    </row>
    <row r="196" spans="6:38" x14ac:dyDescent="0.2">
      <c r="F196" t="str">
        <f t="shared" si="39"/>
        <v/>
      </c>
      <c r="L196" s="7" t="str">
        <f t="shared" si="40"/>
        <v/>
      </c>
      <c r="N196" s="7" t="str">
        <f t="shared" si="41"/>
        <v/>
      </c>
      <c r="O196" t="str">
        <f t="shared" si="42"/>
        <v/>
      </c>
      <c r="P196" t="str">
        <f t="shared" si="43"/>
        <v/>
      </c>
      <c r="Q196" t="str">
        <f t="shared" si="44"/>
        <v/>
      </c>
      <c r="S196" t="str">
        <f>""</f>
        <v/>
      </c>
      <c r="AL196" s="18" t="str">
        <f>IF(COUNTIF($A$2:A195, A195) = 1, A195, "")</f>
        <v/>
      </c>
    </row>
    <row r="197" spans="6:38" x14ac:dyDescent="0.2">
      <c r="F197" t="str">
        <f t="shared" si="39"/>
        <v/>
      </c>
      <c r="L197" s="7" t="str">
        <f t="shared" si="40"/>
        <v/>
      </c>
      <c r="N197" s="7" t="str">
        <f t="shared" si="41"/>
        <v/>
      </c>
      <c r="O197" t="str">
        <f t="shared" si="42"/>
        <v/>
      </c>
      <c r="P197" t="str">
        <f t="shared" si="43"/>
        <v/>
      </c>
      <c r="Q197" t="str">
        <f t="shared" si="44"/>
        <v/>
      </c>
      <c r="S197" t="str">
        <f>""</f>
        <v/>
      </c>
      <c r="AL197" s="18" t="str">
        <f>IF(COUNTIF($A$2:A196, A196) = 1, A196, "")</f>
        <v/>
      </c>
    </row>
    <row r="198" spans="6:38" x14ac:dyDescent="0.2">
      <c r="F198" t="str">
        <f t="shared" si="39"/>
        <v/>
      </c>
      <c r="L198" s="7" t="str">
        <f t="shared" si="40"/>
        <v/>
      </c>
      <c r="N198" s="7" t="str">
        <f t="shared" si="41"/>
        <v/>
      </c>
      <c r="O198" t="str">
        <f t="shared" si="42"/>
        <v/>
      </c>
      <c r="P198" t="str">
        <f t="shared" si="43"/>
        <v/>
      </c>
      <c r="Q198" t="str">
        <f t="shared" si="44"/>
        <v/>
      </c>
      <c r="S198" t="str">
        <f>""</f>
        <v/>
      </c>
      <c r="AL198" s="18" t="str">
        <f>IF(COUNTIF($A$2:A197, A197) = 1, A197, "")</f>
        <v/>
      </c>
    </row>
    <row r="199" spans="6:38" x14ac:dyDescent="0.2">
      <c r="F199" t="str">
        <f t="shared" si="39"/>
        <v/>
      </c>
      <c r="L199" s="7" t="str">
        <f t="shared" si="40"/>
        <v/>
      </c>
      <c r="N199" s="7" t="str">
        <f t="shared" si="41"/>
        <v/>
      </c>
      <c r="O199" t="str">
        <f t="shared" si="42"/>
        <v/>
      </c>
      <c r="P199" t="str">
        <f t="shared" si="43"/>
        <v/>
      </c>
      <c r="Q199" t="str">
        <f t="shared" si="44"/>
        <v/>
      </c>
      <c r="S199" t="str">
        <f>""</f>
        <v/>
      </c>
      <c r="AL199" s="18" t="str">
        <f>IF(COUNTIF($A$2:A198, A198) = 1, A198, "")</f>
        <v/>
      </c>
    </row>
    <row r="200" spans="6:38" x14ac:dyDescent="0.2">
      <c r="F200" t="str">
        <f t="shared" si="39"/>
        <v/>
      </c>
      <c r="L200" s="7" t="str">
        <f t="shared" si="40"/>
        <v/>
      </c>
      <c r="N200" s="7" t="str">
        <f t="shared" si="41"/>
        <v/>
      </c>
      <c r="O200" t="str">
        <f t="shared" si="42"/>
        <v/>
      </c>
      <c r="P200" t="str">
        <f t="shared" si="43"/>
        <v/>
      </c>
      <c r="Q200" t="str">
        <f t="shared" si="44"/>
        <v/>
      </c>
      <c r="S200" t="str">
        <f>""</f>
        <v/>
      </c>
      <c r="AL200" s="18" t="str">
        <f>IF(COUNTIF($A$2:A199, A199) = 1, A199, "")</f>
        <v/>
      </c>
    </row>
    <row r="201" spans="6:38" x14ac:dyDescent="0.2">
      <c r="F201" t="str">
        <f t="shared" si="39"/>
        <v/>
      </c>
      <c r="L201" s="7" t="str">
        <f t="shared" si="40"/>
        <v/>
      </c>
      <c r="N201" s="7" t="str">
        <f t="shared" si="41"/>
        <v/>
      </c>
      <c r="O201" t="str">
        <f t="shared" si="42"/>
        <v/>
      </c>
      <c r="P201" t="str">
        <f t="shared" si="43"/>
        <v/>
      </c>
      <c r="Q201" t="str">
        <f t="shared" si="44"/>
        <v/>
      </c>
      <c r="S201" t="str">
        <f>""</f>
        <v/>
      </c>
      <c r="AL201" s="18" t="str">
        <f>IF(COUNTIF($A$2:A200, A200) = 1, A200, "")</f>
        <v/>
      </c>
    </row>
    <row r="202" spans="6:38" x14ac:dyDescent="0.2">
      <c r="F202" t="str">
        <f t="shared" si="39"/>
        <v/>
      </c>
      <c r="L202" s="7" t="str">
        <f t="shared" si="40"/>
        <v/>
      </c>
      <c r="N202" s="7" t="str">
        <f t="shared" si="41"/>
        <v/>
      </c>
      <c r="O202" t="str">
        <f t="shared" si="42"/>
        <v/>
      </c>
      <c r="P202" t="str">
        <f t="shared" si="43"/>
        <v/>
      </c>
      <c r="Q202" t="str">
        <f t="shared" si="44"/>
        <v/>
      </c>
      <c r="S202" t="str">
        <f>""</f>
        <v/>
      </c>
      <c r="AL202" s="18" t="str">
        <f>IF(COUNTIF($A$2:A201, A201) = 1, A201, "")</f>
        <v/>
      </c>
    </row>
    <row r="203" spans="6:38" x14ac:dyDescent="0.2">
      <c r="F203" t="str">
        <f t="shared" si="39"/>
        <v/>
      </c>
      <c r="L203" s="7" t="str">
        <f t="shared" si="40"/>
        <v/>
      </c>
      <c r="N203" s="7" t="str">
        <f t="shared" si="41"/>
        <v/>
      </c>
      <c r="O203" t="str">
        <f t="shared" si="42"/>
        <v/>
      </c>
      <c r="P203" t="str">
        <f t="shared" si="43"/>
        <v/>
      </c>
      <c r="Q203" t="str">
        <f t="shared" si="44"/>
        <v/>
      </c>
      <c r="S203" t="str">
        <f>""</f>
        <v/>
      </c>
      <c r="AL203" s="18" t="str">
        <f>IF(COUNTIF($A$2:A202, A202) = 1, A202, "")</f>
        <v/>
      </c>
    </row>
    <row r="204" spans="6:38" x14ac:dyDescent="0.2">
      <c r="F204" t="str">
        <f t="shared" si="39"/>
        <v/>
      </c>
      <c r="L204" s="7" t="str">
        <f t="shared" si="40"/>
        <v/>
      </c>
      <c r="N204" s="7" t="str">
        <f t="shared" si="41"/>
        <v/>
      </c>
      <c r="O204" t="str">
        <f t="shared" si="42"/>
        <v/>
      </c>
      <c r="P204" t="str">
        <f t="shared" si="43"/>
        <v/>
      </c>
      <c r="Q204" t="str">
        <f t="shared" si="44"/>
        <v/>
      </c>
      <c r="S204" t="str">
        <f>""</f>
        <v/>
      </c>
      <c r="AL204" s="18" t="str">
        <f>IF(COUNTIF($A$2:A203, A203) = 1, A203, "")</f>
        <v/>
      </c>
    </row>
    <row r="205" spans="6:38" x14ac:dyDescent="0.2">
      <c r="F205" t="str">
        <f t="shared" si="39"/>
        <v/>
      </c>
      <c r="L205" s="7" t="str">
        <f t="shared" si="40"/>
        <v/>
      </c>
      <c r="N205" s="7" t="str">
        <f t="shared" si="41"/>
        <v/>
      </c>
      <c r="O205" t="str">
        <f t="shared" si="42"/>
        <v/>
      </c>
      <c r="P205" t="str">
        <f t="shared" si="43"/>
        <v/>
      </c>
      <c r="Q205" t="str">
        <f t="shared" si="44"/>
        <v/>
      </c>
      <c r="S205" t="str">
        <f>""</f>
        <v/>
      </c>
      <c r="AL205" s="18" t="str">
        <f>IF(COUNTIF($A$2:A204, A204) = 1, A204, "")</f>
        <v/>
      </c>
    </row>
    <row r="206" spans="6:38" x14ac:dyDescent="0.2">
      <c r="F206" t="str">
        <f t="shared" si="39"/>
        <v/>
      </c>
      <c r="L206" s="7" t="str">
        <f t="shared" si="40"/>
        <v/>
      </c>
      <c r="N206" s="7" t="str">
        <f t="shared" si="41"/>
        <v/>
      </c>
      <c r="O206" t="str">
        <f t="shared" si="42"/>
        <v/>
      </c>
      <c r="P206" t="str">
        <f t="shared" si="43"/>
        <v/>
      </c>
      <c r="Q206" t="str">
        <f t="shared" si="44"/>
        <v/>
      </c>
      <c r="S206" t="str">
        <f>""</f>
        <v/>
      </c>
      <c r="AL206" s="18" t="str">
        <f>IF(COUNTIF($A$2:A205, A205) = 1, A205, "")</f>
        <v/>
      </c>
    </row>
    <row r="207" spans="6:38" x14ac:dyDescent="0.2">
      <c r="F207" t="str">
        <f t="shared" si="39"/>
        <v/>
      </c>
      <c r="L207" s="7" t="str">
        <f t="shared" si="40"/>
        <v/>
      </c>
      <c r="N207" s="7" t="str">
        <f t="shared" si="41"/>
        <v/>
      </c>
      <c r="O207" t="str">
        <f t="shared" si="42"/>
        <v/>
      </c>
      <c r="P207" t="str">
        <f t="shared" si="43"/>
        <v/>
      </c>
      <c r="Q207" t="str">
        <f t="shared" si="44"/>
        <v/>
      </c>
      <c r="S207" t="str">
        <f>""</f>
        <v/>
      </c>
      <c r="AL207" s="18" t="str">
        <f>IF(COUNTIF($A$2:A206, A206) = 1, A206, "")</f>
        <v/>
      </c>
    </row>
    <row r="208" spans="6:38" x14ac:dyDescent="0.2">
      <c r="F208" t="str">
        <f t="shared" ref="F208:F271" si="45">IF(OR(O208="", P208=""), "", SUM(IF((O208&lt;&gt;"None")*(O208&lt;&gt;""),LEN(O208)-LEN(SUBSTITUTE(O208,",",""))+1,0)) + SUM(IF((P208&lt;&gt;"None")*(P208&lt;&gt;""),LEN(P208)-LEN(SUBSTITUTE(P208,",",""))+1,0)))</f>
        <v/>
      </c>
      <c r="L208" s="7" t="str">
        <f t="shared" ref="L208:L271" si="46">IF(LEN(E208)=0, "", IFERROR(IF(E208&gt;=0, K208 * (1 + E208/100) - K208, K208 / (ABS(E208)/100))+K208, ""))</f>
        <v/>
      </c>
      <c r="N208" s="7" t="str">
        <f t="shared" ref="N208:N271" si="47">IF(M208="Yes",L208-K208,IF(M208="No",-K208,""))</f>
        <v/>
      </c>
      <c r="O208" t="str">
        <f t="shared" ref="O208:O271" si="48">IF(AND(G208="No",H208="No"), "None", "")</f>
        <v/>
      </c>
      <c r="P208" t="str">
        <f t="shared" ref="P208:P271" si="49">IF(I208="No", "None", "")</f>
        <v/>
      </c>
      <c r="Q208" t="str">
        <f t="shared" ref="Q208:Q271" si="50">IF(AND(D208="Straight", M208 = "No"),IF(O208="None",P208,IF(P208="None",O208) ),"")</f>
        <v/>
      </c>
      <c r="S208" t="str">
        <f>""</f>
        <v/>
      </c>
      <c r="AL208" s="18" t="str">
        <f>IF(COUNTIF($A$2:A207, A207) = 1, A207, "")</f>
        <v/>
      </c>
    </row>
    <row r="209" spans="6:38" x14ac:dyDescent="0.2">
      <c r="F209" t="str">
        <f t="shared" si="45"/>
        <v/>
      </c>
      <c r="L209" s="7" t="str">
        <f t="shared" si="46"/>
        <v/>
      </c>
      <c r="N209" s="7" t="str">
        <f t="shared" si="47"/>
        <v/>
      </c>
      <c r="O209" t="str">
        <f t="shared" si="48"/>
        <v/>
      </c>
      <c r="P209" t="str">
        <f t="shared" si="49"/>
        <v/>
      </c>
      <c r="Q209" t="str">
        <f t="shared" si="50"/>
        <v/>
      </c>
      <c r="S209" t="str">
        <f>""</f>
        <v/>
      </c>
      <c r="AL209" s="18" t="str">
        <f>IF(COUNTIF($A$2:A208, A208) = 1, A208, "")</f>
        <v/>
      </c>
    </row>
    <row r="210" spans="6:38" x14ac:dyDescent="0.2">
      <c r="F210" t="str">
        <f t="shared" si="45"/>
        <v/>
      </c>
      <c r="L210" s="7" t="str">
        <f t="shared" si="46"/>
        <v/>
      </c>
      <c r="N210" s="7" t="str">
        <f t="shared" si="47"/>
        <v/>
      </c>
      <c r="O210" t="str">
        <f t="shared" si="48"/>
        <v/>
      </c>
      <c r="P210" t="str">
        <f t="shared" si="49"/>
        <v/>
      </c>
      <c r="Q210" t="str">
        <f t="shared" si="50"/>
        <v/>
      </c>
      <c r="S210" t="str">
        <f>""</f>
        <v/>
      </c>
      <c r="AL210" s="18" t="str">
        <f>IF(COUNTIF($A$2:A209, A209) = 1, A209, "")</f>
        <v/>
      </c>
    </row>
    <row r="211" spans="6:38" x14ac:dyDescent="0.2">
      <c r="F211" t="str">
        <f t="shared" si="45"/>
        <v/>
      </c>
      <c r="L211" s="7" t="str">
        <f t="shared" si="46"/>
        <v/>
      </c>
      <c r="N211" s="7" t="str">
        <f t="shared" si="47"/>
        <v/>
      </c>
      <c r="O211" t="str">
        <f t="shared" si="48"/>
        <v/>
      </c>
      <c r="P211" t="str">
        <f t="shared" si="49"/>
        <v/>
      </c>
      <c r="Q211" t="str">
        <f t="shared" si="50"/>
        <v/>
      </c>
      <c r="S211" t="str">
        <f>""</f>
        <v/>
      </c>
      <c r="AL211" s="18" t="str">
        <f>IF(COUNTIF($A$2:A210, A210) = 1, A210, "")</f>
        <v/>
      </c>
    </row>
    <row r="212" spans="6:38" x14ac:dyDescent="0.2">
      <c r="F212" t="str">
        <f t="shared" si="45"/>
        <v/>
      </c>
      <c r="L212" s="7" t="str">
        <f t="shared" si="46"/>
        <v/>
      </c>
      <c r="N212" s="7" t="str">
        <f t="shared" si="47"/>
        <v/>
      </c>
      <c r="O212" t="str">
        <f t="shared" si="48"/>
        <v/>
      </c>
      <c r="P212" t="str">
        <f t="shared" si="49"/>
        <v/>
      </c>
      <c r="Q212" t="str">
        <f t="shared" si="50"/>
        <v/>
      </c>
      <c r="S212" t="str">
        <f>""</f>
        <v/>
      </c>
      <c r="AL212" s="18" t="str">
        <f>IF(COUNTIF($A$2:A211, A211) = 1, A211, "")</f>
        <v/>
      </c>
    </row>
    <row r="213" spans="6:38" x14ac:dyDescent="0.2">
      <c r="F213" t="str">
        <f t="shared" si="45"/>
        <v/>
      </c>
      <c r="L213" s="7" t="str">
        <f t="shared" si="46"/>
        <v/>
      </c>
      <c r="N213" s="7" t="str">
        <f t="shared" si="47"/>
        <v/>
      </c>
      <c r="O213" t="str">
        <f t="shared" si="48"/>
        <v/>
      </c>
      <c r="P213" t="str">
        <f t="shared" si="49"/>
        <v/>
      </c>
      <c r="Q213" t="str">
        <f t="shared" si="50"/>
        <v/>
      </c>
      <c r="S213" t="str">
        <f>""</f>
        <v/>
      </c>
      <c r="AL213" s="18" t="str">
        <f>IF(COUNTIF($A$2:A212, A212) = 1, A212, "")</f>
        <v/>
      </c>
    </row>
    <row r="214" spans="6:38" x14ac:dyDescent="0.2">
      <c r="F214" t="str">
        <f t="shared" si="45"/>
        <v/>
      </c>
      <c r="L214" s="7" t="str">
        <f t="shared" si="46"/>
        <v/>
      </c>
      <c r="N214" s="7" t="str">
        <f t="shared" si="47"/>
        <v/>
      </c>
      <c r="O214" t="str">
        <f t="shared" si="48"/>
        <v/>
      </c>
      <c r="P214" t="str">
        <f t="shared" si="49"/>
        <v/>
      </c>
      <c r="Q214" t="str">
        <f t="shared" si="50"/>
        <v/>
      </c>
      <c r="S214" t="str">
        <f>""</f>
        <v/>
      </c>
      <c r="AL214" s="18" t="str">
        <f>IF(COUNTIF($A$2:A213, A213) = 1, A213, "")</f>
        <v/>
      </c>
    </row>
    <row r="215" spans="6:38" x14ac:dyDescent="0.2">
      <c r="F215" t="str">
        <f t="shared" si="45"/>
        <v/>
      </c>
      <c r="L215" s="7" t="str">
        <f t="shared" si="46"/>
        <v/>
      </c>
      <c r="N215" s="7" t="str">
        <f t="shared" si="47"/>
        <v/>
      </c>
      <c r="O215" t="str">
        <f t="shared" si="48"/>
        <v/>
      </c>
      <c r="P215" t="str">
        <f t="shared" si="49"/>
        <v/>
      </c>
      <c r="Q215" t="str">
        <f t="shared" si="50"/>
        <v/>
      </c>
      <c r="S215" t="str">
        <f>""</f>
        <v/>
      </c>
      <c r="AL215" s="18" t="str">
        <f>IF(COUNTIF($A$2:A214, A214) = 1, A214, "")</f>
        <v/>
      </c>
    </row>
    <row r="216" spans="6:38" x14ac:dyDescent="0.2">
      <c r="F216" t="str">
        <f t="shared" si="45"/>
        <v/>
      </c>
      <c r="L216" s="7" t="str">
        <f t="shared" si="46"/>
        <v/>
      </c>
      <c r="N216" s="7" t="str">
        <f t="shared" si="47"/>
        <v/>
      </c>
      <c r="O216" t="str">
        <f t="shared" si="48"/>
        <v/>
      </c>
      <c r="P216" t="str">
        <f t="shared" si="49"/>
        <v/>
      </c>
      <c r="Q216" t="str">
        <f t="shared" si="50"/>
        <v/>
      </c>
      <c r="S216" t="str">
        <f>""</f>
        <v/>
      </c>
      <c r="AL216" s="18" t="str">
        <f>IF(COUNTIF($A$2:A215, A215) = 1, A215, "")</f>
        <v/>
      </c>
    </row>
    <row r="217" spans="6:38" x14ac:dyDescent="0.2">
      <c r="F217" t="str">
        <f t="shared" si="45"/>
        <v/>
      </c>
      <c r="L217" s="7" t="str">
        <f t="shared" si="46"/>
        <v/>
      </c>
      <c r="N217" s="7" t="str">
        <f t="shared" si="47"/>
        <v/>
      </c>
      <c r="O217" t="str">
        <f t="shared" si="48"/>
        <v/>
      </c>
      <c r="P217" t="str">
        <f t="shared" si="49"/>
        <v/>
      </c>
      <c r="Q217" t="str">
        <f t="shared" si="50"/>
        <v/>
      </c>
      <c r="S217" t="str">
        <f>""</f>
        <v/>
      </c>
      <c r="AL217" s="18" t="str">
        <f>IF(COUNTIF($A$2:A216, A216) = 1, A216, "")</f>
        <v/>
      </c>
    </row>
    <row r="218" spans="6:38" x14ac:dyDescent="0.2">
      <c r="F218" t="str">
        <f t="shared" si="45"/>
        <v/>
      </c>
      <c r="L218" s="7" t="str">
        <f t="shared" si="46"/>
        <v/>
      </c>
      <c r="N218" s="7" t="str">
        <f t="shared" si="47"/>
        <v/>
      </c>
      <c r="O218" t="str">
        <f t="shared" si="48"/>
        <v/>
      </c>
      <c r="P218" t="str">
        <f t="shared" si="49"/>
        <v/>
      </c>
      <c r="Q218" t="str">
        <f t="shared" si="50"/>
        <v/>
      </c>
      <c r="S218" t="str">
        <f>""</f>
        <v/>
      </c>
      <c r="AL218" s="18" t="str">
        <f>IF(COUNTIF($A$2:A217, A217) = 1, A217, "")</f>
        <v/>
      </c>
    </row>
    <row r="219" spans="6:38" x14ac:dyDescent="0.2">
      <c r="F219" t="str">
        <f t="shared" si="45"/>
        <v/>
      </c>
      <c r="L219" s="7" t="str">
        <f t="shared" si="46"/>
        <v/>
      </c>
      <c r="N219" s="7" t="str">
        <f t="shared" si="47"/>
        <v/>
      </c>
      <c r="O219" t="str">
        <f t="shared" si="48"/>
        <v/>
      </c>
      <c r="P219" t="str">
        <f t="shared" si="49"/>
        <v/>
      </c>
      <c r="Q219" t="str">
        <f t="shared" si="50"/>
        <v/>
      </c>
      <c r="S219" t="str">
        <f>""</f>
        <v/>
      </c>
      <c r="AL219" s="18" t="str">
        <f>IF(COUNTIF($A$2:A218, A218) = 1, A218, "")</f>
        <v/>
      </c>
    </row>
    <row r="220" spans="6:38" x14ac:dyDescent="0.2">
      <c r="F220" t="str">
        <f t="shared" si="45"/>
        <v/>
      </c>
      <c r="L220" s="7" t="str">
        <f t="shared" si="46"/>
        <v/>
      </c>
      <c r="N220" s="7" t="str">
        <f t="shared" si="47"/>
        <v/>
      </c>
      <c r="O220" t="str">
        <f t="shared" si="48"/>
        <v/>
      </c>
      <c r="P220" t="str">
        <f t="shared" si="49"/>
        <v/>
      </c>
      <c r="Q220" t="str">
        <f t="shared" si="50"/>
        <v/>
      </c>
      <c r="S220" t="str">
        <f>""</f>
        <v/>
      </c>
      <c r="AL220" s="18" t="str">
        <f>IF(COUNTIF($A$2:A219, A219) = 1, A219, "")</f>
        <v/>
      </c>
    </row>
    <row r="221" spans="6:38" x14ac:dyDescent="0.2">
      <c r="F221" t="str">
        <f t="shared" si="45"/>
        <v/>
      </c>
      <c r="L221" s="7" t="str">
        <f t="shared" si="46"/>
        <v/>
      </c>
      <c r="N221" s="7" t="str">
        <f t="shared" si="47"/>
        <v/>
      </c>
      <c r="O221" t="str">
        <f t="shared" si="48"/>
        <v/>
      </c>
      <c r="P221" t="str">
        <f t="shared" si="49"/>
        <v/>
      </c>
      <c r="Q221" t="str">
        <f t="shared" si="50"/>
        <v/>
      </c>
      <c r="S221" t="str">
        <f>""</f>
        <v/>
      </c>
      <c r="AL221" s="18" t="str">
        <f>IF(COUNTIF($A$2:A220, A220) = 1, A220, "")</f>
        <v/>
      </c>
    </row>
    <row r="222" spans="6:38" x14ac:dyDescent="0.2">
      <c r="F222" t="str">
        <f t="shared" si="45"/>
        <v/>
      </c>
      <c r="L222" s="7" t="str">
        <f t="shared" si="46"/>
        <v/>
      </c>
      <c r="N222" s="7" t="str">
        <f t="shared" si="47"/>
        <v/>
      </c>
      <c r="O222" t="str">
        <f t="shared" si="48"/>
        <v/>
      </c>
      <c r="P222" t="str">
        <f t="shared" si="49"/>
        <v/>
      </c>
      <c r="Q222" t="str">
        <f t="shared" si="50"/>
        <v/>
      </c>
      <c r="S222" t="str">
        <f>""</f>
        <v/>
      </c>
      <c r="AL222" s="18" t="str">
        <f>IF(COUNTIF($A$2:A221, A221) = 1, A221, "")</f>
        <v/>
      </c>
    </row>
    <row r="223" spans="6:38" x14ac:dyDescent="0.2">
      <c r="F223" t="str">
        <f t="shared" si="45"/>
        <v/>
      </c>
      <c r="L223" s="7" t="str">
        <f t="shared" si="46"/>
        <v/>
      </c>
      <c r="N223" s="7" t="str">
        <f t="shared" si="47"/>
        <v/>
      </c>
      <c r="O223" t="str">
        <f t="shared" si="48"/>
        <v/>
      </c>
      <c r="P223" t="str">
        <f t="shared" si="49"/>
        <v/>
      </c>
      <c r="Q223" t="str">
        <f t="shared" si="50"/>
        <v/>
      </c>
      <c r="S223" t="str">
        <f>""</f>
        <v/>
      </c>
      <c r="AL223" s="18" t="str">
        <f>IF(COUNTIF($A$2:A222, A222) = 1, A222, "")</f>
        <v/>
      </c>
    </row>
    <row r="224" spans="6:38" x14ac:dyDescent="0.2">
      <c r="F224" t="str">
        <f t="shared" si="45"/>
        <v/>
      </c>
      <c r="L224" s="7" t="str">
        <f t="shared" si="46"/>
        <v/>
      </c>
      <c r="N224" s="7" t="str">
        <f t="shared" si="47"/>
        <v/>
      </c>
      <c r="O224" t="str">
        <f t="shared" si="48"/>
        <v/>
      </c>
      <c r="P224" t="str">
        <f t="shared" si="49"/>
        <v/>
      </c>
      <c r="Q224" t="str">
        <f t="shared" si="50"/>
        <v/>
      </c>
      <c r="S224" t="str">
        <f>""</f>
        <v/>
      </c>
      <c r="AL224" s="18" t="str">
        <f>IF(COUNTIF($A$2:A223, A223) = 1, A223, "")</f>
        <v/>
      </c>
    </row>
    <row r="225" spans="6:38" x14ac:dyDescent="0.2">
      <c r="F225" t="str">
        <f t="shared" si="45"/>
        <v/>
      </c>
      <c r="L225" s="7" t="str">
        <f t="shared" si="46"/>
        <v/>
      </c>
      <c r="N225" s="7" t="str">
        <f t="shared" si="47"/>
        <v/>
      </c>
      <c r="O225" t="str">
        <f t="shared" si="48"/>
        <v/>
      </c>
      <c r="P225" t="str">
        <f t="shared" si="49"/>
        <v/>
      </c>
      <c r="Q225" t="str">
        <f t="shared" si="50"/>
        <v/>
      </c>
      <c r="S225" t="str">
        <f>""</f>
        <v/>
      </c>
      <c r="AL225" s="18" t="str">
        <f>IF(COUNTIF($A$2:A224, A224) = 1, A224, "")</f>
        <v/>
      </c>
    </row>
    <row r="226" spans="6:38" x14ac:dyDescent="0.2">
      <c r="F226" t="str">
        <f t="shared" si="45"/>
        <v/>
      </c>
      <c r="L226" s="7" t="str">
        <f t="shared" si="46"/>
        <v/>
      </c>
      <c r="N226" s="7" t="str">
        <f t="shared" si="47"/>
        <v/>
      </c>
      <c r="O226" t="str">
        <f t="shared" si="48"/>
        <v/>
      </c>
      <c r="P226" t="str">
        <f t="shared" si="49"/>
        <v/>
      </c>
      <c r="Q226" t="str">
        <f t="shared" si="50"/>
        <v/>
      </c>
      <c r="S226" t="str">
        <f>""</f>
        <v/>
      </c>
      <c r="AL226" s="18" t="str">
        <f>IF(COUNTIF($A$2:A225, A225) = 1, A225, "")</f>
        <v/>
      </c>
    </row>
    <row r="227" spans="6:38" x14ac:dyDescent="0.2">
      <c r="F227" t="str">
        <f t="shared" si="45"/>
        <v/>
      </c>
      <c r="L227" s="7" t="str">
        <f t="shared" si="46"/>
        <v/>
      </c>
      <c r="N227" s="7" t="str">
        <f t="shared" si="47"/>
        <v/>
      </c>
      <c r="O227" t="str">
        <f t="shared" si="48"/>
        <v/>
      </c>
      <c r="P227" t="str">
        <f t="shared" si="49"/>
        <v/>
      </c>
      <c r="Q227" t="str">
        <f t="shared" si="50"/>
        <v/>
      </c>
      <c r="S227" t="str">
        <f>""</f>
        <v/>
      </c>
      <c r="AL227" s="18" t="str">
        <f>IF(COUNTIF($A$2:A226, A226) = 1, A226, "")</f>
        <v/>
      </c>
    </row>
    <row r="228" spans="6:38" x14ac:dyDescent="0.2">
      <c r="F228" t="str">
        <f t="shared" si="45"/>
        <v/>
      </c>
      <c r="L228" s="7" t="str">
        <f t="shared" si="46"/>
        <v/>
      </c>
      <c r="N228" s="7" t="str">
        <f t="shared" si="47"/>
        <v/>
      </c>
      <c r="O228" t="str">
        <f t="shared" si="48"/>
        <v/>
      </c>
      <c r="P228" t="str">
        <f t="shared" si="49"/>
        <v/>
      </c>
      <c r="Q228" t="str">
        <f t="shared" si="50"/>
        <v/>
      </c>
      <c r="S228" t="str">
        <f>""</f>
        <v/>
      </c>
      <c r="AL228" s="18" t="str">
        <f>IF(COUNTIF($A$2:A227, A227) = 1, A227, "")</f>
        <v/>
      </c>
    </row>
    <row r="229" spans="6:38" x14ac:dyDescent="0.2">
      <c r="F229" t="str">
        <f t="shared" si="45"/>
        <v/>
      </c>
      <c r="L229" s="7" t="str">
        <f t="shared" si="46"/>
        <v/>
      </c>
      <c r="N229" s="7" t="str">
        <f t="shared" si="47"/>
        <v/>
      </c>
      <c r="O229" t="str">
        <f t="shared" si="48"/>
        <v/>
      </c>
      <c r="P229" t="str">
        <f t="shared" si="49"/>
        <v/>
      </c>
      <c r="Q229" t="str">
        <f t="shared" si="50"/>
        <v/>
      </c>
      <c r="S229" t="str">
        <f>""</f>
        <v/>
      </c>
      <c r="AL229" s="18" t="str">
        <f>IF(COUNTIF($A$2:A228, A228) = 1, A228, "")</f>
        <v/>
      </c>
    </row>
    <row r="230" spans="6:38" x14ac:dyDescent="0.2">
      <c r="F230" t="str">
        <f t="shared" si="45"/>
        <v/>
      </c>
      <c r="L230" s="7" t="str">
        <f t="shared" si="46"/>
        <v/>
      </c>
      <c r="N230" s="7" t="str">
        <f t="shared" si="47"/>
        <v/>
      </c>
      <c r="O230" t="str">
        <f t="shared" si="48"/>
        <v/>
      </c>
      <c r="P230" t="str">
        <f t="shared" si="49"/>
        <v/>
      </c>
      <c r="Q230" t="str">
        <f t="shared" si="50"/>
        <v/>
      </c>
      <c r="S230" t="str">
        <f>""</f>
        <v/>
      </c>
      <c r="AL230" s="18" t="str">
        <f>IF(COUNTIF($A$2:A229, A229) = 1, A229, "")</f>
        <v/>
      </c>
    </row>
    <row r="231" spans="6:38" x14ac:dyDescent="0.2">
      <c r="F231" t="str">
        <f t="shared" si="45"/>
        <v/>
      </c>
      <c r="L231" s="7" t="str">
        <f t="shared" si="46"/>
        <v/>
      </c>
      <c r="N231" s="7" t="str">
        <f t="shared" si="47"/>
        <v/>
      </c>
      <c r="O231" t="str">
        <f t="shared" si="48"/>
        <v/>
      </c>
      <c r="P231" t="str">
        <f t="shared" si="49"/>
        <v/>
      </c>
      <c r="Q231" t="str">
        <f t="shared" si="50"/>
        <v/>
      </c>
      <c r="S231" t="str">
        <f>""</f>
        <v/>
      </c>
      <c r="AL231" s="18" t="str">
        <f>IF(COUNTIF($A$2:A230, A230) = 1, A230, "")</f>
        <v/>
      </c>
    </row>
    <row r="232" spans="6:38" x14ac:dyDescent="0.2">
      <c r="F232" t="str">
        <f t="shared" si="45"/>
        <v/>
      </c>
      <c r="L232" s="7" t="str">
        <f t="shared" si="46"/>
        <v/>
      </c>
      <c r="N232" s="7" t="str">
        <f t="shared" si="47"/>
        <v/>
      </c>
      <c r="O232" t="str">
        <f t="shared" si="48"/>
        <v/>
      </c>
      <c r="P232" t="str">
        <f t="shared" si="49"/>
        <v/>
      </c>
      <c r="Q232" t="str">
        <f t="shared" si="50"/>
        <v/>
      </c>
      <c r="S232" t="str">
        <f>""</f>
        <v/>
      </c>
      <c r="AL232" s="18" t="str">
        <f>IF(COUNTIF($A$2:A231, A231) = 1, A231, "")</f>
        <v/>
      </c>
    </row>
    <row r="233" spans="6:38" x14ac:dyDescent="0.2">
      <c r="F233" t="str">
        <f t="shared" si="45"/>
        <v/>
      </c>
      <c r="L233" s="7" t="str">
        <f t="shared" si="46"/>
        <v/>
      </c>
      <c r="N233" s="7" t="str">
        <f t="shared" si="47"/>
        <v/>
      </c>
      <c r="O233" t="str">
        <f t="shared" si="48"/>
        <v/>
      </c>
      <c r="P233" t="str">
        <f t="shared" si="49"/>
        <v/>
      </c>
      <c r="Q233" t="str">
        <f t="shared" si="50"/>
        <v/>
      </c>
      <c r="S233" t="str">
        <f>""</f>
        <v/>
      </c>
      <c r="AL233" s="18" t="str">
        <f>IF(COUNTIF($A$2:A232, A232) = 1, A232, "")</f>
        <v/>
      </c>
    </row>
    <row r="234" spans="6:38" x14ac:dyDescent="0.2">
      <c r="F234" t="str">
        <f t="shared" si="45"/>
        <v/>
      </c>
      <c r="L234" s="7" t="str">
        <f t="shared" si="46"/>
        <v/>
      </c>
      <c r="N234" s="7" t="str">
        <f t="shared" si="47"/>
        <v/>
      </c>
      <c r="O234" t="str">
        <f t="shared" si="48"/>
        <v/>
      </c>
      <c r="P234" t="str">
        <f t="shared" si="49"/>
        <v/>
      </c>
      <c r="Q234" t="str">
        <f t="shared" si="50"/>
        <v/>
      </c>
      <c r="S234" t="str">
        <f>""</f>
        <v/>
      </c>
      <c r="AL234" s="18" t="str">
        <f>IF(COUNTIF($A$2:A233, A233) = 1, A233, "")</f>
        <v/>
      </c>
    </row>
    <row r="235" spans="6:38" x14ac:dyDescent="0.2">
      <c r="F235" t="str">
        <f t="shared" si="45"/>
        <v/>
      </c>
      <c r="L235" s="7" t="str">
        <f t="shared" si="46"/>
        <v/>
      </c>
      <c r="N235" s="7" t="str">
        <f t="shared" si="47"/>
        <v/>
      </c>
      <c r="O235" t="str">
        <f t="shared" si="48"/>
        <v/>
      </c>
      <c r="P235" t="str">
        <f t="shared" si="49"/>
        <v/>
      </c>
      <c r="Q235" t="str">
        <f t="shared" si="50"/>
        <v/>
      </c>
      <c r="S235" t="str">
        <f>""</f>
        <v/>
      </c>
      <c r="AL235" s="18" t="str">
        <f>IF(COUNTIF($A$2:A234, A234) = 1, A234, "")</f>
        <v/>
      </c>
    </row>
    <row r="236" spans="6:38" x14ac:dyDescent="0.2">
      <c r="F236" t="str">
        <f t="shared" si="45"/>
        <v/>
      </c>
      <c r="L236" s="7" t="str">
        <f t="shared" si="46"/>
        <v/>
      </c>
      <c r="N236" s="7" t="str">
        <f t="shared" si="47"/>
        <v/>
      </c>
      <c r="O236" t="str">
        <f t="shared" si="48"/>
        <v/>
      </c>
      <c r="P236" t="str">
        <f t="shared" si="49"/>
        <v/>
      </c>
      <c r="Q236" t="str">
        <f t="shared" si="50"/>
        <v/>
      </c>
      <c r="S236" t="str">
        <f>""</f>
        <v/>
      </c>
      <c r="AL236" s="18" t="str">
        <f>IF(COUNTIF($A$2:A235, A235) = 1, A235, "")</f>
        <v/>
      </c>
    </row>
    <row r="237" spans="6:38" x14ac:dyDescent="0.2">
      <c r="F237" t="str">
        <f t="shared" si="45"/>
        <v/>
      </c>
      <c r="L237" s="7" t="str">
        <f t="shared" si="46"/>
        <v/>
      </c>
      <c r="N237" s="7" t="str">
        <f t="shared" si="47"/>
        <v/>
      </c>
      <c r="O237" t="str">
        <f t="shared" si="48"/>
        <v/>
      </c>
      <c r="P237" t="str">
        <f t="shared" si="49"/>
        <v/>
      </c>
      <c r="Q237" t="str">
        <f t="shared" si="50"/>
        <v/>
      </c>
      <c r="S237" t="str">
        <f>""</f>
        <v/>
      </c>
      <c r="AL237" s="18" t="str">
        <f>IF(COUNTIF($A$2:A236, A236) = 1, A236, "")</f>
        <v/>
      </c>
    </row>
    <row r="238" spans="6:38" x14ac:dyDescent="0.2">
      <c r="F238" t="str">
        <f t="shared" si="45"/>
        <v/>
      </c>
      <c r="L238" s="7" t="str">
        <f t="shared" si="46"/>
        <v/>
      </c>
      <c r="N238" s="7" t="str">
        <f t="shared" si="47"/>
        <v/>
      </c>
      <c r="O238" t="str">
        <f t="shared" si="48"/>
        <v/>
      </c>
      <c r="P238" t="str">
        <f t="shared" si="49"/>
        <v/>
      </c>
      <c r="Q238" t="str">
        <f t="shared" si="50"/>
        <v/>
      </c>
      <c r="S238" t="str">
        <f>""</f>
        <v/>
      </c>
      <c r="AL238" s="18" t="str">
        <f>IF(COUNTIF($A$2:A237, A237) = 1, A237, "")</f>
        <v/>
      </c>
    </row>
    <row r="239" spans="6:38" x14ac:dyDescent="0.2">
      <c r="F239" t="str">
        <f t="shared" si="45"/>
        <v/>
      </c>
      <c r="L239" s="7" t="str">
        <f t="shared" si="46"/>
        <v/>
      </c>
      <c r="N239" s="7" t="str">
        <f t="shared" si="47"/>
        <v/>
      </c>
      <c r="O239" t="str">
        <f t="shared" si="48"/>
        <v/>
      </c>
      <c r="P239" t="str">
        <f t="shared" si="49"/>
        <v/>
      </c>
      <c r="Q239" t="str">
        <f t="shared" si="50"/>
        <v/>
      </c>
      <c r="S239" t="str">
        <f>""</f>
        <v/>
      </c>
      <c r="AL239" s="18" t="str">
        <f>IF(COUNTIF($A$2:A238, A238) = 1, A238, "")</f>
        <v/>
      </c>
    </row>
    <row r="240" spans="6:38" x14ac:dyDescent="0.2">
      <c r="F240" t="str">
        <f t="shared" si="45"/>
        <v/>
      </c>
      <c r="L240" s="7" t="str">
        <f t="shared" si="46"/>
        <v/>
      </c>
      <c r="N240" s="7" t="str">
        <f t="shared" si="47"/>
        <v/>
      </c>
      <c r="O240" t="str">
        <f t="shared" si="48"/>
        <v/>
      </c>
      <c r="P240" t="str">
        <f t="shared" si="49"/>
        <v/>
      </c>
      <c r="Q240" t="str">
        <f t="shared" si="50"/>
        <v/>
      </c>
      <c r="S240" t="str">
        <f>""</f>
        <v/>
      </c>
      <c r="AL240" s="18" t="str">
        <f>IF(COUNTIF($A$2:A239, A239) = 1, A239, "")</f>
        <v/>
      </c>
    </row>
    <row r="241" spans="6:38" x14ac:dyDescent="0.2">
      <c r="F241" t="str">
        <f t="shared" si="45"/>
        <v/>
      </c>
      <c r="L241" s="7" t="str">
        <f t="shared" si="46"/>
        <v/>
      </c>
      <c r="N241" s="7" t="str">
        <f t="shared" si="47"/>
        <v/>
      </c>
      <c r="O241" t="str">
        <f t="shared" si="48"/>
        <v/>
      </c>
      <c r="P241" t="str">
        <f t="shared" si="49"/>
        <v/>
      </c>
      <c r="Q241" t="str">
        <f t="shared" si="50"/>
        <v/>
      </c>
      <c r="S241" t="str">
        <f>""</f>
        <v/>
      </c>
      <c r="AL241" s="18" t="str">
        <f>IF(COUNTIF($A$2:A240, A240) = 1, A240, "")</f>
        <v/>
      </c>
    </row>
    <row r="242" spans="6:38" x14ac:dyDescent="0.2">
      <c r="F242" t="str">
        <f t="shared" si="45"/>
        <v/>
      </c>
      <c r="L242" s="7" t="str">
        <f t="shared" si="46"/>
        <v/>
      </c>
      <c r="N242" s="7" t="str">
        <f t="shared" si="47"/>
        <v/>
      </c>
      <c r="O242" t="str">
        <f t="shared" si="48"/>
        <v/>
      </c>
      <c r="P242" t="str">
        <f t="shared" si="49"/>
        <v/>
      </c>
      <c r="Q242" t="str">
        <f t="shared" si="50"/>
        <v/>
      </c>
      <c r="S242" t="str">
        <f>""</f>
        <v/>
      </c>
      <c r="AL242" s="18" t="str">
        <f>IF(COUNTIF($A$2:A241, A241) = 1, A241, "")</f>
        <v/>
      </c>
    </row>
    <row r="243" spans="6:38" x14ac:dyDescent="0.2">
      <c r="F243" t="str">
        <f t="shared" si="45"/>
        <v/>
      </c>
      <c r="L243" s="7" t="str">
        <f t="shared" si="46"/>
        <v/>
      </c>
      <c r="N243" s="7" t="str">
        <f t="shared" si="47"/>
        <v/>
      </c>
      <c r="O243" t="str">
        <f t="shared" si="48"/>
        <v/>
      </c>
      <c r="P243" t="str">
        <f t="shared" si="49"/>
        <v/>
      </c>
      <c r="Q243" t="str">
        <f t="shared" si="50"/>
        <v/>
      </c>
      <c r="S243" t="str">
        <f>""</f>
        <v/>
      </c>
      <c r="AL243" s="18" t="str">
        <f>IF(COUNTIF($A$2:A242, A242) = 1, A242, "")</f>
        <v/>
      </c>
    </row>
    <row r="244" spans="6:38" x14ac:dyDescent="0.2">
      <c r="F244" t="str">
        <f t="shared" si="45"/>
        <v/>
      </c>
      <c r="L244" s="7" t="str">
        <f t="shared" si="46"/>
        <v/>
      </c>
      <c r="N244" s="7" t="str">
        <f t="shared" si="47"/>
        <v/>
      </c>
      <c r="O244" t="str">
        <f t="shared" si="48"/>
        <v/>
      </c>
      <c r="P244" t="str">
        <f t="shared" si="49"/>
        <v/>
      </c>
      <c r="Q244" t="str">
        <f t="shared" si="50"/>
        <v/>
      </c>
      <c r="S244" t="str">
        <f>""</f>
        <v/>
      </c>
      <c r="AL244" s="18" t="str">
        <f>IF(COUNTIF($A$2:A243, A243) = 1, A243, "")</f>
        <v/>
      </c>
    </row>
    <row r="245" spans="6:38" x14ac:dyDescent="0.2">
      <c r="F245" t="str">
        <f t="shared" si="45"/>
        <v/>
      </c>
      <c r="L245" s="7" t="str">
        <f t="shared" si="46"/>
        <v/>
      </c>
      <c r="N245" s="7" t="str">
        <f t="shared" si="47"/>
        <v/>
      </c>
      <c r="O245" t="str">
        <f t="shared" si="48"/>
        <v/>
      </c>
      <c r="P245" t="str">
        <f t="shared" si="49"/>
        <v/>
      </c>
      <c r="Q245" t="str">
        <f t="shared" si="50"/>
        <v/>
      </c>
      <c r="S245" t="str">
        <f>""</f>
        <v/>
      </c>
      <c r="AL245" s="18" t="str">
        <f>IF(COUNTIF($A$2:A244, A244) = 1, A244, "")</f>
        <v/>
      </c>
    </row>
    <row r="246" spans="6:38" x14ac:dyDescent="0.2">
      <c r="F246" t="str">
        <f t="shared" si="45"/>
        <v/>
      </c>
      <c r="L246" s="7" t="str">
        <f t="shared" si="46"/>
        <v/>
      </c>
      <c r="N246" s="7" t="str">
        <f t="shared" si="47"/>
        <v/>
      </c>
      <c r="O246" t="str">
        <f t="shared" si="48"/>
        <v/>
      </c>
      <c r="P246" t="str">
        <f t="shared" si="49"/>
        <v/>
      </c>
      <c r="Q246" t="str">
        <f t="shared" si="50"/>
        <v/>
      </c>
      <c r="S246" t="str">
        <f>""</f>
        <v/>
      </c>
      <c r="AL246" s="18" t="str">
        <f>IF(COUNTIF($A$2:A245, A245) = 1, A245, "")</f>
        <v/>
      </c>
    </row>
    <row r="247" spans="6:38" x14ac:dyDescent="0.2">
      <c r="F247" t="str">
        <f t="shared" si="45"/>
        <v/>
      </c>
      <c r="L247" s="7" t="str">
        <f t="shared" si="46"/>
        <v/>
      </c>
      <c r="N247" s="7" t="str">
        <f t="shared" si="47"/>
        <v/>
      </c>
      <c r="O247" t="str">
        <f t="shared" si="48"/>
        <v/>
      </c>
      <c r="P247" t="str">
        <f t="shared" si="49"/>
        <v/>
      </c>
      <c r="Q247" t="str">
        <f t="shared" si="50"/>
        <v/>
      </c>
      <c r="S247" t="str">
        <f>""</f>
        <v/>
      </c>
      <c r="AL247" s="18" t="str">
        <f>IF(COUNTIF($A$2:A246, A246) = 1, A246, "")</f>
        <v/>
      </c>
    </row>
    <row r="248" spans="6:38" x14ac:dyDescent="0.2">
      <c r="F248" t="str">
        <f t="shared" si="45"/>
        <v/>
      </c>
      <c r="L248" s="7" t="str">
        <f t="shared" si="46"/>
        <v/>
      </c>
      <c r="N248" s="7" t="str">
        <f t="shared" si="47"/>
        <v/>
      </c>
      <c r="O248" t="str">
        <f t="shared" si="48"/>
        <v/>
      </c>
      <c r="P248" t="str">
        <f t="shared" si="49"/>
        <v/>
      </c>
      <c r="Q248" t="str">
        <f t="shared" si="50"/>
        <v/>
      </c>
      <c r="S248" t="str">
        <f>""</f>
        <v/>
      </c>
      <c r="AL248" s="18" t="str">
        <f>IF(COUNTIF($A$2:A247, A247) = 1, A247, "")</f>
        <v/>
      </c>
    </row>
    <row r="249" spans="6:38" x14ac:dyDescent="0.2">
      <c r="F249" t="str">
        <f t="shared" si="45"/>
        <v/>
      </c>
      <c r="L249" s="7" t="str">
        <f t="shared" si="46"/>
        <v/>
      </c>
      <c r="N249" s="7" t="str">
        <f t="shared" si="47"/>
        <v/>
      </c>
      <c r="O249" t="str">
        <f t="shared" si="48"/>
        <v/>
      </c>
      <c r="P249" t="str">
        <f t="shared" si="49"/>
        <v/>
      </c>
      <c r="Q249" t="str">
        <f t="shared" si="50"/>
        <v/>
      </c>
      <c r="S249" t="str">
        <f>""</f>
        <v/>
      </c>
      <c r="AL249" s="18" t="str">
        <f>IF(COUNTIF($A$2:A248, A248) = 1, A248, "")</f>
        <v/>
      </c>
    </row>
    <row r="250" spans="6:38" x14ac:dyDescent="0.2">
      <c r="F250" t="str">
        <f t="shared" si="45"/>
        <v/>
      </c>
      <c r="L250" s="7" t="str">
        <f t="shared" si="46"/>
        <v/>
      </c>
      <c r="N250" s="7" t="str">
        <f t="shared" si="47"/>
        <v/>
      </c>
      <c r="O250" t="str">
        <f t="shared" si="48"/>
        <v/>
      </c>
      <c r="P250" t="str">
        <f t="shared" si="49"/>
        <v/>
      </c>
      <c r="Q250" t="str">
        <f t="shared" si="50"/>
        <v/>
      </c>
      <c r="S250" t="str">
        <f>""</f>
        <v/>
      </c>
      <c r="AL250" s="18" t="str">
        <f>IF(COUNTIF($A$2:A249, A249) = 1, A249, "")</f>
        <v/>
      </c>
    </row>
    <row r="251" spans="6:38" x14ac:dyDescent="0.2">
      <c r="F251" t="str">
        <f t="shared" si="45"/>
        <v/>
      </c>
      <c r="L251" s="7" t="str">
        <f t="shared" si="46"/>
        <v/>
      </c>
      <c r="N251" s="7" t="str">
        <f t="shared" si="47"/>
        <v/>
      </c>
      <c r="O251" t="str">
        <f t="shared" si="48"/>
        <v/>
      </c>
      <c r="P251" t="str">
        <f t="shared" si="49"/>
        <v/>
      </c>
      <c r="Q251" t="str">
        <f t="shared" si="50"/>
        <v/>
      </c>
      <c r="S251" t="str">
        <f>""</f>
        <v/>
      </c>
      <c r="AL251" s="18" t="str">
        <f>IF(COUNTIF($A$2:A250, A250) = 1, A250, "")</f>
        <v/>
      </c>
    </row>
    <row r="252" spans="6:38" x14ac:dyDescent="0.2">
      <c r="F252" t="str">
        <f t="shared" si="45"/>
        <v/>
      </c>
      <c r="L252" s="7" t="str">
        <f t="shared" si="46"/>
        <v/>
      </c>
      <c r="N252" s="7" t="str">
        <f t="shared" si="47"/>
        <v/>
      </c>
      <c r="O252" t="str">
        <f t="shared" si="48"/>
        <v/>
      </c>
      <c r="P252" t="str">
        <f t="shared" si="49"/>
        <v/>
      </c>
      <c r="Q252" t="str">
        <f t="shared" si="50"/>
        <v/>
      </c>
      <c r="S252" t="str">
        <f>""</f>
        <v/>
      </c>
      <c r="AL252" s="18" t="str">
        <f>IF(COUNTIF($A$2:A251, A251) = 1, A251, "")</f>
        <v/>
      </c>
    </row>
    <row r="253" spans="6:38" x14ac:dyDescent="0.2">
      <c r="F253" t="str">
        <f t="shared" si="45"/>
        <v/>
      </c>
      <c r="L253" s="7" t="str">
        <f t="shared" si="46"/>
        <v/>
      </c>
      <c r="N253" s="7" t="str">
        <f t="shared" si="47"/>
        <v/>
      </c>
      <c r="O253" t="str">
        <f t="shared" si="48"/>
        <v/>
      </c>
      <c r="P253" t="str">
        <f t="shared" si="49"/>
        <v/>
      </c>
      <c r="Q253" t="str">
        <f t="shared" si="50"/>
        <v/>
      </c>
      <c r="S253" t="str">
        <f>""</f>
        <v/>
      </c>
      <c r="AL253" s="18" t="str">
        <f>IF(COUNTIF($A$2:A252, A252) = 1, A252, "")</f>
        <v/>
      </c>
    </row>
    <row r="254" spans="6:38" x14ac:dyDescent="0.2">
      <c r="F254" t="str">
        <f t="shared" si="45"/>
        <v/>
      </c>
      <c r="L254" s="7" t="str">
        <f t="shared" si="46"/>
        <v/>
      </c>
      <c r="N254" s="7" t="str">
        <f t="shared" si="47"/>
        <v/>
      </c>
      <c r="O254" t="str">
        <f t="shared" si="48"/>
        <v/>
      </c>
      <c r="P254" t="str">
        <f t="shared" si="49"/>
        <v/>
      </c>
      <c r="Q254" t="str">
        <f t="shared" si="50"/>
        <v/>
      </c>
      <c r="S254" t="str">
        <f>""</f>
        <v/>
      </c>
      <c r="AL254" s="18" t="str">
        <f>IF(COUNTIF($A$2:A253, A253) = 1, A253, "")</f>
        <v/>
      </c>
    </row>
    <row r="255" spans="6:38" x14ac:dyDescent="0.2">
      <c r="F255" t="str">
        <f t="shared" si="45"/>
        <v/>
      </c>
      <c r="L255" s="7" t="str">
        <f t="shared" si="46"/>
        <v/>
      </c>
      <c r="N255" s="7" t="str">
        <f t="shared" si="47"/>
        <v/>
      </c>
      <c r="O255" t="str">
        <f t="shared" si="48"/>
        <v/>
      </c>
      <c r="P255" t="str">
        <f t="shared" si="49"/>
        <v/>
      </c>
      <c r="Q255" t="str">
        <f t="shared" si="50"/>
        <v/>
      </c>
      <c r="S255" t="str">
        <f>""</f>
        <v/>
      </c>
      <c r="AL255" s="18" t="str">
        <f>IF(COUNTIF($A$2:A254, A254) = 1, A254, "")</f>
        <v/>
      </c>
    </row>
    <row r="256" spans="6:38" x14ac:dyDescent="0.2">
      <c r="F256" t="str">
        <f t="shared" si="45"/>
        <v/>
      </c>
      <c r="L256" s="7" t="str">
        <f t="shared" si="46"/>
        <v/>
      </c>
      <c r="N256" s="7" t="str">
        <f t="shared" si="47"/>
        <v/>
      </c>
      <c r="O256" t="str">
        <f t="shared" si="48"/>
        <v/>
      </c>
      <c r="P256" t="str">
        <f t="shared" si="49"/>
        <v/>
      </c>
      <c r="Q256" t="str">
        <f t="shared" si="50"/>
        <v/>
      </c>
      <c r="S256" t="str">
        <f>""</f>
        <v/>
      </c>
      <c r="AL256" s="18" t="str">
        <f>IF(COUNTIF($A$2:A255, A255) = 1, A255, "")</f>
        <v/>
      </c>
    </row>
    <row r="257" spans="6:38" x14ac:dyDescent="0.2">
      <c r="F257" t="str">
        <f t="shared" si="45"/>
        <v/>
      </c>
      <c r="L257" s="7" t="str">
        <f t="shared" si="46"/>
        <v/>
      </c>
      <c r="N257" s="7" t="str">
        <f t="shared" si="47"/>
        <v/>
      </c>
      <c r="O257" t="str">
        <f t="shared" si="48"/>
        <v/>
      </c>
      <c r="P257" t="str">
        <f t="shared" si="49"/>
        <v/>
      </c>
      <c r="Q257" t="str">
        <f t="shared" si="50"/>
        <v/>
      </c>
      <c r="S257" t="str">
        <f>""</f>
        <v/>
      </c>
      <c r="AL257" s="18" t="str">
        <f>IF(COUNTIF($A$2:A256, A256) = 1, A256, "")</f>
        <v/>
      </c>
    </row>
    <row r="258" spans="6:38" x14ac:dyDescent="0.2">
      <c r="F258" t="str">
        <f t="shared" si="45"/>
        <v/>
      </c>
      <c r="L258" s="7" t="str">
        <f t="shared" si="46"/>
        <v/>
      </c>
      <c r="N258" s="7" t="str">
        <f t="shared" si="47"/>
        <v/>
      </c>
      <c r="O258" t="str">
        <f t="shared" si="48"/>
        <v/>
      </c>
      <c r="P258" t="str">
        <f t="shared" si="49"/>
        <v/>
      </c>
      <c r="Q258" t="str">
        <f t="shared" si="50"/>
        <v/>
      </c>
      <c r="S258" t="str">
        <f>""</f>
        <v/>
      </c>
      <c r="AL258" s="18" t="str">
        <f>IF(COUNTIF($A$2:A257, A257) = 1, A257, "")</f>
        <v/>
      </c>
    </row>
    <row r="259" spans="6:38" x14ac:dyDescent="0.2">
      <c r="F259" t="str">
        <f t="shared" si="45"/>
        <v/>
      </c>
      <c r="L259" s="7" t="str">
        <f t="shared" si="46"/>
        <v/>
      </c>
      <c r="N259" s="7" t="str">
        <f t="shared" si="47"/>
        <v/>
      </c>
      <c r="O259" t="str">
        <f t="shared" si="48"/>
        <v/>
      </c>
      <c r="P259" t="str">
        <f t="shared" si="49"/>
        <v/>
      </c>
      <c r="Q259" t="str">
        <f t="shared" si="50"/>
        <v/>
      </c>
      <c r="S259" t="str">
        <f>""</f>
        <v/>
      </c>
      <c r="AL259" s="18" t="str">
        <f>IF(COUNTIF($A$2:A258, A258) = 1, A258, "")</f>
        <v/>
      </c>
    </row>
    <row r="260" spans="6:38" x14ac:dyDescent="0.2">
      <c r="F260" t="str">
        <f t="shared" si="45"/>
        <v/>
      </c>
      <c r="L260" s="7" t="str">
        <f t="shared" si="46"/>
        <v/>
      </c>
      <c r="N260" s="7" t="str">
        <f t="shared" si="47"/>
        <v/>
      </c>
      <c r="O260" t="str">
        <f t="shared" si="48"/>
        <v/>
      </c>
      <c r="P260" t="str">
        <f t="shared" si="49"/>
        <v/>
      </c>
      <c r="Q260" t="str">
        <f t="shared" si="50"/>
        <v/>
      </c>
      <c r="S260" t="str">
        <f>""</f>
        <v/>
      </c>
      <c r="AL260" s="18" t="str">
        <f>IF(COUNTIF($A$2:A259, A259) = 1, A259, "")</f>
        <v/>
      </c>
    </row>
    <row r="261" spans="6:38" x14ac:dyDescent="0.2">
      <c r="F261" t="str">
        <f t="shared" si="45"/>
        <v/>
      </c>
      <c r="L261" s="7" t="str">
        <f t="shared" si="46"/>
        <v/>
      </c>
      <c r="N261" s="7" t="str">
        <f t="shared" si="47"/>
        <v/>
      </c>
      <c r="O261" t="str">
        <f t="shared" si="48"/>
        <v/>
      </c>
      <c r="P261" t="str">
        <f t="shared" si="49"/>
        <v/>
      </c>
      <c r="Q261" t="str">
        <f t="shared" si="50"/>
        <v/>
      </c>
      <c r="S261" t="str">
        <f>""</f>
        <v/>
      </c>
      <c r="AL261" s="18" t="str">
        <f>IF(COUNTIF($A$2:A260, A260) = 1, A260, "")</f>
        <v/>
      </c>
    </row>
    <row r="262" spans="6:38" x14ac:dyDescent="0.2">
      <c r="F262" t="str">
        <f t="shared" si="45"/>
        <v/>
      </c>
      <c r="L262" s="7" t="str">
        <f t="shared" si="46"/>
        <v/>
      </c>
      <c r="N262" s="7" t="str">
        <f t="shared" si="47"/>
        <v/>
      </c>
      <c r="O262" t="str">
        <f t="shared" si="48"/>
        <v/>
      </c>
      <c r="P262" t="str">
        <f t="shared" si="49"/>
        <v/>
      </c>
      <c r="Q262" t="str">
        <f t="shared" si="50"/>
        <v/>
      </c>
      <c r="S262" t="str">
        <f>""</f>
        <v/>
      </c>
      <c r="AL262" s="18" t="str">
        <f>IF(COUNTIF($A$2:A261, A261) = 1, A261, "")</f>
        <v/>
      </c>
    </row>
    <row r="263" spans="6:38" x14ac:dyDescent="0.2">
      <c r="F263" t="str">
        <f t="shared" si="45"/>
        <v/>
      </c>
      <c r="L263" s="7" t="str">
        <f t="shared" si="46"/>
        <v/>
      </c>
      <c r="N263" s="7" t="str">
        <f t="shared" si="47"/>
        <v/>
      </c>
      <c r="O263" t="str">
        <f t="shared" si="48"/>
        <v/>
      </c>
      <c r="P263" t="str">
        <f t="shared" si="49"/>
        <v/>
      </c>
      <c r="Q263" t="str">
        <f t="shared" si="50"/>
        <v/>
      </c>
      <c r="S263" t="str">
        <f>""</f>
        <v/>
      </c>
      <c r="AL263" s="18" t="str">
        <f>IF(COUNTIF($A$2:A262, A262) = 1, A262, "")</f>
        <v/>
      </c>
    </row>
    <row r="264" spans="6:38" x14ac:dyDescent="0.2">
      <c r="F264" t="str">
        <f t="shared" si="45"/>
        <v/>
      </c>
      <c r="L264" s="7" t="str">
        <f t="shared" si="46"/>
        <v/>
      </c>
      <c r="N264" s="7" t="str">
        <f t="shared" si="47"/>
        <v/>
      </c>
      <c r="O264" t="str">
        <f t="shared" si="48"/>
        <v/>
      </c>
      <c r="P264" t="str">
        <f t="shared" si="49"/>
        <v/>
      </c>
      <c r="Q264" t="str">
        <f t="shared" si="50"/>
        <v/>
      </c>
      <c r="S264" t="str">
        <f>""</f>
        <v/>
      </c>
      <c r="AL264" s="18" t="str">
        <f>IF(COUNTIF($A$2:A263, A263) = 1, A263, "")</f>
        <v/>
      </c>
    </row>
    <row r="265" spans="6:38" x14ac:dyDescent="0.2">
      <c r="F265" t="str">
        <f t="shared" si="45"/>
        <v/>
      </c>
      <c r="L265" s="7" t="str">
        <f t="shared" si="46"/>
        <v/>
      </c>
      <c r="N265" s="7" t="str">
        <f t="shared" si="47"/>
        <v/>
      </c>
      <c r="O265" t="str">
        <f t="shared" si="48"/>
        <v/>
      </c>
      <c r="P265" t="str">
        <f t="shared" si="49"/>
        <v/>
      </c>
      <c r="Q265" t="str">
        <f t="shared" si="50"/>
        <v/>
      </c>
      <c r="S265" t="str">
        <f>""</f>
        <v/>
      </c>
      <c r="AL265" s="18" t="str">
        <f>IF(COUNTIF($A$2:A264, A264) = 1, A264, "")</f>
        <v/>
      </c>
    </row>
    <row r="266" spans="6:38" x14ac:dyDescent="0.2">
      <c r="F266" t="str">
        <f t="shared" si="45"/>
        <v/>
      </c>
      <c r="L266" s="7" t="str">
        <f t="shared" si="46"/>
        <v/>
      </c>
      <c r="N266" s="7" t="str">
        <f t="shared" si="47"/>
        <v/>
      </c>
      <c r="O266" t="str">
        <f t="shared" si="48"/>
        <v/>
      </c>
      <c r="P266" t="str">
        <f t="shared" si="49"/>
        <v/>
      </c>
      <c r="Q266" t="str">
        <f t="shared" si="50"/>
        <v/>
      </c>
      <c r="S266" t="str">
        <f>""</f>
        <v/>
      </c>
      <c r="AL266" s="18" t="str">
        <f>IF(COUNTIF($A$2:A265, A265) = 1, A265, "")</f>
        <v/>
      </c>
    </row>
    <row r="267" spans="6:38" x14ac:dyDescent="0.2">
      <c r="F267" t="str">
        <f t="shared" si="45"/>
        <v/>
      </c>
      <c r="L267" s="7" t="str">
        <f t="shared" si="46"/>
        <v/>
      </c>
      <c r="N267" s="7" t="str">
        <f t="shared" si="47"/>
        <v/>
      </c>
      <c r="O267" t="str">
        <f t="shared" si="48"/>
        <v/>
      </c>
      <c r="P267" t="str">
        <f t="shared" si="49"/>
        <v/>
      </c>
      <c r="Q267" t="str">
        <f t="shared" si="50"/>
        <v/>
      </c>
      <c r="S267" t="str">
        <f>""</f>
        <v/>
      </c>
      <c r="AL267" s="18" t="str">
        <f>IF(COUNTIF($A$2:A266, A266) = 1, A266, "")</f>
        <v/>
      </c>
    </row>
    <row r="268" spans="6:38" x14ac:dyDescent="0.2">
      <c r="F268" t="str">
        <f t="shared" si="45"/>
        <v/>
      </c>
      <c r="L268" s="7" t="str">
        <f t="shared" si="46"/>
        <v/>
      </c>
      <c r="N268" s="7" t="str">
        <f t="shared" si="47"/>
        <v/>
      </c>
      <c r="O268" t="str">
        <f t="shared" si="48"/>
        <v/>
      </c>
      <c r="P268" t="str">
        <f t="shared" si="49"/>
        <v/>
      </c>
      <c r="Q268" t="str">
        <f t="shared" si="50"/>
        <v/>
      </c>
      <c r="S268" t="str">
        <f>""</f>
        <v/>
      </c>
      <c r="AL268" s="18" t="str">
        <f>IF(COUNTIF($A$2:A267, A267) = 1, A267, "")</f>
        <v/>
      </c>
    </row>
    <row r="269" spans="6:38" x14ac:dyDescent="0.2">
      <c r="F269" t="str">
        <f t="shared" si="45"/>
        <v/>
      </c>
      <c r="L269" s="7" t="str">
        <f t="shared" si="46"/>
        <v/>
      </c>
      <c r="N269" s="7" t="str">
        <f t="shared" si="47"/>
        <v/>
      </c>
      <c r="O269" t="str">
        <f t="shared" si="48"/>
        <v/>
      </c>
      <c r="P269" t="str">
        <f t="shared" si="49"/>
        <v/>
      </c>
      <c r="Q269" t="str">
        <f t="shared" si="50"/>
        <v/>
      </c>
      <c r="S269" t="str">
        <f>""</f>
        <v/>
      </c>
      <c r="AL269" s="18" t="str">
        <f>IF(COUNTIF($A$2:A268, A268) = 1, A268, "")</f>
        <v/>
      </c>
    </row>
    <row r="270" spans="6:38" x14ac:dyDescent="0.2">
      <c r="F270" t="str">
        <f t="shared" si="45"/>
        <v/>
      </c>
      <c r="L270" s="7" t="str">
        <f t="shared" si="46"/>
        <v/>
      </c>
      <c r="N270" s="7" t="str">
        <f t="shared" si="47"/>
        <v/>
      </c>
      <c r="O270" t="str">
        <f t="shared" si="48"/>
        <v/>
      </c>
      <c r="P270" t="str">
        <f t="shared" si="49"/>
        <v/>
      </c>
      <c r="Q270" t="str">
        <f t="shared" si="50"/>
        <v/>
      </c>
      <c r="S270" t="str">
        <f>""</f>
        <v/>
      </c>
      <c r="AL270" s="18" t="str">
        <f>IF(COUNTIF($A$2:A269, A269) = 1, A269, "")</f>
        <v/>
      </c>
    </row>
    <row r="271" spans="6:38" x14ac:dyDescent="0.2">
      <c r="F271" t="str">
        <f t="shared" si="45"/>
        <v/>
      </c>
      <c r="L271" s="7" t="str">
        <f t="shared" si="46"/>
        <v/>
      </c>
      <c r="N271" s="7" t="str">
        <f t="shared" si="47"/>
        <v/>
      </c>
      <c r="O271" t="str">
        <f t="shared" si="48"/>
        <v/>
      </c>
      <c r="P271" t="str">
        <f t="shared" si="49"/>
        <v/>
      </c>
      <c r="Q271" t="str">
        <f t="shared" si="50"/>
        <v/>
      </c>
      <c r="S271" t="str">
        <f>""</f>
        <v/>
      </c>
      <c r="AL271" s="18" t="str">
        <f>IF(COUNTIF($A$2:A270, A270) = 1, A270, "")</f>
        <v/>
      </c>
    </row>
    <row r="272" spans="6:38" x14ac:dyDescent="0.2">
      <c r="F272" t="str">
        <f t="shared" ref="F272:F335" si="51">IF(OR(O272="", P272=""), "", SUM(IF((O272&lt;&gt;"None")*(O272&lt;&gt;""),LEN(O272)-LEN(SUBSTITUTE(O272,",",""))+1,0)) + SUM(IF((P272&lt;&gt;"None")*(P272&lt;&gt;""),LEN(P272)-LEN(SUBSTITUTE(P272,",",""))+1,0)))</f>
        <v/>
      </c>
      <c r="L272" s="7" t="str">
        <f t="shared" ref="L272:L335" si="52">IF(LEN(E272)=0, "", IFERROR(IF(E272&gt;=0, K272 * (1 + E272/100) - K272, K272 / (ABS(E272)/100))+K272, ""))</f>
        <v/>
      </c>
      <c r="N272" s="7" t="str">
        <f t="shared" ref="N272:N335" si="53">IF(M272="Yes",L272-K272,IF(M272="No",-K272,""))</f>
        <v/>
      </c>
      <c r="O272" t="str">
        <f t="shared" ref="O272:O335" si="54">IF(AND(G272="No",H272="No"), "None", "")</f>
        <v/>
      </c>
      <c r="P272" t="str">
        <f t="shared" ref="P272:P335" si="55">IF(I272="No", "None", "")</f>
        <v/>
      </c>
      <c r="Q272" t="str">
        <f t="shared" ref="Q272:Q335" si="56">IF(AND(D272="Straight", M272 = "No"),IF(O272="None",P272,IF(P272="None",O272) ),"")</f>
        <v/>
      </c>
      <c r="S272" t="str">
        <f>""</f>
        <v/>
      </c>
      <c r="AL272" s="18" t="str">
        <f>IF(COUNTIF($A$2:A271, A271) = 1, A271, "")</f>
        <v/>
      </c>
    </row>
    <row r="273" spans="6:38" x14ac:dyDescent="0.2">
      <c r="F273" t="str">
        <f t="shared" si="51"/>
        <v/>
      </c>
      <c r="L273" s="7" t="str">
        <f t="shared" si="52"/>
        <v/>
      </c>
      <c r="N273" s="7" t="str">
        <f t="shared" si="53"/>
        <v/>
      </c>
      <c r="O273" t="str">
        <f t="shared" si="54"/>
        <v/>
      </c>
      <c r="P273" t="str">
        <f t="shared" si="55"/>
        <v/>
      </c>
      <c r="Q273" t="str">
        <f t="shared" si="56"/>
        <v/>
      </c>
      <c r="S273" t="str">
        <f>""</f>
        <v/>
      </c>
      <c r="AL273" s="18" t="str">
        <f>IF(COUNTIF($A$2:A272, A272) = 1, A272, "")</f>
        <v/>
      </c>
    </row>
    <row r="274" spans="6:38" x14ac:dyDescent="0.2">
      <c r="F274" t="str">
        <f t="shared" si="51"/>
        <v/>
      </c>
      <c r="L274" s="7" t="str">
        <f t="shared" si="52"/>
        <v/>
      </c>
      <c r="N274" s="7" t="str">
        <f t="shared" si="53"/>
        <v/>
      </c>
      <c r="O274" t="str">
        <f t="shared" si="54"/>
        <v/>
      </c>
      <c r="P274" t="str">
        <f t="shared" si="55"/>
        <v/>
      </c>
      <c r="Q274" t="str">
        <f t="shared" si="56"/>
        <v/>
      </c>
      <c r="S274" t="str">
        <f>""</f>
        <v/>
      </c>
      <c r="AL274" s="18" t="str">
        <f>IF(COUNTIF($A$2:A273, A273) = 1, A273, "")</f>
        <v/>
      </c>
    </row>
    <row r="275" spans="6:38" x14ac:dyDescent="0.2">
      <c r="F275" t="str">
        <f t="shared" si="51"/>
        <v/>
      </c>
      <c r="L275" s="7" t="str">
        <f t="shared" si="52"/>
        <v/>
      </c>
      <c r="N275" s="7" t="str">
        <f t="shared" si="53"/>
        <v/>
      </c>
      <c r="O275" t="str">
        <f t="shared" si="54"/>
        <v/>
      </c>
      <c r="P275" t="str">
        <f t="shared" si="55"/>
        <v/>
      </c>
      <c r="Q275" t="str">
        <f t="shared" si="56"/>
        <v/>
      </c>
      <c r="S275" t="str">
        <f>""</f>
        <v/>
      </c>
      <c r="AL275" s="18" t="str">
        <f>IF(COUNTIF($A$2:A274, A274) = 1, A274, "")</f>
        <v/>
      </c>
    </row>
    <row r="276" spans="6:38" x14ac:dyDescent="0.2">
      <c r="F276" t="str">
        <f t="shared" si="51"/>
        <v/>
      </c>
      <c r="L276" s="7" t="str">
        <f t="shared" si="52"/>
        <v/>
      </c>
      <c r="N276" s="7" t="str">
        <f t="shared" si="53"/>
        <v/>
      </c>
      <c r="O276" t="str">
        <f t="shared" si="54"/>
        <v/>
      </c>
      <c r="P276" t="str">
        <f t="shared" si="55"/>
        <v/>
      </c>
      <c r="Q276" t="str">
        <f t="shared" si="56"/>
        <v/>
      </c>
      <c r="S276" t="str">
        <f>""</f>
        <v/>
      </c>
      <c r="AL276" s="18" t="str">
        <f>IF(COUNTIF($A$2:A275, A275) = 1, A275, "")</f>
        <v/>
      </c>
    </row>
    <row r="277" spans="6:38" x14ac:dyDescent="0.2">
      <c r="F277" t="str">
        <f t="shared" si="51"/>
        <v/>
      </c>
      <c r="L277" s="7" t="str">
        <f t="shared" si="52"/>
        <v/>
      </c>
      <c r="N277" s="7" t="str">
        <f t="shared" si="53"/>
        <v/>
      </c>
      <c r="O277" t="str">
        <f t="shared" si="54"/>
        <v/>
      </c>
      <c r="P277" t="str">
        <f t="shared" si="55"/>
        <v/>
      </c>
      <c r="Q277" t="str">
        <f t="shared" si="56"/>
        <v/>
      </c>
      <c r="S277" t="str">
        <f>""</f>
        <v/>
      </c>
      <c r="AL277" s="18" t="str">
        <f>IF(COUNTIF($A$2:A276, A276) = 1, A276, "")</f>
        <v/>
      </c>
    </row>
    <row r="278" spans="6:38" x14ac:dyDescent="0.2">
      <c r="F278" t="str">
        <f t="shared" si="51"/>
        <v/>
      </c>
      <c r="L278" s="7" t="str">
        <f t="shared" si="52"/>
        <v/>
      </c>
      <c r="N278" s="7" t="str">
        <f t="shared" si="53"/>
        <v/>
      </c>
      <c r="O278" t="str">
        <f t="shared" si="54"/>
        <v/>
      </c>
      <c r="P278" t="str">
        <f t="shared" si="55"/>
        <v/>
      </c>
      <c r="Q278" t="str">
        <f t="shared" si="56"/>
        <v/>
      </c>
      <c r="S278" t="str">
        <f>""</f>
        <v/>
      </c>
      <c r="AL278" s="18" t="str">
        <f>IF(COUNTIF($A$2:A277, A277) = 1, A277, "")</f>
        <v/>
      </c>
    </row>
    <row r="279" spans="6:38" x14ac:dyDescent="0.2">
      <c r="F279" t="str">
        <f t="shared" si="51"/>
        <v/>
      </c>
      <c r="L279" s="7" t="str">
        <f t="shared" si="52"/>
        <v/>
      </c>
      <c r="N279" s="7" t="str">
        <f t="shared" si="53"/>
        <v/>
      </c>
      <c r="O279" t="str">
        <f t="shared" si="54"/>
        <v/>
      </c>
      <c r="P279" t="str">
        <f t="shared" si="55"/>
        <v/>
      </c>
      <c r="Q279" t="str">
        <f t="shared" si="56"/>
        <v/>
      </c>
      <c r="S279" t="str">
        <f>""</f>
        <v/>
      </c>
      <c r="AL279" s="18" t="str">
        <f>IF(COUNTIF($A$2:A278, A278) = 1, A278, "")</f>
        <v/>
      </c>
    </row>
    <row r="280" spans="6:38" x14ac:dyDescent="0.2">
      <c r="F280" t="str">
        <f t="shared" si="51"/>
        <v/>
      </c>
      <c r="L280" s="7" t="str">
        <f t="shared" si="52"/>
        <v/>
      </c>
      <c r="N280" s="7" t="str">
        <f t="shared" si="53"/>
        <v/>
      </c>
      <c r="O280" t="str">
        <f t="shared" si="54"/>
        <v/>
      </c>
      <c r="P280" t="str">
        <f t="shared" si="55"/>
        <v/>
      </c>
      <c r="Q280" t="str">
        <f t="shared" si="56"/>
        <v/>
      </c>
      <c r="S280" t="str">
        <f>""</f>
        <v/>
      </c>
      <c r="AL280" s="18" t="str">
        <f>IF(COUNTIF($A$2:A279, A279) = 1, A279, "")</f>
        <v/>
      </c>
    </row>
    <row r="281" spans="6:38" x14ac:dyDescent="0.2">
      <c r="F281" t="str">
        <f t="shared" si="51"/>
        <v/>
      </c>
      <c r="L281" s="7" t="str">
        <f t="shared" si="52"/>
        <v/>
      </c>
      <c r="N281" s="7" t="str">
        <f t="shared" si="53"/>
        <v/>
      </c>
      <c r="O281" t="str">
        <f t="shared" si="54"/>
        <v/>
      </c>
      <c r="P281" t="str">
        <f t="shared" si="55"/>
        <v/>
      </c>
      <c r="Q281" t="str">
        <f t="shared" si="56"/>
        <v/>
      </c>
      <c r="S281" t="str">
        <f>""</f>
        <v/>
      </c>
      <c r="AL281" s="18" t="str">
        <f>IF(COUNTIF($A$2:A280, A280) = 1, A280, "")</f>
        <v/>
      </c>
    </row>
    <row r="282" spans="6:38" x14ac:dyDescent="0.2">
      <c r="F282" t="str">
        <f t="shared" si="51"/>
        <v/>
      </c>
      <c r="L282" s="7" t="str">
        <f t="shared" si="52"/>
        <v/>
      </c>
      <c r="N282" s="7" t="str">
        <f t="shared" si="53"/>
        <v/>
      </c>
      <c r="O282" t="str">
        <f t="shared" si="54"/>
        <v/>
      </c>
      <c r="P282" t="str">
        <f t="shared" si="55"/>
        <v/>
      </c>
      <c r="Q282" t="str">
        <f t="shared" si="56"/>
        <v/>
      </c>
      <c r="S282" t="str">
        <f>""</f>
        <v/>
      </c>
      <c r="AL282" s="18" t="str">
        <f>IF(COUNTIF($A$2:A281, A281) = 1, A281, "")</f>
        <v/>
      </c>
    </row>
    <row r="283" spans="6:38" x14ac:dyDescent="0.2">
      <c r="F283" t="str">
        <f t="shared" si="51"/>
        <v/>
      </c>
      <c r="L283" s="7" t="str">
        <f t="shared" si="52"/>
        <v/>
      </c>
      <c r="N283" s="7" t="str">
        <f t="shared" si="53"/>
        <v/>
      </c>
      <c r="O283" t="str">
        <f t="shared" si="54"/>
        <v/>
      </c>
      <c r="P283" t="str">
        <f t="shared" si="55"/>
        <v/>
      </c>
      <c r="Q283" t="str">
        <f t="shared" si="56"/>
        <v/>
      </c>
      <c r="S283" t="str">
        <f>""</f>
        <v/>
      </c>
      <c r="AL283" s="18" t="str">
        <f>IF(COUNTIF($A$2:A282, A282) = 1, A282, "")</f>
        <v/>
      </c>
    </row>
    <row r="284" spans="6:38" x14ac:dyDescent="0.2">
      <c r="F284" t="str">
        <f t="shared" si="51"/>
        <v/>
      </c>
      <c r="L284" s="7" t="str">
        <f t="shared" si="52"/>
        <v/>
      </c>
      <c r="N284" s="7" t="str">
        <f t="shared" si="53"/>
        <v/>
      </c>
      <c r="O284" t="str">
        <f t="shared" si="54"/>
        <v/>
      </c>
      <c r="P284" t="str">
        <f t="shared" si="55"/>
        <v/>
      </c>
      <c r="Q284" t="str">
        <f t="shared" si="56"/>
        <v/>
      </c>
      <c r="S284" t="str">
        <f>""</f>
        <v/>
      </c>
      <c r="AL284" s="18" t="str">
        <f>IF(COUNTIF($A$2:A283, A283) = 1, A283, "")</f>
        <v/>
      </c>
    </row>
    <row r="285" spans="6:38" x14ac:dyDescent="0.2">
      <c r="F285" t="str">
        <f t="shared" si="51"/>
        <v/>
      </c>
      <c r="L285" s="7" t="str">
        <f t="shared" si="52"/>
        <v/>
      </c>
      <c r="N285" s="7" t="str">
        <f t="shared" si="53"/>
        <v/>
      </c>
      <c r="O285" t="str">
        <f t="shared" si="54"/>
        <v/>
      </c>
      <c r="P285" t="str">
        <f t="shared" si="55"/>
        <v/>
      </c>
      <c r="Q285" t="str">
        <f t="shared" si="56"/>
        <v/>
      </c>
      <c r="S285" t="str">
        <f>""</f>
        <v/>
      </c>
      <c r="AL285" s="18" t="str">
        <f>IF(COUNTIF($A$2:A284, A284) = 1, A284, "")</f>
        <v/>
      </c>
    </row>
    <row r="286" spans="6:38" x14ac:dyDescent="0.2">
      <c r="F286" t="str">
        <f t="shared" si="51"/>
        <v/>
      </c>
      <c r="L286" s="7" t="str">
        <f t="shared" si="52"/>
        <v/>
      </c>
      <c r="N286" s="7" t="str">
        <f t="shared" si="53"/>
        <v/>
      </c>
      <c r="O286" t="str">
        <f t="shared" si="54"/>
        <v/>
      </c>
      <c r="P286" t="str">
        <f t="shared" si="55"/>
        <v/>
      </c>
      <c r="Q286" t="str">
        <f t="shared" si="56"/>
        <v/>
      </c>
      <c r="S286" t="str">
        <f>""</f>
        <v/>
      </c>
      <c r="AL286" s="18" t="str">
        <f>IF(COUNTIF($A$2:A285, A285) = 1, A285, "")</f>
        <v/>
      </c>
    </row>
    <row r="287" spans="6:38" x14ac:dyDescent="0.2">
      <c r="F287" t="str">
        <f t="shared" si="51"/>
        <v/>
      </c>
      <c r="L287" s="7" t="str">
        <f t="shared" si="52"/>
        <v/>
      </c>
      <c r="N287" s="7" t="str">
        <f t="shared" si="53"/>
        <v/>
      </c>
      <c r="O287" t="str">
        <f t="shared" si="54"/>
        <v/>
      </c>
      <c r="P287" t="str">
        <f t="shared" si="55"/>
        <v/>
      </c>
      <c r="Q287" t="str">
        <f t="shared" si="56"/>
        <v/>
      </c>
      <c r="S287" t="str">
        <f>""</f>
        <v/>
      </c>
      <c r="AL287" s="18" t="str">
        <f>IF(COUNTIF($A$2:A286, A286) = 1, A286, "")</f>
        <v/>
      </c>
    </row>
    <row r="288" spans="6:38" x14ac:dyDescent="0.2">
      <c r="F288" t="str">
        <f t="shared" si="51"/>
        <v/>
      </c>
      <c r="L288" s="7" t="str">
        <f t="shared" si="52"/>
        <v/>
      </c>
      <c r="N288" s="7" t="str">
        <f t="shared" si="53"/>
        <v/>
      </c>
      <c r="O288" t="str">
        <f t="shared" si="54"/>
        <v/>
      </c>
      <c r="P288" t="str">
        <f t="shared" si="55"/>
        <v/>
      </c>
      <c r="Q288" t="str">
        <f t="shared" si="56"/>
        <v/>
      </c>
      <c r="S288" t="str">
        <f>""</f>
        <v/>
      </c>
      <c r="AL288" s="18" t="str">
        <f>IF(COUNTIF($A$2:A287, A287) = 1, A287, "")</f>
        <v/>
      </c>
    </row>
    <row r="289" spans="6:38" x14ac:dyDescent="0.2">
      <c r="F289" t="str">
        <f t="shared" si="51"/>
        <v/>
      </c>
      <c r="L289" s="7" t="str">
        <f t="shared" si="52"/>
        <v/>
      </c>
      <c r="N289" s="7" t="str">
        <f t="shared" si="53"/>
        <v/>
      </c>
      <c r="O289" t="str">
        <f t="shared" si="54"/>
        <v/>
      </c>
      <c r="P289" t="str">
        <f t="shared" si="55"/>
        <v/>
      </c>
      <c r="Q289" t="str">
        <f t="shared" si="56"/>
        <v/>
      </c>
      <c r="S289" t="str">
        <f>""</f>
        <v/>
      </c>
      <c r="AL289" s="18" t="str">
        <f>IF(COUNTIF($A$2:A288, A288) = 1, A288, "")</f>
        <v/>
      </c>
    </row>
    <row r="290" spans="6:38" x14ac:dyDescent="0.2">
      <c r="F290" t="str">
        <f t="shared" si="51"/>
        <v/>
      </c>
      <c r="L290" s="7" t="str">
        <f t="shared" si="52"/>
        <v/>
      </c>
      <c r="N290" s="7" t="str">
        <f t="shared" si="53"/>
        <v/>
      </c>
      <c r="O290" t="str">
        <f t="shared" si="54"/>
        <v/>
      </c>
      <c r="P290" t="str">
        <f t="shared" si="55"/>
        <v/>
      </c>
      <c r="Q290" t="str">
        <f t="shared" si="56"/>
        <v/>
      </c>
      <c r="S290" t="str">
        <f>""</f>
        <v/>
      </c>
      <c r="AL290" s="18" t="str">
        <f>IF(COUNTIF($A$2:A289, A289) = 1, A289, "")</f>
        <v/>
      </c>
    </row>
    <row r="291" spans="6:38" x14ac:dyDescent="0.2">
      <c r="F291" t="str">
        <f t="shared" si="51"/>
        <v/>
      </c>
      <c r="L291" s="7" t="str">
        <f t="shared" si="52"/>
        <v/>
      </c>
      <c r="N291" s="7" t="str">
        <f t="shared" si="53"/>
        <v/>
      </c>
      <c r="O291" t="str">
        <f t="shared" si="54"/>
        <v/>
      </c>
      <c r="P291" t="str">
        <f t="shared" si="55"/>
        <v/>
      </c>
      <c r="Q291" t="str">
        <f t="shared" si="56"/>
        <v/>
      </c>
      <c r="S291" t="str">
        <f>""</f>
        <v/>
      </c>
      <c r="AL291" s="18" t="str">
        <f>IF(COUNTIF($A$2:A290, A290) = 1, A290, "")</f>
        <v/>
      </c>
    </row>
    <row r="292" spans="6:38" x14ac:dyDescent="0.2">
      <c r="F292" t="str">
        <f t="shared" si="51"/>
        <v/>
      </c>
      <c r="L292" s="7" t="str">
        <f t="shared" si="52"/>
        <v/>
      </c>
      <c r="N292" s="7" t="str">
        <f t="shared" si="53"/>
        <v/>
      </c>
      <c r="O292" t="str">
        <f t="shared" si="54"/>
        <v/>
      </c>
      <c r="P292" t="str">
        <f t="shared" si="55"/>
        <v/>
      </c>
      <c r="Q292" t="str">
        <f t="shared" si="56"/>
        <v/>
      </c>
      <c r="S292" t="str">
        <f>""</f>
        <v/>
      </c>
      <c r="AL292" s="18" t="str">
        <f>IF(COUNTIF($A$2:A291, A291) = 1, A291, "")</f>
        <v/>
      </c>
    </row>
    <row r="293" spans="6:38" x14ac:dyDescent="0.2">
      <c r="F293" t="str">
        <f t="shared" si="51"/>
        <v/>
      </c>
      <c r="L293" s="7" t="str">
        <f t="shared" si="52"/>
        <v/>
      </c>
      <c r="N293" s="7" t="str">
        <f t="shared" si="53"/>
        <v/>
      </c>
      <c r="O293" t="str">
        <f t="shared" si="54"/>
        <v/>
      </c>
      <c r="P293" t="str">
        <f t="shared" si="55"/>
        <v/>
      </c>
      <c r="Q293" t="str">
        <f t="shared" si="56"/>
        <v/>
      </c>
      <c r="S293" t="str">
        <f>""</f>
        <v/>
      </c>
      <c r="AL293" s="18" t="str">
        <f>IF(COUNTIF($A$2:A292, A292) = 1, A292, "")</f>
        <v/>
      </c>
    </row>
    <row r="294" spans="6:38" x14ac:dyDescent="0.2">
      <c r="F294" t="str">
        <f t="shared" si="51"/>
        <v/>
      </c>
      <c r="L294" s="7" t="str">
        <f t="shared" si="52"/>
        <v/>
      </c>
      <c r="N294" s="7" t="str">
        <f t="shared" si="53"/>
        <v/>
      </c>
      <c r="O294" t="str">
        <f t="shared" si="54"/>
        <v/>
      </c>
      <c r="P294" t="str">
        <f t="shared" si="55"/>
        <v/>
      </c>
      <c r="Q294" t="str">
        <f t="shared" si="56"/>
        <v/>
      </c>
      <c r="S294" t="str">
        <f>""</f>
        <v/>
      </c>
      <c r="AL294" s="18" t="str">
        <f>IF(COUNTIF($A$2:A293, A293) = 1, A293, "")</f>
        <v/>
      </c>
    </row>
    <row r="295" spans="6:38" x14ac:dyDescent="0.2">
      <c r="F295" t="str">
        <f t="shared" si="51"/>
        <v/>
      </c>
      <c r="L295" s="7" t="str">
        <f t="shared" si="52"/>
        <v/>
      </c>
      <c r="N295" s="7" t="str">
        <f t="shared" si="53"/>
        <v/>
      </c>
      <c r="O295" t="str">
        <f t="shared" si="54"/>
        <v/>
      </c>
      <c r="P295" t="str">
        <f t="shared" si="55"/>
        <v/>
      </c>
      <c r="Q295" t="str">
        <f t="shared" si="56"/>
        <v/>
      </c>
      <c r="S295" t="str">
        <f>""</f>
        <v/>
      </c>
      <c r="AL295" s="18" t="str">
        <f>IF(COUNTIF($A$2:A294, A294) = 1, A294, "")</f>
        <v/>
      </c>
    </row>
    <row r="296" spans="6:38" x14ac:dyDescent="0.2">
      <c r="F296" t="str">
        <f t="shared" si="51"/>
        <v/>
      </c>
      <c r="L296" s="7" t="str">
        <f t="shared" si="52"/>
        <v/>
      </c>
      <c r="N296" s="7" t="str">
        <f t="shared" si="53"/>
        <v/>
      </c>
      <c r="O296" t="str">
        <f t="shared" si="54"/>
        <v/>
      </c>
      <c r="P296" t="str">
        <f t="shared" si="55"/>
        <v/>
      </c>
      <c r="Q296" t="str">
        <f t="shared" si="56"/>
        <v/>
      </c>
      <c r="S296" t="str">
        <f>""</f>
        <v/>
      </c>
      <c r="AL296" s="18" t="str">
        <f>IF(COUNTIF($A$2:A295, A295) = 1, A295, "")</f>
        <v/>
      </c>
    </row>
    <row r="297" spans="6:38" x14ac:dyDescent="0.2">
      <c r="F297" t="str">
        <f t="shared" si="51"/>
        <v/>
      </c>
      <c r="L297" s="7" t="str">
        <f t="shared" si="52"/>
        <v/>
      </c>
      <c r="N297" s="7" t="str">
        <f t="shared" si="53"/>
        <v/>
      </c>
      <c r="O297" t="str">
        <f t="shared" si="54"/>
        <v/>
      </c>
      <c r="P297" t="str">
        <f t="shared" si="55"/>
        <v/>
      </c>
      <c r="Q297" t="str">
        <f t="shared" si="56"/>
        <v/>
      </c>
      <c r="S297" t="str">
        <f>""</f>
        <v/>
      </c>
      <c r="AL297" s="18" t="str">
        <f>IF(COUNTIF($A$2:A296, A296) = 1, A296, "")</f>
        <v/>
      </c>
    </row>
    <row r="298" spans="6:38" x14ac:dyDescent="0.2">
      <c r="F298" t="str">
        <f t="shared" si="51"/>
        <v/>
      </c>
      <c r="L298" s="7" t="str">
        <f t="shared" si="52"/>
        <v/>
      </c>
      <c r="N298" s="7" t="str">
        <f t="shared" si="53"/>
        <v/>
      </c>
      <c r="O298" t="str">
        <f t="shared" si="54"/>
        <v/>
      </c>
      <c r="P298" t="str">
        <f t="shared" si="55"/>
        <v/>
      </c>
      <c r="Q298" t="str">
        <f t="shared" si="56"/>
        <v/>
      </c>
      <c r="S298" t="str">
        <f>""</f>
        <v/>
      </c>
      <c r="AL298" s="18" t="str">
        <f>IF(COUNTIF($A$2:A297, A297) = 1, A297, "")</f>
        <v/>
      </c>
    </row>
    <row r="299" spans="6:38" x14ac:dyDescent="0.2">
      <c r="F299" t="str">
        <f t="shared" si="51"/>
        <v/>
      </c>
      <c r="L299" s="7" t="str">
        <f t="shared" si="52"/>
        <v/>
      </c>
      <c r="N299" s="7" t="str">
        <f t="shared" si="53"/>
        <v/>
      </c>
      <c r="O299" t="str">
        <f t="shared" si="54"/>
        <v/>
      </c>
      <c r="P299" t="str">
        <f t="shared" si="55"/>
        <v/>
      </c>
      <c r="Q299" t="str">
        <f t="shared" si="56"/>
        <v/>
      </c>
      <c r="S299" t="str">
        <f>""</f>
        <v/>
      </c>
      <c r="AL299" s="18" t="str">
        <f>IF(COUNTIF($A$2:A298, A298) = 1, A298, "")</f>
        <v/>
      </c>
    </row>
    <row r="300" spans="6:38" x14ac:dyDescent="0.2">
      <c r="F300" t="str">
        <f t="shared" si="51"/>
        <v/>
      </c>
      <c r="L300" s="7" t="str">
        <f t="shared" si="52"/>
        <v/>
      </c>
      <c r="N300" s="7" t="str">
        <f t="shared" si="53"/>
        <v/>
      </c>
      <c r="O300" t="str">
        <f t="shared" si="54"/>
        <v/>
      </c>
      <c r="P300" t="str">
        <f t="shared" si="55"/>
        <v/>
      </c>
      <c r="Q300" t="str">
        <f t="shared" si="56"/>
        <v/>
      </c>
      <c r="S300" t="str">
        <f>""</f>
        <v/>
      </c>
      <c r="AL300" s="18" t="str">
        <f>IF(COUNTIF($A$2:A299, A299) = 1, A299, "")</f>
        <v/>
      </c>
    </row>
    <row r="301" spans="6:38" x14ac:dyDescent="0.2">
      <c r="F301" t="str">
        <f t="shared" si="51"/>
        <v/>
      </c>
      <c r="L301" s="7" t="str">
        <f t="shared" si="52"/>
        <v/>
      </c>
      <c r="N301" s="7" t="str">
        <f t="shared" si="53"/>
        <v/>
      </c>
      <c r="O301" t="str">
        <f t="shared" si="54"/>
        <v/>
      </c>
      <c r="P301" t="str">
        <f t="shared" si="55"/>
        <v/>
      </c>
      <c r="Q301" t="str">
        <f t="shared" si="56"/>
        <v/>
      </c>
      <c r="S301" t="str">
        <f>""</f>
        <v/>
      </c>
      <c r="AL301" s="18" t="str">
        <f>IF(COUNTIF($A$2:A300, A300) = 1, A300, "")</f>
        <v/>
      </c>
    </row>
    <row r="302" spans="6:38" x14ac:dyDescent="0.2">
      <c r="F302" t="str">
        <f t="shared" si="51"/>
        <v/>
      </c>
      <c r="L302" s="7" t="str">
        <f t="shared" si="52"/>
        <v/>
      </c>
      <c r="N302" s="7" t="str">
        <f t="shared" si="53"/>
        <v/>
      </c>
      <c r="O302" t="str">
        <f t="shared" si="54"/>
        <v/>
      </c>
      <c r="P302" t="str">
        <f t="shared" si="55"/>
        <v/>
      </c>
      <c r="Q302" t="str">
        <f t="shared" si="56"/>
        <v/>
      </c>
      <c r="S302" t="str">
        <f>""</f>
        <v/>
      </c>
      <c r="AL302" s="18" t="str">
        <f>IF(COUNTIF($A$2:A301, A301) = 1, A301, "")</f>
        <v/>
      </c>
    </row>
    <row r="303" spans="6:38" x14ac:dyDescent="0.2">
      <c r="F303" t="str">
        <f t="shared" si="51"/>
        <v/>
      </c>
      <c r="L303" s="7" t="str">
        <f t="shared" si="52"/>
        <v/>
      </c>
      <c r="N303" s="7" t="str">
        <f t="shared" si="53"/>
        <v/>
      </c>
      <c r="O303" t="str">
        <f t="shared" si="54"/>
        <v/>
      </c>
      <c r="P303" t="str">
        <f t="shared" si="55"/>
        <v/>
      </c>
      <c r="Q303" t="str">
        <f t="shared" si="56"/>
        <v/>
      </c>
      <c r="S303" t="str">
        <f>""</f>
        <v/>
      </c>
      <c r="AL303" s="18" t="str">
        <f>IF(COUNTIF($A$2:A302, A302) = 1, A302, "")</f>
        <v/>
      </c>
    </row>
    <row r="304" spans="6:38" x14ac:dyDescent="0.2">
      <c r="F304" t="str">
        <f t="shared" si="51"/>
        <v/>
      </c>
      <c r="L304" s="7" t="str">
        <f t="shared" si="52"/>
        <v/>
      </c>
      <c r="N304" s="7" t="str">
        <f t="shared" si="53"/>
        <v/>
      </c>
      <c r="O304" t="str">
        <f t="shared" si="54"/>
        <v/>
      </c>
      <c r="P304" t="str">
        <f t="shared" si="55"/>
        <v/>
      </c>
      <c r="Q304" t="str">
        <f t="shared" si="56"/>
        <v/>
      </c>
      <c r="S304" t="str">
        <f>""</f>
        <v/>
      </c>
      <c r="AL304" s="18" t="str">
        <f>IF(COUNTIF($A$2:A303, A303) = 1, A303, "")</f>
        <v/>
      </c>
    </row>
    <row r="305" spans="6:38" x14ac:dyDescent="0.2">
      <c r="F305" t="str">
        <f t="shared" si="51"/>
        <v/>
      </c>
      <c r="L305" s="7" t="str">
        <f t="shared" si="52"/>
        <v/>
      </c>
      <c r="N305" s="7" t="str">
        <f t="shared" si="53"/>
        <v/>
      </c>
      <c r="O305" t="str">
        <f t="shared" si="54"/>
        <v/>
      </c>
      <c r="P305" t="str">
        <f t="shared" si="55"/>
        <v/>
      </c>
      <c r="Q305" t="str">
        <f t="shared" si="56"/>
        <v/>
      </c>
      <c r="S305" t="str">
        <f>""</f>
        <v/>
      </c>
      <c r="AL305" s="18" t="str">
        <f>IF(COUNTIF($A$2:A304, A304) = 1, A304, "")</f>
        <v/>
      </c>
    </row>
    <row r="306" spans="6:38" x14ac:dyDescent="0.2">
      <c r="F306" t="str">
        <f t="shared" si="51"/>
        <v/>
      </c>
      <c r="L306" s="7" t="str">
        <f t="shared" si="52"/>
        <v/>
      </c>
      <c r="N306" s="7" t="str">
        <f t="shared" si="53"/>
        <v/>
      </c>
      <c r="O306" t="str">
        <f t="shared" si="54"/>
        <v/>
      </c>
      <c r="P306" t="str">
        <f t="shared" si="55"/>
        <v/>
      </c>
      <c r="Q306" t="str">
        <f t="shared" si="56"/>
        <v/>
      </c>
      <c r="S306" t="str">
        <f>""</f>
        <v/>
      </c>
      <c r="AL306" s="18" t="str">
        <f>IF(COUNTIF($A$2:A305, A305) = 1, A305, "")</f>
        <v/>
      </c>
    </row>
    <row r="307" spans="6:38" x14ac:dyDescent="0.2">
      <c r="F307" t="str">
        <f t="shared" si="51"/>
        <v/>
      </c>
      <c r="L307" s="7" t="str">
        <f t="shared" si="52"/>
        <v/>
      </c>
      <c r="N307" s="7" t="str">
        <f t="shared" si="53"/>
        <v/>
      </c>
      <c r="O307" t="str">
        <f t="shared" si="54"/>
        <v/>
      </c>
      <c r="P307" t="str">
        <f t="shared" si="55"/>
        <v/>
      </c>
      <c r="Q307" t="str">
        <f t="shared" si="56"/>
        <v/>
      </c>
      <c r="S307" t="str">
        <f>""</f>
        <v/>
      </c>
      <c r="AL307" s="18" t="str">
        <f>IF(COUNTIF($A$2:A306, A306) = 1, A306, "")</f>
        <v/>
      </c>
    </row>
    <row r="308" spans="6:38" x14ac:dyDescent="0.2">
      <c r="F308" t="str">
        <f t="shared" si="51"/>
        <v/>
      </c>
      <c r="L308" s="7" t="str">
        <f t="shared" si="52"/>
        <v/>
      </c>
      <c r="N308" s="7" t="str">
        <f t="shared" si="53"/>
        <v/>
      </c>
      <c r="O308" t="str">
        <f t="shared" si="54"/>
        <v/>
      </c>
      <c r="P308" t="str">
        <f t="shared" si="55"/>
        <v/>
      </c>
      <c r="Q308" t="str">
        <f t="shared" si="56"/>
        <v/>
      </c>
      <c r="S308" t="str">
        <f>""</f>
        <v/>
      </c>
      <c r="AL308" s="18" t="str">
        <f>IF(COUNTIF($A$2:A307, A307) = 1, A307, "")</f>
        <v/>
      </c>
    </row>
    <row r="309" spans="6:38" x14ac:dyDescent="0.2">
      <c r="F309" t="str">
        <f t="shared" si="51"/>
        <v/>
      </c>
      <c r="L309" s="7" t="str">
        <f t="shared" si="52"/>
        <v/>
      </c>
      <c r="N309" s="7" t="str">
        <f t="shared" si="53"/>
        <v/>
      </c>
      <c r="O309" t="str">
        <f t="shared" si="54"/>
        <v/>
      </c>
      <c r="P309" t="str">
        <f t="shared" si="55"/>
        <v/>
      </c>
      <c r="Q309" t="str">
        <f t="shared" si="56"/>
        <v/>
      </c>
      <c r="S309" t="str">
        <f>""</f>
        <v/>
      </c>
      <c r="AL309" s="18" t="str">
        <f>IF(COUNTIF($A$2:A308, A308) = 1, A308, "")</f>
        <v/>
      </c>
    </row>
    <row r="310" spans="6:38" x14ac:dyDescent="0.2">
      <c r="F310" t="str">
        <f t="shared" si="51"/>
        <v/>
      </c>
      <c r="L310" s="7" t="str">
        <f t="shared" si="52"/>
        <v/>
      </c>
      <c r="N310" s="7" t="str">
        <f t="shared" si="53"/>
        <v/>
      </c>
      <c r="O310" t="str">
        <f t="shared" si="54"/>
        <v/>
      </c>
      <c r="P310" t="str">
        <f t="shared" si="55"/>
        <v/>
      </c>
      <c r="Q310" t="str">
        <f t="shared" si="56"/>
        <v/>
      </c>
      <c r="S310" t="str">
        <f>""</f>
        <v/>
      </c>
      <c r="AL310" s="18" t="str">
        <f>IF(COUNTIF($A$2:A309, A309) = 1, A309, "")</f>
        <v/>
      </c>
    </row>
    <row r="311" spans="6:38" x14ac:dyDescent="0.2">
      <c r="F311" t="str">
        <f t="shared" si="51"/>
        <v/>
      </c>
      <c r="L311" s="7" t="str">
        <f t="shared" si="52"/>
        <v/>
      </c>
      <c r="N311" s="7" t="str">
        <f t="shared" si="53"/>
        <v/>
      </c>
      <c r="O311" t="str">
        <f t="shared" si="54"/>
        <v/>
      </c>
      <c r="P311" t="str">
        <f t="shared" si="55"/>
        <v/>
      </c>
      <c r="Q311" t="str">
        <f t="shared" si="56"/>
        <v/>
      </c>
      <c r="S311" t="str">
        <f>""</f>
        <v/>
      </c>
      <c r="AL311" s="18" t="str">
        <f>IF(COUNTIF($A$2:A310, A310) = 1, A310, "")</f>
        <v/>
      </c>
    </row>
    <row r="312" spans="6:38" x14ac:dyDescent="0.2">
      <c r="F312" t="str">
        <f t="shared" si="51"/>
        <v/>
      </c>
      <c r="L312" s="7" t="str">
        <f t="shared" si="52"/>
        <v/>
      </c>
      <c r="N312" s="7" t="str">
        <f t="shared" si="53"/>
        <v/>
      </c>
      <c r="O312" t="str">
        <f t="shared" si="54"/>
        <v/>
      </c>
      <c r="P312" t="str">
        <f t="shared" si="55"/>
        <v/>
      </c>
      <c r="Q312" t="str">
        <f t="shared" si="56"/>
        <v/>
      </c>
      <c r="S312" t="str">
        <f>""</f>
        <v/>
      </c>
      <c r="AL312" s="18" t="str">
        <f>IF(COUNTIF($A$2:A311, A311) = 1, A311, "")</f>
        <v/>
      </c>
    </row>
    <row r="313" spans="6:38" x14ac:dyDescent="0.2">
      <c r="F313" t="str">
        <f t="shared" si="51"/>
        <v/>
      </c>
      <c r="L313" s="7" t="str">
        <f t="shared" si="52"/>
        <v/>
      </c>
      <c r="N313" s="7" t="str">
        <f t="shared" si="53"/>
        <v/>
      </c>
      <c r="O313" t="str">
        <f t="shared" si="54"/>
        <v/>
      </c>
      <c r="P313" t="str">
        <f t="shared" si="55"/>
        <v/>
      </c>
      <c r="Q313" t="str">
        <f t="shared" si="56"/>
        <v/>
      </c>
      <c r="S313" t="str">
        <f>""</f>
        <v/>
      </c>
      <c r="AL313" s="18" t="str">
        <f>IF(COUNTIF($A$2:A312, A312) = 1, A312, "")</f>
        <v/>
      </c>
    </row>
    <row r="314" spans="6:38" x14ac:dyDescent="0.2">
      <c r="F314" t="str">
        <f t="shared" si="51"/>
        <v/>
      </c>
      <c r="L314" s="7" t="str">
        <f t="shared" si="52"/>
        <v/>
      </c>
      <c r="N314" s="7" t="str">
        <f t="shared" si="53"/>
        <v/>
      </c>
      <c r="O314" t="str">
        <f t="shared" si="54"/>
        <v/>
      </c>
      <c r="P314" t="str">
        <f t="shared" si="55"/>
        <v/>
      </c>
      <c r="Q314" t="str">
        <f t="shared" si="56"/>
        <v/>
      </c>
      <c r="S314" t="str">
        <f>""</f>
        <v/>
      </c>
      <c r="AL314" s="18" t="str">
        <f>IF(COUNTIF($A$2:A313, A313) = 1, A313, "")</f>
        <v/>
      </c>
    </row>
    <row r="315" spans="6:38" x14ac:dyDescent="0.2">
      <c r="F315" t="str">
        <f t="shared" si="51"/>
        <v/>
      </c>
      <c r="L315" s="7" t="str">
        <f t="shared" si="52"/>
        <v/>
      </c>
      <c r="N315" s="7" t="str">
        <f t="shared" si="53"/>
        <v/>
      </c>
      <c r="O315" t="str">
        <f t="shared" si="54"/>
        <v/>
      </c>
      <c r="P315" t="str">
        <f t="shared" si="55"/>
        <v/>
      </c>
      <c r="Q315" t="str">
        <f t="shared" si="56"/>
        <v/>
      </c>
      <c r="S315" t="str">
        <f>""</f>
        <v/>
      </c>
      <c r="AL315" s="18" t="str">
        <f>IF(COUNTIF($A$2:A314, A314) = 1, A314, "")</f>
        <v/>
      </c>
    </row>
    <row r="316" spans="6:38" x14ac:dyDescent="0.2">
      <c r="F316" t="str">
        <f t="shared" si="51"/>
        <v/>
      </c>
      <c r="L316" s="7" t="str">
        <f t="shared" si="52"/>
        <v/>
      </c>
      <c r="N316" s="7" t="str">
        <f t="shared" si="53"/>
        <v/>
      </c>
      <c r="O316" t="str">
        <f t="shared" si="54"/>
        <v/>
      </c>
      <c r="P316" t="str">
        <f t="shared" si="55"/>
        <v/>
      </c>
      <c r="Q316" t="str">
        <f t="shared" si="56"/>
        <v/>
      </c>
      <c r="S316" t="str">
        <f>""</f>
        <v/>
      </c>
      <c r="AL316" s="18" t="str">
        <f>IF(COUNTIF($A$2:A315, A315) = 1, A315, "")</f>
        <v/>
      </c>
    </row>
    <row r="317" spans="6:38" x14ac:dyDescent="0.2">
      <c r="F317" t="str">
        <f t="shared" si="51"/>
        <v/>
      </c>
      <c r="L317" s="7" t="str">
        <f t="shared" si="52"/>
        <v/>
      </c>
      <c r="N317" s="7" t="str">
        <f t="shared" si="53"/>
        <v/>
      </c>
      <c r="O317" t="str">
        <f t="shared" si="54"/>
        <v/>
      </c>
      <c r="P317" t="str">
        <f t="shared" si="55"/>
        <v/>
      </c>
      <c r="Q317" t="str">
        <f t="shared" si="56"/>
        <v/>
      </c>
      <c r="S317" t="str">
        <f>""</f>
        <v/>
      </c>
      <c r="AL317" s="18" t="str">
        <f>IF(COUNTIF($A$2:A316, A316) = 1, A316, "")</f>
        <v/>
      </c>
    </row>
    <row r="318" spans="6:38" x14ac:dyDescent="0.2">
      <c r="F318" t="str">
        <f t="shared" si="51"/>
        <v/>
      </c>
      <c r="L318" s="7" t="str">
        <f t="shared" si="52"/>
        <v/>
      </c>
      <c r="N318" s="7" t="str">
        <f t="shared" si="53"/>
        <v/>
      </c>
      <c r="O318" t="str">
        <f t="shared" si="54"/>
        <v/>
      </c>
      <c r="P318" t="str">
        <f t="shared" si="55"/>
        <v/>
      </c>
      <c r="Q318" t="str">
        <f t="shared" si="56"/>
        <v/>
      </c>
      <c r="S318" t="str">
        <f>""</f>
        <v/>
      </c>
      <c r="AL318" s="18" t="str">
        <f>IF(COUNTIF($A$2:A317, A317) = 1, A317, "")</f>
        <v/>
      </c>
    </row>
    <row r="319" spans="6:38" x14ac:dyDescent="0.2">
      <c r="F319" t="str">
        <f t="shared" si="51"/>
        <v/>
      </c>
      <c r="L319" s="7" t="str">
        <f t="shared" si="52"/>
        <v/>
      </c>
      <c r="N319" s="7" t="str">
        <f t="shared" si="53"/>
        <v/>
      </c>
      <c r="O319" t="str">
        <f t="shared" si="54"/>
        <v/>
      </c>
      <c r="P319" t="str">
        <f t="shared" si="55"/>
        <v/>
      </c>
      <c r="Q319" t="str">
        <f t="shared" si="56"/>
        <v/>
      </c>
      <c r="S319" t="str">
        <f>""</f>
        <v/>
      </c>
      <c r="AL319" s="18" t="str">
        <f>IF(COUNTIF($A$2:A318, A318) = 1, A318, "")</f>
        <v/>
      </c>
    </row>
    <row r="320" spans="6:38" x14ac:dyDescent="0.2">
      <c r="F320" t="str">
        <f t="shared" si="51"/>
        <v/>
      </c>
      <c r="L320" s="7" t="str">
        <f t="shared" si="52"/>
        <v/>
      </c>
      <c r="N320" s="7" t="str">
        <f t="shared" si="53"/>
        <v/>
      </c>
      <c r="O320" t="str">
        <f t="shared" si="54"/>
        <v/>
      </c>
      <c r="P320" t="str">
        <f t="shared" si="55"/>
        <v/>
      </c>
      <c r="Q320" t="str">
        <f t="shared" si="56"/>
        <v/>
      </c>
      <c r="S320" t="str">
        <f>""</f>
        <v/>
      </c>
      <c r="AL320" s="18" t="str">
        <f>IF(COUNTIF($A$2:A319, A319) = 1, A319, "")</f>
        <v/>
      </c>
    </row>
    <row r="321" spans="6:38" x14ac:dyDescent="0.2">
      <c r="F321" t="str">
        <f t="shared" si="51"/>
        <v/>
      </c>
      <c r="L321" s="7" t="str">
        <f t="shared" si="52"/>
        <v/>
      </c>
      <c r="N321" s="7" t="str">
        <f t="shared" si="53"/>
        <v/>
      </c>
      <c r="O321" t="str">
        <f t="shared" si="54"/>
        <v/>
      </c>
      <c r="P321" t="str">
        <f t="shared" si="55"/>
        <v/>
      </c>
      <c r="Q321" t="str">
        <f t="shared" si="56"/>
        <v/>
      </c>
      <c r="S321" t="str">
        <f>""</f>
        <v/>
      </c>
      <c r="AL321" s="18" t="str">
        <f>IF(COUNTIF($A$2:A320, A320) = 1, A320, "")</f>
        <v/>
      </c>
    </row>
    <row r="322" spans="6:38" x14ac:dyDescent="0.2">
      <c r="F322" t="str">
        <f t="shared" si="51"/>
        <v/>
      </c>
      <c r="L322" s="7" t="str">
        <f t="shared" si="52"/>
        <v/>
      </c>
      <c r="N322" s="7" t="str">
        <f t="shared" si="53"/>
        <v/>
      </c>
      <c r="O322" t="str">
        <f t="shared" si="54"/>
        <v/>
      </c>
      <c r="P322" t="str">
        <f t="shared" si="55"/>
        <v/>
      </c>
      <c r="Q322" t="str">
        <f t="shared" si="56"/>
        <v/>
      </c>
      <c r="S322" t="str">
        <f>""</f>
        <v/>
      </c>
      <c r="AL322" s="18" t="str">
        <f>IF(COUNTIF($A$2:A321, A321) = 1, A321, "")</f>
        <v/>
      </c>
    </row>
    <row r="323" spans="6:38" x14ac:dyDescent="0.2">
      <c r="F323" t="str">
        <f t="shared" si="51"/>
        <v/>
      </c>
      <c r="L323" s="7" t="str">
        <f t="shared" si="52"/>
        <v/>
      </c>
      <c r="N323" s="7" t="str">
        <f t="shared" si="53"/>
        <v/>
      </c>
      <c r="O323" t="str">
        <f t="shared" si="54"/>
        <v/>
      </c>
      <c r="P323" t="str">
        <f t="shared" si="55"/>
        <v/>
      </c>
      <c r="Q323" t="str">
        <f t="shared" si="56"/>
        <v/>
      </c>
      <c r="S323" t="str">
        <f>""</f>
        <v/>
      </c>
      <c r="AL323" s="18" t="str">
        <f>IF(COUNTIF($A$2:A322, A322) = 1, A322, "")</f>
        <v/>
      </c>
    </row>
    <row r="324" spans="6:38" x14ac:dyDescent="0.2">
      <c r="F324" t="str">
        <f t="shared" si="51"/>
        <v/>
      </c>
      <c r="L324" s="7" t="str">
        <f t="shared" si="52"/>
        <v/>
      </c>
      <c r="N324" s="7" t="str">
        <f t="shared" si="53"/>
        <v/>
      </c>
      <c r="O324" t="str">
        <f t="shared" si="54"/>
        <v/>
      </c>
      <c r="P324" t="str">
        <f t="shared" si="55"/>
        <v/>
      </c>
      <c r="Q324" t="str">
        <f t="shared" si="56"/>
        <v/>
      </c>
      <c r="S324" t="str">
        <f>""</f>
        <v/>
      </c>
      <c r="AL324" s="18" t="str">
        <f>IF(COUNTIF($A$2:A323, A323) = 1, A323, "")</f>
        <v/>
      </c>
    </row>
    <row r="325" spans="6:38" x14ac:dyDescent="0.2">
      <c r="F325" t="str">
        <f t="shared" si="51"/>
        <v/>
      </c>
      <c r="L325" s="7" t="str">
        <f t="shared" si="52"/>
        <v/>
      </c>
      <c r="N325" s="7" t="str">
        <f t="shared" si="53"/>
        <v/>
      </c>
      <c r="O325" t="str">
        <f t="shared" si="54"/>
        <v/>
      </c>
      <c r="P325" t="str">
        <f t="shared" si="55"/>
        <v/>
      </c>
      <c r="Q325" t="str">
        <f t="shared" si="56"/>
        <v/>
      </c>
      <c r="S325" t="str">
        <f>""</f>
        <v/>
      </c>
      <c r="AL325" s="18" t="str">
        <f>IF(COUNTIF($A$2:A324, A324) = 1, A324, "")</f>
        <v/>
      </c>
    </row>
    <row r="326" spans="6:38" x14ac:dyDescent="0.2">
      <c r="F326" t="str">
        <f t="shared" si="51"/>
        <v/>
      </c>
      <c r="L326" s="7" t="str">
        <f t="shared" si="52"/>
        <v/>
      </c>
      <c r="N326" s="7" t="str">
        <f t="shared" si="53"/>
        <v/>
      </c>
      <c r="O326" t="str">
        <f t="shared" si="54"/>
        <v/>
      </c>
      <c r="P326" t="str">
        <f t="shared" si="55"/>
        <v/>
      </c>
      <c r="Q326" t="str">
        <f t="shared" si="56"/>
        <v/>
      </c>
      <c r="S326" t="str">
        <f>""</f>
        <v/>
      </c>
      <c r="AL326" s="18" t="str">
        <f>IF(COUNTIF($A$2:A325, A325) = 1, A325, "")</f>
        <v/>
      </c>
    </row>
    <row r="327" spans="6:38" x14ac:dyDescent="0.2">
      <c r="F327" t="str">
        <f t="shared" si="51"/>
        <v/>
      </c>
      <c r="L327" s="7" t="str">
        <f t="shared" si="52"/>
        <v/>
      </c>
      <c r="N327" s="7" t="str">
        <f t="shared" si="53"/>
        <v/>
      </c>
      <c r="O327" t="str">
        <f t="shared" si="54"/>
        <v/>
      </c>
      <c r="P327" t="str">
        <f t="shared" si="55"/>
        <v/>
      </c>
      <c r="Q327" t="str">
        <f t="shared" si="56"/>
        <v/>
      </c>
      <c r="S327" t="str">
        <f>""</f>
        <v/>
      </c>
      <c r="AL327" s="18" t="str">
        <f>IF(COUNTIF($A$2:A326, A326) = 1, A326, "")</f>
        <v/>
      </c>
    </row>
    <row r="328" spans="6:38" x14ac:dyDescent="0.2">
      <c r="F328" t="str">
        <f t="shared" si="51"/>
        <v/>
      </c>
      <c r="L328" s="7" t="str">
        <f t="shared" si="52"/>
        <v/>
      </c>
      <c r="N328" s="7" t="str">
        <f t="shared" si="53"/>
        <v/>
      </c>
      <c r="O328" t="str">
        <f t="shared" si="54"/>
        <v/>
      </c>
      <c r="P328" t="str">
        <f t="shared" si="55"/>
        <v/>
      </c>
      <c r="Q328" t="str">
        <f t="shared" si="56"/>
        <v/>
      </c>
      <c r="S328" t="str">
        <f>""</f>
        <v/>
      </c>
      <c r="AL328" s="18" t="str">
        <f>IF(COUNTIF($A$2:A327, A327) = 1, A327, "")</f>
        <v/>
      </c>
    </row>
    <row r="329" spans="6:38" x14ac:dyDescent="0.2">
      <c r="F329" t="str">
        <f t="shared" si="51"/>
        <v/>
      </c>
      <c r="L329" s="7" t="str">
        <f t="shared" si="52"/>
        <v/>
      </c>
      <c r="N329" s="7" t="str">
        <f t="shared" si="53"/>
        <v/>
      </c>
      <c r="O329" t="str">
        <f t="shared" si="54"/>
        <v/>
      </c>
      <c r="P329" t="str">
        <f t="shared" si="55"/>
        <v/>
      </c>
      <c r="Q329" t="str">
        <f t="shared" si="56"/>
        <v/>
      </c>
      <c r="S329" t="str">
        <f>""</f>
        <v/>
      </c>
      <c r="AL329" s="18" t="str">
        <f>IF(COUNTIF($A$2:A328, A328) = 1, A328, "")</f>
        <v/>
      </c>
    </row>
    <row r="330" spans="6:38" x14ac:dyDescent="0.2">
      <c r="F330" t="str">
        <f t="shared" si="51"/>
        <v/>
      </c>
      <c r="L330" s="7" t="str">
        <f t="shared" si="52"/>
        <v/>
      </c>
      <c r="N330" s="7" t="str">
        <f t="shared" si="53"/>
        <v/>
      </c>
      <c r="O330" t="str">
        <f t="shared" si="54"/>
        <v/>
      </c>
      <c r="P330" t="str">
        <f t="shared" si="55"/>
        <v/>
      </c>
      <c r="Q330" t="str">
        <f t="shared" si="56"/>
        <v/>
      </c>
      <c r="S330" t="str">
        <f>""</f>
        <v/>
      </c>
      <c r="AL330" s="18" t="str">
        <f>IF(COUNTIF($A$2:A329, A329) = 1, A329, "")</f>
        <v/>
      </c>
    </row>
    <row r="331" spans="6:38" x14ac:dyDescent="0.2">
      <c r="F331" t="str">
        <f t="shared" si="51"/>
        <v/>
      </c>
      <c r="L331" s="7" t="str">
        <f t="shared" si="52"/>
        <v/>
      </c>
      <c r="N331" s="7" t="str">
        <f t="shared" si="53"/>
        <v/>
      </c>
      <c r="O331" t="str">
        <f t="shared" si="54"/>
        <v/>
      </c>
      <c r="P331" t="str">
        <f t="shared" si="55"/>
        <v/>
      </c>
      <c r="Q331" t="str">
        <f t="shared" si="56"/>
        <v/>
      </c>
      <c r="S331" t="str">
        <f>""</f>
        <v/>
      </c>
      <c r="AL331" s="18" t="str">
        <f>IF(COUNTIF($A$2:A330, A330) = 1, A330, "")</f>
        <v/>
      </c>
    </row>
    <row r="332" spans="6:38" x14ac:dyDescent="0.2">
      <c r="F332" t="str">
        <f t="shared" si="51"/>
        <v/>
      </c>
      <c r="L332" s="7" t="str">
        <f t="shared" si="52"/>
        <v/>
      </c>
      <c r="N332" s="7" t="str">
        <f t="shared" si="53"/>
        <v/>
      </c>
      <c r="O332" t="str">
        <f t="shared" si="54"/>
        <v/>
      </c>
      <c r="P332" t="str">
        <f t="shared" si="55"/>
        <v/>
      </c>
      <c r="Q332" t="str">
        <f t="shared" si="56"/>
        <v/>
      </c>
      <c r="S332" t="str">
        <f>""</f>
        <v/>
      </c>
      <c r="AL332" s="18" t="str">
        <f>IF(COUNTIF($A$2:A331, A331) = 1, A331, "")</f>
        <v/>
      </c>
    </row>
    <row r="333" spans="6:38" x14ac:dyDescent="0.2">
      <c r="F333" t="str">
        <f t="shared" si="51"/>
        <v/>
      </c>
      <c r="L333" s="7" t="str">
        <f t="shared" si="52"/>
        <v/>
      </c>
      <c r="N333" s="7" t="str">
        <f t="shared" si="53"/>
        <v/>
      </c>
      <c r="O333" t="str">
        <f t="shared" si="54"/>
        <v/>
      </c>
      <c r="P333" t="str">
        <f t="shared" si="55"/>
        <v/>
      </c>
      <c r="Q333" t="str">
        <f t="shared" si="56"/>
        <v/>
      </c>
      <c r="S333" t="str">
        <f>""</f>
        <v/>
      </c>
      <c r="AL333" s="18" t="str">
        <f>IF(COUNTIF($A$2:A332, A332) = 1, A332, "")</f>
        <v/>
      </c>
    </row>
    <row r="334" spans="6:38" x14ac:dyDescent="0.2">
      <c r="F334" t="str">
        <f t="shared" si="51"/>
        <v/>
      </c>
      <c r="L334" s="7" t="str">
        <f t="shared" si="52"/>
        <v/>
      </c>
      <c r="N334" s="7" t="str">
        <f t="shared" si="53"/>
        <v/>
      </c>
      <c r="O334" t="str">
        <f t="shared" si="54"/>
        <v/>
      </c>
      <c r="P334" t="str">
        <f t="shared" si="55"/>
        <v/>
      </c>
      <c r="Q334" t="str">
        <f t="shared" si="56"/>
        <v/>
      </c>
      <c r="S334" t="str">
        <f>""</f>
        <v/>
      </c>
      <c r="AL334" s="18" t="str">
        <f>IF(COUNTIF($A$2:A333, A333) = 1, A333, "")</f>
        <v/>
      </c>
    </row>
    <row r="335" spans="6:38" x14ac:dyDescent="0.2">
      <c r="F335" t="str">
        <f t="shared" si="51"/>
        <v/>
      </c>
      <c r="L335" s="7" t="str">
        <f t="shared" si="52"/>
        <v/>
      </c>
      <c r="N335" s="7" t="str">
        <f t="shared" si="53"/>
        <v/>
      </c>
      <c r="O335" t="str">
        <f t="shared" si="54"/>
        <v/>
      </c>
      <c r="P335" t="str">
        <f t="shared" si="55"/>
        <v/>
      </c>
      <c r="Q335" t="str">
        <f t="shared" si="56"/>
        <v/>
      </c>
      <c r="S335" t="str">
        <f>""</f>
        <v/>
      </c>
      <c r="AL335" s="18" t="str">
        <f>IF(COUNTIF($A$2:A334, A334) = 1, A334, "")</f>
        <v/>
      </c>
    </row>
    <row r="336" spans="6:38" x14ac:dyDescent="0.2">
      <c r="F336" t="str">
        <f t="shared" ref="F336:F339" si="57">IF(OR(O336="", P336=""), "", SUM(IF((O336&lt;&gt;"None")*(O336&lt;&gt;""),LEN(O336)-LEN(SUBSTITUTE(O336,",",""))+1,0)) + SUM(IF((P336&lt;&gt;"None")*(P336&lt;&gt;""),LEN(P336)-LEN(SUBSTITUTE(P336,",",""))+1,0)))</f>
        <v/>
      </c>
      <c r="L336" s="7" t="str">
        <f t="shared" ref="L336:L339" si="58">IF(LEN(E336)=0, "", IFERROR(IF(E336&gt;=0, K336 * (1 + E336/100) - K336, K336 / (ABS(E336)/100))+K336, ""))</f>
        <v/>
      </c>
      <c r="N336" s="7" t="str">
        <f t="shared" ref="N336:N339" si="59">IF(M336="Yes",L336-K336,IF(M336="No",-K336,""))</f>
        <v/>
      </c>
      <c r="O336" t="str">
        <f t="shared" ref="O336:O339" si="60">IF(AND(G336="No",H336="No"), "None", "")</f>
        <v/>
      </c>
      <c r="P336" t="str">
        <f t="shared" ref="P336:P339" si="61">IF(I336="No", "None", "")</f>
        <v/>
      </c>
      <c r="Q336" t="str">
        <f t="shared" ref="Q336:Q339" si="62">IF(AND(D336="Straight", M336 = "No"),IF(O336="None",P336,IF(P336="None",O336) ),"")</f>
        <v/>
      </c>
      <c r="S336" t="str">
        <f>""</f>
        <v/>
      </c>
      <c r="AL336" s="18" t="str">
        <f>IF(COUNTIF($A$2:A335, A335) = 1, A335, "")</f>
        <v/>
      </c>
    </row>
    <row r="337" spans="6:38" x14ac:dyDescent="0.2">
      <c r="F337" t="str">
        <f t="shared" si="57"/>
        <v/>
      </c>
      <c r="L337" s="7" t="str">
        <f t="shared" si="58"/>
        <v/>
      </c>
      <c r="N337" s="7" t="str">
        <f t="shared" si="59"/>
        <v/>
      </c>
      <c r="O337" t="str">
        <f t="shared" si="60"/>
        <v/>
      </c>
      <c r="P337" t="str">
        <f t="shared" si="61"/>
        <v/>
      </c>
      <c r="Q337" t="str">
        <f t="shared" si="62"/>
        <v/>
      </c>
      <c r="S337" t="str">
        <f>""</f>
        <v/>
      </c>
      <c r="AL337" s="18" t="str">
        <f>IF(COUNTIF($A$2:A336, A336) = 1, A336, "")</f>
        <v/>
      </c>
    </row>
    <row r="338" spans="6:38" x14ac:dyDescent="0.2">
      <c r="F338" t="str">
        <f t="shared" si="57"/>
        <v/>
      </c>
      <c r="L338" s="7" t="str">
        <f t="shared" si="58"/>
        <v/>
      </c>
      <c r="N338" s="7" t="str">
        <f t="shared" si="59"/>
        <v/>
      </c>
      <c r="O338" t="str">
        <f t="shared" si="60"/>
        <v/>
      </c>
      <c r="P338" t="str">
        <f t="shared" si="61"/>
        <v/>
      </c>
      <c r="Q338" t="str">
        <f t="shared" si="62"/>
        <v/>
      </c>
      <c r="S338" t="str">
        <f>""</f>
        <v/>
      </c>
      <c r="AL338" s="18" t="str">
        <f>IF(COUNTIF($A$2:A337, A337) = 1, A337, "")</f>
        <v/>
      </c>
    </row>
    <row r="339" spans="6:38" x14ac:dyDescent="0.2">
      <c r="F339" t="str">
        <f t="shared" si="57"/>
        <v/>
      </c>
      <c r="L339" s="7" t="str">
        <f t="shared" si="58"/>
        <v/>
      </c>
      <c r="N339" s="7" t="str">
        <f t="shared" si="59"/>
        <v/>
      </c>
      <c r="O339" t="str">
        <f t="shared" si="60"/>
        <v/>
      </c>
      <c r="P339" t="str">
        <f t="shared" si="61"/>
        <v/>
      </c>
      <c r="Q339" t="str">
        <f t="shared" si="62"/>
        <v/>
      </c>
      <c r="S339" t="str">
        <f>""</f>
        <v/>
      </c>
      <c r="AL339" s="18" t="str">
        <f>IF(COUNTIF($A$2:A338, A338) = 1, A338, "")</f>
        <v/>
      </c>
    </row>
    <row r="340" spans="6:38" x14ac:dyDescent="0.2">
      <c r="AL340" s="18" t="str">
        <f>IF(COUNTIF($A$2:A339, A339) = 1, A339, "")</f>
        <v/>
      </c>
    </row>
    <row r="341" spans="6:38" x14ac:dyDescent="0.2">
      <c r="AL341" s="18" t="str">
        <f>IF(COUNTIF($A$2:A340, A340) = 1, A340, "")</f>
        <v/>
      </c>
    </row>
    <row r="342" spans="6:38" x14ac:dyDescent="0.2">
      <c r="AL342" s="18" t="str">
        <f>IF(COUNTIF($A$2:A341, A341) = 1, A341, "")</f>
        <v/>
      </c>
    </row>
    <row r="343" spans="6:38" x14ac:dyDescent="0.2">
      <c r="AL343" s="18" t="str">
        <f>IF(COUNTIF($A$2:A342, A342) = 1, A342, "")</f>
        <v/>
      </c>
    </row>
    <row r="344" spans="6:38" x14ac:dyDescent="0.2">
      <c r="AL344" s="18" t="str">
        <f>IF(COUNTIF($A$2:A343, A343) = 1, A343, "")</f>
        <v/>
      </c>
    </row>
    <row r="345" spans="6:38" x14ac:dyDescent="0.2">
      <c r="AL345" s="18" t="str">
        <f>IF(COUNTIF($A$2:A344, A344) = 1, A344, "")</f>
        <v/>
      </c>
    </row>
    <row r="346" spans="6:38" x14ac:dyDescent="0.2">
      <c r="AL346" s="18" t="str">
        <f>IF(COUNTIF($A$2:A345, A345) = 1, A345, "")</f>
        <v/>
      </c>
    </row>
    <row r="347" spans="6:38" x14ac:dyDescent="0.2">
      <c r="AL347" s="18" t="str">
        <f>IF(COUNTIF($A$2:A346, A346) = 1, A346, "")</f>
        <v/>
      </c>
    </row>
    <row r="348" spans="6:38" x14ac:dyDescent="0.2">
      <c r="AL348" s="18" t="str">
        <f>IF(COUNTIF($A$2:A347, A347) = 1, A347, "")</f>
        <v/>
      </c>
    </row>
    <row r="349" spans="6:38" x14ac:dyDescent="0.2">
      <c r="AL349" s="18" t="str">
        <f>IF(COUNTIF($A$2:A348, A348) = 1, A348, "")</f>
        <v/>
      </c>
    </row>
    <row r="350" spans="6:38" x14ac:dyDescent="0.2">
      <c r="AL350" s="18" t="str">
        <f>IF(COUNTIF($A$2:A349, A349) = 1, A349, "")</f>
        <v/>
      </c>
    </row>
    <row r="351" spans="6:38" x14ac:dyDescent="0.2">
      <c r="AL351" s="18" t="str">
        <f>IF(COUNTIF($A$2:A350, A350) = 1, A350, "")</f>
        <v/>
      </c>
    </row>
    <row r="352" spans="6:38" x14ac:dyDescent="0.2">
      <c r="AL352" s="18" t="str">
        <f>IF(COUNTIF($A$2:A351, A351) = 1, A351, "")</f>
        <v/>
      </c>
    </row>
    <row r="353" spans="38:38" x14ac:dyDescent="0.2">
      <c r="AL353" s="18" t="str">
        <f>IF(COUNTIF($A$2:A352, A352) = 1, A352, "")</f>
        <v/>
      </c>
    </row>
    <row r="354" spans="38:38" x14ac:dyDescent="0.2">
      <c r="AL354" s="18" t="str">
        <f>IF(COUNTIF($A$2:A353, A353) = 1, A353, "")</f>
        <v/>
      </c>
    </row>
    <row r="355" spans="38:38" x14ac:dyDescent="0.2">
      <c r="AL355" s="18" t="str">
        <f>IF(COUNTIF($A$2:A354, A354) = 1, A354, "")</f>
        <v/>
      </c>
    </row>
    <row r="356" spans="38:38" x14ac:dyDescent="0.2">
      <c r="AL356" s="18" t="str">
        <f>IF(COUNTIF($A$2:A355, A355) = 1, A355, "")</f>
        <v/>
      </c>
    </row>
    <row r="357" spans="38:38" x14ac:dyDescent="0.2">
      <c r="AL357" s="18" t="str">
        <f>IF(COUNTIF($A$2:A356, A356) = 1, A356, "")</f>
        <v/>
      </c>
    </row>
    <row r="358" spans="38:38" x14ac:dyDescent="0.2">
      <c r="AL358" s="18" t="str">
        <f>IF(COUNTIF($A$2:A357, A357) = 1, A357, "")</f>
        <v/>
      </c>
    </row>
    <row r="359" spans="38:38" x14ac:dyDescent="0.2">
      <c r="AL359" s="18" t="str">
        <f>IF(COUNTIF($A$2:A358, A358) = 1, A358, "")</f>
        <v/>
      </c>
    </row>
    <row r="360" spans="38:38" x14ac:dyDescent="0.2">
      <c r="AL360" s="18" t="str">
        <f>IF(COUNTIF($A$2:A359, A359) = 1, A359, "")</f>
        <v/>
      </c>
    </row>
    <row r="361" spans="38:38" x14ac:dyDescent="0.2">
      <c r="AL361" s="18" t="str">
        <f>IF(COUNTIF($A$2:A360, A360) = 1, A360, "")</f>
        <v/>
      </c>
    </row>
    <row r="362" spans="38:38" x14ac:dyDescent="0.2">
      <c r="AL362" s="18" t="str">
        <f>IF(COUNTIF($A$2:A361, A361) = 1, A361, "")</f>
        <v/>
      </c>
    </row>
    <row r="363" spans="38:38" x14ac:dyDescent="0.2">
      <c r="AL363" s="18" t="str">
        <f>IF(COUNTIF($A$2:A362, A362) = 1, A362, "")</f>
        <v/>
      </c>
    </row>
    <row r="364" spans="38:38" x14ac:dyDescent="0.2">
      <c r="AL364" s="18" t="str">
        <f>IF(COUNTIF($A$2:A363, A363) = 1, A363, "")</f>
        <v/>
      </c>
    </row>
    <row r="365" spans="38:38" x14ac:dyDescent="0.2">
      <c r="AL365" s="18" t="str">
        <f>IF(COUNTIF($A$2:A364, A364) = 1, A364, "")</f>
        <v/>
      </c>
    </row>
    <row r="366" spans="38:38" x14ac:dyDescent="0.2">
      <c r="AL366" s="18" t="str">
        <f>IF(COUNTIF($A$2:A365, A365) = 1, A365, "")</f>
        <v/>
      </c>
    </row>
    <row r="367" spans="38:38" x14ac:dyDescent="0.2">
      <c r="AL367" s="18" t="str">
        <f>IF(COUNTIF($A$2:A366, A366) = 1, A366, "")</f>
        <v/>
      </c>
    </row>
    <row r="368" spans="38:38" x14ac:dyDescent="0.2">
      <c r="AL368" s="18" t="str">
        <f>IF(COUNTIF($A$2:A367, A367) = 1, A367, "")</f>
        <v/>
      </c>
    </row>
    <row r="369" spans="38:38" x14ac:dyDescent="0.2">
      <c r="AL369" s="18" t="str">
        <f>IF(COUNTIF($A$2:A368, A368) = 1, A368, "")</f>
        <v/>
      </c>
    </row>
    <row r="370" spans="38:38" x14ac:dyDescent="0.2">
      <c r="AL370" s="18" t="str">
        <f>IF(COUNTIF($A$2:A369, A369) = 1, A369, "")</f>
        <v/>
      </c>
    </row>
    <row r="371" spans="38:38" x14ac:dyDescent="0.2">
      <c r="AL371" s="18" t="str">
        <f>IF(COUNTIF($A$2:A370, A370) = 1, A370, "")</f>
        <v/>
      </c>
    </row>
    <row r="372" spans="38:38" x14ac:dyDescent="0.2">
      <c r="AL372" s="18" t="str">
        <f>IF(COUNTIF($A$2:A371, A371) = 1, A371, "")</f>
        <v/>
      </c>
    </row>
    <row r="373" spans="38:38" x14ac:dyDescent="0.2">
      <c r="AL373" s="18" t="str">
        <f>IF(COUNTIF($A$2:A372, A372) = 1, A372, "")</f>
        <v/>
      </c>
    </row>
    <row r="374" spans="38:38" x14ac:dyDescent="0.2">
      <c r="AL374" s="18" t="str">
        <f>IF(COUNTIF($A$2:A373, A373) = 1, A373, "")</f>
        <v/>
      </c>
    </row>
    <row r="375" spans="38:38" x14ac:dyDescent="0.2">
      <c r="AL375" s="18" t="str">
        <f>IF(COUNTIF($A$2:A374, A374) = 1, A374, "")</f>
        <v/>
      </c>
    </row>
    <row r="376" spans="38:38" x14ac:dyDescent="0.2">
      <c r="AL376" s="18" t="str">
        <f>IF(COUNTIF($A$2:A375, A375) = 1, A375, "")</f>
        <v/>
      </c>
    </row>
    <row r="377" spans="38:38" x14ac:dyDescent="0.2">
      <c r="AL377" s="18" t="str">
        <f>IF(COUNTIF($A$2:A376, A376) = 1, A376, "")</f>
        <v/>
      </c>
    </row>
    <row r="378" spans="38:38" x14ac:dyDescent="0.2">
      <c r="AL378" s="18" t="str">
        <f>IF(COUNTIF($A$2:A377, A377) = 1, A377, "")</f>
        <v/>
      </c>
    </row>
    <row r="379" spans="38:38" x14ac:dyDescent="0.2">
      <c r="AL379" s="18" t="str">
        <f>IF(COUNTIF($A$2:A378, A378) = 1, A378, "")</f>
        <v/>
      </c>
    </row>
    <row r="380" spans="38:38" x14ac:dyDescent="0.2">
      <c r="AL380" s="18" t="str">
        <f>IF(COUNTIF($A$2:A379, A379) = 1, A379, "")</f>
        <v/>
      </c>
    </row>
    <row r="381" spans="38:38" x14ac:dyDescent="0.2">
      <c r="AL381" s="18" t="str">
        <f>IF(COUNTIF($A$2:A380, A380) = 1, A380, "")</f>
        <v/>
      </c>
    </row>
    <row r="382" spans="38:38" x14ac:dyDescent="0.2">
      <c r="AL382" s="18" t="str">
        <f>IF(COUNTIF($A$2:A381, A381) = 1, A381, "")</f>
        <v/>
      </c>
    </row>
    <row r="383" spans="38:38" x14ac:dyDescent="0.2">
      <c r="AL383" s="18" t="str">
        <f>IF(COUNTIF($A$2:A382, A382) = 1, A382, "")</f>
        <v/>
      </c>
    </row>
    <row r="384" spans="38:38" x14ac:dyDescent="0.2">
      <c r="AL384" s="18" t="str">
        <f>IF(COUNTIF($A$2:A383, A383) = 1, A383, "")</f>
        <v/>
      </c>
    </row>
    <row r="385" spans="38:38" x14ac:dyDescent="0.2">
      <c r="AL385" s="18" t="str">
        <f>IF(COUNTIF($A$2:A384, A384) = 1, A384, "")</f>
        <v/>
      </c>
    </row>
    <row r="386" spans="38:38" x14ac:dyDescent="0.2">
      <c r="AL386" s="18" t="str">
        <f>IF(COUNTIF($A$2:A385, A385) = 1, A385, "")</f>
        <v/>
      </c>
    </row>
    <row r="387" spans="38:38" x14ac:dyDescent="0.2">
      <c r="AL387" s="18" t="str">
        <f>IF(COUNTIF($A$2:A386, A386) = 1, A386, "")</f>
        <v/>
      </c>
    </row>
    <row r="388" spans="38:38" x14ac:dyDescent="0.2">
      <c r="AL388" s="18" t="str">
        <f>IF(COUNTIF($A$2:A387, A387) = 1, A387, "")</f>
        <v/>
      </c>
    </row>
    <row r="389" spans="38:38" x14ac:dyDescent="0.2">
      <c r="AL389" s="18" t="str">
        <f>IF(COUNTIF($A$2:A388, A388) = 1, A388, "")</f>
        <v/>
      </c>
    </row>
    <row r="390" spans="38:38" x14ac:dyDescent="0.2">
      <c r="AL390" s="18" t="str">
        <f>IF(COUNTIF($A$2:A389, A389) = 1, A389, "")</f>
        <v/>
      </c>
    </row>
    <row r="391" spans="38:38" x14ac:dyDescent="0.2">
      <c r="AL391" s="18" t="str">
        <f>IF(COUNTIF($A$2:A390, A390) = 1, A390, "")</f>
        <v/>
      </c>
    </row>
    <row r="392" spans="38:38" x14ac:dyDescent="0.2">
      <c r="AL392" s="18" t="str">
        <f>IF(COUNTIF($A$2:A391, A391) = 1, A391, "")</f>
        <v/>
      </c>
    </row>
    <row r="393" spans="38:38" x14ac:dyDescent="0.2">
      <c r="AL393" s="18" t="str">
        <f>IF(COUNTIF($A$2:A392, A392) = 1, A392, "")</f>
        <v/>
      </c>
    </row>
    <row r="394" spans="38:38" x14ac:dyDescent="0.2">
      <c r="AL394" s="18" t="str">
        <f>IF(COUNTIF($A$2:A393, A393) = 1, A393, "")</f>
        <v/>
      </c>
    </row>
    <row r="395" spans="38:38" x14ac:dyDescent="0.2">
      <c r="AL395" s="18" t="str">
        <f>IF(COUNTIF($A$2:A394, A394) = 1, A394, "")</f>
        <v/>
      </c>
    </row>
    <row r="396" spans="38:38" x14ac:dyDescent="0.2">
      <c r="AL396" s="18" t="str">
        <f>IF(COUNTIF($A$2:A395, A395) = 1, A395, "")</f>
        <v/>
      </c>
    </row>
    <row r="397" spans="38:38" x14ac:dyDescent="0.2">
      <c r="AL397" s="18" t="str">
        <f>IF(COUNTIF($A$2:A396, A396) = 1, A396, "")</f>
        <v/>
      </c>
    </row>
    <row r="398" spans="38:38" x14ac:dyDescent="0.2">
      <c r="AL398" s="18" t="str">
        <f>IF(COUNTIF($A$2:A397, A397) = 1, A397, "")</f>
        <v/>
      </c>
    </row>
    <row r="399" spans="38:38" x14ac:dyDescent="0.2">
      <c r="AL399" s="18" t="str">
        <f>IF(COUNTIF($A$2:A398, A398) = 1, A398, "")</f>
        <v/>
      </c>
    </row>
    <row r="400" spans="38:38" x14ac:dyDescent="0.2">
      <c r="AL400" s="18" t="str">
        <f>IF(COUNTIF($A$2:A399, A399) = 1, A399, "")</f>
        <v/>
      </c>
    </row>
    <row r="401" spans="38:38" x14ac:dyDescent="0.2">
      <c r="AL401" s="18" t="str">
        <f>IF(COUNTIF($A$2:A400, A400) = 1, A400, "")</f>
        <v/>
      </c>
    </row>
    <row r="402" spans="38:38" x14ac:dyDescent="0.2">
      <c r="AL402" s="18" t="str">
        <f>IF(COUNTIF($A$2:A401, A401) = 1, A401, "")</f>
        <v/>
      </c>
    </row>
    <row r="403" spans="38:38" x14ac:dyDescent="0.2">
      <c r="AL403" s="18" t="str">
        <f>IF(COUNTIF($A$2:A402, A402) = 1, A402, "")</f>
        <v/>
      </c>
    </row>
    <row r="404" spans="38:38" x14ac:dyDescent="0.2">
      <c r="AL404" s="18" t="str">
        <f>IF(COUNTIF($A$2:A403, A403) = 1, A403, "")</f>
        <v/>
      </c>
    </row>
    <row r="405" spans="38:38" x14ac:dyDescent="0.2">
      <c r="AL405" s="18" t="str">
        <f>IF(COUNTIF($A$2:A404, A404) = 1, A404, "")</f>
        <v/>
      </c>
    </row>
    <row r="406" spans="38:38" x14ac:dyDescent="0.2">
      <c r="AL406" s="18" t="str">
        <f>IF(COUNTIF($A$2:A405, A405) = 1, A405, "")</f>
        <v/>
      </c>
    </row>
    <row r="407" spans="38:38" x14ac:dyDescent="0.2">
      <c r="AL407" s="18" t="str">
        <f>IF(COUNTIF($A$2:A406, A406) = 1, A406, "")</f>
        <v/>
      </c>
    </row>
    <row r="408" spans="38:38" x14ac:dyDescent="0.2">
      <c r="AL408" s="18" t="str">
        <f>IF(COUNTIF($A$2:A407, A407) = 1, A407, "")</f>
        <v/>
      </c>
    </row>
    <row r="409" spans="38:38" x14ac:dyDescent="0.2">
      <c r="AL409" s="18" t="str">
        <f>IF(COUNTIF($A$2:A408, A408) = 1, A408, "")</f>
        <v/>
      </c>
    </row>
    <row r="410" spans="38:38" x14ac:dyDescent="0.2">
      <c r="AL410" s="18" t="str">
        <f>IF(COUNTIF($A$2:A409, A409) = 1, A409, "")</f>
        <v/>
      </c>
    </row>
    <row r="411" spans="38:38" x14ac:dyDescent="0.2">
      <c r="AL411" s="18" t="str">
        <f>IF(COUNTIF($A$2:A410, A410) = 1, A410, "")</f>
        <v/>
      </c>
    </row>
    <row r="412" spans="38:38" x14ac:dyDescent="0.2">
      <c r="AL412" s="18" t="str">
        <f>IF(COUNTIF($A$2:A411, A411) = 1, A411, "")</f>
        <v/>
      </c>
    </row>
    <row r="413" spans="38:38" x14ac:dyDescent="0.2">
      <c r="AL413" s="18" t="str">
        <f>IF(COUNTIF($A$2:A412, A412) = 1, A412, "")</f>
        <v/>
      </c>
    </row>
    <row r="414" spans="38:38" x14ac:dyDescent="0.2">
      <c r="AL414" s="18" t="str">
        <f>IF(COUNTIF($A$2:A413, A413) = 1, A413, "")</f>
        <v/>
      </c>
    </row>
    <row r="415" spans="38:38" x14ac:dyDescent="0.2">
      <c r="AL415" s="18" t="str">
        <f>IF(COUNTIF($A$2:A414, A414) = 1, A414, "")</f>
        <v/>
      </c>
    </row>
    <row r="416" spans="38:38" x14ac:dyDescent="0.2">
      <c r="AL416" s="18" t="str">
        <f>IF(COUNTIF($A$2:A415, A415) = 1, A415, "")</f>
        <v/>
      </c>
    </row>
    <row r="417" spans="38:38" x14ac:dyDescent="0.2">
      <c r="AL417" s="18" t="str">
        <f>IF(COUNTIF($A$2:A416, A416) = 1, A416, "")</f>
        <v/>
      </c>
    </row>
    <row r="418" spans="38:38" x14ac:dyDescent="0.2">
      <c r="AL418" s="18" t="str">
        <f>IF(COUNTIF($A$2:A417, A417) = 1, A417, "")</f>
        <v/>
      </c>
    </row>
    <row r="419" spans="38:38" x14ac:dyDescent="0.2">
      <c r="AL419" s="18" t="str">
        <f>IF(COUNTIF($A$2:A418, A418) = 1, A418, "")</f>
        <v/>
      </c>
    </row>
    <row r="420" spans="38:38" x14ac:dyDescent="0.2">
      <c r="AL420" s="18" t="str">
        <f>IF(COUNTIF($A$2:A419, A419) = 1, A419, "")</f>
        <v/>
      </c>
    </row>
    <row r="421" spans="38:38" x14ac:dyDescent="0.2">
      <c r="AL421" s="18" t="str">
        <f>IF(COUNTIF($A$2:A420, A420) = 1, A420, "")</f>
        <v/>
      </c>
    </row>
    <row r="422" spans="38:38" x14ac:dyDescent="0.2">
      <c r="AL422" s="18" t="str">
        <f>IF(COUNTIF($A$2:A421, A421) = 1, A421, "")</f>
        <v/>
      </c>
    </row>
    <row r="423" spans="38:38" x14ac:dyDescent="0.2">
      <c r="AL423" s="18" t="str">
        <f>IF(COUNTIF($A$2:A422, A422) = 1, A422, "")</f>
        <v/>
      </c>
    </row>
    <row r="424" spans="38:38" x14ac:dyDescent="0.2">
      <c r="AL424" s="18" t="str">
        <f>IF(COUNTIF($A$2:A423, A423) = 1, A423, "")</f>
        <v/>
      </c>
    </row>
    <row r="425" spans="38:38" x14ac:dyDescent="0.2">
      <c r="AL425" s="18" t="str">
        <f>IF(COUNTIF($A$2:A424, A424) = 1, A424, "")</f>
        <v/>
      </c>
    </row>
    <row r="426" spans="38:38" x14ac:dyDescent="0.2">
      <c r="AL426" s="18" t="str">
        <f>IF(COUNTIF($A$2:A425, A425) = 1, A425, "")</f>
        <v/>
      </c>
    </row>
    <row r="427" spans="38:38" x14ac:dyDescent="0.2">
      <c r="AL427" s="18" t="str">
        <f>IF(COUNTIF($A$2:A426, A426) = 1, A426, "")</f>
        <v/>
      </c>
    </row>
    <row r="428" spans="38:38" x14ac:dyDescent="0.2">
      <c r="AL428" s="18" t="str">
        <f>IF(COUNTIF($A$2:A427, A427) = 1, A427, "")</f>
        <v/>
      </c>
    </row>
    <row r="429" spans="38:38" x14ac:dyDescent="0.2">
      <c r="AL429" s="18" t="str">
        <f>IF(COUNTIF($A$2:A428, A428) = 1, A428, "")</f>
        <v/>
      </c>
    </row>
    <row r="430" spans="38:38" x14ac:dyDescent="0.2">
      <c r="AL430" s="18" t="str">
        <f>IF(COUNTIF($A$2:A429, A429) = 1, A429, "")</f>
        <v/>
      </c>
    </row>
    <row r="431" spans="38:38" x14ac:dyDescent="0.2">
      <c r="AL431" s="18" t="str">
        <f>IF(COUNTIF($A$2:A430, A430) = 1, A430, "")</f>
        <v/>
      </c>
    </row>
    <row r="432" spans="38:38" x14ac:dyDescent="0.2">
      <c r="AL432" s="18" t="str">
        <f>IF(COUNTIF($A$2:A431, A431) = 1, A431, "")</f>
        <v/>
      </c>
    </row>
    <row r="433" spans="38:38" x14ac:dyDescent="0.2">
      <c r="AL433" s="18" t="str">
        <f>IF(COUNTIF($A$2:A432, A432) = 1, A432, "")</f>
        <v/>
      </c>
    </row>
    <row r="434" spans="38:38" x14ac:dyDescent="0.2">
      <c r="AL434" s="18" t="str">
        <f>IF(COUNTIF($A$2:A433, A433) = 1, A433, "")</f>
        <v/>
      </c>
    </row>
    <row r="435" spans="38:38" x14ac:dyDescent="0.2">
      <c r="AL435" s="18" t="str">
        <f>IF(COUNTIF($A$2:A434, A434) = 1, A434, "")</f>
        <v/>
      </c>
    </row>
    <row r="436" spans="38:38" x14ac:dyDescent="0.2">
      <c r="AL436" s="18" t="str">
        <f>IF(COUNTIF($A$2:A435, A435) = 1, A435, "")</f>
        <v/>
      </c>
    </row>
    <row r="437" spans="38:38" x14ac:dyDescent="0.2">
      <c r="AL437" s="18" t="str">
        <f>IF(COUNTIF($A$2:A436, A436) = 1, A436, "")</f>
        <v/>
      </c>
    </row>
    <row r="438" spans="38:38" x14ac:dyDescent="0.2">
      <c r="AL438" s="18" t="str">
        <f>IF(COUNTIF($A$2:A437, A437) = 1, A437, "")</f>
        <v/>
      </c>
    </row>
    <row r="439" spans="38:38" x14ac:dyDescent="0.2">
      <c r="AL439" s="18" t="str">
        <f>IF(COUNTIF($A$2:A438, A438) = 1, A438, "")</f>
        <v/>
      </c>
    </row>
    <row r="440" spans="38:38" x14ac:dyDescent="0.2">
      <c r="AL440" s="18" t="str">
        <f>IF(COUNTIF($A$2:A439, A439) = 1, A439, "")</f>
        <v/>
      </c>
    </row>
    <row r="441" spans="38:38" x14ac:dyDescent="0.2">
      <c r="AL441" s="18" t="str">
        <f>IF(COUNTIF($A$2:A440, A440) = 1, A440, "")</f>
        <v/>
      </c>
    </row>
    <row r="442" spans="38:38" x14ac:dyDescent="0.2">
      <c r="AL442" s="18" t="str">
        <f>IF(COUNTIF($A$2:A441, A441) = 1, A441, "")</f>
        <v/>
      </c>
    </row>
    <row r="443" spans="38:38" x14ac:dyDescent="0.2">
      <c r="AL443" s="18" t="str">
        <f>IF(COUNTIF($A$2:A442, A442) = 1, A442, "")</f>
        <v/>
      </c>
    </row>
    <row r="444" spans="38:38" x14ac:dyDescent="0.2">
      <c r="AL444" s="18" t="str">
        <f>IF(COUNTIF($A$2:A443, A443) = 1, A443, "")</f>
        <v/>
      </c>
    </row>
    <row r="445" spans="38:38" x14ac:dyDescent="0.2">
      <c r="AL445" s="18" t="str">
        <f>IF(COUNTIF($A$2:A444, A444) = 1, A444, "")</f>
        <v/>
      </c>
    </row>
    <row r="446" spans="38:38" x14ac:dyDescent="0.2">
      <c r="AL446" s="18" t="str">
        <f>IF(COUNTIF($A$2:A445, A445) = 1, A445, "")</f>
        <v/>
      </c>
    </row>
    <row r="447" spans="38:38" x14ac:dyDescent="0.2">
      <c r="AL447" s="18" t="str">
        <f>IF(COUNTIF($A$2:A446, A446) = 1, A446, "")</f>
        <v/>
      </c>
    </row>
    <row r="448" spans="38:38" x14ac:dyDescent="0.2">
      <c r="AL448" s="18" t="str">
        <f>IF(COUNTIF($A$2:A447, A447) = 1, A447, "")</f>
        <v/>
      </c>
    </row>
    <row r="449" spans="38:38" x14ac:dyDescent="0.2">
      <c r="AL449" s="18" t="str">
        <f>IF(COUNTIF($A$2:A448, A448) = 1, A448, "")</f>
        <v/>
      </c>
    </row>
    <row r="450" spans="38:38" x14ac:dyDescent="0.2">
      <c r="AL450" s="18" t="str">
        <f>IF(COUNTIF($A$2:A449, A449) = 1, A449, "")</f>
        <v/>
      </c>
    </row>
    <row r="451" spans="38:38" x14ac:dyDescent="0.2">
      <c r="AL451" s="18" t="str">
        <f>IF(COUNTIF($A$2:A450, A450) = 1, A450, "")</f>
        <v/>
      </c>
    </row>
    <row r="452" spans="38:38" x14ac:dyDescent="0.2">
      <c r="AL452" s="18" t="str">
        <f>IF(COUNTIF($A$2:A451, A451) = 1, A451, "")</f>
        <v/>
      </c>
    </row>
    <row r="453" spans="38:38" x14ac:dyDescent="0.2">
      <c r="AL453" s="18" t="str">
        <f>IF(COUNTIF($A$2:A452, A452) = 1, A452, "")</f>
        <v/>
      </c>
    </row>
    <row r="454" spans="38:38" x14ac:dyDescent="0.2">
      <c r="AL454" s="18" t="str">
        <f>IF(COUNTIF($A$2:A453, A453) = 1, A453, "")</f>
        <v/>
      </c>
    </row>
    <row r="455" spans="38:38" x14ac:dyDescent="0.2">
      <c r="AL455" s="18" t="str">
        <f>IF(COUNTIF($A$2:A454, A454) = 1, A454, "")</f>
        <v/>
      </c>
    </row>
    <row r="456" spans="38:38" x14ac:dyDescent="0.2">
      <c r="AL456" s="18" t="str">
        <f>IF(COUNTIF($A$2:A455, A455) = 1, A455, "")</f>
        <v/>
      </c>
    </row>
    <row r="457" spans="38:38" x14ac:dyDescent="0.2">
      <c r="AL457" s="18" t="str">
        <f>IF(COUNTIF($A$2:A456, A456) = 1, A456, "")</f>
        <v/>
      </c>
    </row>
    <row r="458" spans="38:38" x14ac:dyDescent="0.2">
      <c r="AL458" s="18" t="str">
        <f>IF(COUNTIF($A$2:A457, A457) = 1, A457, "")</f>
        <v/>
      </c>
    </row>
    <row r="459" spans="38:38" x14ac:dyDescent="0.2">
      <c r="AL459" s="18" t="str">
        <f>IF(COUNTIF($A$2:A458, A458) = 1, A458, "")</f>
        <v/>
      </c>
    </row>
    <row r="460" spans="38:38" x14ac:dyDescent="0.2">
      <c r="AL460" s="18" t="str">
        <f>IF(COUNTIF($A$2:A459, A459) = 1, A459, "")</f>
        <v/>
      </c>
    </row>
    <row r="461" spans="38:38" x14ac:dyDescent="0.2">
      <c r="AL461" s="18" t="str">
        <f>IF(COUNTIF($A$2:A460, A460) = 1, A460, "")</f>
        <v/>
      </c>
    </row>
    <row r="462" spans="38:38" x14ac:dyDescent="0.2">
      <c r="AL462" s="18" t="str">
        <f>IF(COUNTIF($A$2:A461, A461) = 1, A461, "")</f>
        <v/>
      </c>
    </row>
    <row r="463" spans="38:38" x14ac:dyDescent="0.2">
      <c r="AL463" s="18" t="str">
        <f>IF(COUNTIF($A$2:A462, A462) = 1, A462, "")</f>
        <v/>
      </c>
    </row>
    <row r="464" spans="38:38" x14ac:dyDescent="0.2">
      <c r="AL464" s="18" t="str">
        <f>IF(COUNTIF($A$2:A463, A463) = 1, A463, "")</f>
        <v/>
      </c>
    </row>
    <row r="465" spans="38:38" x14ac:dyDescent="0.2">
      <c r="AL465" s="18" t="str">
        <f>IF(COUNTIF($A$2:A464, A464) = 1, A464, "")</f>
        <v/>
      </c>
    </row>
    <row r="466" spans="38:38" x14ac:dyDescent="0.2">
      <c r="AL466" s="18" t="str">
        <f>IF(COUNTIF($A$2:A465, A465) = 1, A465, "")</f>
        <v/>
      </c>
    </row>
    <row r="467" spans="38:38" x14ac:dyDescent="0.2">
      <c r="AL467" s="18" t="str">
        <f>IF(COUNTIF($A$2:A466, A466) = 1, A466, "")</f>
        <v/>
      </c>
    </row>
    <row r="468" spans="38:38" x14ac:dyDescent="0.2">
      <c r="AL468" s="18" t="str">
        <f>IF(COUNTIF($A$2:A467, A467) = 1, A467, "")</f>
        <v/>
      </c>
    </row>
    <row r="469" spans="38:38" x14ac:dyDescent="0.2">
      <c r="AL469" s="18" t="str">
        <f>IF(COUNTIF($A$2:A468, A468) = 1, A468, "")</f>
        <v/>
      </c>
    </row>
    <row r="470" spans="38:38" x14ac:dyDescent="0.2">
      <c r="AL470" s="18" t="str">
        <f>IF(COUNTIF($A$2:A469, A469) = 1, A469, "")</f>
        <v/>
      </c>
    </row>
    <row r="471" spans="38:38" x14ac:dyDescent="0.2">
      <c r="AL471" s="18" t="str">
        <f>IF(COUNTIF($A$2:A470, A470) = 1, A470, "")</f>
        <v/>
      </c>
    </row>
    <row r="472" spans="38:38" x14ac:dyDescent="0.2">
      <c r="AL472" s="18" t="str">
        <f>IF(COUNTIF($A$2:A471, A471) = 1, A471, "")</f>
        <v/>
      </c>
    </row>
    <row r="473" spans="38:38" x14ac:dyDescent="0.2">
      <c r="AL473" s="18" t="str">
        <f>IF(COUNTIF($A$2:A472, A472) = 1, A472, "")</f>
        <v/>
      </c>
    </row>
    <row r="474" spans="38:38" x14ac:dyDescent="0.2">
      <c r="AL474" s="18" t="str">
        <f>IF(COUNTIF($A$2:A473, A473) = 1, A473, "")</f>
        <v/>
      </c>
    </row>
    <row r="475" spans="38:38" x14ac:dyDescent="0.2">
      <c r="AL475" s="18" t="str">
        <f>IF(COUNTIF($A$2:A474, A474) = 1, A474, "")</f>
        <v/>
      </c>
    </row>
    <row r="476" spans="38:38" x14ac:dyDescent="0.2">
      <c r="AL476" s="18" t="str">
        <f>IF(COUNTIF($A$2:A475, A475) = 1, A475, "")</f>
        <v/>
      </c>
    </row>
    <row r="477" spans="38:38" x14ac:dyDescent="0.2">
      <c r="AL477" s="18" t="str">
        <f>IF(COUNTIF($A$2:A476, A476) = 1, A476, "")</f>
        <v/>
      </c>
    </row>
    <row r="478" spans="38:38" x14ac:dyDescent="0.2">
      <c r="AL478" s="18" t="str">
        <f>IF(COUNTIF($A$2:A477, A477) = 1, A477, "")</f>
        <v/>
      </c>
    </row>
    <row r="479" spans="38:38" x14ac:dyDescent="0.2">
      <c r="AL479" s="18" t="str">
        <f>IF(COUNTIF($A$2:A478, A478) = 1, A478, "")</f>
        <v/>
      </c>
    </row>
    <row r="480" spans="38:38" x14ac:dyDescent="0.2">
      <c r="AL480" s="18" t="str">
        <f>IF(COUNTIF($A$2:A479, A479) = 1, A479, "")</f>
        <v/>
      </c>
    </row>
    <row r="481" spans="38:38" x14ac:dyDescent="0.2">
      <c r="AL481" s="18" t="str">
        <f>IF(COUNTIF($A$2:A480, A480) = 1, A480, "")</f>
        <v/>
      </c>
    </row>
    <row r="482" spans="38:38" x14ac:dyDescent="0.2">
      <c r="AL482" s="18" t="str">
        <f>IF(COUNTIF($A$2:A481, A481) = 1, A481, "")</f>
        <v/>
      </c>
    </row>
    <row r="483" spans="38:38" x14ac:dyDescent="0.2">
      <c r="AL483" s="18" t="str">
        <f>IF(COUNTIF($A$2:A482, A482) = 1, A482, "")</f>
        <v/>
      </c>
    </row>
    <row r="484" spans="38:38" x14ac:dyDescent="0.2">
      <c r="AL484" s="18" t="str">
        <f>IF(COUNTIF($A$2:A483, A483) = 1, A483, "")</f>
        <v/>
      </c>
    </row>
    <row r="485" spans="38:38" x14ac:dyDescent="0.2">
      <c r="AL485" s="18" t="str">
        <f>IF(COUNTIF($A$2:A484, A484) = 1, A484, "")</f>
        <v/>
      </c>
    </row>
    <row r="486" spans="38:38" x14ac:dyDescent="0.2">
      <c r="AL486" s="18" t="str">
        <f>IF(COUNTIF($A$2:A485, A485) = 1, A485, "")</f>
        <v/>
      </c>
    </row>
    <row r="487" spans="38:38" x14ac:dyDescent="0.2">
      <c r="AL487" s="18" t="str">
        <f>IF(COUNTIF($A$2:A486, A486) = 1, A486, "")</f>
        <v/>
      </c>
    </row>
    <row r="488" spans="38:38" x14ac:dyDescent="0.2">
      <c r="AL488" s="18" t="str">
        <f>IF(COUNTIF($A$2:A487, A487) = 1, A487, "")</f>
        <v/>
      </c>
    </row>
    <row r="489" spans="38:38" x14ac:dyDescent="0.2">
      <c r="AL489" s="18" t="str">
        <f>IF(COUNTIF($A$2:A488, A488) = 1, A488, "")</f>
        <v/>
      </c>
    </row>
    <row r="490" spans="38:38" x14ac:dyDescent="0.2">
      <c r="AL490" s="18" t="str">
        <f>IF(COUNTIF($A$2:A489, A489) = 1, A489, "")</f>
        <v/>
      </c>
    </row>
    <row r="491" spans="38:38" x14ac:dyDescent="0.2">
      <c r="AL491" s="18" t="str">
        <f>IF(COUNTIF($A$2:A490, A490) = 1, A490, "")</f>
        <v/>
      </c>
    </row>
    <row r="492" spans="38:38" x14ac:dyDescent="0.2">
      <c r="AL492" s="18" t="str">
        <f>IF(COUNTIF($A$2:A491, A491) = 1, A491, "")</f>
        <v/>
      </c>
    </row>
    <row r="493" spans="38:38" x14ac:dyDescent="0.2">
      <c r="AL493" s="18" t="str">
        <f>IF(COUNTIF($A$2:A492, A492) = 1, A492, "")</f>
        <v/>
      </c>
    </row>
    <row r="494" spans="38:38" x14ac:dyDescent="0.2">
      <c r="AL494" s="18" t="str">
        <f>IF(COUNTIF($A$2:A493, A493) = 1, A493, "")</f>
        <v/>
      </c>
    </row>
    <row r="495" spans="38:38" x14ac:dyDescent="0.2">
      <c r="AL495" s="18" t="str">
        <f>IF(COUNTIF($A$2:A494, A494) = 1, A494, "")</f>
        <v/>
      </c>
    </row>
    <row r="496" spans="38:38" x14ac:dyDescent="0.2">
      <c r="AL496" s="18" t="str">
        <f>IF(COUNTIF($A$2:A495, A495) = 1, A495, "")</f>
        <v/>
      </c>
    </row>
    <row r="497" spans="38:38" x14ac:dyDescent="0.2">
      <c r="AL497" s="18" t="str">
        <f>IF(COUNTIF($A$2:A496, A496) = 1, A496, "")</f>
        <v/>
      </c>
    </row>
    <row r="498" spans="38:38" x14ac:dyDescent="0.2">
      <c r="AL498" s="18" t="str">
        <f>IF(COUNTIF($A$2:A497, A497) = 1, A497, "")</f>
        <v/>
      </c>
    </row>
    <row r="499" spans="38:38" x14ac:dyDescent="0.2">
      <c r="AL499" s="18" t="str">
        <f>IF(COUNTIF($A$2:A498, A498) = 1, A498, "")</f>
        <v/>
      </c>
    </row>
    <row r="500" spans="38:38" x14ac:dyDescent="0.2">
      <c r="AL500" s="18" t="str">
        <f>IF(COUNTIF($A$2:A499, A499) = 1, A499, "")</f>
        <v/>
      </c>
    </row>
    <row r="501" spans="38:38" x14ac:dyDescent="0.2">
      <c r="AL501" s="18" t="str">
        <f>IF(COUNTIF($A$2:A500, A500) = 1, A500, "")</f>
        <v/>
      </c>
    </row>
    <row r="502" spans="38:38" x14ac:dyDescent="0.2">
      <c r="AL502" s="18" t="str">
        <f>IF(COUNTIF($A$2:A501, A501) = 1, A501, "")</f>
        <v/>
      </c>
    </row>
    <row r="503" spans="38:38" x14ac:dyDescent="0.2">
      <c r="AL503" s="18" t="str">
        <f>IF(COUNTIF($A$2:A502, A502) = 1, A502, "")</f>
        <v/>
      </c>
    </row>
    <row r="504" spans="38:38" x14ac:dyDescent="0.2">
      <c r="AL504" s="18" t="str">
        <f>IF(COUNTIF($A$2:A503, A503) = 1, A503, "")</f>
        <v/>
      </c>
    </row>
    <row r="505" spans="38:38" x14ac:dyDescent="0.2">
      <c r="AL505" s="18" t="str">
        <f>IF(COUNTIF($A$2:A504, A504) = 1, A504, "")</f>
        <v/>
      </c>
    </row>
    <row r="506" spans="38:38" x14ac:dyDescent="0.2">
      <c r="AL506" s="18" t="str">
        <f>IF(COUNTIF($A$2:A505, A505) = 1, A505, "")</f>
        <v/>
      </c>
    </row>
    <row r="507" spans="38:38" x14ac:dyDescent="0.2">
      <c r="AL507" s="18" t="str">
        <f>IF(COUNTIF($A$2:A506, A506) = 1, A506, "")</f>
        <v/>
      </c>
    </row>
    <row r="508" spans="38:38" x14ac:dyDescent="0.2">
      <c r="AL508" s="18" t="str">
        <f>IF(COUNTIF($A$2:A507, A507) = 1, A507, "")</f>
        <v/>
      </c>
    </row>
    <row r="509" spans="38:38" x14ac:dyDescent="0.2">
      <c r="AL509" s="18" t="str">
        <f>IF(COUNTIF($A$2:A508, A508) = 1, A508, "")</f>
        <v/>
      </c>
    </row>
    <row r="510" spans="38:38" x14ac:dyDescent="0.2">
      <c r="AL510" s="18" t="str">
        <f>IF(COUNTIF($A$2:A509, A509) = 1, A509, "")</f>
        <v/>
      </c>
    </row>
    <row r="511" spans="38:38" x14ac:dyDescent="0.2">
      <c r="AL511" s="18" t="str">
        <f>IF(COUNTIF($A$2:A510, A510) = 1, A510, "")</f>
        <v/>
      </c>
    </row>
    <row r="512" spans="38:38" x14ac:dyDescent="0.2">
      <c r="AL512" s="18" t="str">
        <f>IF(COUNTIF($A$2:A511, A511) = 1, A511, "")</f>
        <v/>
      </c>
    </row>
    <row r="513" spans="38:38" x14ac:dyDescent="0.2">
      <c r="AL513" s="18" t="str">
        <f>IF(COUNTIF($A$2:A512, A512) = 1, A512, "")</f>
        <v/>
      </c>
    </row>
    <row r="514" spans="38:38" x14ac:dyDescent="0.2">
      <c r="AL514" s="18" t="str">
        <f>IF(COUNTIF($A$2:A513, A513) = 1, A513, "")</f>
        <v/>
      </c>
    </row>
    <row r="515" spans="38:38" x14ac:dyDescent="0.2">
      <c r="AL515" s="18" t="str">
        <f>IF(COUNTIF($A$2:A514, A514) = 1, A514, "")</f>
        <v/>
      </c>
    </row>
    <row r="516" spans="38:38" x14ac:dyDescent="0.2">
      <c r="AL516" s="18" t="str">
        <f>IF(COUNTIF($A$2:A515, A515) = 1, A515, "")</f>
        <v/>
      </c>
    </row>
    <row r="517" spans="38:38" x14ac:dyDescent="0.2">
      <c r="AL517" s="18" t="str">
        <f>IF(COUNTIF($A$2:A516, A516) = 1, A516, "")</f>
        <v/>
      </c>
    </row>
    <row r="518" spans="38:38" x14ac:dyDescent="0.2">
      <c r="AL518" s="18" t="str">
        <f>IF(COUNTIF($A$2:A517, A517) = 1, A517, "")</f>
        <v/>
      </c>
    </row>
    <row r="519" spans="38:38" x14ac:dyDescent="0.2">
      <c r="AL519" s="18" t="str">
        <f>IF(COUNTIF($A$2:A518, A518) = 1, A518, "")</f>
        <v/>
      </c>
    </row>
    <row r="520" spans="38:38" x14ac:dyDescent="0.2">
      <c r="AL520" s="18" t="str">
        <f>IF(COUNTIF($A$2:A519, A519) = 1, A519, "")</f>
        <v/>
      </c>
    </row>
    <row r="521" spans="38:38" x14ac:dyDescent="0.2">
      <c r="AL521" s="18" t="str">
        <f>IF(COUNTIF($A$2:A520, A520) = 1, A520, "")</f>
        <v/>
      </c>
    </row>
    <row r="522" spans="38:38" x14ac:dyDescent="0.2">
      <c r="AL522" s="18" t="str">
        <f>IF(COUNTIF($A$2:A521, A521) = 1, A521, "")</f>
        <v/>
      </c>
    </row>
    <row r="523" spans="38:38" x14ac:dyDescent="0.2">
      <c r="AL523" s="18" t="str">
        <f>IF(COUNTIF($A$2:A522, A522) = 1, A522, "")</f>
        <v/>
      </c>
    </row>
    <row r="524" spans="38:38" x14ac:dyDescent="0.2">
      <c r="AL524" s="18" t="str">
        <f>IF(COUNTIF($A$2:A523, A523) = 1, A523, "")</f>
        <v/>
      </c>
    </row>
    <row r="525" spans="38:38" x14ac:dyDescent="0.2">
      <c r="AL525" s="18" t="str">
        <f>IF(COUNTIF($A$2:A524, A524) = 1, A524, "")</f>
        <v/>
      </c>
    </row>
    <row r="526" spans="38:38" x14ac:dyDescent="0.2">
      <c r="AL526" s="18" t="str">
        <f>IF(COUNTIF($A$2:A525, A525) = 1, A525, "")</f>
        <v/>
      </c>
    </row>
    <row r="527" spans="38:38" x14ac:dyDescent="0.2">
      <c r="AL527" s="18" t="str">
        <f>IF(COUNTIF($A$2:A526, A526) = 1, A526, "")</f>
        <v/>
      </c>
    </row>
    <row r="528" spans="38:38" x14ac:dyDescent="0.2">
      <c r="AL528" s="18" t="str">
        <f>IF(COUNTIF($A$2:A527, A527) = 1, A527, "")</f>
        <v/>
      </c>
    </row>
    <row r="529" spans="38:38" x14ac:dyDescent="0.2">
      <c r="AL529" s="18" t="str">
        <f>IF(COUNTIF($A$2:A528, A528) = 1, A528, "")</f>
        <v/>
      </c>
    </row>
    <row r="530" spans="38:38" x14ac:dyDescent="0.2">
      <c r="AL530" s="18" t="str">
        <f>IF(COUNTIF($A$2:A529, A529) = 1, A529, "")</f>
        <v/>
      </c>
    </row>
    <row r="531" spans="38:38" x14ac:dyDescent="0.2">
      <c r="AL531" s="18" t="str">
        <f>IF(COUNTIF($A$2:A530, A530) = 1, A530, "")</f>
        <v/>
      </c>
    </row>
    <row r="532" spans="38:38" x14ac:dyDescent="0.2">
      <c r="AL532" s="18" t="str">
        <f>IF(COUNTIF($A$2:A531, A531) = 1, A531, "")</f>
        <v/>
      </c>
    </row>
    <row r="533" spans="38:38" x14ac:dyDescent="0.2">
      <c r="AL533" s="18" t="str">
        <f>IF(COUNTIF($A$2:A532, A532) = 1, A532, "")</f>
        <v/>
      </c>
    </row>
    <row r="534" spans="38:38" x14ac:dyDescent="0.2">
      <c r="AL534" s="18" t="str">
        <f>IF(COUNTIF($A$2:A533, A533) = 1, A533, "")</f>
        <v/>
      </c>
    </row>
    <row r="535" spans="38:38" x14ac:dyDescent="0.2">
      <c r="AL535" s="18" t="str">
        <f>IF(COUNTIF($A$2:A534, A534) = 1, A534, "")</f>
        <v/>
      </c>
    </row>
    <row r="536" spans="38:38" x14ac:dyDescent="0.2">
      <c r="AL536" s="18" t="str">
        <f>IF(COUNTIF($A$2:A535, A535) = 1, A535, "")</f>
        <v/>
      </c>
    </row>
    <row r="537" spans="38:38" x14ac:dyDescent="0.2">
      <c r="AL537" s="18" t="str">
        <f>IF(COUNTIF($A$2:A536, A536) = 1, A536, "")</f>
        <v/>
      </c>
    </row>
    <row r="538" spans="38:38" x14ac:dyDescent="0.2">
      <c r="AL538" s="18" t="str">
        <f>IF(COUNTIF($A$2:A537, A537) = 1, A537, "")</f>
        <v/>
      </c>
    </row>
    <row r="539" spans="38:38" x14ac:dyDescent="0.2">
      <c r="AL539" s="18" t="str">
        <f>IF(COUNTIF($A$2:A538, A538) = 1, A538, "")</f>
        <v/>
      </c>
    </row>
    <row r="540" spans="38:38" x14ac:dyDescent="0.2">
      <c r="AL540" s="18" t="str">
        <f>IF(COUNTIF($A$2:A539, A539) = 1, A539, "")</f>
        <v/>
      </c>
    </row>
    <row r="541" spans="38:38" x14ac:dyDescent="0.2">
      <c r="AL541" s="18" t="str">
        <f>IF(COUNTIF($A$2:A540, A540) = 1, A540, "")</f>
        <v/>
      </c>
    </row>
    <row r="542" spans="38:38" x14ac:dyDescent="0.2">
      <c r="AL542" s="18" t="str">
        <f>IF(COUNTIF($A$2:A541, A541) = 1, A541, "")</f>
        <v/>
      </c>
    </row>
    <row r="543" spans="38:38" x14ac:dyDescent="0.2">
      <c r="AL543" s="18" t="str">
        <f>IF(COUNTIF($A$2:A542, A542) = 1, A542, "")</f>
        <v/>
      </c>
    </row>
    <row r="544" spans="38:38" x14ac:dyDescent="0.2">
      <c r="AL544" s="18" t="str">
        <f>IF(COUNTIF($A$2:A543, A543) = 1, A543, "")</f>
        <v/>
      </c>
    </row>
    <row r="545" spans="38:38" x14ac:dyDescent="0.2">
      <c r="AL545" s="18" t="str">
        <f>IF(COUNTIF($A$2:A544, A544) = 1, A544, "")</f>
        <v/>
      </c>
    </row>
    <row r="546" spans="38:38" x14ac:dyDescent="0.2">
      <c r="AL546" s="18" t="str">
        <f>IF(COUNTIF($A$2:A545, A545) = 1, A545, "")</f>
        <v/>
      </c>
    </row>
    <row r="547" spans="38:38" x14ac:dyDescent="0.2">
      <c r="AL547" s="18" t="str">
        <f>IF(COUNTIF($A$2:A546, A546) = 1, A546, "")</f>
        <v/>
      </c>
    </row>
    <row r="548" spans="38:38" x14ac:dyDescent="0.2">
      <c r="AL548" s="18" t="str">
        <f>IF(COUNTIF($A$2:A547, A547) = 1, A547, "")</f>
        <v/>
      </c>
    </row>
    <row r="549" spans="38:38" x14ac:dyDescent="0.2">
      <c r="AL549" s="18" t="str">
        <f>IF(COUNTIF($A$2:A548, A548) = 1, A548, "")</f>
        <v/>
      </c>
    </row>
    <row r="550" spans="38:38" x14ac:dyDescent="0.2">
      <c r="AL550" s="18" t="str">
        <f>IF(COUNTIF($A$2:A549, A549) = 1, A549, "")</f>
        <v/>
      </c>
    </row>
    <row r="551" spans="38:38" x14ac:dyDescent="0.2">
      <c r="AL551" s="18" t="str">
        <f>IF(COUNTIF($A$2:A550, A550) = 1, A550, "")</f>
        <v/>
      </c>
    </row>
    <row r="552" spans="38:38" x14ac:dyDescent="0.2">
      <c r="AL552" s="18" t="str">
        <f>IF(COUNTIF($A$2:A551, A551) = 1, A551, "")</f>
        <v/>
      </c>
    </row>
    <row r="553" spans="38:38" x14ac:dyDescent="0.2">
      <c r="AL553" s="18" t="str">
        <f>IF(COUNTIF($A$2:A552, A552) = 1, A552, "")</f>
        <v/>
      </c>
    </row>
    <row r="554" spans="38:38" x14ac:dyDescent="0.2">
      <c r="AL554" s="18" t="str">
        <f>IF(COUNTIF($A$2:A553, A553) = 1, A553, "")</f>
        <v/>
      </c>
    </row>
    <row r="555" spans="38:38" x14ac:dyDescent="0.2">
      <c r="AL555" s="18" t="str">
        <f>IF(COUNTIF($A$2:A554, A554) = 1, A554, "")</f>
        <v/>
      </c>
    </row>
    <row r="556" spans="38:38" x14ac:dyDescent="0.2">
      <c r="AL556" s="18" t="str">
        <f>IF(COUNTIF($A$2:A555, A555) = 1, A555, "")</f>
        <v/>
      </c>
    </row>
    <row r="557" spans="38:38" x14ac:dyDescent="0.2">
      <c r="AL557" s="18" t="str">
        <f>IF(COUNTIF($A$2:A556, A556) = 1, A556, "")</f>
        <v/>
      </c>
    </row>
    <row r="558" spans="38:38" x14ac:dyDescent="0.2">
      <c r="AL558" s="18" t="str">
        <f>IF(COUNTIF($A$2:A557, A557) = 1, A557, "")</f>
        <v/>
      </c>
    </row>
    <row r="559" spans="38:38" x14ac:dyDescent="0.2">
      <c r="AL559" s="18" t="str">
        <f>IF(COUNTIF($A$2:A558, A558) = 1, A558, "")</f>
        <v/>
      </c>
    </row>
    <row r="560" spans="38:38" x14ac:dyDescent="0.2">
      <c r="AL560" s="18" t="str">
        <f>IF(COUNTIF($A$2:A559, A559) = 1, A559, "")</f>
        <v/>
      </c>
    </row>
    <row r="561" spans="38:38" x14ac:dyDescent="0.2">
      <c r="AL561" s="18" t="str">
        <f>IF(COUNTIF($A$2:A560, A560) = 1, A560, "")</f>
        <v/>
      </c>
    </row>
    <row r="562" spans="38:38" x14ac:dyDescent="0.2">
      <c r="AL562" s="18" t="str">
        <f>IF(COUNTIF($A$2:A561, A561) = 1, A561, "")</f>
        <v/>
      </c>
    </row>
    <row r="563" spans="38:38" x14ac:dyDescent="0.2">
      <c r="AL563" s="18" t="str">
        <f>IF(COUNTIF($A$2:A562, A562) = 1, A562, "")</f>
        <v/>
      </c>
    </row>
    <row r="564" spans="38:38" x14ac:dyDescent="0.2">
      <c r="AL564" s="18" t="str">
        <f>IF(COUNTIF($A$2:A563, A563) = 1, A563, "")</f>
        <v/>
      </c>
    </row>
    <row r="565" spans="38:38" x14ac:dyDescent="0.2">
      <c r="AL565" s="18" t="str">
        <f>IF(COUNTIF($A$2:A564, A564) = 1, A564, "")</f>
        <v/>
      </c>
    </row>
    <row r="566" spans="38:38" x14ac:dyDescent="0.2">
      <c r="AL566" s="18" t="str">
        <f>IF(COUNTIF($A$2:A565, A565) = 1, A565, "")</f>
        <v/>
      </c>
    </row>
    <row r="567" spans="38:38" x14ac:dyDescent="0.2">
      <c r="AL567" s="18" t="str">
        <f>IF(COUNTIF($A$2:A566, A566) = 1, A566, "")</f>
        <v/>
      </c>
    </row>
    <row r="568" spans="38:38" x14ac:dyDescent="0.2">
      <c r="AL568" s="18" t="str">
        <f>IF(COUNTIF($A$2:A567, A567) = 1, A567, "")</f>
        <v/>
      </c>
    </row>
    <row r="569" spans="38:38" x14ac:dyDescent="0.2">
      <c r="AL569" s="18" t="str">
        <f>IF(COUNTIF($A$2:A568, A568) = 1, A568, "")</f>
        <v/>
      </c>
    </row>
    <row r="570" spans="38:38" x14ac:dyDescent="0.2">
      <c r="AL570" s="18" t="str">
        <f>IF(COUNTIF($A$2:A569, A569) = 1, A569, "")</f>
        <v/>
      </c>
    </row>
    <row r="571" spans="38:38" x14ac:dyDescent="0.2">
      <c r="AL571" s="18" t="str">
        <f>IF(COUNTIF($A$2:A570, A570) = 1, A570, "")</f>
        <v/>
      </c>
    </row>
    <row r="572" spans="38:38" x14ac:dyDescent="0.2">
      <c r="AL572" s="18" t="str">
        <f>IF(COUNTIF($A$2:A571, A571) = 1, A571, "")</f>
        <v/>
      </c>
    </row>
    <row r="573" spans="38:38" x14ac:dyDescent="0.2">
      <c r="AL573" s="18" t="str">
        <f>IF(COUNTIF($A$2:A572, A572) = 1, A572, "")</f>
        <v/>
      </c>
    </row>
    <row r="574" spans="38:38" x14ac:dyDescent="0.2">
      <c r="AL574" s="18" t="str">
        <f>IF(COUNTIF($A$2:A573, A573) = 1, A573, "")</f>
        <v/>
      </c>
    </row>
    <row r="575" spans="38:38" x14ac:dyDescent="0.2">
      <c r="AL575" s="18" t="str">
        <f>IF(COUNTIF($A$2:A574, A574) = 1, A574, "")</f>
        <v/>
      </c>
    </row>
    <row r="576" spans="38:38" x14ac:dyDescent="0.2">
      <c r="AL576" s="18" t="str">
        <f>IF(COUNTIF($A$2:A575, A575) = 1, A575, "")</f>
        <v/>
      </c>
    </row>
    <row r="577" spans="38:38" x14ac:dyDescent="0.2">
      <c r="AL577" s="18" t="str">
        <f>IF(COUNTIF($A$2:A576, A576) = 1, A576, "")</f>
        <v/>
      </c>
    </row>
    <row r="578" spans="38:38" x14ac:dyDescent="0.2">
      <c r="AL578" s="18" t="str">
        <f>IF(COUNTIF($A$2:A577, A577) = 1, A577, "")</f>
        <v/>
      </c>
    </row>
    <row r="579" spans="38:38" x14ac:dyDescent="0.2">
      <c r="AL579" s="18" t="str">
        <f>IF(COUNTIF($A$2:A578, A578) = 1, A578, "")</f>
        <v/>
      </c>
    </row>
    <row r="580" spans="38:38" x14ac:dyDescent="0.2">
      <c r="AL580" s="18" t="str">
        <f>IF(COUNTIF($A$2:A579, A579) = 1, A579, "")</f>
        <v/>
      </c>
    </row>
    <row r="581" spans="38:38" x14ac:dyDescent="0.2">
      <c r="AL581" s="18" t="str">
        <f>IF(COUNTIF($A$2:A580, A580) = 1, A580, "")</f>
        <v/>
      </c>
    </row>
  </sheetData>
  <sortState xmlns:xlrd2="http://schemas.microsoft.com/office/spreadsheetml/2017/richdata2" ref="A2:Q149">
    <sortCondition ref="A2:A149"/>
  </sortState>
  <mergeCells count="19">
    <mergeCell ref="T8:U8"/>
    <mergeCell ref="T9:U9"/>
    <mergeCell ref="T2:U2"/>
    <mergeCell ref="T3:U3"/>
    <mergeCell ref="T4:U4"/>
    <mergeCell ref="T6:U6"/>
    <mergeCell ref="T7:U7"/>
    <mergeCell ref="T10:U10"/>
    <mergeCell ref="T11:V11"/>
    <mergeCell ref="T12:U12"/>
    <mergeCell ref="T13:U13"/>
    <mergeCell ref="T14:U14"/>
    <mergeCell ref="T21:U21"/>
    <mergeCell ref="T22:U22"/>
    <mergeCell ref="T15:U15"/>
    <mergeCell ref="T16:U16"/>
    <mergeCell ref="T17:V17"/>
    <mergeCell ref="T19:U19"/>
    <mergeCell ref="T20:U20"/>
  </mergeCells>
  <conditionalFormatting sqref="N1:N1048576">
    <cfRule type="dataBar" priority="37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{4E55394E-BCC9-8A4E-854A-92F1447B91AA}</x14:id>
        </ext>
      </extLst>
    </cfRule>
  </conditionalFormatting>
  <conditionalFormatting sqref="Y12:Y18">
    <cfRule type="dataBar" priority="35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{5DFDA34A-BC88-A541-8C90-C58BD5F889E0}</x14:id>
        </ext>
      </extLst>
    </cfRule>
    <cfRule type="colorScale" priority="36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V4">
    <cfRule type="colorScale" priority="30">
      <colorScale>
        <cfvo type="num" val="-50"/>
        <cfvo type="num" val="0"/>
        <cfvo type="num" val="50"/>
        <color rgb="FFC00000"/>
        <color theme="0"/>
        <color rgb="FF00B050"/>
      </colorScale>
    </cfRule>
  </conditionalFormatting>
  <conditionalFormatting sqref="V9">
    <cfRule type="dataBar" priority="29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{4A9BA09D-B085-8149-8ACF-AE37D10EBEDC}</x14:id>
        </ext>
      </extLst>
    </cfRule>
  </conditionalFormatting>
  <conditionalFormatting sqref="V15">
    <cfRule type="dataBar" priority="28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{DE4F7438-AB68-FC4C-91DC-DD97C12A7185}</x14:id>
        </ext>
      </extLst>
    </cfRule>
  </conditionalFormatting>
  <conditionalFormatting sqref="AA41:AA43 AA26:AA31 AA3:AA9 AA34:AA38 AA12:AA18 AA21:AA23">
    <cfRule type="dataBar" priority="27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{68D30E55-434B-0741-9868-6851C080CF73}</x14:id>
        </ext>
      </extLst>
    </cfRule>
  </conditionalFormatting>
  <conditionalFormatting sqref="AA46:AA47">
    <cfRule type="dataBar" priority="26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{0C9EA6A3-AA5D-3F4D-AD5E-3D951DFABFBF}</x14:id>
        </ext>
      </extLst>
    </cfRule>
  </conditionalFormatting>
  <conditionalFormatting sqref="Z2:Z47">
    <cfRule type="dataBar" priority="25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{DF7DB7F9-E23A-654C-9E39-1E820DD83632}</x14:id>
        </ext>
      </extLst>
    </cfRule>
  </conditionalFormatting>
  <conditionalFormatting sqref="AE3:AE50">
    <cfRule type="dataBar" priority="31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{C7217838-95A1-2242-98FE-921A7C567D58}</x14:id>
        </ext>
      </extLst>
    </cfRule>
    <cfRule type="colorScale" priority="32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D3:AD50">
    <cfRule type="dataBar" priority="33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{26C29865-D311-9349-AF97-0246F7949A9C}</x14:id>
        </ext>
      </extLst>
    </cfRule>
    <cfRule type="colorScale" priority="34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V10">
    <cfRule type="dataBar" priority="23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{AE96C054-38FC-2444-846E-4821AA7234CB}</x14:id>
        </ext>
      </extLst>
    </cfRule>
    <cfRule type="colorScale" priority="24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3:Y9">
    <cfRule type="dataBar" priority="19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{B40D0D88-EF52-0846-9342-E8AF0B19DF5F}</x14:id>
        </ext>
      </extLst>
    </cfRule>
    <cfRule type="colorScale" priority="20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21:Y47">
    <cfRule type="dataBar" priority="17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{FD26CCD8-6448-8B48-8B12-45DC0D8086DA}</x14:id>
        </ext>
      </extLst>
    </cfRule>
    <cfRule type="colorScale" priority="18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V16">
    <cfRule type="dataBar" priority="9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{06FC95C1-A6C9-854E-B13C-3461824D24A7}</x14:id>
        </ext>
      </extLst>
    </cfRule>
    <cfRule type="colorScale" priority="10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A50:AA58">
    <cfRule type="dataBar" priority="8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{2916CC1B-DF47-0C49-998E-AA1E53641477}</x14:id>
        </ext>
      </extLst>
    </cfRule>
  </conditionalFormatting>
  <conditionalFormatting sqref="Z49:Z58">
    <cfRule type="dataBar" priority="7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{7D75F34B-59A6-B645-8EBB-81A6BE605377}</x14:id>
        </ext>
      </extLst>
    </cfRule>
  </conditionalFormatting>
  <conditionalFormatting sqref="Y49:Y58">
    <cfRule type="dataBar" priority="5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{A15D18EA-8D90-6A4E-BC63-B0F38B25A53B}</x14:id>
        </ext>
      </extLst>
    </cfRule>
    <cfRule type="colorScale" priority="6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dataValidations count="3">
    <dataValidation type="list" allowBlank="1" showInputMessage="1" showErrorMessage="1" sqref="G2:J339 M2:M339" xr:uid="{5032F23D-37AE-FF47-8012-83E71DC6B2DB}">
      <formula1>"Yes, No"</formula1>
    </dataValidation>
    <dataValidation type="list" allowBlank="1" showInputMessage="1" showErrorMessage="1" sqref="D2:D339" xr:uid="{199BCAB2-1238-7E4D-A8F4-2B366BB77E79}">
      <formula1>"Straight, Parlay, Boost"</formula1>
    </dataValidation>
    <dataValidation type="list" allowBlank="1" showInputMessage="1" showErrorMessage="1" sqref="R2:R1048576" xr:uid="{1A0F7332-1C2F-B544-BDE7-83F32B099E58}">
      <formula1>$X$50:$X$58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E55394E-BCC9-8A4E-854A-92F1447B91A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N1:N1048576</xm:sqref>
        </x14:conditionalFormatting>
        <x14:conditionalFormatting xmlns:xm="http://schemas.microsoft.com/office/excel/2006/main">
          <x14:cfRule type="dataBar" id="{5DFDA34A-BC88-A541-8C90-C58BD5F889E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Y12:Y18</xm:sqref>
        </x14:conditionalFormatting>
        <x14:conditionalFormatting xmlns:xm="http://schemas.microsoft.com/office/excel/2006/main">
          <x14:cfRule type="dataBar" id="{4A9BA09D-B085-8149-8ACF-AE37D10EBEDC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DE4F7438-AB68-FC4C-91DC-DD97C12A7185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68D30E55-434B-0741-9868-6851C080CF73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AA41:AA43 AA26:AA31 AA3:AA9 AA34:AA38 AA12:AA18 AA21:AA23</xm:sqref>
        </x14:conditionalFormatting>
        <x14:conditionalFormatting xmlns:xm="http://schemas.microsoft.com/office/excel/2006/main">
          <x14:cfRule type="dataBar" id="{0C9EA6A3-AA5D-3F4D-AD5E-3D951DFABFBF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AA46:AA47</xm:sqref>
        </x14:conditionalFormatting>
        <x14:conditionalFormatting xmlns:xm="http://schemas.microsoft.com/office/excel/2006/main">
          <x14:cfRule type="dataBar" id="{DF7DB7F9-E23A-654C-9E39-1E820DD836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Z2:Z47</xm:sqref>
        </x14:conditionalFormatting>
        <x14:conditionalFormatting xmlns:xm="http://schemas.microsoft.com/office/excel/2006/main">
          <x14:cfRule type="dataBar" id="{C7217838-95A1-2242-98FE-921A7C567D5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AE3:AE50</xm:sqref>
        </x14:conditionalFormatting>
        <x14:conditionalFormatting xmlns:xm="http://schemas.microsoft.com/office/excel/2006/main">
          <x14:cfRule type="dataBar" id="{26C29865-D311-9349-AF97-0246F7949A9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AD3:AD50</xm:sqref>
        </x14:conditionalFormatting>
        <x14:conditionalFormatting xmlns:xm="http://schemas.microsoft.com/office/excel/2006/main">
          <x14:cfRule type="dataBar" id="{AE96C054-38FC-2444-846E-4821AA7234C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B40D0D88-EF52-0846-9342-E8AF0B19DF5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Y3:Y9</xm:sqref>
        </x14:conditionalFormatting>
        <x14:conditionalFormatting xmlns:xm="http://schemas.microsoft.com/office/excel/2006/main">
          <x14:cfRule type="dataBar" id="{FD26CCD8-6448-8B48-8B12-45DC0D8086D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Y21:Y47</xm:sqref>
        </x14:conditionalFormatting>
        <x14:conditionalFormatting xmlns:xm="http://schemas.microsoft.com/office/excel/2006/main">
          <x14:cfRule type="dataBar" id="{06FC95C1-A6C9-854E-B13C-3461824D24A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2916CC1B-DF47-0C49-998E-AA1E53641477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AA50:AA58</xm:sqref>
        </x14:conditionalFormatting>
        <x14:conditionalFormatting xmlns:xm="http://schemas.microsoft.com/office/excel/2006/main">
          <x14:cfRule type="dataBar" id="{7D75F34B-59A6-B645-8EBB-81A6BE60537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Z49:Z58</xm:sqref>
        </x14:conditionalFormatting>
        <x14:conditionalFormatting xmlns:xm="http://schemas.microsoft.com/office/excel/2006/main">
          <x14:cfRule type="dataBar" id="{A15D18EA-8D90-6A4E-BC63-B0F38B25A53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Y49:Y58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0291D-2299-6D44-BAC1-75FDE9870330}">
  <sheetPr codeName="Sheet4"/>
  <dimension ref="A1:AL581"/>
  <sheetViews>
    <sheetView zoomScale="80" zoomScaleNormal="80" workbookViewId="0">
      <pane ySplit="1" topLeftCell="A2" activePane="bottomLeft" state="frozen"/>
      <selection pane="bottomLeft" activeCell="B2" sqref="B2:B1048576"/>
    </sheetView>
  </sheetViews>
  <sheetFormatPr baseColWidth="10" defaultRowHeight="16" x14ac:dyDescent="0.2"/>
  <cols>
    <col min="1" max="1" width="11.5" style="18" bestFit="1" customWidth="1"/>
    <col min="4" max="4" width="11.5" bestFit="1" customWidth="1"/>
    <col min="6" max="6" width="14.83203125" bestFit="1" customWidth="1"/>
    <col min="8" max="8" width="12.5" bestFit="1" customWidth="1"/>
    <col min="11" max="11" width="10.83203125" style="7"/>
    <col min="14" max="14" width="13.5" bestFit="1" customWidth="1"/>
    <col min="15" max="15" width="21.1640625" bestFit="1" customWidth="1"/>
    <col min="16" max="16" width="31.33203125" customWidth="1"/>
    <col min="17" max="17" width="30.5" customWidth="1"/>
    <col min="18" max="18" width="11.5" customWidth="1"/>
    <col min="19" max="19" width="19.33203125" customWidth="1"/>
    <col min="20" max="20" width="11.6640625" bestFit="1" customWidth="1"/>
    <col min="22" max="22" width="12.6640625" bestFit="1" customWidth="1"/>
    <col min="24" max="24" width="14.83203125" style="32" bestFit="1" customWidth="1"/>
    <col min="26" max="26" width="10.83203125" hidden="1" customWidth="1"/>
    <col min="29" max="29" width="10.83203125" style="18"/>
    <col min="30" max="30" width="11" customWidth="1"/>
    <col min="31" max="31" width="10.1640625" bestFit="1" customWidth="1"/>
    <col min="38" max="38" width="0" hidden="1" customWidth="1"/>
  </cols>
  <sheetData>
    <row r="1" spans="1:38" ht="17" thickBot="1" x14ac:dyDescent="0.25">
      <c r="A1" s="56" t="s">
        <v>15</v>
      </c>
      <c r="B1" s="57" t="s">
        <v>10</v>
      </c>
      <c r="C1" s="57" t="s">
        <v>11</v>
      </c>
      <c r="D1" s="57" t="s">
        <v>50</v>
      </c>
      <c r="E1" s="57" t="s">
        <v>12</v>
      </c>
      <c r="F1" s="57" t="s">
        <v>3</v>
      </c>
      <c r="G1" s="57" t="s">
        <v>4</v>
      </c>
      <c r="H1" s="57" t="s">
        <v>60</v>
      </c>
      <c r="I1" s="57" t="s">
        <v>6</v>
      </c>
      <c r="J1" s="57" t="s">
        <v>69</v>
      </c>
      <c r="K1" s="57" t="s">
        <v>7</v>
      </c>
      <c r="L1" s="57" t="s">
        <v>8</v>
      </c>
      <c r="M1" s="57" t="s">
        <v>21</v>
      </c>
      <c r="N1" s="57" t="s">
        <v>9</v>
      </c>
      <c r="O1" s="57" t="s">
        <v>51</v>
      </c>
      <c r="P1" s="57" t="s">
        <v>13</v>
      </c>
      <c r="Q1" s="57" t="s">
        <v>14</v>
      </c>
      <c r="R1" s="57" t="s">
        <v>89</v>
      </c>
      <c r="S1" s="57" t="s">
        <v>61</v>
      </c>
    </row>
    <row r="2" spans="1:38" ht="17" thickBot="1" x14ac:dyDescent="0.25">
      <c r="A2" s="55" t="s">
        <v>86</v>
      </c>
      <c r="F2" t="str">
        <f t="shared" ref="F2:F10" si="0">IF(OR(O2="", P2=""), "", SUM(IF((O2&lt;&gt;"None")*(O2&lt;&gt;""),LEN(O2)-LEN(SUBSTITUTE(O2,",",""))+1,0)) + SUM(IF((P2&lt;&gt;"None")*(P2&lt;&gt;""),LEN(P2)-LEN(SUBSTITUTE(P2,",",""))+1,0)))</f>
        <v/>
      </c>
      <c r="L2" s="7" t="str">
        <f t="shared" ref="L2:L10" si="1">IF(LEN(E2)=0, "", IFERROR(IF(E2&gt;=0, K2 * (1 + E2/100) - K2, K2 / (ABS(E2)/100))+K2, ""))</f>
        <v/>
      </c>
      <c r="N2" s="7" t="str">
        <f t="shared" ref="N2:N10" si="2">IF(M2="Yes",L2-K2,IF(M2="No",-K2,""))</f>
        <v/>
      </c>
      <c r="O2" t="str">
        <f t="shared" ref="O2:O10" si="3">IF(AND(G2="No",H2="No"), "None", "")</f>
        <v/>
      </c>
      <c r="P2" t="str">
        <f t="shared" ref="P2:P10" si="4">IF(I2="No", "None", "")</f>
        <v/>
      </c>
      <c r="Q2" t="str">
        <f t="shared" ref="Q2:Q10" si="5">IF(AND(D2="Straight", M2 = "No"),IF(O2="None",P2,IF(P2="None",O2) ),"")</f>
        <v/>
      </c>
      <c r="S2" t="str">
        <f>""</f>
        <v/>
      </c>
      <c r="T2" s="109" t="s">
        <v>0</v>
      </c>
      <c r="U2" s="110"/>
      <c r="V2" s="4">
        <f>'Jan 2025'!V3</f>
        <v>0</v>
      </c>
      <c r="X2" s="79" t="s">
        <v>10</v>
      </c>
      <c r="Y2" s="80" t="s">
        <v>9</v>
      </c>
      <c r="Z2" s="81" t="s">
        <v>84</v>
      </c>
      <c r="AA2" s="82" t="s">
        <v>39</v>
      </c>
      <c r="AC2" s="86" t="s">
        <v>70</v>
      </c>
      <c r="AD2" s="87" t="s">
        <v>9</v>
      </c>
      <c r="AE2" s="88" t="s">
        <v>71</v>
      </c>
    </row>
    <row r="3" spans="1:38" x14ac:dyDescent="0.2">
      <c r="F3" t="str">
        <f t="shared" ref="F3:F7" si="6">IF(OR(O3="", P3=""), "", SUM(IF((O3&lt;&gt;"None")*(O3&lt;&gt;""),LEN(O3)-LEN(SUBSTITUTE(O3,",",""))+1,0)) + SUM(IF((P3&lt;&gt;"None")*(P3&lt;&gt;""),LEN(P3)-LEN(SUBSTITUTE(P3,",",""))+1,0)))</f>
        <v/>
      </c>
      <c r="L3" s="7" t="str">
        <f t="shared" ref="L3:L7" si="7">IF(LEN(E3)=0, "", IFERROR(IF(E3&gt;=0, K3 * (1 + E3/100) - K3, K3 / (ABS(E3)/100))+K3, ""))</f>
        <v/>
      </c>
      <c r="N3" s="7" t="str">
        <f t="shared" ref="N3:N7" si="8">IF(M3="Yes",L3-K3,IF(M3="No",-K3,""))</f>
        <v/>
      </c>
      <c r="O3" t="str">
        <f t="shared" ref="O3:O7" si="9">IF(AND(G3="No",H3="No"), "None", "")</f>
        <v/>
      </c>
      <c r="P3" t="str">
        <f t="shared" ref="P3:P7" si="10">IF(I3="No", "None", "")</f>
        <v/>
      </c>
      <c r="Q3" t="str">
        <f t="shared" ref="Q3:Q7" si="11">IF(AND(D3="Straight", M3 = "No"),IF(O3="None",P3,IF(P3="None",O3) ),"")</f>
        <v/>
      </c>
      <c r="S3" t="str">
        <f>""</f>
        <v/>
      </c>
      <c r="T3" s="101" t="s">
        <v>1</v>
      </c>
      <c r="U3" s="102"/>
      <c r="V3" s="5">
        <f>V2+V4</f>
        <v>0</v>
      </c>
      <c r="X3" s="47" t="s">
        <v>16</v>
      </c>
      <c r="Y3" s="45">
        <f>SUMIF($B:B,X3,N:N)</f>
        <v>0</v>
      </c>
      <c r="Z3" s="40">
        <f t="shared" ref="Z3:Z9" si="12">COUNTIF(B:B,X3)</f>
        <v>0</v>
      </c>
      <c r="AA3" s="41">
        <f t="shared" ref="AA3:AA9" si="13">IFERROR(COUNTIFS(B:B, X3)/COUNTA($B$2:$B$994),0)</f>
        <v>0</v>
      </c>
      <c r="AC3" s="17" t="str" cm="1">
        <f t="array" ref="AC3">IFERROR(INDEX($AL$2:$AL$300, MATCH(0, COUNTIF($AC$2:AC2, $AL$2:$AL$300) + IF($AL$2:$AL$300="", 1, 0), 0)), "")</f>
        <v/>
      </c>
      <c r="AD3" s="9">
        <f t="shared" ref="AD3:AD25" si="14">IF(ISBLANK(AC3),"",SUMIF(A:A,AC3,N:N))</f>
        <v>0</v>
      </c>
      <c r="AE3" s="19">
        <f>SUM(AD$3:AD3)</f>
        <v>0</v>
      </c>
      <c r="AL3" s="18" t="str">
        <f>IF(COUNTIF($A$2:A2, A2) = 1, A2, "")</f>
        <v/>
      </c>
    </row>
    <row r="4" spans="1:38" ht="17" thickBot="1" x14ac:dyDescent="0.25">
      <c r="F4" t="str">
        <f t="shared" si="6"/>
        <v/>
      </c>
      <c r="L4" s="7" t="str">
        <f t="shared" si="7"/>
        <v/>
      </c>
      <c r="N4" s="7" t="str">
        <f t="shared" si="8"/>
        <v/>
      </c>
      <c r="O4" t="str">
        <f t="shared" si="9"/>
        <v/>
      </c>
      <c r="P4" t="str">
        <f t="shared" si="10"/>
        <v/>
      </c>
      <c r="Q4" t="str">
        <f t="shared" si="11"/>
        <v/>
      </c>
      <c r="S4" t="str">
        <f>""</f>
        <v/>
      </c>
      <c r="T4" s="96" t="s">
        <v>2</v>
      </c>
      <c r="U4" s="97"/>
      <c r="V4" s="10">
        <f>SUM(N2:N1048576)</f>
        <v>0</v>
      </c>
      <c r="X4" s="48" t="s">
        <v>23</v>
      </c>
      <c r="Y4" s="45">
        <f>SUMIF($B:B,X4,N:N)</f>
        <v>0</v>
      </c>
      <c r="Z4" s="34">
        <f t="shared" si="12"/>
        <v>0</v>
      </c>
      <c r="AA4" s="38">
        <f t="shared" si="13"/>
        <v>0</v>
      </c>
      <c r="AC4" s="17" t="str" cm="1">
        <f t="array" ref="AC4">IFERROR(INDEX($AL$2:$AL$300, MATCH(0, COUNTIF($AC$2:AC3, $AL$2:$AL$300) + IF($AL$2:$AL$300="", 1, 0), 0)), "")</f>
        <v/>
      </c>
      <c r="AD4" s="9">
        <f t="shared" si="14"/>
        <v>0</v>
      </c>
      <c r="AE4" s="19">
        <f>SUM(AD$3:AD4)</f>
        <v>0</v>
      </c>
      <c r="AL4" s="18" t="str">
        <f>IF(COUNTIF($A$2:A3, A3) = 1, A3, "")</f>
        <v/>
      </c>
    </row>
    <row r="5" spans="1:38" ht="17" thickBot="1" x14ac:dyDescent="0.25">
      <c r="F5" t="str">
        <f t="shared" si="6"/>
        <v/>
      </c>
      <c r="L5" s="7" t="str">
        <f t="shared" si="7"/>
        <v/>
      </c>
      <c r="N5" s="7" t="str">
        <f t="shared" si="8"/>
        <v/>
      </c>
      <c r="O5" t="str">
        <f t="shared" si="9"/>
        <v/>
      </c>
      <c r="P5" t="str">
        <f t="shared" si="10"/>
        <v/>
      </c>
      <c r="Q5" t="str">
        <f t="shared" si="11"/>
        <v/>
      </c>
      <c r="S5" t="str">
        <f>""</f>
        <v/>
      </c>
      <c r="X5" s="48" t="s">
        <v>24</v>
      </c>
      <c r="Y5" s="45">
        <f>SUMIF($B:B,X5,N:N)</f>
        <v>0</v>
      </c>
      <c r="Z5" s="34">
        <f t="shared" si="12"/>
        <v>0</v>
      </c>
      <c r="AA5" s="38">
        <f t="shared" si="13"/>
        <v>0</v>
      </c>
      <c r="AC5" s="17" t="str" cm="1">
        <f t="array" ref="AC5">IFERROR(INDEX($AL$2:$AL$300, MATCH(0, COUNTIF($AC$2:AC4, $AL$2:$AL$300) + IF($AL$2:$AL$300="", 1, 0), 0)), "")</f>
        <v/>
      </c>
      <c r="AD5" s="9">
        <f t="shared" si="14"/>
        <v>0</v>
      </c>
      <c r="AE5" s="19">
        <f>SUM(AD$3:AD5)</f>
        <v>0</v>
      </c>
      <c r="AL5" s="18" t="str">
        <f>IF(COUNTIF($A$2:A4, A4) = 1, A4, "")</f>
        <v/>
      </c>
    </row>
    <row r="6" spans="1:38" x14ac:dyDescent="0.2">
      <c r="F6" t="str">
        <f t="shared" si="6"/>
        <v/>
      </c>
      <c r="L6" s="7" t="str">
        <f t="shared" si="7"/>
        <v/>
      </c>
      <c r="N6" s="7" t="str">
        <f t="shared" si="8"/>
        <v/>
      </c>
      <c r="O6" t="str">
        <f t="shared" si="9"/>
        <v/>
      </c>
      <c r="P6" t="str">
        <f t="shared" si="10"/>
        <v/>
      </c>
      <c r="Q6" t="str">
        <f t="shared" si="11"/>
        <v/>
      </c>
      <c r="S6" t="str">
        <f>""</f>
        <v/>
      </c>
      <c r="T6" s="109" t="s">
        <v>27</v>
      </c>
      <c r="U6" s="110"/>
      <c r="V6" s="58" t="str">
        <f>Master!D6</f>
        <v>Lions</v>
      </c>
      <c r="X6" s="48" t="s">
        <v>52</v>
      </c>
      <c r="Y6" s="45">
        <f>SUMIF($B:B,X6,N:N)</f>
        <v>0</v>
      </c>
      <c r="Z6" s="34">
        <f t="shared" si="12"/>
        <v>0</v>
      </c>
      <c r="AA6" s="38">
        <f t="shared" si="13"/>
        <v>0</v>
      </c>
      <c r="AC6" s="17" t="str" cm="1">
        <f t="array" ref="AC6">IFERROR(INDEX($AL$2:$AL$300, MATCH(0, COUNTIF($AC$2:AC5, $AL$2:$AL$300) + IF($AL$2:$AL$300="", 1, 0), 0)), "")</f>
        <v/>
      </c>
      <c r="AD6" s="9">
        <f t="shared" si="14"/>
        <v>0</v>
      </c>
      <c r="AE6" s="19">
        <f>SUM(AD$3:AD6)</f>
        <v>0</v>
      </c>
      <c r="AL6" s="18" t="str">
        <f>IF(COUNTIF($A$2:A5, A5) = 1, A5, "")</f>
        <v/>
      </c>
    </row>
    <row r="7" spans="1:38" x14ac:dyDescent="0.2">
      <c r="F7" t="str">
        <f t="shared" si="6"/>
        <v/>
      </c>
      <c r="L7" s="7" t="str">
        <f t="shared" si="7"/>
        <v/>
      </c>
      <c r="N7" s="7" t="str">
        <f t="shared" si="8"/>
        <v/>
      </c>
      <c r="O7" t="str">
        <f t="shared" si="9"/>
        <v/>
      </c>
      <c r="P7" t="str">
        <f t="shared" si="10"/>
        <v/>
      </c>
      <c r="Q7" t="str">
        <f t="shared" si="11"/>
        <v/>
      </c>
      <c r="S7" t="str">
        <f>""</f>
        <v/>
      </c>
      <c r="T7" s="101" t="s">
        <v>99</v>
      </c>
      <c r="U7" s="102"/>
      <c r="V7" s="8" cm="1">
        <f t="array" ref="V7">SUM(IF(ISNUMBER(SEARCH(V6, SUBSTITUTE($O$2:$O$998, ",", ""))), 1, 0))</f>
        <v>0</v>
      </c>
      <c r="X7" s="48" t="s">
        <v>87</v>
      </c>
      <c r="Y7" s="45">
        <f>SUMIF($B:B,X7,N:N)</f>
        <v>0</v>
      </c>
      <c r="Z7" s="34">
        <f t="shared" si="12"/>
        <v>0</v>
      </c>
      <c r="AA7" s="38">
        <f t="shared" si="13"/>
        <v>0</v>
      </c>
      <c r="AC7" s="17" t="str" cm="1">
        <f t="array" ref="AC7">IFERROR(INDEX($AL$2:$AL$300, MATCH(0, COUNTIF($AC$2:AC6, $AL$2:$AL$300) + IF($AL$2:$AL$300="", 1, 0), 0)), "")</f>
        <v/>
      </c>
      <c r="AD7" s="9">
        <f t="shared" si="14"/>
        <v>0</v>
      </c>
      <c r="AE7" s="20">
        <f>SUM(AD$3:AD7)</f>
        <v>0</v>
      </c>
      <c r="AL7" s="18" t="str">
        <f>IF(COUNTIF($A$2:A6, A6) = 1, A6, "")</f>
        <v/>
      </c>
    </row>
    <row r="8" spans="1:38" x14ac:dyDescent="0.2">
      <c r="F8" t="str">
        <f t="shared" si="0"/>
        <v/>
      </c>
      <c r="L8" s="7" t="str">
        <f t="shared" si="1"/>
        <v/>
      </c>
      <c r="N8" s="7" t="str">
        <f t="shared" si="2"/>
        <v/>
      </c>
      <c r="O8" t="str">
        <f t="shared" si="3"/>
        <v/>
      </c>
      <c r="P8" t="str">
        <f t="shared" si="4"/>
        <v/>
      </c>
      <c r="Q8" t="str">
        <f t="shared" si="5"/>
        <v/>
      </c>
      <c r="S8" t="str">
        <f>""</f>
        <v/>
      </c>
      <c r="T8" s="101" t="s">
        <v>100</v>
      </c>
      <c r="U8" s="102"/>
      <c r="V8" s="8" cm="1">
        <f t="array" ref="V8">SUM(IF(ISNUMBER(SEARCH(V6, SUBSTITUTE($Q$2:$Q$998, ",", ""))), 1, 0))</f>
        <v>0</v>
      </c>
      <c r="X8" s="48" t="s">
        <v>85</v>
      </c>
      <c r="Y8" s="45">
        <f>SUMIF($B:B,X8,N:N)</f>
        <v>0</v>
      </c>
      <c r="Z8" s="34">
        <f t="shared" si="12"/>
        <v>0</v>
      </c>
      <c r="AA8" s="38">
        <f t="shared" si="13"/>
        <v>0</v>
      </c>
      <c r="AC8" s="17" t="str" cm="1">
        <f t="array" ref="AC8">IFERROR(INDEX($AL$2:$AL$300, MATCH(0, COUNTIF($AC$2:AC7, $AL$2:$AL$300) + IF($AL$2:$AL$300="", 1, 0), 0)), "")</f>
        <v/>
      </c>
      <c r="AD8" s="9">
        <f t="shared" si="14"/>
        <v>0</v>
      </c>
      <c r="AE8" s="19">
        <f>SUM(AD$3:AD8)</f>
        <v>0</v>
      </c>
      <c r="AL8" s="18" t="str">
        <f>IF(COUNTIF($A$2:A7, A7) = 1, A7, "")</f>
        <v/>
      </c>
    </row>
    <row r="9" spans="1:38" ht="17" thickBot="1" x14ac:dyDescent="0.25">
      <c r="F9" t="str">
        <f t="shared" si="0"/>
        <v/>
      </c>
      <c r="L9" s="7" t="str">
        <f t="shared" si="1"/>
        <v/>
      </c>
      <c r="N9" s="7" t="str">
        <f t="shared" si="2"/>
        <v/>
      </c>
      <c r="O9" t="str">
        <f t="shared" si="3"/>
        <v/>
      </c>
      <c r="P9" t="str">
        <f t="shared" si="4"/>
        <v/>
      </c>
      <c r="Q9" t="str">
        <f t="shared" si="5"/>
        <v/>
      </c>
      <c r="S9" t="str">
        <f>""</f>
        <v/>
      </c>
      <c r="T9" s="101" t="s">
        <v>28</v>
      </c>
      <c r="U9" s="102"/>
      <c r="V9" s="51" t="e">
        <f>1-(V8/V7)</f>
        <v>#DIV/0!</v>
      </c>
      <c r="X9" s="50" t="s">
        <v>53</v>
      </c>
      <c r="Y9" s="44">
        <f>SUMIF($B:B,X9,N:N)</f>
        <v>0</v>
      </c>
      <c r="Z9" s="35">
        <f t="shared" si="12"/>
        <v>0</v>
      </c>
      <c r="AA9" s="39">
        <f t="shared" si="13"/>
        <v>0</v>
      </c>
      <c r="AC9" s="17" t="str" cm="1">
        <f t="array" ref="AC9">IFERROR(INDEX($AL$2:$AL$300, MATCH(0, COUNTIF($AC$2:AC8, $AL$2:$AL$300) + IF($AL$2:$AL$300="", 1, 0), 0)), "")</f>
        <v/>
      </c>
      <c r="AD9" s="9">
        <f t="shared" si="14"/>
        <v>0</v>
      </c>
      <c r="AE9" s="19">
        <f>SUM(AD$3:AD9)</f>
        <v>0</v>
      </c>
      <c r="AL9" s="18" t="str">
        <f>IF(COUNTIF($A$2:A8, A8) = 1, A8, "")</f>
        <v/>
      </c>
    </row>
    <row r="10" spans="1:38" ht="17" thickBot="1" x14ac:dyDescent="0.25">
      <c r="F10" t="str">
        <f t="shared" si="0"/>
        <v/>
      </c>
      <c r="L10" s="7" t="str">
        <f t="shared" si="1"/>
        <v/>
      </c>
      <c r="N10" s="7" t="str">
        <f t="shared" si="2"/>
        <v/>
      </c>
      <c r="O10" t="str">
        <f t="shared" si="3"/>
        <v/>
      </c>
      <c r="P10" t="str">
        <f t="shared" si="4"/>
        <v/>
      </c>
      <c r="Q10" t="str">
        <f t="shared" si="5"/>
        <v/>
      </c>
      <c r="S10" t="str">
        <f>""</f>
        <v/>
      </c>
      <c r="T10" s="115" t="s">
        <v>9</v>
      </c>
      <c r="U10" s="116"/>
      <c r="V10" s="45" cm="1">
        <f t="array" ref="V10">SUMPRODUCT(--($D$2:$D$998="Straight"), --ISNUMBER(SEARCH(V6, SUBSTITUTE($O$2:$O$998, ",", ""))), $N$2:$N$998)</f>
        <v>0</v>
      </c>
      <c r="Y10" s="7"/>
      <c r="AC10" s="17" t="str" cm="1">
        <f t="array" ref="AC10">IFERROR(INDEX($AL$2:$AL$300, MATCH(0, COUNTIF($AC$2:AC9, $AL$2:$AL$300) + IF($AL$2:$AL$300="", 1, 0), 0)), "")</f>
        <v/>
      </c>
      <c r="AD10" s="9">
        <f t="shared" si="14"/>
        <v>0</v>
      </c>
      <c r="AE10" s="19">
        <f>SUM(AD$3:AD10)</f>
        <v>0</v>
      </c>
      <c r="AL10" s="18" t="str">
        <f>IF(COUNTIF($A$2:A9, A9) = 1, A9, "")</f>
        <v/>
      </c>
    </row>
    <row r="11" spans="1:38" ht="17" thickBot="1" x14ac:dyDescent="0.25">
      <c r="F11" t="str">
        <f t="shared" ref="F11:F65" si="15">IF(OR(O11="", P11=""), "", SUM(IF((O11&lt;&gt;"None")*(O11&lt;&gt;""),LEN(O11)-LEN(SUBSTITUTE(O11,",",""))+1,0)) + SUM(IF((P11&lt;&gt;"None")*(P11&lt;&gt;""),LEN(P11)-LEN(SUBSTITUTE(P11,",",""))+1,0)))</f>
        <v/>
      </c>
      <c r="L11" s="7" t="str">
        <f t="shared" ref="L11:L65" si="16">IF(LEN(E11)=0, "", IFERROR(IF(E11&gt;=0, K11 * (1 + E11/100) - K11, K11 / (ABS(E11)/100))+K11, ""))</f>
        <v/>
      </c>
      <c r="N11" s="7" t="str">
        <f t="shared" ref="N11:N65" si="17">IF(M11="Yes",L11-K11,IF(M11="No",-K11,""))</f>
        <v/>
      </c>
      <c r="O11" t="str">
        <f t="shared" ref="O11:O65" si="18">IF(AND(G11="No",H11="No"), "None", "")</f>
        <v/>
      </c>
      <c r="P11" t="str">
        <f t="shared" ref="P11:P17" si="19">IF(I11="No", "None", "")</f>
        <v/>
      </c>
      <c r="Q11" t="str">
        <f t="shared" ref="Q11:Q65" si="20">IF(AND(D11="Straight", M11 = "No"),IF(O11="None",P11,IF(P11="None",O11) ),"")</f>
        <v/>
      </c>
      <c r="S11" t="str">
        <f>""</f>
        <v/>
      </c>
      <c r="T11" s="117" t="s">
        <v>57</v>
      </c>
      <c r="U11" s="118"/>
      <c r="V11" s="119"/>
      <c r="X11" s="79" t="s">
        <v>11</v>
      </c>
      <c r="Y11" s="83" t="s">
        <v>9</v>
      </c>
      <c r="Z11" s="81" t="s">
        <v>84</v>
      </c>
      <c r="AA11" s="82" t="s">
        <v>39</v>
      </c>
      <c r="AC11" s="17" t="str" cm="1">
        <f t="array" ref="AC11">IFERROR(INDEX($AL$2:$AL$300, MATCH(0, COUNTIF($AC$2:AC10, $AL$2:$AL$300) + IF($AL$2:$AL$300="", 1, 0), 0)), "")</f>
        <v/>
      </c>
      <c r="AD11" s="9">
        <f t="shared" si="14"/>
        <v>0</v>
      </c>
      <c r="AE11" s="20">
        <f>SUM(AD$3:AD11)</f>
        <v>0</v>
      </c>
      <c r="AL11" s="18" t="str">
        <f>IF(COUNTIF($A$2:A10, A10) = 1, A10, "")</f>
        <v/>
      </c>
    </row>
    <row r="12" spans="1:38" x14ac:dyDescent="0.2">
      <c r="F12" t="str">
        <f t="shared" si="15"/>
        <v/>
      </c>
      <c r="L12" s="7" t="str">
        <f t="shared" si="16"/>
        <v/>
      </c>
      <c r="N12" s="7" t="str">
        <f t="shared" si="17"/>
        <v/>
      </c>
      <c r="O12" t="str">
        <f t="shared" si="18"/>
        <v/>
      </c>
      <c r="P12" t="str">
        <f t="shared" si="19"/>
        <v/>
      </c>
      <c r="Q12" t="str">
        <f t="shared" si="20"/>
        <v/>
      </c>
      <c r="S12" t="str">
        <f>""</f>
        <v/>
      </c>
      <c r="T12" s="109" t="s">
        <v>22</v>
      </c>
      <c r="U12" s="110"/>
      <c r="V12" s="58" t="str">
        <f>Master!D12</f>
        <v>Josh Allen</v>
      </c>
      <c r="X12" s="47" t="s">
        <v>17</v>
      </c>
      <c r="Y12" s="45">
        <f t="shared" ref="Y12:Y18" si="21">SUMIF(C:C,X12,N:N)</f>
        <v>0</v>
      </c>
      <c r="Z12" s="40">
        <f t="shared" ref="Z12:Z18" si="22">COUNTIF(C:C,X12)</f>
        <v>0</v>
      </c>
      <c r="AA12" s="41">
        <f t="shared" ref="AA12:AA18" si="23">IFERROR(COUNTIFS(C:C, X12)/COUNTA($C$2:$C$994),0)</f>
        <v>0</v>
      </c>
      <c r="AC12" s="17" t="str" cm="1">
        <f t="array" ref="AC12">IFERROR(INDEX($AL$2:$AL$300, MATCH(0, COUNTIF($AC$2:AC11, $AL$2:$AL$300) + IF($AL$2:$AL$300="", 1, 0), 0)), "")</f>
        <v/>
      </c>
      <c r="AD12" s="9">
        <f t="shared" si="14"/>
        <v>0</v>
      </c>
      <c r="AE12" s="19">
        <f>SUM(AD$3:AD12)</f>
        <v>0</v>
      </c>
      <c r="AL12" s="18" t="str">
        <f>IF(COUNTIF($A$2:A11, A11) = 1, A11, "")</f>
        <v/>
      </c>
    </row>
    <row r="13" spans="1:38" x14ac:dyDescent="0.2">
      <c r="F13" t="str">
        <f t="shared" si="15"/>
        <v/>
      </c>
      <c r="L13" s="7" t="str">
        <f t="shared" si="16"/>
        <v/>
      </c>
      <c r="N13" s="7" t="str">
        <f t="shared" si="17"/>
        <v/>
      </c>
      <c r="O13" t="str">
        <f t="shared" si="18"/>
        <v/>
      </c>
      <c r="P13" t="str">
        <f t="shared" si="19"/>
        <v/>
      </c>
      <c r="Q13" t="str">
        <f t="shared" si="20"/>
        <v/>
      </c>
      <c r="S13" t="str">
        <f>""</f>
        <v/>
      </c>
      <c r="T13" s="101" t="s">
        <v>99</v>
      </c>
      <c r="U13" s="102"/>
      <c r="V13" s="8" cm="1">
        <f t="array" ref="V13">SUM(IF(ISNUMBER(SEARCH(V12, SUBSTITUTE($P$2:$P$998, ",", ""))), 1, 0))</f>
        <v>0</v>
      </c>
      <c r="X13" s="48" t="s">
        <v>19</v>
      </c>
      <c r="Y13" s="43">
        <f t="shared" si="21"/>
        <v>0</v>
      </c>
      <c r="Z13" s="34">
        <f t="shared" si="22"/>
        <v>0</v>
      </c>
      <c r="AA13" s="41">
        <f t="shared" si="23"/>
        <v>0</v>
      </c>
      <c r="AC13" s="17" t="str" cm="1">
        <f t="array" ref="AC13">IFERROR(INDEX($AL$2:$AL$300, MATCH(0, COUNTIF($AC$2:AC12, $AL$2:$AL$300) + IF($AL$2:$AL$300="", 1, 0), 0)), "")</f>
        <v/>
      </c>
      <c r="AD13" s="9">
        <f t="shared" si="14"/>
        <v>0</v>
      </c>
      <c r="AE13" s="19">
        <f>SUM(AD$3:AD13)</f>
        <v>0</v>
      </c>
      <c r="AL13" s="18" t="str">
        <f>IF(COUNTIF($A$2:A12, A12) = 1, A12, "")</f>
        <v/>
      </c>
    </row>
    <row r="14" spans="1:38" x14ac:dyDescent="0.2">
      <c r="F14" t="str">
        <f t="shared" si="15"/>
        <v/>
      </c>
      <c r="L14" s="7" t="str">
        <f t="shared" si="16"/>
        <v/>
      </c>
      <c r="N14" s="7" t="str">
        <f t="shared" si="17"/>
        <v/>
      </c>
      <c r="O14" t="str">
        <f t="shared" si="18"/>
        <v/>
      </c>
      <c r="P14" t="str">
        <f t="shared" si="19"/>
        <v/>
      </c>
      <c r="Q14" t="str">
        <f t="shared" si="20"/>
        <v/>
      </c>
      <c r="S14" t="str">
        <f>""</f>
        <v/>
      </c>
      <c r="T14" s="101" t="s">
        <v>100</v>
      </c>
      <c r="U14" s="102"/>
      <c r="V14" s="8" cm="1">
        <f t="array" ref="V14">SUM(IF(ISNUMBER(SEARCH(V12, SUBSTITUTE($Q$2:$Q$998, ",", ""))), 1, 0))</f>
        <v>0</v>
      </c>
      <c r="X14" s="48" t="s">
        <v>25</v>
      </c>
      <c r="Y14" s="43">
        <f t="shared" si="21"/>
        <v>0</v>
      </c>
      <c r="Z14" s="34">
        <f t="shared" si="22"/>
        <v>0</v>
      </c>
      <c r="AA14" s="41">
        <f t="shared" si="23"/>
        <v>0</v>
      </c>
      <c r="AC14" s="17" t="str" cm="1">
        <f t="array" ref="AC14">IFERROR(INDEX($AL$2:$AL$300, MATCH(0, COUNTIF($AC$2:AC13, $AL$2:$AL$300) + IF($AL$2:$AL$300="", 1, 0), 0)), "")</f>
        <v/>
      </c>
      <c r="AD14" s="9">
        <f t="shared" si="14"/>
        <v>0</v>
      </c>
      <c r="AE14" s="19">
        <f>SUM(AD$3:AD14)</f>
        <v>0</v>
      </c>
      <c r="AL14" s="18" t="str">
        <f>IF(COUNTIF($A$2:A13, A13) = 1, A13, "")</f>
        <v/>
      </c>
    </row>
    <row r="15" spans="1:38" x14ac:dyDescent="0.2">
      <c r="F15" t="str">
        <f t="shared" si="15"/>
        <v/>
      </c>
      <c r="L15" s="7" t="str">
        <f t="shared" si="16"/>
        <v/>
      </c>
      <c r="N15" s="7" t="str">
        <f t="shared" si="17"/>
        <v/>
      </c>
      <c r="O15" t="str">
        <f t="shared" si="18"/>
        <v/>
      </c>
      <c r="P15" t="str">
        <f t="shared" si="19"/>
        <v/>
      </c>
      <c r="Q15" t="str">
        <f t="shared" si="20"/>
        <v/>
      </c>
      <c r="S15" t="str">
        <f>""</f>
        <v/>
      </c>
      <c r="T15" s="101" t="s">
        <v>28</v>
      </c>
      <c r="U15" s="102"/>
      <c r="V15" s="51" t="e">
        <f>1-(V14/V13)</f>
        <v>#DIV/0!</v>
      </c>
      <c r="X15" s="47" t="s">
        <v>26</v>
      </c>
      <c r="Y15" s="43">
        <f t="shared" si="21"/>
        <v>0</v>
      </c>
      <c r="Z15" s="34">
        <f t="shared" si="22"/>
        <v>0</v>
      </c>
      <c r="AA15" s="41">
        <f t="shared" si="23"/>
        <v>0</v>
      </c>
      <c r="AC15" s="17" t="str" cm="1">
        <f t="array" ref="AC15">IFERROR(INDEX($AL$2:$AL$300, MATCH(0, COUNTIF($AC$2:AC14, $AL$2:$AL$300) + IF($AL$2:$AL$300="", 1, 0), 0)), "")</f>
        <v/>
      </c>
      <c r="AD15" s="9">
        <f t="shared" si="14"/>
        <v>0</v>
      </c>
      <c r="AE15" s="20">
        <f>SUM(AD$3:AD15)</f>
        <v>0</v>
      </c>
      <c r="AL15" s="18" t="str">
        <f>IF(COUNTIF($A$2:A14, A14) = 1, A14, "")</f>
        <v/>
      </c>
    </row>
    <row r="16" spans="1:38" ht="17" thickBot="1" x14ac:dyDescent="0.25">
      <c r="F16" t="str">
        <f t="shared" si="15"/>
        <v/>
      </c>
      <c r="L16" s="7" t="str">
        <f t="shared" si="16"/>
        <v/>
      </c>
      <c r="N16" s="7" t="str">
        <f t="shared" si="17"/>
        <v/>
      </c>
      <c r="O16" t="str">
        <f t="shared" si="18"/>
        <v/>
      </c>
      <c r="P16" t="str">
        <f t="shared" si="19"/>
        <v/>
      </c>
      <c r="Q16" t="str">
        <f t="shared" si="20"/>
        <v/>
      </c>
      <c r="S16" t="str">
        <f>""</f>
        <v/>
      </c>
      <c r="T16" s="115" t="s">
        <v>9</v>
      </c>
      <c r="U16" s="116"/>
      <c r="V16" s="45" cm="1">
        <f t="array" ref="V16">SUMPRODUCT(--($D$2:$D$998="Straight"), --ISNUMBER(SEARCH(V12, SUBSTITUTE($P$2:$P$998, ",", ""))), $N$2:$N$998)</f>
        <v>0</v>
      </c>
      <c r="X16" s="48" t="s">
        <v>29</v>
      </c>
      <c r="Y16" s="43">
        <f t="shared" si="21"/>
        <v>0</v>
      </c>
      <c r="Z16" s="34">
        <f t="shared" si="22"/>
        <v>0</v>
      </c>
      <c r="AA16" s="41">
        <f t="shared" si="23"/>
        <v>0</v>
      </c>
      <c r="AC16" s="17" t="str" cm="1">
        <f t="array" ref="AC16">IFERROR(INDEX($AL$2:$AL$300, MATCH(0, COUNTIF($AC$2:AC15, $AL$2:$AL$300) + IF($AL$2:$AL$300="", 1, 0), 0)), "")</f>
        <v/>
      </c>
      <c r="AD16" s="9">
        <f t="shared" si="14"/>
        <v>0</v>
      </c>
      <c r="AE16" s="19">
        <f>SUM(AD$3:AD16)</f>
        <v>0</v>
      </c>
      <c r="AL16" s="18" t="str">
        <f>IF(COUNTIF($A$2:A15, A15) = 1, A15, "")</f>
        <v/>
      </c>
    </row>
    <row r="17" spans="6:38" ht="17" thickBot="1" x14ac:dyDescent="0.25">
      <c r="F17" t="str">
        <f t="shared" si="15"/>
        <v/>
      </c>
      <c r="L17" s="7" t="str">
        <f t="shared" si="16"/>
        <v/>
      </c>
      <c r="N17" s="7" t="str">
        <f t="shared" si="17"/>
        <v/>
      </c>
      <c r="O17" t="str">
        <f t="shared" si="18"/>
        <v/>
      </c>
      <c r="P17" t="str">
        <f t="shared" si="19"/>
        <v/>
      </c>
      <c r="Q17" t="str">
        <f t="shared" si="20"/>
        <v/>
      </c>
      <c r="S17" t="str">
        <f>""</f>
        <v/>
      </c>
      <c r="T17" s="117" t="s">
        <v>57</v>
      </c>
      <c r="U17" s="118"/>
      <c r="V17" s="119"/>
      <c r="X17" s="48" t="s">
        <v>30</v>
      </c>
      <c r="Y17" s="43">
        <f t="shared" si="21"/>
        <v>0</v>
      </c>
      <c r="Z17" s="34">
        <f t="shared" si="22"/>
        <v>0</v>
      </c>
      <c r="AA17" s="41">
        <f t="shared" si="23"/>
        <v>0</v>
      </c>
      <c r="AC17" s="17" t="str" cm="1">
        <f t="array" ref="AC17">IFERROR(INDEX($AL$2:$AL$300, MATCH(0, COUNTIF($AC$2:AC16, $AL$2:$AL$300) + IF($AL$2:$AL$300="", 1, 0), 0)), "")</f>
        <v/>
      </c>
      <c r="AD17" s="9">
        <f t="shared" si="14"/>
        <v>0</v>
      </c>
      <c r="AE17" s="19">
        <f>SUM(AD$3:AD17)</f>
        <v>0</v>
      </c>
      <c r="AL17" s="18" t="str">
        <f>IF(COUNTIF($A$2:A16, A16) = 1, A16, "")</f>
        <v/>
      </c>
    </row>
    <row r="18" spans="6:38" ht="17" thickBot="1" x14ac:dyDescent="0.25">
      <c r="F18" t="str">
        <f t="shared" si="15"/>
        <v/>
      </c>
      <c r="L18" s="7" t="str">
        <f t="shared" si="16"/>
        <v/>
      </c>
      <c r="N18" s="7" t="str">
        <f t="shared" si="17"/>
        <v/>
      </c>
      <c r="O18" t="str">
        <f t="shared" si="18"/>
        <v/>
      </c>
      <c r="P18" t="str">
        <f>IF(I18="No", "None", "")</f>
        <v/>
      </c>
      <c r="Q18" t="str">
        <f t="shared" si="20"/>
        <v/>
      </c>
      <c r="S18" t="str">
        <f>""</f>
        <v/>
      </c>
      <c r="X18" s="50" t="s">
        <v>82</v>
      </c>
      <c r="Y18" s="44">
        <f t="shared" si="21"/>
        <v>0</v>
      </c>
      <c r="Z18" s="35">
        <f t="shared" si="22"/>
        <v>0</v>
      </c>
      <c r="AA18" s="52">
        <f t="shared" si="23"/>
        <v>0</v>
      </c>
      <c r="AC18" s="17" t="str" cm="1">
        <f t="array" ref="AC18">IFERROR(INDEX($AL$2:$AL$300, MATCH(0, COUNTIF($AC$2:AC17, $AL$2:$AL$300) + IF($AL$2:$AL$300="", 1, 0), 0)), "")</f>
        <v/>
      </c>
      <c r="AD18" s="9">
        <f t="shared" si="14"/>
        <v>0</v>
      </c>
      <c r="AE18" s="19">
        <f>SUM(AD$3:AD18)</f>
        <v>0</v>
      </c>
      <c r="AL18" s="18" t="str">
        <f>IF(COUNTIF($A$2:A17, A17) = 1, A17, "")</f>
        <v/>
      </c>
    </row>
    <row r="19" spans="6:38" ht="17" thickBot="1" x14ac:dyDescent="0.25">
      <c r="F19" t="str">
        <f t="shared" si="15"/>
        <v/>
      </c>
      <c r="L19" s="7" t="str">
        <f t="shared" si="16"/>
        <v/>
      </c>
      <c r="N19" s="7" t="str">
        <f t="shared" si="17"/>
        <v/>
      </c>
      <c r="O19" t="str">
        <f t="shared" si="18"/>
        <v/>
      </c>
      <c r="P19" t="str">
        <f t="shared" ref="P19:P82" si="24">IF(I19="No", "None", "")</f>
        <v/>
      </c>
      <c r="Q19" t="str">
        <f t="shared" si="20"/>
        <v/>
      </c>
      <c r="S19" t="str">
        <f>""</f>
        <v/>
      </c>
      <c r="T19" s="103" t="s">
        <v>62</v>
      </c>
      <c r="U19" s="104"/>
      <c r="V19" s="13">
        <f>COUNTA(B:B) - 1</f>
        <v>0</v>
      </c>
      <c r="Y19" s="7"/>
      <c r="AC19" s="17" t="str" cm="1">
        <f t="array" ref="AC19">IFERROR(INDEX($AL$2:$AL$300, MATCH(0, COUNTIF($AC$2:AC18, $AL$2:$AL$300) + IF($AL$2:$AL$300="", 1, 0), 0)), "")</f>
        <v/>
      </c>
      <c r="AD19" s="9">
        <f t="shared" si="14"/>
        <v>0</v>
      </c>
      <c r="AE19" s="20">
        <f>SUM(AD$3:AD19)</f>
        <v>0</v>
      </c>
      <c r="AL19" s="18" t="str">
        <f>IF(COUNTIF($A$2:A18, A18) = 1, A18, "")</f>
        <v/>
      </c>
    </row>
    <row r="20" spans="6:38" ht="17" thickBot="1" x14ac:dyDescent="0.25">
      <c r="F20" t="str">
        <f t="shared" si="15"/>
        <v/>
      </c>
      <c r="L20" s="7" t="str">
        <f t="shared" si="16"/>
        <v/>
      </c>
      <c r="N20" s="7" t="str">
        <f t="shared" si="17"/>
        <v/>
      </c>
      <c r="O20" t="str">
        <f t="shared" si="18"/>
        <v/>
      </c>
      <c r="P20" t="str">
        <f t="shared" si="24"/>
        <v/>
      </c>
      <c r="Q20" t="str">
        <f t="shared" si="20"/>
        <v/>
      </c>
      <c r="S20" t="str">
        <f>""</f>
        <v/>
      </c>
      <c r="T20" s="111" t="s">
        <v>64</v>
      </c>
      <c r="U20" s="112"/>
      <c r="V20" s="24">
        <f>COUNTIF(M:M, "Yes")</f>
        <v>0</v>
      </c>
      <c r="X20" s="79" t="s">
        <v>50</v>
      </c>
      <c r="Y20" s="83" t="s">
        <v>9</v>
      </c>
      <c r="Z20" s="81" t="s">
        <v>84</v>
      </c>
      <c r="AA20" s="82" t="s">
        <v>39</v>
      </c>
      <c r="AC20" s="17" t="str" cm="1">
        <f t="array" ref="AC20">IFERROR(INDEX($AL$2:$AL$300, MATCH(0, COUNTIF($AC$2:AC19, $AL$2:$AL$300) + IF($AL$2:$AL$300="", 1, 0), 0)), "")</f>
        <v/>
      </c>
      <c r="AD20" s="9">
        <f t="shared" si="14"/>
        <v>0</v>
      </c>
      <c r="AE20" s="19">
        <f>SUM(AD$3:AD20)</f>
        <v>0</v>
      </c>
      <c r="AL20" s="18" t="str">
        <f>IF(COUNTIF($A$2:A19, A19) = 1, A19, "")</f>
        <v/>
      </c>
    </row>
    <row r="21" spans="6:38" x14ac:dyDescent="0.2">
      <c r="F21" t="str">
        <f t="shared" si="15"/>
        <v/>
      </c>
      <c r="L21" s="7" t="str">
        <f t="shared" si="16"/>
        <v/>
      </c>
      <c r="N21" s="7" t="str">
        <f t="shared" si="17"/>
        <v/>
      </c>
      <c r="O21" t="str">
        <f t="shared" si="18"/>
        <v/>
      </c>
      <c r="P21" t="str">
        <f t="shared" si="24"/>
        <v/>
      </c>
      <c r="Q21" t="str">
        <f t="shared" si="20"/>
        <v/>
      </c>
      <c r="S21" t="str">
        <f>""</f>
        <v/>
      </c>
      <c r="T21" s="111" t="s">
        <v>65</v>
      </c>
      <c r="U21" s="112"/>
      <c r="V21" s="25">
        <f>COUNTIF(M:M, "No")</f>
        <v>0</v>
      </c>
      <c r="X21" s="47" t="s">
        <v>20</v>
      </c>
      <c r="Y21" s="45">
        <f>SUMIF(D:D,X21,N:N)</f>
        <v>0</v>
      </c>
      <c r="Z21" s="40">
        <f>COUNTIF(D:D,X21)</f>
        <v>0</v>
      </c>
      <c r="AA21" s="41">
        <f>IFERROR(COUNTIFS(D:D, X21)/COUNTA($D$2:$D$994),0)</f>
        <v>0</v>
      </c>
      <c r="AC21" s="17" t="str" cm="1">
        <f t="array" ref="AC21">IFERROR(INDEX($AL$2:$AL$300, MATCH(0, COUNTIF($AC$2:AC20, $AL$2:$AL$300) + IF($AL$2:$AL$300="", 1, 0), 0)), "")</f>
        <v/>
      </c>
      <c r="AD21" s="9">
        <f t="shared" si="14"/>
        <v>0</v>
      </c>
      <c r="AE21" s="19">
        <f>SUM(AD$3:AD21)</f>
        <v>0</v>
      </c>
      <c r="AL21" s="18" t="str">
        <f>IF(COUNTIF($A$2:A20, A20) = 1, A20, "")</f>
        <v/>
      </c>
    </row>
    <row r="22" spans="6:38" ht="17" thickBot="1" x14ac:dyDescent="0.25">
      <c r="F22" t="str">
        <f t="shared" si="15"/>
        <v/>
      </c>
      <c r="L22" s="7" t="str">
        <f t="shared" si="16"/>
        <v/>
      </c>
      <c r="N22" s="7" t="str">
        <f t="shared" si="17"/>
        <v/>
      </c>
      <c r="O22" t="str">
        <f t="shared" si="18"/>
        <v/>
      </c>
      <c r="P22" t="str">
        <f t="shared" si="24"/>
        <v/>
      </c>
      <c r="Q22" t="str">
        <f t="shared" si="20"/>
        <v/>
      </c>
      <c r="S22" t="str">
        <f>""</f>
        <v/>
      </c>
      <c r="T22" s="107" t="s">
        <v>76</v>
      </c>
      <c r="U22" s="108"/>
      <c r="V22" s="14">
        <f>V19-V20-V21</f>
        <v>0</v>
      </c>
      <c r="X22" s="48" t="s">
        <v>18</v>
      </c>
      <c r="Y22" s="45">
        <f>SUMIF(D:D,X22,N:N)</f>
        <v>0</v>
      </c>
      <c r="Z22" s="34">
        <f>COUNTIF(D:D,X22)</f>
        <v>0</v>
      </c>
      <c r="AA22" s="41">
        <f>IFERROR(COUNTIFS(D:D, X22)/COUNTA($D$2:$D$994),0)</f>
        <v>0</v>
      </c>
      <c r="AC22" s="17" t="str" cm="1">
        <f t="array" ref="AC22">IFERROR(INDEX($AL$2:$AL$300, MATCH(0, COUNTIF($AC$2:AC21, $AL$2:$AL$300) + IF($AL$2:$AL$300="", 1, 0), 0)), "")</f>
        <v/>
      </c>
      <c r="AD22" s="9">
        <f t="shared" si="14"/>
        <v>0</v>
      </c>
      <c r="AE22" s="19">
        <f>SUM(AD$3:AD22)</f>
        <v>0</v>
      </c>
      <c r="AL22" s="18" t="str">
        <f>IF(COUNTIF($A$2:A21, A21) = 1, A21, "")</f>
        <v/>
      </c>
    </row>
    <row r="23" spans="6:38" ht="17" thickBot="1" x14ac:dyDescent="0.25">
      <c r="F23" t="str">
        <f t="shared" si="15"/>
        <v/>
      </c>
      <c r="L23" s="7" t="str">
        <f t="shared" si="16"/>
        <v/>
      </c>
      <c r="N23" s="7" t="str">
        <f t="shared" si="17"/>
        <v/>
      </c>
      <c r="O23" t="str">
        <f t="shared" si="18"/>
        <v/>
      </c>
      <c r="P23" t="str">
        <f t="shared" si="24"/>
        <v/>
      </c>
      <c r="Q23" t="str">
        <f t="shared" si="20"/>
        <v/>
      </c>
      <c r="S23" t="str">
        <f>""</f>
        <v/>
      </c>
      <c r="X23" s="50" t="s">
        <v>31</v>
      </c>
      <c r="Y23" s="44">
        <f>SUMIF(D:D,X23,N:N)</f>
        <v>0</v>
      </c>
      <c r="Z23" s="35">
        <f>COUNTIF(D:D,X23)</f>
        <v>0</v>
      </c>
      <c r="AA23" s="52">
        <f>IFERROR(COUNTIFS(D:D, X23)/COUNTA($D$2:$D$994),0)</f>
        <v>0</v>
      </c>
      <c r="AC23" s="17" t="str" cm="1">
        <f t="array" ref="AC23">IFERROR(INDEX($AL$2:$AL$300, MATCH(0, COUNTIF($AC$2:AC22, $AL$2:$AL$300) + IF($AL$2:$AL$300="", 1, 0), 0)), "")</f>
        <v/>
      </c>
      <c r="AD23" s="9">
        <f t="shared" si="14"/>
        <v>0</v>
      </c>
      <c r="AE23" s="20">
        <f>SUM(AD$3:AD23)</f>
        <v>0</v>
      </c>
      <c r="AL23" s="18" t="str">
        <f>IF(COUNTIF($A$2:A22, A22) = 1, A22, "")</f>
        <v/>
      </c>
    </row>
    <row r="24" spans="6:38" ht="17" thickBot="1" x14ac:dyDescent="0.25">
      <c r="F24" t="str">
        <f t="shared" si="15"/>
        <v/>
      </c>
      <c r="L24" s="7" t="str">
        <f t="shared" si="16"/>
        <v/>
      </c>
      <c r="N24" s="7" t="str">
        <f t="shared" si="17"/>
        <v/>
      </c>
      <c r="O24" t="str">
        <f t="shared" si="18"/>
        <v/>
      </c>
      <c r="P24" t="str">
        <f t="shared" si="24"/>
        <v/>
      </c>
      <c r="Q24" t="str">
        <f t="shared" si="20"/>
        <v/>
      </c>
      <c r="S24" t="str">
        <f>""</f>
        <v/>
      </c>
      <c r="Y24" s="60"/>
      <c r="AC24" s="17" t="str" cm="1">
        <f t="array" ref="AC24">IFERROR(INDEX($AL$2:$AL$300, MATCH(0, COUNTIF($AC$2:AC23, $AL$2:$AL$300) + IF($AL$2:$AL$300="", 1, 0), 0)), "")</f>
        <v/>
      </c>
      <c r="AD24" s="9">
        <f t="shared" si="14"/>
        <v>0</v>
      </c>
      <c r="AE24" s="19">
        <f>SUM(AD$3:AD24)</f>
        <v>0</v>
      </c>
      <c r="AL24" s="18" t="str">
        <f>IF(COUNTIF($A$2:A23, A23) = 1, A23, "")</f>
        <v/>
      </c>
    </row>
    <row r="25" spans="6:38" ht="17" thickBot="1" x14ac:dyDescent="0.25">
      <c r="F25" t="str">
        <f t="shared" si="15"/>
        <v/>
      </c>
      <c r="L25" s="7" t="str">
        <f t="shared" si="16"/>
        <v/>
      </c>
      <c r="N25" s="7" t="str">
        <f t="shared" si="17"/>
        <v/>
      </c>
      <c r="O25" t="str">
        <f t="shared" si="18"/>
        <v/>
      </c>
      <c r="P25" t="str">
        <f t="shared" si="24"/>
        <v/>
      </c>
      <c r="Q25" t="str">
        <f t="shared" si="20"/>
        <v/>
      </c>
      <c r="S25" t="str">
        <f>""</f>
        <v/>
      </c>
      <c r="X25" s="79" t="s">
        <v>12</v>
      </c>
      <c r="Y25" s="83" t="s">
        <v>9</v>
      </c>
      <c r="Z25" s="81" t="s">
        <v>84</v>
      </c>
      <c r="AA25" s="82" t="s">
        <v>39</v>
      </c>
      <c r="AC25" s="21" t="str" cm="1">
        <f t="array" ref="AC25">IFERROR(INDEX($AL$2:$AL$300, MATCH(0, COUNTIF($AC$2:AC24, $AL$2:$AL$300) + IF($AL$2:$AL$300="", 1, 0), 0)), "")</f>
        <v/>
      </c>
      <c r="AD25" s="22">
        <f t="shared" si="14"/>
        <v>0</v>
      </c>
      <c r="AE25" s="23">
        <f>SUM(AD$3:AD25)</f>
        <v>0</v>
      </c>
      <c r="AL25" s="18" t="str">
        <f>IF(COUNTIF($A$2:A24, A24) = 1, A24, "")</f>
        <v/>
      </c>
    </row>
    <row r="26" spans="6:38" x14ac:dyDescent="0.2">
      <c r="F26" t="str">
        <f t="shared" si="15"/>
        <v/>
      </c>
      <c r="L26" s="7" t="str">
        <f t="shared" si="16"/>
        <v/>
      </c>
      <c r="N26" s="7" t="str">
        <f t="shared" si="17"/>
        <v/>
      </c>
      <c r="O26" t="str">
        <f t="shared" si="18"/>
        <v/>
      </c>
      <c r="P26" t="str">
        <f t="shared" si="24"/>
        <v/>
      </c>
      <c r="Q26" t="str">
        <f t="shared" si="20"/>
        <v/>
      </c>
      <c r="S26" t="str">
        <f>""</f>
        <v/>
      </c>
      <c r="X26" s="47" t="s">
        <v>32</v>
      </c>
      <c r="Y26" s="45">
        <f>SUMIFS(N:N, E:E, "&lt;-150")</f>
        <v>0</v>
      </c>
      <c r="Z26" s="40">
        <f>COUNTIFS(E:E, "&lt; -150")</f>
        <v>0</v>
      </c>
      <c r="AA26" s="41">
        <f>IFERROR(COUNTIFS(E:E, "&lt; -150")/COUNTA($E$2:$E$993),0)</f>
        <v>0</v>
      </c>
      <c r="AC26" s="59"/>
      <c r="AD26" s="7"/>
      <c r="AE26" s="7"/>
      <c r="AL26" s="18" t="str">
        <f>IF(COUNTIF($A$2:A25, A25) = 1, A25, "")</f>
        <v/>
      </c>
    </row>
    <row r="27" spans="6:38" x14ac:dyDescent="0.2">
      <c r="F27" t="str">
        <f t="shared" si="15"/>
        <v/>
      </c>
      <c r="L27" s="7" t="str">
        <f t="shared" si="16"/>
        <v/>
      </c>
      <c r="N27" s="7" t="str">
        <f t="shared" si="17"/>
        <v/>
      </c>
      <c r="O27" t="str">
        <f t="shared" si="18"/>
        <v/>
      </c>
      <c r="P27" t="str">
        <f t="shared" si="24"/>
        <v/>
      </c>
      <c r="Q27" t="str">
        <f t="shared" si="20"/>
        <v/>
      </c>
      <c r="S27" t="str">
        <f>""</f>
        <v/>
      </c>
      <c r="X27" s="48" t="s">
        <v>33</v>
      </c>
      <c r="Y27" s="45">
        <f>SUMIFS(N:N, E:E, "&gt;=-150", E:E, "&lt;100")</f>
        <v>0</v>
      </c>
      <c r="Z27" s="34">
        <f>COUNTIFS(E:E, "&lt; 100", E:E, "&gt;=-150")</f>
        <v>0</v>
      </c>
      <c r="AA27" s="38">
        <f>IFERROR(COUNTIFS(E:E, "&lt; 100", E:E, "&gt;=-150")/COUNTA($E$2:$E$6993),0)</f>
        <v>0</v>
      </c>
      <c r="AC27" s="59"/>
      <c r="AD27" s="7"/>
      <c r="AE27" s="7"/>
      <c r="AL27" s="18" t="str">
        <f>IF(COUNTIF($A$2:A26, A26) = 1, A26, "")</f>
        <v/>
      </c>
    </row>
    <row r="28" spans="6:38" x14ac:dyDescent="0.2">
      <c r="F28" t="str">
        <f t="shared" si="15"/>
        <v/>
      </c>
      <c r="L28" s="7" t="str">
        <f t="shared" si="16"/>
        <v/>
      </c>
      <c r="N28" s="7" t="str">
        <f t="shared" si="17"/>
        <v/>
      </c>
      <c r="O28" t="str">
        <f t="shared" si="18"/>
        <v/>
      </c>
      <c r="P28" t="str">
        <f t="shared" si="24"/>
        <v/>
      </c>
      <c r="Q28" t="str">
        <f t="shared" si="20"/>
        <v/>
      </c>
      <c r="S28" t="str">
        <f>""</f>
        <v/>
      </c>
      <c r="X28" s="48" t="s">
        <v>34</v>
      </c>
      <c r="Y28" s="45">
        <f>SUMIFS(N:N, E:E, "&gt;=100", E:E, "&lt;125")</f>
        <v>0</v>
      </c>
      <c r="Z28" s="34">
        <f>COUNTIFS(E:E, "&lt; 125", E:E, "&gt;=100")</f>
        <v>0</v>
      </c>
      <c r="AA28" s="38">
        <f>IFERROR(COUNTIFS(E:E, "&lt; 125", E:E, "&gt;=100")/COUNTA($E$2:$E$6993),0)</f>
        <v>0</v>
      </c>
      <c r="AC28" s="59"/>
      <c r="AD28" s="7"/>
      <c r="AE28" s="7"/>
      <c r="AL28" s="18" t="str">
        <f>IF(COUNTIF($A$2:A27, A27) = 1, A27, "")</f>
        <v/>
      </c>
    </row>
    <row r="29" spans="6:38" x14ac:dyDescent="0.2">
      <c r="F29" t="str">
        <f t="shared" si="15"/>
        <v/>
      </c>
      <c r="L29" s="7" t="str">
        <f t="shared" si="16"/>
        <v/>
      </c>
      <c r="N29" s="7" t="str">
        <f t="shared" si="17"/>
        <v/>
      </c>
      <c r="O29" t="str">
        <f t="shared" si="18"/>
        <v/>
      </c>
      <c r="P29" t="str">
        <f t="shared" si="24"/>
        <v/>
      </c>
      <c r="Q29" t="str">
        <f t="shared" si="20"/>
        <v/>
      </c>
      <c r="S29" t="str">
        <f>""</f>
        <v/>
      </c>
      <c r="X29" s="47" t="s">
        <v>35</v>
      </c>
      <c r="Y29" s="45">
        <f>SUMIFS(N:N, E:E, "&gt;=125", E:E, "&lt;150")</f>
        <v>0</v>
      </c>
      <c r="Z29" s="40">
        <f>COUNTIFS(E:E, "&lt; 150", E:E, "&gt;=125")</f>
        <v>0</v>
      </c>
      <c r="AA29" s="41">
        <f>IFERROR(COUNTIFS(E:E, "&lt; 150", E:E, "&gt;=125")/COUNTA($E$2:$E$6993),0)</f>
        <v>0</v>
      </c>
      <c r="AC29" s="59"/>
      <c r="AD29" s="7"/>
      <c r="AE29" s="7"/>
      <c r="AL29" s="18" t="str">
        <f>IF(COUNTIF($A$2:A28, A28) = 1, A28, "")</f>
        <v/>
      </c>
    </row>
    <row r="30" spans="6:38" x14ac:dyDescent="0.2">
      <c r="F30" t="str">
        <f t="shared" si="15"/>
        <v/>
      </c>
      <c r="L30" s="7" t="str">
        <f t="shared" si="16"/>
        <v/>
      </c>
      <c r="N30" s="7" t="str">
        <f t="shared" si="17"/>
        <v/>
      </c>
      <c r="O30" t="str">
        <f t="shared" si="18"/>
        <v/>
      </c>
      <c r="P30" t="str">
        <f t="shared" si="24"/>
        <v/>
      </c>
      <c r="Q30" t="str">
        <f t="shared" si="20"/>
        <v/>
      </c>
      <c r="S30" t="str">
        <f>""</f>
        <v/>
      </c>
      <c r="X30" s="48" t="s">
        <v>36</v>
      </c>
      <c r="Y30" s="45">
        <f>SUMIFS(N:N, E:E, "&gt;=150", E:E, "&lt;200")</f>
        <v>0</v>
      </c>
      <c r="Z30" s="34">
        <f>COUNTIFS(E:E, "&lt; 200", E:E, "&gt;=150")</f>
        <v>0</v>
      </c>
      <c r="AA30" s="38">
        <f>IFERROR(COUNTIFS(E:E, "&lt; 200", E:E, "&gt;=150")/COUNTA($E$2:$E$6993),0)</f>
        <v>0</v>
      </c>
      <c r="AC30" s="59"/>
      <c r="AD30" s="7"/>
      <c r="AE30" s="7"/>
      <c r="AL30" s="18" t="str">
        <f>IF(COUNTIF($A$2:A29, A29) = 1, A29, "")</f>
        <v/>
      </c>
    </row>
    <row r="31" spans="6:38" ht="17" thickBot="1" x14ac:dyDescent="0.25">
      <c r="F31" t="str">
        <f t="shared" si="15"/>
        <v/>
      </c>
      <c r="L31" s="7" t="str">
        <f t="shared" si="16"/>
        <v/>
      </c>
      <c r="N31" s="7" t="str">
        <f t="shared" si="17"/>
        <v/>
      </c>
      <c r="O31" t="str">
        <f t="shared" si="18"/>
        <v/>
      </c>
      <c r="P31" t="str">
        <f t="shared" si="24"/>
        <v/>
      </c>
      <c r="Q31" t="str">
        <f t="shared" si="20"/>
        <v/>
      </c>
      <c r="S31" t="str">
        <f>""</f>
        <v/>
      </c>
      <c r="X31" s="49" t="s">
        <v>37</v>
      </c>
      <c r="Y31" s="44">
        <f>SUMIFS(N:N, E:E, "&gt;=200")</f>
        <v>0</v>
      </c>
      <c r="Z31" s="35">
        <f>COUNTIFS(E:E, "&gt;=200")</f>
        <v>0</v>
      </c>
      <c r="AA31" s="39">
        <f>IFERROR(COUNTIFS(E:E, "&gt;=200")/COUNTA($E$2:$E$69993),0)</f>
        <v>0</v>
      </c>
      <c r="AC31" s="59"/>
      <c r="AD31" s="7"/>
      <c r="AE31" s="7"/>
      <c r="AL31" s="18" t="str">
        <f>IF(COUNTIF($A$2:A30, A30) = 1, A30, "")</f>
        <v/>
      </c>
    </row>
    <row r="32" spans="6:38" ht="17" thickBot="1" x14ac:dyDescent="0.25">
      <c r="F32" t="str">
        <f t="shared" si="15"/>
        <v/>
      </c>
      <c r="L32" s="7" t="str">
        <f t="shared" si="16"/>
        <v/>
      </c>
      <c r="N32" s="7" t="str">
        <f t="shared" si="17"/>
        <v/>
      </c>
      <c r="O32" t="str">
        <f t="shared" si="18"/>
        <v/>
      </c>
      <c r="P32" t="str">
        <f t="shared" si="24"/>
        <v/>
      </c>
      <c r="Q32" t="str">
        <f t="shared" si="20"/>
        <v/>
      </c>
      <c r="S32" t="str">
        <f>""</f>
        <v/>
      </c>
      <c r="Y32" s="60"/>
      <c r="AC32" s="59"/>
      <c r="AD32" s="7"/>
      <c r="AE32" s="7"/>
      <c r="AL32" s="18" t="str">
        <f>IF(COUNTIF($A$2:A31, A31) = 1, A31, "")</f>
        <v/>
      </c>
    </row>
    <row r="33" spans="6:38" ht="17" thickBot="1" x14ac:dyDescent="0.25">
      <c r="F33" t="str">
        <f t="shared" si="15"/>
        <v/>
      </c>
      <c r="L33" s="7" t="str">
        <f t="shared" si="16"/>
        <v/>
      </c>
      <c r="N33" s="7" t="str">
        <f t="shared" si="17"/>
        <v/>
      </c>
      <c r="O33" t="str">
        <f t="shared" si="18"/>
        <v/>
      </c>
      <c r="P33" t="str">
        <f t="shared" si="24"/>
        <v/>
      </c>
      <c r="Q33" t="str">
        <f t="shared" si="20"/>
        <v/>
      </c>
      <c r="S33" t="str">
        <f>""</f>
        <v/>
      </c>
      <c r="X33" s="79" t="s">
        <v>3</v>
      </c>
      <c r="Y33" s="83" t="s">
        <v>9</v>
      </c>
      <c r="Z33" s="81" t="s">
        <v>84</v>
      </c>
      <c r="AA33" s="82" t="s">
        <v>39</v>
      </c>
      <c r="AC33" s="59"/>
      <c r="AD33" s="7"/>
      <c r="AE33" s="7"/>
      <c r="AL33" s="18" t="str">
        <f>IF(COUNTIF($A$2:A32, A32) = 1, A32, "")</f>
        <v/>
      </c>
    </row>
    <row r="34" spans="6:38" x14ac:dyDescent="0.2">
      <c r="F34" t="str">
        <f t="shared" si="15"/>
        <v/>
      </c>
      <c r="L34" s="7" t="str">
        <f t="shared" si="16"/>
        <v/>
      </c>
      <c r="N34" s="7" t="str">
        <f t="shared" si="17"/>
        <v/>
      </c>
      <c r="O34" t="str">
        <f t="shared" si="18"/>
        <v/>
      </c>
      <c r="P34" t="str">
        <f t="shared" si="24"/>
        <v/>
      </c>
      <c r="Q34" t="str">
        <f t="shared" si="20"/>
        <v/>
      </c>
      <c r="S34" t="str">
        <f>""</f>
        <v/>
      </c>
      <c r="X34" s="47">
        <v>1</v>
      </c>
      <c r="Y34" s="45">
        <f>SUMIFS(N:N, F:F, X34)</f>
        <v>0</v>
      </c>
      <c r="Z34" s="40">
        <f>COUNTIF(F:F,X34)</f>
        <v>0</v>
      </c>
      <c r="AA34" s="41">
        <f>IFERROR(COUNTIFS(F:F, X34)/COUNTA($E$2:$E$993),0)</f>
        <v>0</v>
      </c>
      <c r="AC34" s="59"/>
      <c r="AD34" s="7"/>
      <c r="AE34" s="7"/>
      <c r="AL34" s="18" t="str">
        <f>IF(COUNTIF($A$2:A33, A33) = 1, A33, "")</f>
        <v/>
      </c>
    </row>
    <row r="35" spans="6:38" x14ac:dyDescent="0.2">
      <c r="F35" t="str">
        <f t="shared" si="15"/>
        <v/>
      </c>
      <c r="L35" s="7" t="str">
        <f t="shared" si="16"/>
        <v/>
      </c>
      <c r="N35" s="7" t="str">
        <f t="shared" si="17"/>
        <v/>
      </c>
      <c r="O35" t="str">
        <f t="shared" si="18"/>
        <v/>
      </c>
      <c r="P35" t="str">
        <f t="shared" si="24"/>
        <v/>
      </c>
      <c r="Q35" t="str">
        <f t="shared" si="20"/>
        <v/>
      </c>
      <c r="S35" t="str">
        <f>""</f>
        <v/>
      </c>
      <c r="X35" s="48">
        <v>2</v>
      </c>
      <c r="Y35" s="45">
        <f>SUMIFS(N:N, F:F, X35)</f>
        <v>0</v>
      </c>
      <c r="Z35" s="34">
        <f>COUNTIF(F:F,X35)</f>
        <v>0</v>
      </c>
      <c r="AA35" s="41">
        <f>IFERROR(COUNTIFS(F:F, X35)/COUNTA($E$2:$E$993),0)</f>
        <v>0</v>
      </c>
      <c r="AC35" s="59"/>
      <c r="AD35" s="7"/>
      <c r="AE35" s="7"/>
      <c r="AL35" s="18" t="str">
        <f>IF(COUNTIF($A$2:A34, A34) = 1, A34, "")</f>
        <v/>
      </c>
    </row>
    <row r="36" spans="6:38" x14ac:dyDescent="0.2">
      <c r="F36" t="str">
        <f t="shared" si="15"/>
        <v/>
      </c>
      <c r="L36" s="7" t="str">
        <f t="shared" si="16"/>
        <v/>
      </c>
      <c r="N36" s="7" t="str">
        <f t="shared" si="17"/>
        <v/>
      </c>
      <c r="O36" t="str">
        <f t="shared" si="18"/>
        <v/>
      </c>
      <c r="P36" t="str">
        <f t="shared" si="24"/>
        <v/>
      </c>
      <c r="Q36" t="str">
        <f t="shared" si="20"/>
        <v/>
      </c>
      <c r="S36" t="str">
        <f>""</f>
        <v/>
      </c>
      <c r="X36" s="48">
        <v>3</v>
      </c>
      <c r="Y36" s="45">
        <f>SUMIFS(N:N, F:F, X36)</f>
        <v>0</v>
      </c>
      <c r="Z36" s="34">
        <f>COUNTIF(F:F,X36)</f>
        <v>0</v>
      </c>
      <c r="AA36" s="41">
        <f>IFERROR(COUNTIFS(F:F, X36)/COUNTA($E$2:$E$993),0)</f>
        <v>0</v>
      </c>
      <c r="AD36" s="7"/>
      <c r="AE36" s="7"/>
      <c r="AL36" s="18" t="str">
        <f>IF(COUNTIF($A$2:A35, A35) = 1, A35, "")</f>
        <v/>
      </c>
    </row>
    <row r="37" spans="6:38" x14ac:dyDescent="0.2">
      <c r="F37" t="str">
        <f t="shared" si="15"/>
        <v/>
      </c>
      <c r="L37" s="7" t="str">
        <f t="shared" si="16"/>
        <v/>
      </c>
      <c r="N37" s="7" t="str">
        <f t="shared" si="17"/>
        <v/>
      </c>
      <c r="O37" t="str">
        <f t="shared" si="18"/>
        <v/>
      </c>
      <c r="P37" t="str">
        <f t="shared" si="24"/>
        <v/>
      </c>
      <c r="Q37" t="str">
        <f t="shared" si="20"/>
        <v/>
      </c>
      <c r="S37" t="str">
        <f>""</f>
        <v/>
      </c>
      <c r="X37" s="47">
        <v>4</v>
      </c>
      <c r="Y37" s="45">
        <f>SUMIFS(N:N, F:F, X37)</f>
        <v>0</v>
      </c>
      <c r="Z37" s="34">
        <f>COUNTIF(F:F,X37)</f>
        <v>0</v>
      </c>
      <c r="AA37" s="41">
        <f>IFERROR(COUNTIFS(F:F, X37)/COUNTA($E$2:$E$993),0)</f>
        <v>0</v>
      </c>
      <c r="AD37" s="7"/>
      <c r="AE37" s="7"/>
      <c r="AL37" s="18" t="str">
        <f>IF(COUNTIF($A$2:A36, A36) = 1, A36, "")</f>
        <v/>
      </c>
    </row>
    <row r="38" spans="6:38" ht="17" thickBot="1" x14ac:dyDescent="0.25">
      <c r="F38" t="str">
        <f t="shared" si="15"/>
        <v/>
      </c>
      <c r="L38" s="7" t="str">
        <f t="shared" si="16"/>
        <v/>
      </c>
      <c r="N38" s="7" t="str">
        <f t="shared" si="17"/>
        <v/>
      </c>
      <c r="O38" t="str">
        <f t="shared" si="18"/>
        <v/>
      </c>
      <c r="P38" t="str">
        <f t="shared" si="24"/>
        <v/>
      </c>
      <c r="Q38" t="str">
        <f t="shared" si="20"/>
        <v/>
      </c>
      <c r="S38" t="str">
        <f>""</f>
        <v/>
      </c>
      <c r="X38" s="49" t="s">
        <v>88</v>
      </c>
      <c r="Y38" s="44">
        <f>SUMIFS(N:N, F:F, "&gt;4")</f>
        <v>0</v>
      </c>
      <c r="Z38" s="35">
        <f>COUNTIF(F:F,"&gt;4")</f>
        <v>0</v>
      </c>
      <c r="AA38" s="52">
        <f>IFERROR(COUNTIFS(F:F, X38)/COUNTA($E$2:$E$993),0)</f>
        <v>0</v>
      </c>
      <c r="AD38" s="7"/>
      <c r="AE38" s="7"/>
      <c r="AL38" s="18" t="str">
        <f>IF(COUNTIF($A$2:A37, A37) = 1, A37, "")</f>
        <v/>
      </c>
    </row>
    <row r="39" spans="6:38" ht="17" thickBot="1" x14ac:dyDescent="0.25">
      <c r="F39" t="str">
        <f t="shared" si="15"/>
        <v/>
      </c>
      <c r="L39" s="7" t="str">
        <f t="shared" si="16"/>
        <v/>
      </c>
      <c r="N39" s="7" t="str">
        <f t="shared" si="17"/>
        <v/>
      </c>
      <c r="O39" t="str">
        <f t="shared" si="18"/>
        <v/>
      </c>
      <c r="P39" t="str">
        <f t="shared" si="24"/>
        <v/>
      </c>
      <c r="Q39" t="str">
        <f t="shared" si="20"/>
        <v/>
      </c>
      <c r="S39" t="str">
        <f>""</f>
        <v/>
      </c>
      <c r="Y39" s="60"/>
      <c r="AD39" s="7"/>
      <c r="AE39" s="7"/>
      <c r="AL39" s="18" t="str">
        <f>IF(COUNTIF($A$2:A38, A38) = 1, A38, "")</f>
        <v/>
      </c>
    </row>
    <row r="40" spans="6:38" ht="17" thickBot="1" x14ac:dyDescent="0.25">
      <c r="F40" t="str">
        <f t="shared" si="15"/>
        <v/>
      </c>
      <c r="L40" s="7" t="str">
        <f t="shared" si="16"/>
        <v/>
      </c>
      <c r="N40" s="7" t="str">
        <f t="shared" si="17"/>
        <v/>
      </c>
      <c r="O40" t="str">
        <f t="shared" si="18"/>
        <v/>
      </c>
      <c r="P40" t="str">
        <f t="shared" si="24"/>
        <v/>
      </c>
      <c r="Q40" t="str">
        <f t="shared" si="20"/>
        <v/>
      </c>
      <c r="S40" t="str">
        <f>""</f>
        <v/>
      </c>
      <c r="X40" s="79" t="s">
        <v>38</v>
      </c>
      <c r="Y40" s="83" t="s">
        <v>9</v>
      </c>
      <c r="Z40" s="81" t="s">
        <v>84</v>
      </c>
      <c r="AA40" s="82" t="s">
        <v>39</v>
      </c>
      <c r="AD40" s="7"/>
      <c r="AE40" s="7"/>
      <c r="AL40" s="18" t="str">
        <f>IF(COUNTIF($A$2:A39, A39) = 1, A39, "")</f>
        <v/>
      </c>
    </row>
    <row r="41" spans="6:38" x14ac:dyDescent="0.2">
      <c r="F41" t="str">
        <f t="shared" si="15"/>
        <v/>
      </c>
      <c r="L41" s="7" t="str">
        <f t="shared" si="16"/>
        <v/>
      </c>
      <c r="N41" s="7" t="str">
        <f t="shared" si="17"/>
        <v/>
      </c>
      <c r="O41" t="str">
        <f t="shared" si="18"/>
        <v/>
      </c>
      <c r="P41" t="str">
        <f t="shared" si="24"/>
        <v/>
      </c>
      <c r="Q41" t="str">
        <f t="shared" si="20"/>
        <v/>
      </c>
      <c r="S41" t="str">
        <f>""</f>
        <v/>
      </c>
      <c r="X41" s="47" t="s">
        <v>4</v>
      </c>
      <c r="Y41" s="45">
        <f>SUMIFS(N:N,G:G, "Yes")</f>
        <v>0</v>
      </c>
      <c r="Z41" s="40">
        <f>COUNTIF(G:G,"Yes")</f>
        <v>0</v>
      </c>
      <c r="AA41" s="41">
        <f>IFERROR(COUNTIFS(G:G, "Yes")/COUNTA($G$2:$G$994),0)</f>
        <v>0</v>
      </c>
      <c r="AD41" s="7"/>
      <c r="AE41" s="7"/>
      <c r="AL41" s="18" t="str">
        <f>IF(COUNTIF($A$2:A40, A40) = 1, A40, "")</f>
        <v/>
      </c>
    </row>
    <row r="42" spans="6:38" x14ac:dyDescent="0.2">
      <c r="F42" t="str">
        <f t="shared" si="15"/>
        <v/>
      </c>
      <c r="L42" s="7" t="str">
        <f t="shared" si="16"/>
        <v/>
      </c>
      <c r="N42" s="7" t="str">
        <f t="shared" si="17"/>
        <v/>
      </c>
      <c r="O42" t="str">
        <f t="shared" si="18"/>
        <v/>
      </c>
      <c r="P42" t="str">
        <f t="shared" si="24"/>
        <v/>
      </c>
      <c r="Q42" t="str">
        <f t="shared" si="20"/>
        <v/>
      </c>
      <c r="S42" t="str">
        <f>""</f>
        <v/>
      </c>
      <c r="X42" s="48" t="s">
        <v>5</v>
      </c>
      <c r="Y42" s="45">
        <f>SUMIFS(N:N,H:H, "Yes")</f>
        <v>0</v>
      </c>
      <c r="Z42" s="34">
        <f>COUNTIF(H:H,"Yes")</f>
        <v>0</v>
      </c>
      <c r="AA42" s="38">
        <f>IFERROR(COUNTIFS(H:H, "Yes")/COUNTA($G$2:$G$994),0)</f>
        <v>0</v>
      </c>
      <c r="AD42" s="7"/>
      <c r="AE42" s="7"/>
      <c r="AL42" s="18" t="str">
        <f>IF(COUNTIF($A$2:A41, A41) = 1, A41, "")</f>
        <v/>
      </c>
    </row>
    <row r="43" spans="6:38" ht="17" thickBot="1" x14ac:dyDescent="0.25">
      <c r="F43" t="str">
        <f t="shared" si="15"/>
        <v/>
      </c>
      <c r="L43" s="7" t="str">
        <f t="shared" si="16"/>
        <v/>
      </c>
      <c r="N43" s="7" t="str">
        <f t="shared" si="17"/>
        <v/>
      </c>
      <c r="O43" t="str">
        <f t="shared" si="18"/>
        <v/>
      </c>
      <c r="P43" t="str">
        <f t="shared" si="24"/>
        <v/>
      </c>
      <c r="Q43" t="str">
        <f t="shared" si="20"/>
        <v/>
      </c>
      <c r="S43" t="str">
        <f>""</f>
        <v/>
      </c>
      <c r="X43" s="50" t="s">
        <v>6</v>
      </c>
      <c r="Y43" s="45">
        <f>SUMIFS(N:N,I:I, "Yes")</f>
        <v>0</v>
      </c>
      <c r="Z43" s="42">
        <f>COUNTIF(I:I,"Yes")</f>
        <v>0</v>
      </c>
      <c r="AA43" s="39">
        <f>IFERROR(COUNTIFS(I:I, "Yes")/COUNTA($G$2:$G$994),0)</f>
        <v>0</v>
      </c>
      <c r="AD43" s="7"/>
      <c r="AE43" s="7"/>
      <c r="AL43" s="18" t="str">
        <f>IF(COUNTIF($A$2:A42, A42) = 1, A42, "")</f>
        <v/>
      </c>
    </row>
    <row r="44" spans="6:38" ht="17" thickBot="1" x14ac:dyDescent="0.25">
      <c r="F44" t="str">
        <f t="shared" si="15"/>
        <v/>
      </c>
      <c r="L44" s="7" t="str">
        <f t="shared" si="16"/>
        <v/>
      </c>
      <c r="N44" s="7" t="str">
        <f t="shared" si="17"/>
        <v/>
      </c>
      <c r="O44" t="str">
        <f t="shared" si="18"/>
        <v/>
      </c>
      <c r="P44" t="str">
        <f t="shared" si="24"/>
        <v/>
      </c>
      <c r="Q44" t="str">
        <f t="shared" si="20"/>
        <v/>
      </c>
      <c r="S44" t="str">
        <f>""</f>
        <v/>
      </c>
      <c r="Y44" s="60"/>
      <c r="AD44" s="7"/>
      <c r="AE44" s="7"/>
      <c r="AL44" s="18" t="str">
        <f>IF(COUNTIF($A$2:A43, A43) = 1, A43, "")</f>
        <v/>
      </c>
    </row>
    <row r="45" spans="6:38" ht="17" thickBot="1" x14ac:dyDescent="0.25">
      <c r="F45" t="str">
        <f t="shared" si="15"/>
        <v/>
      </c>
      <c r="L45" s="7" t="str">
        <f t="shared" si="16"/>
        <v/>
      </c>
      <c r="N45" s="7" t="str">
        <f t="shared" si="17"/>
        <v/>
      </c>
      <c r="O45" t="str">
        <f t="shared" si="18"/>
        <v/>
      </c>
      <c r="P45" t="str">
        <f t="shared" si="24"/>
        <v/>
      </c>
      <c r="Q45" t="str">
        <f t="shared" si="20"/>
        <v/>
      </c>
      <c r="S45" t="str">
        <f>""</f>
        <v/>
      </c>
      <c r="X45" s="79" t="s">
        <v>74</v>
      </c>
      <c r="Y45" s="83" t="s">
        <v>9</v>
      </c>
      <c r="Z45" s="81" t="s">
        <v>84</v>
      </c>
      <c r="AA45" s="82" t="s">
        <v>39</v>
      </c>
      <c r="AD45" s="7"/>
      <c r="AE45" s="7"/>
      <c r="AL45" s="18" t="str">
        <f>IF(COUNTIF($A$2:A44, A44) = 1, A44, "")</f>
        <v/>
      </c>
    </row>
    <row r="46" spans="6:38" x14ac:dyDescent="0.2">
      <c r="F46" t="str">
        <f t="shared" si="15"/>
        <v/>
      </c>
      <c r="L46" s="7" t="str">
        <f t="shared" si="16"/>
        <v/>
      </c>
      <c r="N46" s="7" t="str">
        <f t="shared" si="17"/>
        <v/>
      </c>
      <c r="O46" t="str">
        <f t="shared" si="18"/>
        <v/>
      </c>
      <c r="P46" t="str">
        <f t="shared" si="24"/>
        <v/>
      </c>
      <c r="Q46" t="str">
        <f t="shared" si="20"/>
        <v/>
      </c>
      <c r="S46" t="str">
        <f>""</f>
        <v/>
      </c>
      <c r="X46" s="47" t="s">
        <v>75</v>
      </c>
      <c r="Y46" s="45">
        <f>SUMIFS(N:N,J:J,"No")</f>
        <v>0</v>
      </c>
      <c r="Z46" s="40">
        <f>COUNTIF(J:J,"No")</f>
        <v>0</v>
      </c>
      <c r="AA46" s="46">
        <f>IFERROR(COUNTIFS($J$2:$J$1048576, "No")/COUNTA($G$2:$G$994), 0)</f>
        <v>0</v>
      </c>
      <c r="AD46" s="7"/>
      <c r="AE46" s="7"/>
      <c r="AL46" s="18" t="str">
        <f>IF(COUNTIF($A$2:A45, A45) = 1, A45, "")</f>
        <v/>
      </c>
    </row>
    <row r="47" spans="6:38" ht="17" thickBot="1" x14ac:dyDescent="0.25">
      <c r="F47" t="str">
        <f t="shared" si="15"/>
        <v/>
      </c>
      <c r="L47" s="7" t="str">
        <f t="shared" si="16"/>
        <v/>
      </c>
      <c r="N47" s="7" t="str">
        <f t="shared" si="17"/>
        <v/>
      </c>
      <c r="O47" t="str">
        <f t="shared" si="18"/>
        <v/>
      </c>
      <c r="P47" t="str">
        <f t="shared" si="24"/>
        <v/>
      </c>
      <c r="Q47" t="str">
        <f t="shared" si="20"/>
        <v/>
      </c>
      <c r="S47" t="str">
        <f>""</f>
        <v/>
      </c>
      <c r="X47" s="49" t="s">
        <v>69</v>
      </c>
      <c r="Y47" s="44">
        <f>SUMIFS(N:N,J:J,"Yes")</f>
        <v>0</v>
      </c>
      <c r="Z47" s="35">
        <f>COUNTIF(J:J,"Yes")</f>
        <v>0</v>
      </c>
      <c r="AA47" s="53">
        <f>IFERROR(COUNTIFS($J$2:$J$1048576, "Yes")/COUNTA($G$2:$G$994), 0)</f>
        <v>0</v>
      </c>
      <c r="AD47" s="7"/>
      <c r="AE47" s="7"/>
      <c r="AL47" s="18" t="str">
        <f>IF(COUNTIF($A$2:A46, A46) = 1, A46, "")</f>
        <v/>
      </c>
    </row>
    <row r="48" spans="6:38" ht="17" thickBot="1" x14ac:dyDescent="0.25">
      <c r="F48" t="str">
        <f t="shared" si="15"/>
        <v/>
      </c>
      <c r="L48" s="7" t="str">
        <f t="shared" si="16"/>
        <v/>
      </c>
      <c r="N48" s="7" t="str">
        <f t="shared" si="17"/>
        <v/>
      </c>
      <c r="O48" t="str">
        <f t="shared" si="18"/>
        <v/>
      </c>
      <c r="P48" t="str">
        <f t="shared" si="24"/>
        <v/>
      </c>
      <c r="Q48" t="str">
        <f t="shared" si="20"/>
        <v/>
      </c>
      <c r="S48" t="str">
        <f>""</f>
        <v/>
      </c>
      <c r="AD48" s="7"/>
      <c r="AE48" s="7"/>
      <c r="AL48" s="18" t="str">
        <f>IF(COUNTIF($A$2:A47, A47) = 1, A47, "")</f>
        <v/>
      </c>
    </row>
    <row r="49" spans="6:38" ht="17" thickBot="1" x14ac:dyDescent="0.25">
      <c r="F49" t="str">
        <f t="shared" si="15"/>
        <v/>
      </c>
      <c r="L49" s="7" t="str">
        <f t="shared" si="16"/>
        <v/>
      </c>
      <c r="N49" s="7" t="str">
        <f t="shared" si="17"/>
        <v/>
      </c>
      <c r="O49" t="str">
        <f t="shared" si="18"/>
        <v/>
      </c>
      <c r="P49" t="str">
        <f t="shared" si="24"/>
        <v/>
      </c>
      <c r="Q49" t="str">
        <f t="shared" si="20"/>
        <v/>
      </c>
      <c r="S49" t="str">
        <f>""</f>
        <v/>
      </c>
      <c r="X49" s="92" t="s">
        <v>89</v>
      </c>
      <c r="Y49" s="83" t="s">
        <v>9</v>
      </c>
      <c r="Z49" s="81" t="s">
        <v>84</v>
      </c>
      <c r="AA49" s="82" t="s">
        <v>39</v>
      </c>
      <c r="AD49" s="7"/>
      <c r="AE49" s="7"/>
      <c r="AL49" s="18" t="str">
        <f>IF(COUNTIF($A$2:A48, A48) = 1, A48, "")</f>
        <v/>
      </c>
    </row>
    <row r="50" spans="6:38" x14ac:dyDescent="0.2">
      <c r="F50" t="str">
        <f t="shared" si="15"/>
        <v/>
      </c>
      <c r="L50" s="7" t="str">
        <f t="shared" si="16"/>
        <v/>
      </c>
      <c r="N50" s="7" t="str">
        <f t="shared" si="17"/>
        <v/>
      </c>
      <c r="O50" t="str">
        <f t="shared" si="18"/>
        <v/>
      </c>
      <c r="P50" t="str">
        <f t="shared" si="24"/>
        <v/>
      </c>
      <c r="Q50" t="str">
        <f t="shared" si="20"/>
        <v/>
      </c>
      <c r="S50" t="str">
        <f>""</f>
        <v/>
      </c>
      <c r="X50" s="48" t="str">
        <f>Master!F50</f>
        <v>Source 1</v>
      </c>
      <c r="Y50" s="62">
        <f>SUMIFS(N:N,R:R,X50)</f>
        <v>0</v>
      </c>
      <c r="Z50" s="63">
        <f t="shared" ref="Z50:Z58" si="25">COUNTIF(R:R,X50)</f>
        <v>0</v>
      </c>
      <c r="AA50" s="54">
        <f>IFERROR(COUNTIFS(R:R, X50)/COUNTA($R$2:$R$994), 0)</f>
        <v>0</v>
      </c>
      <c r="AD50" s="7"/>
      <c r="AE50" s="7"/>
      <c r="AL50" s="18" t="str">
        <f>IF(COUNTIF($A$2:A49, A49) = 1, A49, "")</f>
        <v/>
      </c>
    </row>
    <row r="51" spans="6:38" x14ac:dyDescent="0.2">
      <c r="F51" t="str">
        <f t="shared" si="15"/>
        <v/>
      </c>
      <c r="L51" s="7" t="str">
        <f t="shared" si="16"/>
        <v/>
      </c>
      <c r="N51" s="7" t="str">
        <f t="shared" si="17"/>
        <v/>
      </c>
      <c r="O51" t="str">
        <f t="shared" si="18"/>
        <v/>
      </c>
      <c r="P51" t="str">
        <f t="shared" si="24"/>
        <v/>
      </c>
      <c r="Q51" t="str">
        <f t="shared" si="20"/>
        <v/>
      </c>
      <c r="S51" t="str">
        <f>""</f>
        <v/>
      </c>
      <c r="X51" s="48" t="str">
        <f>Master!F51</f>
        <v>Source 2</v>
      </c>
      <c r="Y51" s="45">
        <f t="shared" ref="Y51:Y58" si="26">SUMIFS(N:N,R:R,X51)</f>
        <v>0</v>
      </c>
      <c r="Z51" s="64">
        <f t="shared" si="25"/>
        <v>0</v>
      </c>
      <c r="AA51" s="46">
        <f t="shared" ref="AA51:AA56" si="27">IFERROR(COUNTIFS(R:R, X51)/COUNTA($R$2:$R$994), 0)</f>
        <v>0</v>
      </c>
      <c r="AD51" s="7"/>
      <c r="AE51" s="7"/>
      <c r="AL51" s="18" t="str">
        <f>IF(COUNTIF($A$2:A50, A50) = 1, A50, "")</f>
        <v/>
      </c>
    </row>
    <row r="52" spans="6:38" x14ac:dyDescent="0.2">
      <c r="F52" t="str">
        <f t="shared" si="15"/>
        <v/>
      </c>
      <c r="L52" s="7" t="str">
        <f t="shared" si="16"/>
        <v/>
      </c>
      <c r="N52" s="7" t="str">
        <f t="shared" si="17"/>
        <v/>
      </c>
      <c r="O52" t="str">
        <f t="shared" si="18"/>
        <v/>
      </c>
      <c r="P52" t="str">
        <f t="shared" si="24"/>
        <v/>
      </c>
      <c r="Q52" t="str">
        <f t="shared" si="20"/>
        <v/>
      </c>
      <c r="S52" t="str">
        <f>""</f>
        <v/>
      </c>
      <c r="X52" s="48" t="str">
        <f>Master!F52</f>
        <v>Source 3</v>
      </c>
      <c r="Y52" s="45">
        <f t="shared" si="26"/>
        <v>0</v>
      </c>
      <c r="Z52" s="64">
        <f t="shared" si="25"/>
        <v>0</v>
      </c>
      <c r="AA52" s="46">
        <f t="shared" si="27"/>
        <v>0</v>
      </c>
      <c r="AD52" s="7"/>
      <c r="AE52" s="7"/>
      <c r="AL52" s="18" t="str">
        <f>IF(COUNTIF($A$2:A51, A51) = 1, A51, "")</f>
        <v/>
      </c>
    </row>
    <row r="53" spans="6:38" x14ac:dyDescent="0.2">
      <c r="F53" t="str">
        <f t="shared" si="15"/>
        <v/>
      </c>
      <c r="L53" s="7" t="str">
        <f t="shared" si="16"/>
        <v/>
      </c>
      <c r="N53" s="7" t="str">
        <f t="shared" si="17"/>
        <v/>
      </c>
      <c r="O53" t="str">
        <f t="shared" si="18"/>
        <v/>
      </c>
      <c r="P53" t="str">
        <f t="shared" si="24"/>
        <v/>
      </c>
      <c r="Q53" t="str">
        <f t="shared" si="20"/>
        <v/>
      </c>
      <c r="S53" t="str">
        <f>""</f>
        <v/>
      </c>
      <c r="X53" s="48" t="str">
        <f>Master!F53</f>
        <v>Source 4</v>
      </c>
      <c r="Y53" s="45">
        <f t="shared" si="26"/>
        <v>0</v>
      </c>
      <c r="Z53" s="64">
        <f t="shared" si="25"/>
        <v>0</v>
      </c>
      <c r="AA53" s="46">
        <f t="shared" si="27"/>
        <v>0</v>
      </c>
      <c r="AD53" s="7"/>
      <c r="AE53" s="7"/>
      <c r="AL53" s="18" t="str">
        <f>IF(COUNTIF($A$2:A52, A52) = 1, A52, "")</f>
        <v/>
      </c>
    </row>
    <row r="54" spans="6:38" x14ac:dyDescent="0.2">
      <c r="F54" t="str">
        <f t="shared" si="15"/>
        <v/>
      </c>
      <c r="L54" s="7" t="str">
        <f t="shared" si="16"/>
        <v/>
      </c>
      <c r="N54" s="7" t="str">
        <f t="shared" si="17"/>
        <v/>
      </c>
      <c r="O54" t="str">
        <f t="shared" si="18"/>
        <v/>
      </c>
      <c r="P54" t="str">
        <f t="shared" si="24"/>
        <v/>
      </c>
      <c r="Q54" t="str">
        <f t="shared" si="20"/>
        <v/>
      </c>
      <c r="S54" t="str">
        <f>""</f>
        <v/>
      </c>
      <c r="X54" s="48" t="str">
        <f>Master!F54</f>
        <v>Source 5</v>
      </c>
      <c r="Y54" s="45">
        <f t="shared" si="26"/>
        <v>0</v>
      </c>
      <c r="Z54" s="64">
        <f t="shared" si="25"/>
        <v>0</v>
      </c>
      <c r="AA54" s="46">
        <f t="shared" si="27"/>
        <v>0</v>
      </c>
      <c r="AD54" s="7"/>
      <c r="AE54" s="7"/>
      <c r="AL54" s="18" t="str">
        <f>IF(COUNTIF($A$2:A53, A53) = 1, A53, "")</f>
        <v/>
      </c>
    </row>
    <row r="55" spans="6:38" x14ac:dyDescent="0.2">
      <c r="F55" t="str">
        <f t="shared" si="15"/>
        <v/>
      </c>
      <c r="L55" s="7" t="str">
        <f t="shared" si="16"/>
        <v/>
      </c>
      <c r="N55" s="7" t="str">
        <f t="shared" si="17"/>
        <v/>
      </c>
      <c r="O55" t="str">
        <f t="shared" si="18"/>
        <v/>
      </c>
      <c r="P55" t="str">
        <f t="shared" si="24"/>
        <v/>
      </c>
      <c r="Q55" t="str">
        <f t="shared" si="20"/>
        <v/>
      </c>
      <c r="S55" t="str">
        <f>""</f>
        <v/>
      </c>
      <c r="X55" s="48" t="str">
        <f>Master!F55</f>
        <v>Source 6</v>
      </c>
      <c r="Y55" s="45">
        <f t="shared" si="26"/>
        <v>0</v>
      </c>
      <c r="Z55" s="64">
        <f t="shared" si="25"/>
        <v>0</v>
      </c>
      <c r="AA55" s="46">
        <f>IFERROR(COUNTIFS(R:R, X55)/COUNTA($R$2:$R$994), 0)</f>
        <v>0</v>
      </c>
      <c r="AD55" s="7"/>
      <c r="AE55" s="7"/>
      <c r="AL55" s="18" t="str">
        <f>IF(COUNTIF($A$2:A54, A54) = 1, A54, "")</f>
        <v/>
      </c>
    </row>
    <row r="56" spans="6:38" x14ac:dyDescent="0.2">
      <c r="F56" t="str">
        <f t="shared" si="15"/>
        <v/>
      </c>
      <c r="L56" s="7" t="str">
        <f t="shared" si="16"/>
        <v/>
      </c>
      <c r="N56" s="7" t="str">
        <f t="shared" si="17"/>
        <v/>
      </c>
      <c r="O56" t="str">
        <f t="shared" si="18"/>
        <v/>
      </c>
      <c r="P56" t="str">
        <f t="shared" si="24"/>
        <v/>
      </c>
      <c r="Q56" t="str">
        <f t="shared" si="20"/>
        <v/>
      </c>
      <c r="S56" t="str">
        <f>""</f>
        <v/>
      </c>
      <c r="X56" s="48" t="str">
        <f>Master!F56</f>
        <v>Source 7</v>
      </c>
      <c r="Y56" s="45">
        <f t="shared" si="26"/>
        <v>0</v>
      </c>
      <c r="Z56" s="64">
        <f t="shared" si="25"/>
        <v>0</v>
      </c>
      <c r="AA56" s="46">
        <f t="shared" si="27"/>
        <v>0</v>
      </c>
      <c r="AD56" s="7"/>
      <c r="AE56" s="7"/>
      <c r="AL56" s="18" t="str">
        <f>IF(COUNTIF($A$2:A55, A55) = 1, A55, "")</f>
        <v/>
      </c>
    </row>
    <row r="57" spans="6:38" x14ac:dyDescent="0.2">
      <c r="F57" t="str">
        <f t="shared" si="15"/>
        <v/>
      </c>
      <c r="L57" s="7" t="str">
        <f t="shared" si="16"/>
        <v/>
      </c>
      <c r="N57" s="7" t="str">
        <f t="shared" si="17"/>
        <v/>
      </c>
      <c r="O57" t="str">
        <f t="shared" si="18"/>
        <v/>
      </c>
      <c r="P57" t="str">
        <f t="shared" si="24"/>
        <v/>
      </c>
      <c r="Q57" t="str">
        <f t="shared" si="20"/>
        <v/>
      </c>
      <c r="S57" t="str">
        <f>""</f>
        <v/>
      </c>
      <c r="X57" s="48" t="str">
        <f>Master!F57</f>
        <v>Source 8</v>
      </c>
      <c r="Y57" s="45">
        <f t="shared" si="26"/>
        <v>0</v>
      </c>
      <c r="Z57" s="64">
        <f t="shared" si="25"/>
        <v>0</v>
      </c>
      <c r="AA57" s="46">
        <f>IFERROR(COUNTIFS(R:R, X57)/COUNTA($R$2:$R$994), 0)</f>
        <v>0</v>
      </c>
      <c r="AD57" s="7"/>
      <c r="AE57" s="7"/>
      <c r="AL57" s="18" t="str">
        <f>IF(COUNTIF($A$2:A56, A56) = 1, A56, "")</f>
        <v/>
      </c>
    </row>
    <row r="58" spans="6:38" ht="17" thickBot="1" x14ac:dyDescent="0.25">
      <c r="F58" t="str">
        <f t="shared" si="15"/>
        <v/>
      </c>
      <c r="L58" s="7" t="str">
        <f t="shared" si="16"/>
        <v/>
      </c>
      <c r="N58" s="7" t="str">
        <f t="shared" si="17"/>
        <v/>
      </c>
      <c r="O58" t="str">
        <f t="shared" si="18"/>
        <v/>
      </c>
      <c r="P58" t="str">
        <f t="shared" si="24"/>
        <v/>
      </c>
      <c r="Q58" t="str">
        <f t="shared" si="20"/>
        <v/>
      </c>
      <c r="S58" t="str">
        <f>""</f>
        <v/>
      </c>
      <c r="X58" s="49" t="s">
        <v>90</v>
      </c>
      <c r="Y58" s="44">
        <f t="shared" si="26"/>
        <v>0</v>
      </c>
      <c r="Z58" s="65">
        <f t="shared" si="25"/>
        <v>0</v>
      </c>
      <c r="AA58" s="53">
        <f>IFERROR(COUNTIFS(R:R, X58)/COUNTA($R$2:$R$994), 0)</f>
        <v>0</v>
      </c>
      <c r="AD58" s="7"/>
      <c r="AE58" s="7"/>
      <c r="AL58" s="18" t="str">
        <f>IF(COUNTIF($A$2:A57, A57) = 1, A57, "")</f>
        <v/>
      </c>
    </row>
    <row r="59" spans="6:38" x14ac:dyDescent="0.2">
      <c r="F59" t="str">
        <f t="shared" si="15"/>
        <v/>
      </c>
      <c r="L59" s="7" t="str">
        <f t="shared" si="16"/>
        <v/>
      </c>
      <c r="N59" s="7" t="str">
        <f t="shared" si="17"/>
        <v/>
      </c>
      <c r="O59" t="str">
        <f t="shared" si="18"/>
        <v/>
      </c>
      <c r="P59" t="str">
        <f t="shared" si="24"/>
        <v/>
      </c>
      <c r="Q59" t="str">
        <f t="shared" si="20"/>
        <v/>
      </c>
      <c r="S59" t="str">
        <f>""</f>
        <v/>
      </c>
      <c r="AL59" s="18" t="str">
        <f>IF(COUNTIF($A$2:A58, A58) = 1, A58, "")</f>
        <v/>
      </c>
    </row>
    <row r="60" spans="6:38" x14ac:dyDescent="0.2">
      <c r="F60" t="str">
        <f t="shared" si="15"/>
        <v/>
      </c>
      <c r="L60" s="7" t="str">
        <f t="shared" si="16"/>
        <v/>
      </c>
      <c r="N60" s="7" t="str">
        <f t="shared" si="17"/>
        <v/>
      </c>
      <c r="O60" t="str">
        <f t="shared" si="18"/>
        <v/>
      </c>
      <c r="P60" t="str">
        <f t="shared" si="24"/>
        <v/>
      </c>
      <c r="Q60" t="str">
        <f t="shared" si="20"/>
        <v/>
      </c>
      <c r="S60" t="str">
        <f>""</f>
        <v/>
      </c>
      <c r="AL60" s="18" t="str">
        <f>IF(COUNTIF($A$2:A59, A59) = 1, A59, "")</f>
        <v/>
      </c>
    </row>
    <row r="61" spans="6:38" x14ac:dyDescent="0.2">
      <c r="F61" t="str">
        <f t="shared" si="15"/>
        <v/>
      </c>
      <c r="L61" s="7" t="str">
        <f t="shared" si="16"/>
        <v/>
      </c>
      <c r="N61" s="7" t="str">
        <f t="shared" si="17"/>
        <v/>
      </c>
      <c r="O61" t="str">
        <f t="shared" si="18"/>
        <v/>
      </c>
      <c r="P61" t="str">
        <f t="shared" si="24"/>
        <v/>
      </c>
      <c r="Q61" t="str">
        <f t="shared" si="20"/>
        <v/>
      </c>
      <c r="S61" t="str">
        <f>""</f>
        <v/>
      </c>
      <c r="AL61" s="18" t="str">
        <f>IF(COUNTIF($A$2:A60, A60) = 1, A60, "")</f>
        <v/>
      </c>
    </row>
    <row r="62" spans="6:38" x14ac:dyDescent="0.2">
      <c r="F62" t="str">
        <f t="shared" si="15"/>
        <v/>
      </c>
      <c r="L62" s="7" t="str">
        <f t="shared" si="16"/>
        <v/>
      </c>
      <c r="N62" s="7" t="str">
        <f t="shared" si="17"/>
        <v/>
      </c>
      <c r="O62" t="str">
        <f t="shared" si="18"/>
        <v/>
      </c>
      <c r="P62" t="str">
        <f t="shared" si="24"/>
        <v/>
      </c>
      <c r="Q62" t="str">
        <f t="shared" si="20"/>
        <v/>
      </c>
      <c r="S62" t="str">
        <f>""</f>
        <v/>
      </c>
      <c r="AL62" s="18" t="str">
        <f>IF(COUNTIF($A$2:A61, A61) = 1, A61, "")</f>
        <v/>
      </c>
    </row>
    <row r="63" spans="6:38" x14ac:dyDescent="0.2">
      <c r="F63" t="str">
        <f t="shared" si="15"/>
        <v/>
      </c>
      <c r="L63" s="7" t="str">
        <f t="shared" si="16"/>
        <v/>
      </c>
      <c r="N63" s="7" t="str">
        <f t="shared" si="17"/>
        <v/>
      </c>
      <c r="O63" t="str">
        <f t="shared" si="18"/>
        <v/>
      </c>
      <c r="P63" t="str">
        <f t="shared" si="24"/>
        <v/>
      </c>
      <c r="Q63" t="str">
        <f t="shared" si="20"/>
        <v/>
      </c>
      <c r="S63" t="str">
        <f>""</f>
        <v/>
      </c>
      <c r="AL63" s="18" t="str">
        <f>IF(COUNTIF($A$2:A62, A62) = 1, A62, "")</f>
        <v/>
      </c>
    </row>
    <row r="64" spans="6:38" x14ac:dyDescent="0.2">
      <c r="F64" t="str">
        <f t="shared" si="15"/>
        <v/>
      </c>
      <c r="L64" s="7" t="str">
        <f t="shared" si="16"/>
        <v/>
      </c>
      <c r="N64" s="7" t="str">
        <f t="shared" si="17"/>
        <v/>
      </c>
      <c r="O64" t="str">
        <f t="shared" si="18"/>
        <v/>
      </c>
      <c r="P64" t="str">
        <f t="shared" si="24"/>
        <v/>
      </c>
      <c r="Q64" t="str">
        <f t="shared" si="20"/>
        <v/>
      </c>
      <c r="S64" t="str">
        <f>""</f>
        <v/>
      </c>
      <c r="AL64" s="18" t="str">
        <f>IF(COUNTIF($A$2:A63, A63) = 1, A63, "")</f>
        <v/>
      </c>
    </row>
    <row r="65" spans="6:38" x14ac:dyDescent="0.2">
      <c r="F65" t="str">
        <f t="shared" si="15"/>
        <v/>
      </c>
      <c r="L65" s="7" t="str">
        <f t="shared" si="16"/>
        <v/>
      </c>
      <c r="N65" s="7" t="str">
        <f t="shared" si="17"/>
        <v/>
      </c>
      <c r="O65" t="str">
        <f t="shared" si="18"/>
        <v/>
      </c>
      <c r="P65" t="str">
        <f t="shared" si="24"/>
        <v/>
      </c>
      <c r="Q65" t="str">
        <f t="shared" si="20"/>
        <v/>
      </c>
      <c r="S65" t="str">
        <f>""</f>
        <v/>
      </c>
      <c r="AL65" s="18" t="str">
        <f>IF(COUNTIF($A$2:A64, A64) = 1, A64, "")</f>
        <v/>
      </c>
    </row>
    <row r="66" spans="6:38" x14ac:dyDescent="0.2">
      <c r="F66" t="str">
        <f t="shared" ref="F66:F129" si="28">IF(OR(O66="", P66=""), "", SUM(IF((O66&lt;&gt;"None")*(O66&lt;&gt;""),LEN(O66)-LEN(SUBSTITUTE(O66,",",""))+1,0)) + SUM(IF((P66&lt;&gt;"None")*(P66&lt;&gt;""),LEN(P66)-LEN(SUBSTITUTE(P66,",",""))+1,0)))</f>
        <v/>
      </c>
      <c r="L66" s="7" t="str">
        <f t="shared" ref="L66:L129" si="29">IF(LEN(E66)=0, "", IFERROR(IF(E66&gt;=0, K66 * (1 + E66/100) - K66, K66 / (ABS(E66)/100))+K66, ""))</f>
        <v/>
      </c>
      <c r="N66" s="7" t="str">
        <f t="shared" ref="N66:N129" si="30">IF(M66="Yes",L66-K66,IF(M66="No",-K66,""))</f>
        <v/>
      </c>
      <c r="O66" t="str">
        <f t="shared" ref="O66:O129" si="31">IF(AND(G66="No",H66="No"), "None", "")</f>
        <v/>
      </c>
      <c r="P66" t="str">
        <f t="shared" si="24"/>
        <v/>
      </c>
      <c r="Q66" t="str">
        <f t="shared" ref="Q66:Q129" si="32">IF(AND(D66="Straight", M66 = "No"),IF(O66="None",P66,IF(P66="None",O66) ),"")</f>
        <v/>
      </c>
      <c r="S66" t="str">
        <f>""</f>
        <v/>
      </c>
      <c r="AL66" s="18" t="str">
        <f>IF(COUNTIF($A$2:A65, A65) = 1, A65, "")</f>
        <v/>
      </c>
    </row>
    <row r="67" spans="6:38" x14ac:dyDescent="0.2">
      <c r="F67" t="str">
        <f t="shared" si="28"/>
        <v/>
      </c>
      <c r="L67" s="7" t="str">
        <f t="shared" si="29"/>
        <v/>
      </c>
      <c r="N67" s="7" t="str">
        <f t="shared" si="30"/>
        <v/>
      </c>
      <c r="O67" t="str">
        <f t="shared" si="31"/>
        <v/>
      </c>
      <c r="P67" t="str">
        <f t="shared" si="24"/>
        <v/>
      </c>
      <c r="Q67" t="str">
        <f t="shared" si="32"/>
        <v/>
      </c>
      <c r="S67" t="str">
        <f>""</f>
        <v/>
      </c>
      <c r="AL67" s="18" t="str">
        <f>IF(COUNTIF($A$2:A66, A66) = 1, A66, "")</f>
        <v/>
      </c>
    </row>
    <row r="68" spans="6:38" x14ac:dyDescent="0.2">
      <c r="F68" t="str">
        <f t="shared" si="28"/>
        <v/>
      </c>
      <c r="L68" s="7" t="str">
        <f t="shared" si="29"/>
        <v/>
      </c>
      <c r="N68" s="7" t="str">
        <f t="shared" si="30"/>
        <v/>
      </c>
      <c r="O68" t="str">
        <f t="shared" si="31"/>
        <v/>
      </c>
      <c r="P68" t="str">
        <f t="shared" si="24"/>
        <v/>
      </c>
      <c r="Q68" t="str">
        <f t="shared" si="32"/>
        <v/>
      </c>
      <c r="S68" t="str">
        <f>""</f>
        <v/>
      </c>
      <c r="AL68" s="18" t="str">
        <f>IF(COUNTIF($A$2:A67, A67) = 1, A67, "")</f>
        <v/>
      </c>
    </row>
    <row r="69" spans="6:38" x14ac:dyDescent="0.2">
      <c r="F69" t="str">
        <f t="shared" si="28"/>
        <v/>
      </c>
      <c r="L69" s="7" t="str">
        <f t="shared" si="29"/>
        <v/>
      </c>
      <c r="N69" s="7" t="str">
        <f t="shared" si="30"/>
        <v/>
      </c>
      <c r="O69" t="str">
        <f t="shared" si="31"/>
        <v/>
      </c>
      <c r="P69" t="str">
        <f t="shared" si="24"/>
        <v/>
      </c>
      <c r="Q69" t="str">
        <f t="shared" si="32"/>
        <v/>
      </c>
      <c r="S69" t="str">
        <f>""</f>
        <v/>
      </c>
      <c r="AL69" s="18" t="str">
        <f>IF(COUNTIF($A$2:A68, A68) = 1, A68, "")</f>
        <v/>
      </c>
    </row>
    <row r="70" spans="6:38" x14ac:dyDescent="0.2">
      <c r="F70" t="str">
        <f t="shared" si="28"/>
        <v/>
      </c>
      <c r="L70" s="7" t="str">
        <f t="shared" si="29"/>
        <v/>
      </c>
      <c r="N70" s="7" t="str">
        <f t="shared" si="30"/>
        <v/>
      </c>
      <c r="O70" t="str">
        <f t="shared" si="31"/>
        <v/>
      </c>
      <c r="P70" t="str">
        <f t="shared" si="24"/>
        <v/>
      </c>
      <c r="Q70" t="str">
        <f t="shared" si="32"/>
        <v/>
      </c>
      <c r="S70" t="str">
        <f>""</f>
        <v/>
      </c>
      <c r="AL70" s="18" t="str">
        <f>IF(COUNTIF($A$2:A69, A69) = 1, A69, "")</f>
        <v/>
      </c>
    </row>
    <row r="71" spans="6:38" x14ac:dyDescent="0.2">
      <c r="F71" t="str">
        <f t="shared" si="28"/>
        <v/>
      </c>
      <c r="L71" s="7" t="str">
        <f t="shared" si="29"/>
        <v/>
      </c>
      <c r="N71" s="7" t="str">
        <f t="shared" si="30"/>
        <v/>
      </c>
      <c r="O71" t="str">
        <f t="shared" si="31"/>
        <v/>
      </c>
      <c r="P71" t="str">
        <f t="shared" si="24"/>
        <v/>
      </c>
      <c r="Q71" t="str">
        <f t="shared" si="32"/>
        <v/>
      </c>
      <c r="S71" t="str">
        <f>""</f>
        <v/>
      </c>
      <c r="AL71" s="18" t="str">
        <f>IF(COUNTIF($A$2:A70, A70) = 1, A70, "")</f>
        <v/>
      </c>
    </row>
    <row r="72" spans="6:38" x14ac:dyDescent="0.2">
      <c r="F72" t="str">
        <f t="shared" si="28"/>
        <v/>
      </c>
      <c r="L72" s="7" t="str">
        <f t="shared" si="29"/>
        <v/>
      </c>
      <c r="N72" s="7" t="str">
        <f t="shared" si="30"/>
        <v/>
      </c>
      <c r="O72" t="str">
        <f t="shared" si="31"/>
        <v/>
      </c>
      <c r="P72" t="str">
        <f t="shared" si="24"/>
        <v/>
      </c>
      <c r="Q72" t="str">
        <f t="shared" si="32"/>
        <v/>
      </c>
      <c r="S72" t="str">
        <f>""</f>
        <v/>
      </c>
      <c r="AL72" s="18" t="str">
        <f>IF(COUNTIF($A$2:A71, A71) = 1, A71, "")</f>
        <v/>
      </c>
    </row>
    <row r="73" spans="6:38" x14ac:dyDescent="0.2">
      <c r="F73" t="str">
        <f t="shared" si="28"/>
        <v/>
      </c>
      <c r="L73" s="7" t="str">
        <f t="shared" si="29"/>
        <v/>
      </c>
      <c r="N73" s="7" t="str">
        <f t="shared" si="30"/>
        <v/>
      </c>
      <c r="O73" t="str">
        <f t="shared" si="31"/>
        <v/>
      </c>
      <c r="P73" t="str">
        <f t="shared" si="24"/>
        <v/>
      </c>
      <c r="Q73" t="str">
        <f t="shared" si="32"/>
        <v/>
      </c>
      <c r="S73" t="str">
        <f>""</f>
        <v/>
      </c>
      <c r="AL73" s="18" t="str">
        <f>IF(COUNTIF($A$2:A72, A72) = 1, A72, "")</f>
        <v/>
      </c>
    </row>
    <row r="74" spans="6:38" x14ac:dyDescent="0.2">
      <c r="F74" t="str">
        <f t="shared" si="28"/>
        <v/>
      </c>
      <c r="L74" s="7" t="str">
        <f t="shared" si="29"/>
        <v/>
      </c>
      <c r="N74" s="7" t="str">
        <f t="shared" si="30"/>
        <v/>
      </c>
      <c r="O74" t="str">
        <f t="shared" si="31"/>
        <v/>
      </c>
      <c r="P74" t="str">
        <f t="shared" si="24"/>
        <v/>
      </c>
      <c r="Q74" t="str">
        <f t="shared" si="32"/>
        <v/>
      </c>
      <c r="S74" t="str">
        <f>""</f>
        <v/>
      </c>
      <c r="AL74" s="18" t="str">
        <f>IF(COUNTIF($A$2:A73, A73) = 1, A73, "")</f>
        <v/>
      </c>
    </row>
    <row r="75" spans="6:38" x14ac:dyDescent="0.2">
      <c r="F75" t="str">
        <f t="shared" si="28"/>
        <v/>
      </c>
      <c r="L75" s="7" t="str">
        <f t="shared" si="29"/>
        <v/>
      </c>
      <c r="N75" s="7" t="str">
        <f t="shared" si="30"/>
        <v/>
      </c>
      <c r="O75" t="str">
        <f t="shared" si="31"/>
        <v/>
      </c>
      <c r="P75" t="str">
        <f t="shared" si="24"/>
        <v/>
      </c>
      <c r="Q75" t="str">
        <f t="shared" si="32"/>
        <v/>
      </c>
      <c r="S75" t="str">
        <f>""</f>
        <v/>
      </c>
      <c r="AL75" s="18" t="str">
        <f>IF(COUNTIF($A$2:A74, A74) = 1, A74, "")</f>
        <v/>
      </c>
    </row>
    <row r="76" spans="6:38" x14ac:dyDescent="0.2">
      <c r="F76" t="str">
        <f t="shared" si="28"/>
        <v/>
      </c>
      <c r="L76" s="7" t="str">
        <f t="shared" si="29"/>
        <v/>
      </c>
      <c r="N76" s="7" t="str">
        <f t="shared" si="30"/>
        <v/>
      </c>
      <c r="O76" t="str">
        <f t="shared" si="31"/>
        <v/>
      </c>
      <c r="P76" t="str">
        <f t="shared" si="24"/>
        <v/>
      </c>
      <c r="Q76" t="str">
        <f t="shared" si="32"/>
        <v/>
      </c>
      <c r="S76" t="str">
        <f>""</f>
        <v/>
      </c>
      <c r="AL76" s="18" t="str">
        <f>IF(COUNTIF($A$2:A75, A75) = 1, A75, "")</f>
        <v/>
      </c>
    </row>
    <row r="77" spans="6:38" x14ac:dyDescent="0.2">
      <c r="F77" t="str">
        <f t="shared" si="28"/>
        <v/>
      </c>
      <c r="L77" s="7" t="str">
        <f t="shared" si="29"/>
        <v/>
      </c>
      <c r="N77" s="7" t="str">
        <f t="shared" si="30"/>
        <v/>
      </c>
      <c r="O77" t="str">
        <f t="shared" si="31"/>
        <v/>
      </c>
      <c r="P77" t="str">
        <f t="shared" si="24"/>
        <v/>
      </c>
      <c r="Q77" t="str">
        <f t="shared" si="32"/>
        <v/>
      </c>
      <c r="S77" t="str">
        <f>""</f>
        <v/>
      </c>
      <c r="AL77" s="18" t="str">
        <f>IF(COUNTIF($A$2:A76, A76) = 1, A76, "")</f>
        <v/>
      </c>
    </row>
    <row r="78" spans="6:38" x14ac:dyDescent="0.2">
      <c r="F78" t="str">
        <f t="shared" si="28"/>
        <v/>
      </c>
      <c r="L78" s="7" t="str">
        <f t="shared" si="29"/>
        <v/>
      </c>
      <c r="N78" s="7" t="str">
        <f t="shared" si="30"/>
        <v/>
      </c>
      <c r="O78" t="str">
        <f t="shared" si="31"/>
        <v/>
      </c>
      <c r="P78" t="str">
        <f t="shared" si="24"/>
        <v/>
      </c>
      <c r="Q78" t="str">
        <f t="shared" si="32"/>
        <v/>
      </c>
      <c r="S78" t="str">
        <f>""</f>
        <v/>
      </c>
      <c r="AL78" s="18" t="str">
        <f>IF(COUNTIF($A$2:A77, A77) = 1, A77, "")</f>
        <v/>
      </c>
    </row>
    <row r="79" spans="6:38" x14ac:dyDescent="0.2">
      <c r="F79" t="str">
        <f t="shared" si="28"/>
        <v/>
      </c>
      <c r="L79" s="7" t="str">
        <f t="shared" si="29"/>
        <v/>
      </c>
      <c r="N79" s="7" t="str">
        <f t="shared" si="30"/>
        <v/>
      </c>
      <c r="O79" t="str">
        <f t="shared" si="31"/>
        <v/>
      </c>
      <c r="P79" t="str">
        <f t="shared" si="24"/>
        <v/>
      </c>
      <c r="Q79" t="str">
        <f t="shared" si="32"/>
        <v/>
      </c>
      <c r="S79" t="str">
        <f>""</f>
        <v/>
      </c>
      <c r="AL79" s="18" t="str">
        <f>IF(COUNTIF($A$2:A78, A78) = 1, A78, "")</f>
        <v/>
      </c>
    </row>
    <row r="80" spans="6:38" x14ac:dyDescent="0.2">
      <c r="F80" t="str">
        <f t="shared" si="28"/>
        <v/>
      </c>
      <c r="L80" s="7" t="str">
        <f t="shared" si="29"/>
        <v/>
      </c>
      <c r="N80" s="7" t="str">
        <f t="shared" si="30"/>
        <v/>
      </c>
      <c r="O80" t="str">
        <f t="shared" si="31"/>
        <v/>
      </c>
      <c r="P80" t="str">
        <f t="shared" si="24"/>
        <v/>
      </c>
      <c r="Q80" t="str">
        <f t="shared" si="32"/>
        <v/>
      </c>
      <c r="S80" t="str">
        <f>""</f>
        <v/>
      </c>
      <c r="AL80" s="18" t="str">
        <f>IF(COUNTIF($A$2:A79, A79) = 1, A79, "")</f>
        <v/>
      </c>
    </row>
    <row r="81" spans="6:38" x14ac:dyDescent="0.2">
      <c r="F81" t="str">
        <f t="shared" si="28"/>
        <v/>
      </c>
      <c r="L81" s="7" t="str">
        <f t="shared" si="29"/>
        <v/>
      </c>
      <c r="N81" s="7" t="str">
        <f t="shared" si="30"/>
        <v/>
      </c>
      <c r="O81" t="str">
        <f t="shared" si="31"/>
        <v/>
      </c>
      <c r="P81" t="str">
        <f t="shared" si="24"/>
        <v/>
      </c>
      <c r="Q81" t="str">
        <f t="shared" si="32"/>
        <v/>
      </c>
      <c r="S81" t="str">
        <f>""</f>
        <v/>
      </c>
      <c r="AL81" s="18" t="str">
        <f>IF(COUNTIF($A$2:A80, A80) = 1, A80, "")</f>
        <v/>
      </c>
    </row>
    <row r="82" spans="6:38" x14ac:dyDescent="0.2">
      <c r="F82" t="str">
        <f t="shared" si="28"/>
        <v/>
      </c>
      <c r="L82" s="7" t="str">
        <f t="shared" si="29"/>
        <v/>
      </c>
      <c r="N82" s="7" t="str">
        <f t="shared" si="30"/>
        <v/>
      </c>
      <c r="O82" t="str">
        <f t="shared" si="31"/>
        <v/>
      </c>
      <c r="P82" t="str">
        <f t="shared" si="24"/>
        <v/>
      </c>
      <c r="Q82" t="str">
        <f t="shared" si="32"/>
        <v/>
      </c>
      <c r="S82" t="str">
        <f>""</f>
        <v/>
      </c>
      <c r="AL82" s="18" t="str">
        <f>IF(COUNTIF($A$2:A81, A81) = 1, A81, "")</f>
        <v/>
      </c>
    </row>
    <row r="83" spans="6:38" x14ac:dyDescent="0.2">
      <c r="F83" t="str">
        <f t="shared" si="28"/>
        <v/>
      </c>
      <c r="L83" s="7" t="str">
        <f t="shared" si="29"/>
        <v/>
      </c>
      <c r="N83" s="7" t="str">
        <f t="shared" si="30"/>
        <v/>
      </c>
      <c r="O83" t="str">
        <f t="shared" si="31"/>
        <v/>
      </c>
      <c r="P83" t="str">
        <f t="shared" ref="P83:P143" si="33">IF(I83="No", "None", "")</f>
        <v/>
      </c>
      <c r="Q83" t="str">
        <f t="shared" si="32"/>
        <v/>
      </c>
      <c r="S83" t="str">
        <f>""</f>
        <v/>
      </c>
      <c r="AL83" s="18" t="str">
        <f>IF(COUNTIF($A$2:A82, A82) = 1, A82, "")</f>
        <v/>
      </c>
    </row>
    <row r="84" spans="6:38" x14ac:dyDescent="0.2">
      <c r="F84" t="str">
        <f t="shared" si="28"/>
        <v/>
      </c>
      <c r="L84" s="7" t="str">
        <f t="shared" si="29"/>
        <v/>
      </c>
      <c r="N84" s="7" t="str">
        <f t="shared" si="30"/>
        <v/>
      </c>
      <c r="O84" t="str">
        <f t="shared" si="31"/>
        <v/>
      </c>
      <c r="P84" t="str">
        <f t="shared" si="33"/>
        <v/>
      </c>
      <c r="Q84" t="str">
        <f t="shared" si="32"/>
        <v/>
      </c>
      <c r="S84" t="str">
        <f>""</f>
        <v/>
      </c>
      <c r="AL84" s="18" t="str">
        <f>IF(COUNTIF($A$2:A83, A83) = 1, A83, "")</f>
        <v/>
      </c>
    </row>
    <row r="85" spans="6:38" x14ac:dyDescent="0.2">
      <c r="F85" t="str">
        <f t="shared" si="28"/>
        <v/>
      </c>
      <c r="L85" s="7" t="str">
        <f t="shared" si="29"/>
        <v/>
      </c>
      <c r="N85" s="7" t="str">
        <f t="shared" si="30"/>
        <v/>
      </c>
      <c r="O85" t="str">
        <f t="shared" si="31"/>
        <v/>
      </c>
      <c r="P85" t="str">
        <f t="shared" si="33"/>
        <v/>
      </c>
      <c r="Q85" t="str">
        <f t="shared" si="32"/>
        <v/>
      </c>
      <c r="S85" t="str">
        <f>""</f>
        <v/>
      </c>
      <c r="AL85" s="18" t="str">
        <f>IF(COUNTIF($A$2:A84, A84) = 1, A84, "")</f>
        <v/>
      </c>
    </row>
    <row r="86" spans="6:38" x14ac:dyDescent="0.2">
      <c r="F86" t="str">
        <f t="shared" si="28"/>
        <v/>
      </c>
      <c r="L86" s="7" t="str">
        <f t="shared" si="29"/>
        <v/>
      </c>
      <c r="N86" s="7" t="str">
        <f t="shared" si="30"/>
        <v/>
      </c>
      <c r="O86" t="str">
        <f t="shared" si="31"/>
        <v/>
      </c>
      <c r="P86" t="str">
        <f t="shared" si="33"/>
        <v/>
      </c>
      <c r="Q86" t="str">
        <f t="shared" si="32"/>
        <v/>
      </c>
      <c r="S86" t="str">
        <f>""</f>
        <v/>
      </c>
      <c r="AL86" s="18" t="str">
        <f>IF(COUNTIF($A$2:A85, A85) = 1, A85, "")</f>
        <v/>
      </c>
    </row>
    <row r="87" spans="6:38" x14ac:dyDescent="0.2">
      <c r="F87" t="str">
        <f t="shared" si="28"/>
        <v/>
      </c>
      <c r="L87" s="7" t="str">
        <f t="shared" si="29"/>
        <v/>
      </c>
      <c r="N87" s="7" t="str">
        <f t="shared" si="30"/>
        <v/>
      </c>
      <c r="O87" t="str">
        <f t="shared" si="31"/>
        <v/>
      </c>
      <c r="P87" t="str">
        <f t="shared" si="33"/>
        <v/>
      </c>
      <c r="Q87" t="str">
        <f t="shared" si="32"/>
        <v/>
      </c>
      <c r="S87" t="str">
        <f>""</f>
        <v/>
      </c>
      <c r="AL87" s="18" t="str">
        <f>IF(COUNTIF($A$2:A86, A86) = 1, A86, "")</f>
        <v/>
      </c>
    </row>
    <row r="88" spans="6:38" x14ac:dyDescent="0.2">
      <c r="F88" t="str">
        <f t="shared" si="28"/>
        <v/>
      </c>
      <c r="L88" s="7" t="str">
        <f t="shared" si="29"/>
        <v/>
      </c>
      <c r="N88" s="7" t="str">
        <f t="shared" si="30"/>
        <v/>
      </c>
      <c r="O88" t="str">
        <f t="shared" si="31"/>
        <v/>
      </c>
      <c r="P88" t="str">
        <f t="shared" si="33"/>
        <v/>
      </c>
      <c r="Q88" t="str">
        <f t="shared" si="32"/>
        <v/>
      </c>
      <c r="S88" t="str">
        <f>""</f>
        <v/>
      </c>
      <c r="AL88" s="18" t="str">
        <f>IF(COUNTIF($A$2:A87, A87) = 1, A87, "")</f>
        <v/>
      </c>
    </row>
    <row r="89" spans="6:38" x14ac:dyDescent="0.2">
      <c r="F89" t="str">
        <f t="shared" si="28"/>
        <v/>
      </c>
      <c r="L89" s="7" t="str">
        <f t="shared" si="29"/>
        <v/>
      </c>
      <c r="N89" s="7" t="str">
        <f t="shared" si="30"/>
        <v/>
      </c>
      <c r="O89" t="str">
        <f t="shared" si="31"/>
        <v/>
      </c>
      <c r="P89" t="str">
        <f t="shared" si="33"/>
        <v/>
      </c>
      <c r="Q89" t="str">
        <f t="shared" si="32"/>
        <v/>
      </c>
      <c r="S89" t="str">
        <f>""</f>
        <v/>
      </c>
      <c r="AL89" s="18" t="str">
        <f>IF(COUNTIF($A$2:A88, A88) = 1, A88, "")</f>
        <v/>
      </c>
    </row>
    <row r="90" spans="6:38" x14ac:dyDescent="0.2">
      <c r="F90" t="str">
        <f t="shared" si="28"/>
        <v/>
      </c>
      <c r="L90" s="7" t="str">
        <f t="shared" si="29"/>
        <v/>
      </c>
      <c r="N90" s="7" t="str">
        <f t="shared" si="30"/>
        <v/>
      </c>
      <c r="O90" t="str">
        <f t="shared" si="31"/>
        <v/>
      </c>
      <c r="P90" t="str">
        <f t="shared" si="33"/>
        <v/>
      </c>
      <c r="Q90" t="str">
        <f t="shared" si="32"/>
        <v/>
      </c>
      <c r="S90" t="str">
        <f>""</f>
        <v/>
      </c>
      <c r="AL90" s="18" t="str">
        <f>IF(COUNTIF($A$2:A89, A89) = 1, A89, "")</f>
        <v/>
      </c>
    </row>
    <row r="91" spans="6:38" x14ac:dyDescent="0.2">
      <c r="F91" t="str">
        <f t="shared" si="28"/>
        <v/>
      </c>
      <c r="L91" s="7" t="str">
        <f t="shared" si="29"/>
        <v/>
      </c>
      <c r="N91" s="7" t="str">
        <f t="shared" si="30"/>
        <v/>
      </c>
      <c r="O91" t="str">
        <f t="shared" si="31"/>
        <v/>
      </c>
      <c r="P91" t="str">
        <f t="shared" si="33"/>
        <v/>
      </c>
      <c r="Q91" t="str">
        <f t="shared" si="32"/>
        <v/>
      </c>
      <c r="S91" t="str">
        <f>""</f>
        <v/>
      </c>
      <c r="AL91" s="18" t="str">
        <f>IF(COUNTIF($A$2:A90, A90) = 1, A90, "")</f>
        <v/>
      </c>
    </row>
    <row r="92" spans="6:38" x14ac:dyDescent="0.2">
      <c r="F92" t="str">
        <f t="shared" si="28"/>
        <v/>
      </c>
      <c r="L92" s="7" t="str">
        <f t="shared" si="29"/>
        <v/>
      </c>
      <c r="N92" s="7" t="str">
        <f t="shared" si="30"/>
        <v/>
      </c>
      <c r="O92" t="str">
        <f t="shared" si="31"/>
        <v/>
      </c>
      <c r="P92" t="str">
        <f t="shared" si="33"/>
        <v/>
      </c>
      <c r="Q92" t="str">
        <f t="shared" si="32"/>
        <v/>
      </c>
      <c r="S92" t="str">
        <f>""</f>
        <v/>
      </c>
      <c r="AL92" s="18" t="str">
        <f>IF(COUNTIF($A$2:A91, A91) = 1, A91, "")</f>
        <v/>
      </c>
    </row>
    <row r="93" spans="6:38" x14ac:dyDescent="0.2">
      <c r="F93" t="str">
        <f t="shared" si="28"/>
        <v/>
      </c>
      <c r="L93" s="7" t="str">
        <f t="shared" si="29"/>
        <v/>
      </c>
      <c r="N93" s="7" t="str">
        <f t="shared" si="30"/>
        <v/>
      </c>
      <c r="O93" t="str">
        <f t="shared" si="31"/>
        <v/>
      </c>
      <c r="P93" t="str">
        <f t="shared" si="33"/>
        <v/>
      </c>
      <c r="Q93" t="str">
        <f t="shared" si="32"/>
        <v/>
      </c>
      <c r="S93" t="str">
        <f>""</f>
        <v/>
      </c>
      <c r="AL93" s="18" t="str">
        <f>IF(COUNTIF($A$2:A92, A92) = 1, A92, "")</f>
        <v/>
      </c>
    </row>
    <row r="94" spans="6:38" x14ac:dyDescent="0.2">
      <c r="F94" t="str">
        <f t="shared" si="28"/>
        <v/>
      </c>
      <c r="L94" s="7" t="str">
        <f t="shared" si="29"/>
        <v/>
      </c>
      <c r="N94" s="7" t="str">
        <f t="shared" si="30"/>
        <v/>
      </c>
      <c r="O94" t="str">
        <f t="shared" si="31"/>
        <v/>
      </c>
      <c r="P94" t="str">
        <f t="shared" si="33"/>
        <v/>
      </c>
      <c r="Q94" t="str">
        <f t="shared" si="32"/>
        <v/>
      </c>
      <c r="S94" t="str">
        <f>""</f>
        <v/>
      </c>
      <c r="AL94" s="18" t="str">
        <f>IF(COUNTIF($A$2:A93, A93) = 1, A93, "")</f>
        <v/>
      </c>
    </row>
    <row r="95" spans="6:38" x14ac:dyDescent="0.2">
      <c r="F95" t="str">
        <f t="shared" si="28"/>
        <v/>
      </c>
      <c r="L95" s="7" t="str">
        <f t="shared" si="29"/>
        <v/>
      </c>
      <c r="N95" s="7" t="str">
        <f t="shared" si="30"/>
        <v/>
      </c>
      <c r="O95" t="str">
        <f t="shared" si="31"/>
        <v/>
      </c>
      <c r="P95" t="str">
        <f t="shared" si="33"/>
        <v/>
      </c>
      <c r="Q95" t="str">
        <f t="shared" si="32"/>
        <v/>
      </c>
      <c r="S95" t="str">
        <f>""</f>
        <v/>
      </c>
      <c r="AL95" s="18" t="str">
        <f>IF(COUNTIF($A$2:A94, A94) = 1, A94, "")</f>
        <v/>
      </c>
    </row>
    <row r="96" spans="6:38" x14ac:dyDescent="0.2">
      <c r="F96" t="str">
        <f t="shared" si="28"/>
        <v/>
      </c>
      <c r="L96" s="7" t="str">
        <f t="shared" si="29"/>
        <v/>
      </c>
      <c r="N96" s="7" t="str">
        <f t="shared" si="30"/>
        <v/>
      </c>
      <c r="O96" t="str">
        <f t="shared" si="31"/>
        <v/>
      </c>
      <c r="P96" t="str">
        <f t="shared" si="33"/>
        <v/>
      </c>
      <c r="Q96" t="str">
        <f t="shared" si="32"/>
        <v/>
      </c>
      <c r="S96" t="str">
        <f>""</f>
        <v/>
      </c>
      <c r="AL96" s="18" t="str">
        <f>IF(COUNTIF($A$2:A95, A95) = 1, A95, "")</f>
        <v/>
      </c>
    </row>
    <row r="97" spans="6:38" x14ac:dyDescent="0.2">
      <c r="F97" t="str">
        <f t="shared" si="28"/>
        <v/>
      </c>
      <c r="L97" s="7" t="str">
        <f t="shared" si="29"/>
        <v/>
      </c>
      <c r="N97" s="7" t="str">
        <f t="shared" si="30"/>
        <v/>
      </c>
      <c r="O97" t="str">
        <f t="shared" si="31"/>
        <v/>
      </c>
      <c r="P97" t="str">
        <f t="shared" si="33"/>
        <v/>
      </c>
      <c r="Q97" t="str">
        <f t="shared" si="32"/>
        <v/>
      </c>
      <c r="S97" t="str">
        <f>""</f>
        <v/>
      </c>
      <c r="AL97" s="18" t="str">
        <f>IF(COUNTIF($A$2:A96, A96) = 1, A96, "")</f>
        <v/>
      </c>
    </row>
    <row r="98" spans="6:38" x14ac:dyDescent="0.2">
      <c r="F98" t="str">
        <f t="shared" si="28"/>
        <v/>
      </c>
      <c r="L98" s="7" t="str">
        <f t="shared" si="29"/>
        <v/>
      </c>
      <c r="N98" s="7" t="str">
        <f t="shared" si="30"/>
        <v/>
      </c>
      <c r="O98" t="str">
        <f t="shared" si="31"/>
        <v/>
      </c>
      <c r="P98" t="str">
        <f t="shared" si="33"/>
        <v/>
      </c>
      <c r="Q98" t="str">
        <f t="shared" si="32"/>
        <v/>
      </c>
      <c r="S98" t="str">
        <f>""</f>
        <v/>
      </c>
      <c r="AL98" s="18" t="str">
        <f>IF(COUNTIF($A$2:A97, A97) = 1, A97, "")</f>
        <v/>
      </c>
    </row>
    <row r="99" spans="6:38" x14ac:dyDescent="0.2">
      <c r="F99" t="str">
        <f t="shared" si="28"/>
        <v/>
      </c>
      <c r="L99" s="7" t="str">
        <f t="shared" si="29"/>
        <v/>
      </c>
      <c r="N99" s="7" t="str">
        <f t="shared" si="30"/>
        <v/>
      </c>
      <c r="O99" t="str">
        <f t="shared" si="31"/>
        <v/>
      </c>
      <c r="P99" t="str">
        <f t="shared" si="33"/>
        <v/>
      </c>
      <c r="Q99" t="str">
        <f t="shared" si="32"/>
        <v/>
      </c>
      <c r="S99" t="str">
        <f>""</f>
        <v/>
      </c>
      <c r="AL99" s="18" t="str">
        <f>IF(COUNTIF($A$2:A98, A98) = 1, A98, "")</f>
        <v/>
      </c>
    </row>
    <row r="100" spans="6:38" x14ac:dyDescent="0.2">
      <c r="F100" t="str">
        <f t="shared" si="28"/>
        <v/>
      </c>
      <c r="L100" s="7" t="str">
        <f t="shared" si="29"/>
        <v/>
      </c>
      <c r="N100" s="7" t="str">
        <f t="shared" si="30"/>
        <v/>
      </c>
      <c r="O100" t="str">
        <f t="shared" si="31"/>
        <v/>
      </c>
      <c r="P100" t="str">
        <f t="shared" si="33"/>
        <v/>
      </c>
      <c r="Q100" t="str">
        <f t="shared" si="32"/>
        <v/>
      </c>
      <c r="S100" t="str">
        <f>""</f>
        <v/>
      </c>
      <c r="AL100" s="18" t="str">
        <f>IF(COUNTIF($A$2:A99, A99) = 1, A99, "")</f>
        <v/>
      </c>
    </row>
    <row r="101" spans="6:38" x14ac:dyDescent="0.2">
      <c r="F101" t="str">
        <f t="shared" si="28"/>
        <v/>
      </c>
      <c r="L101" s="7" t="str">
        <f t="shared" si="29"/>
        <v/>
      </c>
      <c r="N101" s="7" t="str">
        <f t="shared" si="30"/>
        <v/>
      </c>
      <c r="O101" t="str">
        <f t="shared" si="31"/>
        <v/>
      </c>
      <c r="P101" t="str">
        <f t="shared" si="33"/>
        <v/>
      </c>
      <c r="Q101" t="str">
        <f t="shared" si="32"/>
        <v/>
      </c>
      <c r="S101" t="str">
        <f>""</f>
        <v/>
      </c>
      <c r="AL101" s="18" t="str">
        <f>IF(COUNTIF($A$2:A100, A100) = 1, A100, "")</f>
        <v/>
      </c>
    </row>
    <row r="102" spans="6:38" x14ac:dyDescent="0.2">
      <c r="F102" t="str">
        <f t="shared" si="28"/>
        <v/>
      </c>
      <c r="L102" s="7" t="str">
        <f t="shared" si="29"/>
        <v/>
      </c>
      <c r="N102" s="7" t="str">
        <f t="shared" si="30"/>
        <v/>
      </c>
      <c r="O102" t="str">
        <f t="shared" si="31"/>
        <v/>
      </c>
      <c r="P102" t="str">
        <f t="shared" si="33"/>
        <v/>
      </c>
      <c r="Q102" t="str">
        <f t="shared" si="32"/>
        <v/>
      </c>
      <c r="S102" t="str">
        <f>""</f>
        <v/>
      </c>
      <c r="AL102" s="18" t="str">
        <f>IF(COUNTIF($A$2:A101, A101) = 1, A101, "")</f>
        <v/>
      </c>
    </row>
    <row r="103" spans="6:38" x14ac:dyDescent="0.2">
      <c r="F103" t="str">
        <f t="shared" si="28"/>
        <v/>
      </c>
      <c r="L103" s="7" t="str">
        <f t="shared" si="29"/>
        <v/>
      </c>
      <c r="N103" s="7" t="str">
        <f t="shared" si="30"/>
        <v/>
      </c>
      <c r="O103" t="str">
        <f t="shared" si="31"/>
        <v/>
      </c>
      <c r="P103" t="str">
        <f t="shared" si="33"/>
        <v/>
      </c>
      <c r="Q103" t="str">
        <f t="shared" si="32"/>
        <v/>
      </c>
      <c r="S103" t="str">
        <f>""</f>
        <v/>
      </c>
      <c r="AL103" s="18" t="str">
        <f>IF(COUNTIF($A$2:A102, A102) = 1, A102, "")</f>
        <v/>
      </c>
    </row>
    <row r="104" spans="6:38" x14ac:dyDescent="0.2">
      <c r="F104" t="str">
        <f t="shared" si="28"/>
        <v/>
      </c>
      <c r="L104" s="7" t="str">
        <f t="shared" si="29"/>
        <v/>
      </c>
      <c r="N104" s="7" t="str">
        <f t="shared" si="30"/>
        <v/>
      </c>
      <c r="O104" t="str">
        <f t="shared" si="31"/>
        <v/>
      </c>
      <c r="P104" t="str">
        <f t="shared" si="33"/>
        <v/>
      </c>
      <c r="Q104" t="str">
        <f t="shared" si="32"/>
        <v/>
      </c>
      <c r="S104" t="str">
        <f>""</f>
        <v/>
      </c>
      <c r="AL104" s="18" t="str">
        <f>IF(COUNTIF($A$2:A103, A103) = 1, A103, "")</f>
        <v/>
      </c>
    </row>
    <row r="105" spans="6:38" x14ac:dyDescent="0.2">
      <c r="F105" t="str">
        <f t="shared" si="28"/>
        <v/>
      </c>
      <c r="L105" s="7" t="str">
        <f t="shared" si="29"/>
        <v/>
      </c>
      <c r="N105" s="7" t="str">
        <f t="shared" si="30"/>
        <v/>
      </c>
      <c r="O105" t="str">
        <f t="shared" si="31"/>
        <v/>
      </c>
      <c r="P105" t="str">
        <f t="shared" si="33"/>
        <v/>
      </c>
      <c r="Q105" t="str">
        <f t="shared" si="32"/>
        <v/>
      </c>
      <c r="S105" t="str">
        <f>""</f>
        <v/>
      </c>
      <c r="AL105" s="18" t="str">
        <f>IF(COUNTIF($A$2:A104, A104) = 1, A104, "")</f>
        <v/>
      </c>
    </row>
    <row r="106" spans="6:38" x14ac:dyDescent="0.2">
      <c r="F106" t="str">
        <f t="shared" si="28"/>
        <v/>
      </c>
      <c r="L106" s="7" t="str">
        <f t="shared" si="29"/>
        <v/>
      </c>
      <c r="N106" s="7" t="str">
        <f t="shared" si="30"/>
        <v/>
      </c>
      <c r="O106" t="str">
        <f t="shared" si="31"/>
        <v/>
      </c>
      <c r="P106" t="str">
        <f t="shared" si="33"/>
        <v/>
      </c>
      <c r="Q106" t="str">
        <f t="shared" si="32"/>
        <v/>
      </c>
      <c r="S106" t="str">
        <f>""</f>
        <v/>
      </c>
      <c r="AL106" s="18" t="str">
        <f>IF(COUNTIF($A$2:A105, A105) = 1, A105, "")</f>
        <v/>
      </c>
    </row>
    <row r="107" spans="6:38" x14ac:dyDescent="0.2">
      <c r="F107" t="str">
        <f t="shared" si="28"/>
        <v/>
      </c>
      <c r="L107" s="7" t="str">
        <f t="shared" si="29"/>
        <v/>
      </c>
      <c r="N107" s="7" t="str">
        <f t="shared" si="30"/>
        <v/>
      </c>
      <c r="O107" t="str">
        <f t="shared" si="31"/>
        <v/>
      </c>
      <c r="P107" t="str">
        <f t="shared" si="33"/>
        <v/>
      </c>
      <c r="Q107" t="str">
        <f t="shared" si="32"/>
        <v/>
      </c>
      <c r="S107" t="str">
        <f>""</f>
        <v/>
      </c>
      <c r="AL107" s="18" t="str">
        <f>IF(COUNTIF($A$2:A106, A106) = 1, A106, "")</f>
        <v/>
      </c>
    </row>
    <row r="108" spans="6:38" x14ac:dyDescent="0.2">
      <c r="F108" t="str">
        <f t="shared" si="28"/>
        <v/>
      </c>
      <c r="L108" s="7" t="str">
        <f t="shared" si="29"/>
        <v/>
      </c>
      <c r="N108" s="7" t="str">
        <f t="shared" si="30"/>
        <v/>
      </c>
      <c r="O108" t="str">
        <f t="shared" si="31"/>
        <v/>
      </c>
      <c r="P108" t="str">
        <f t="shared" si="33"/>
        <v/>
      </c>
      <c r="Q108" t="str">
        <f t="shared" si="32"/>
        <v/>
      </c>
      <c r="S108" t="str">
        <f>""</f>
        <v/>
      </c>
      <c r="AL108" s="18" t="str">
        <f>IF(COUNTIF($A$2:A107, A107) = 1, A107, "")</f>
        <v/>
      </c>
    </row>
    <row r="109" spans="6:38" x14ac:dyDescent="0.2">
      <c r="F109" t="str">
        <f t="shared" si="28"/>
        <v/>
      </c>
      <c r="L109" s="7" t="str">
        <f t="shared" si="29"/>
        <v/>
      </c>
      <c r="N109" s="7" t="str">
        <f t="shared" si="30"/>
        <v/>
      </c>
      <c r="O109" t="str">
        <f t="shared" si="31"/>
        <v/>
      </c>
      <c r="P109" t="str">
        <f t="shared" si="33"/>
        <v/>
      </c>
      <c r="Q109" t="str">
        <f t="shared" si="32"/>
        <v/>
      </c>
      <c r="S109" t="str">
        <f>""</f>
        <v/>
      </c>
      <c r="AL109" s="18" t="str">
        <f>IF(COUNTIF($A$2:A108, A108) = 1, A108, "")</f>
        <v/>
      </c>
    </row>
    <row r="110" spans="6:38" x14ac:dyDescent="0.2">
      <c r="F110" t="str">
        <f t="shared" si="28"/>
        <v/>
      </c>
      <c r="L110" s="7" t="str">
        <f t="shared" si="29"/>
        <v/>
      </c>
      <c r="N110" s="7" t="str">
        <f t="shared" si="30"/>
        <v/>
      </c>
      <c r="O110" t="str">
        <f t="shared" si="31"/>
        <v/>
      </c>
      <c r="P110" t="str">
        <f t="shared" si="33"/>
        <v/>
      </c>
      <c r="Q110" t="str">
        <f t="shared" si="32"/>
        <v/>
      </c>
      <c r="S110" t="str">
        <f>""</f>
        <v/>
      </c>
      <c r="AL110" s="18" t="str">
        <f>IF(COUNTIF($A$2:A109, A109) = 1, A109, "")</f>
        <v/>
      </c>
    </row>
    <row r="111" spans="6:38" x14ac:dyDescent="0.2">
      <c r="F111" t="str">
        <f t="shared" si="28"/>
        <v/>
      </c>
      <c r="L111" s="7" t="str">
        <f t="shared" si="29"/>
        <v/>
      </c>
      <c r="N111" s="7" t="str">
        <f t="shared" si="30"/>
        <v/>
      </c>
      <c r="O111" t="str">
        <f t="shared" si="31"/>
        <v/>
      </c>
      <c r="P111" t="str">
        <f t="shared" si="33"/>
        <v/>
      </c>
      <c r="Q111" t="str">
        <f t="shared" si="32"/>
        <v/>
      </c>
      <c r="S111" t="str">
        <f>""</f>
        <v/>
      </c>
      <c r="AL111" s="18" t="str">
        <f>IF(COUNTIF($A$2:A110, A110) = 1, A110, "")</f>
        <v/>
      </c>
    </row>
    <row r="112" spans="6:38" x14ac:dyDescent="0.2">
      <c r="F112" t="str">
        <f t="shared" si="28"/>
        <v/>
      </c>
      <c r="L112" s="7" t="str">
        <f t="shared" si="29"/>
        <v/>
      </c>
      <c r="N112" s="7" t="str">
        <f t="shared" si="30"/>
        <v/>
      </c>
      <c r="O112" t="str">
        <f t="shared" si="31"/>
        <v/>
      </c>
      <c r="P112" t="str">
        <f t="shared" si="33"/>
        <v/>
      </c>
      <c r="Q112" t="str">
        <f t="shared" si="32"/>
        <v/>
      </c>
      <c r="S112" t="str">
        <f>""</f>
        <v/>
      </c>
      <c r="AL112" s="18" t="str">
        <f>IF(COUNTIF($A$2:A111, A111) = 1, A111, "")</f>
        <v/>
      </c>
    </row>
    <row r="113" spans="6:38" x14ac:dyDescent="0.2">
      <c r="F113" t="str">
        <f t="shared" si="28"/>
        <v/>
      </c>
      <c r="L113" s="7" t="str">
        <f t="shared" si="29"/>
        <v/>
      </c>
      <c r="N113" s="7" t="str">
        <f t="shared" si="30"/>
        <v/>
      </c>
      <c r="O113" t="str">
        <f t="shared" si="31"/>
        <v/>
      </c>
      <c r="P113" t="str">
        <f t="shared" si="33"/>
        <v/>
      </c>
      <c r="Q113" t="str">
        <f t="shared" si="32"/>
        <v/>
      </c>
      <c r="S113" t="str">
        <f>""</f>
        <v/>
      </c>
      <c r="AL113" s="18" t="str">
        <f>IF(COUNTIF($A$2:A112, A112) = 1, A112, "")</f>
        <v/>
      </c>
    </row>
    <row r="114" spans="6:38" x14ac:dyDescent="0.2">
      <c r="F114" t="str">
        <f t="shared" si="28"/>
        <v/>
      </c>
      <c r="L114" s="7" t="str">
        <f t="shared" si="29"/>
        <v/>
      </c>
      <c r="N114" s="7" t="str">
        <f t="shared" si="30"/>
        <v/>
      </c>
      <c r="O114" t="str">
        <f t="shared" si="31"/>
        <v/>
      </c>
      <c r="P114" t="str">
        <f t="shared" si="33"/>
        <v/>
      </c>
      <c r="Q114" t="str">
        <f t="shared" si="32"/>
        <v/>
      </c>
      <c r="S114" t="str">
        <f>""</f>
        <v/>
      </c>
      <c r="AL114" s="18" t="str">
        <f>IF(COUNTIF($A$2:A113, A113) = 1, A113, "")</f>
        <v/>
      </c>
    </row>
    <row r="115" spans="6:38" x14ac:dyDescent="0.2">
      <c r="F115" t="str">
        <f t="shared" si="28"/>
        <v/>
      </c>
      <c r="L115" s="7" t="str">
        <f t="shared" si="29"/>
        <v/>
      </c>
      <c r="N115" s="7" t="str">
        <f t="shared" si="30"/>
        <v/>
      </c>
      <c r="O115" t="str">
        <f t="shared" si="31"/>
        <v/>
      </c>
      <c r="P115" t="str">
        <f t="shared" si="33"/>
        <v/>
      </c>
      <c r="Q115" t="str">
        <f t="shared" si="32"/>
        <v/>
      </c>
      <c r="S115" t="str">
        <f>""</f>
        <v/>
      </c>
      <c r="AL115" s="18" t="str">
        <f>IF(COUNTIF($A$2:A114, A114) = 1, A114, "")</f>
        <v/>
      </c>
    </row>
    <row r="116" spans="6:38" x14ac:dyDescent="0.2">
      <c r="F116" t="str">
        <f t="shared" si="28"/>
        <v/>
      </c>
      <c r="L116" s="7" t="str">
        <f t="shared" si="29"/>
        <v/>
      </c>
      <c r="N116" s="7" t="str">
        <f t="shared" si="30"/>
        <v/>
      </c>
      <c r="O116" t="str">
        <f t="shared" si="31"/>
        <v/>
      </c>
      <c r="P116" t="str">
        <f t="shared" si="33"/>
        <v/>
      </c>
      <c r="Q116" t="str">
        <f t="shared" si="32"/>
        <v/>
      </c>
      <c r="S116" t="str">
        <f>""</f>
        <v/>
      </c>
      <c r="AL116" s="18" t="str">
        <f>IF(COUNTIF($A$2:A115, A115) = 1, A115, "")</f>
        <v/>
      </c>
    </row>
    <row r="117" spans="6:38" x14ac:dyDescent="0.2">
      <c r="F117" t="str">
        <f t="shared" si="28"/>
        <v/>
      </c>
      <c r="L117" s="7" t="str">
        <f t="shared" si="29"/>
        <v/>
      </c>
      <c r="N117" s="7" t="str">
        <f t="shared" si="30"/>
        <v/>
      </c>
      <c r="O117" t="str">
        <f t="shared" si="31"/>
        <v/>
      </c>
      <c r="P117" t="str">
        <f t="shared" si="33"/>
        <v/>
      </c>
      <c r="Q117" t="str">
        <f t="shared" si="32"/>
        <v/>
      </c>
      <c r="S117" t="str">
        <f>""</f>
        <v/>
      </c>
      <c r="AL117" s="18" t="str">
        <f>IF(COUNTIF($A$2:A116, A116) = 1, A116, "")</f>
        <v/>
      </c>
    </row>
    <row r="118" spans="6:38" x14ac:dyDescent="0.2">
      <c r="F118" t="str">
        <f t="shared" si="28"/>
        <v/>
      </c>
      <c r="L118" s="7" t="str">
        <f t="shared" si="29"/>
        <v/>
      </c>
      <c r="N118" s="7" t="str">
        <f t="shared" si="30"/>
        <v/>
      </c>
      <c r="O118" t="str">
        <f t="shared" si="31"/>
        <v/>
      </c>
      <c r="P118" t="str">
        <f t="shared" si="33"/>
        <v/>
      </c>
      <c r="Q118" t="str">
        <f t="shared" si="32"/>
        <v/>
      </c>
      <c r="S118" t="str">
        <f>""</f>
        <v/>
      </c>
      <c r="AL118" s="18" t="str">
        <f>IF(COUNTIF($A$2:A117, A117) = 1, A117, "")</f>
        <v/>
      </c>
    </row>
    <row r="119" spans="6:38" x14ac:dyDescent="0.2">
      <c r="F119" t="str">
        <f t="shared" si="28"/>
        <v/>
      </c>
      <c r="L119" s="7" t="str">
        <f t="shared" si="29"/>
        <v/>
      </c>
      <c r="N119" s="7" t="str">
        <f t="shared" si="30"/>
        <v/>
      </c>
      <c r="O119" t="str">
        <f t="shared" si="31"/>
        <v/>
      </c>
      <c r="P119" t="str">
        <f t="shared" si="33"/>
        <v/>
      </c>
      <c r="Q119" t="str">
        <f t="shared" si="32"/>
        <v/>
      </c>
      <c r="S119" t="str">
        <f>""</f>
        <v/>
      </c>
      <c r="AL119" s="18" t="str">
        <f>IF(COUNTIF($A$2:A118, A118) = 1, A118, "")</f>
        <v/>
      </c>
    </row>
    <row r="120" spans="6:38" x14ac:dyDescent="0.2">
      <c r="F120" t="str">
        <f t="shared" si="28"/>
        <v/>
      </c>
      <c r="L120" s="7" t="str">
        <f t="shared" si="29"/>
        <v/>
      </c>
      <c r="N120" s="7" t="str">
        <f t="shared" si="30"/>
        <v/>
      </c>
      <c r="O120" t="str">
        <f t="shared" si="31"/>
        <v/>
      </c>
      <c r="P120" t="str">
        <f t="shared" si="33"/>
        <v/>
      </c>
      <c r="Q120" t="str">
        <f t="shared" si="32"/>
        <v/>
      </c>
      <c r="S120" t="str">
        <f>""</f>
        <v/>
      </c>
      <c r="AL120" s="18" t="str">
        <f>IF(COUNTIF($A$2:A119, A119) = 1, A119, "")</f>
        <v/>
      </c>
    </row>
    <row r="121" spans="6:38" x14ac:dyDescent="0.2">
      <c r="F121" t="str">
        <f t="shared" si="28"/>
        <v/>
      </c>
      <c r="L121" s="7" t="str">
        <f t="shared" si="29"/>
        <v/>
      </c>
      <c r="N121" s="7" t="str">
        <f t="shared" si="30"/>
        <v/>
      </c>
      <c r="O121" t="str">
        <f t="shared" si="31"/>
        <v/>
      </c>
      <c r="P121" t="str">
        <f t="shared" si="33"/>
        <v/>
      </c>
      <c r="Q121" t="str">
        <f t="shared" si="32"/>
        <v/>
      </c>
      <c r="S121" t="str">
        <f>""</f>
        <v/>
      </c>
      <c r="AL121" s="18" t="str">
        <f>IF(COUNTIF($A$2:A120, A120) = 1, A120, "")</f>
        <v/>
      </c>
    </row>
    <row r="122" spans="6:38" x14ac:dyDescent="0.2">
      <c r="F122" t="str">
        <f t="shared" si="28"/>
        <v/>
      </c>
      <c r="L122" s="7" t="str">
        <f t="shared" si="29"/>
        <v/>
      </c>
      <c r="N122" s="7" t="str">
        <f t="shared" si="30"/>
        <v/>
      </c>
      <c r="O122" t="str">
        <f t="shared" si="31"/>
        <v/>
      </c>
      <c r="P122" t="str">
        <f t="shared" si="33"/>
        <v/>
      </c>
      <c r="Q122" t="str">
        <f t="shared" si="32"/>
        <v/>
      </c>
      <c r="S122" t="str">
        <f>""</f>
        <v/>
      </c>
      <c r="AL122" s="18" t="str">
        <f>IF(COUNTIF($A$2:A121, A121) = 1, A121, "")</f>
        <v/>
      </c>
    </row>
    <row r="123" spans="6:38" x14ac:dyDescent="0.2">
      <c r="F123" t="str">
        <f t="shared" si="28"/>
        <v/>
      </c>
      <c r="L123" s="7" t="str">
        <f t="shared" si="29"/>
        <v/>
      </c>
      <c r="N123" s="7" t="str">
        <f t="shared" si="30"/>
        <v/>
      </c>
      <c r="O123" t="str">
        <f t="shared" si="31"/>
        <v/>
      </c>
      <c r="P123" t="str">
        <f t="shared" si="33"/>
        <v/>
      </c>
      <c r="Q123" t="str">
        <f t="shared" si="32"/>
        <v/>
      </c>
      <c r="S123" t="str">
        <f>""</f>
        <v/>
      </c>
      <c r="AL123" s="18" t="str">
        <f>IF(COUNTIF($A$2:A122, A122) = 1, A122, "")</f>
        <v/>
      </c>
    </row>
    <row r="124" spans="6:38" x14ac:dyDescent="0.2">
      <c r="F124" t="str">
        <f t="shared" si="28"/>
        <v/>
      </c>
      <c r="L124" s="7" t="str">
        <f t="shared" si="29"/>
        <v/>
      </c>
      <c r="N124" s="7" t="str">
        <f t="shared" si="30"/>
        <v/>
      </c>
      <c r="O124" t="str">
        <f t="shared" si="31"/>
        <v/>
      </c>
      <c r="P124" t="str">
        <f t="shared" si="33"/>
        <v/>
      </c>
      <c r="Q124" t="str">
        <f t="shared" si="32"/>
        <v/>
      </c>
      <c r="S124" t="str">
        <f>""</f>
        <v/>
      </c>
      <c r="AL124" s="18" t="str">
        <f>IF(COUNTIF($A$2:A123, A123) = 1, A123, "")</f>
        <v/>
      </c>
    </row>
    <row r="125" spans="6:38" x14ac:dyDescent="0.2">
      <c r="F125" t="str">
        <f t="shared" si="28"/>
        <v/>
      </c>
      <c r="L125" s="7" t="str">
        <f t="shared" si="29"/>
        <v/>
      </c>
      <c r="N125" s="7" t="str">
        <f t="shared" si="30"/>
        <v/>
      </c>
      <c r="O125" t="str">
        <f t="shared" si="31"/>
        <v/>
      </c>
      <c r="P125" t="str">
        <f t="shared" si="33"/>
        <v/>
      </c>
      <c r="Q125" t="str">
        <f t="shared" si="32"/>
        <v/>
      </c>
      <c r="S125" t="str">
        <f>""</f>
        <v/>
      </c>
      <c r="AL125" s="18" t="str">
        <f>IF(COUNTIF($A$2:A124, A124) = 1, A124, "")</f>
        <v/>
      </c>
    </row>
    <row r="126" spans="6:38" x14ac:dyDescent="0.2">
      <c r="F126" t="str">
        <f t="shared" si="28"/>
        <v/>
      </c>
      <c r="L126" s="7" t="str">
        <f t="shared" si="29"/>
        <v/>
      </c>
      <c r="N126" s="7" t="str">
        <f t="shared" si="30"/>
        <v/>
      </c>
      <c r="O126" t="str">
        <f t="shared" si="31"/>
        <v/>
      </c>
      <c r="P126" t="str">
        <f t="shared" si="33"/>
        <v/>
      </c>
      <c r="Q126" t="str">
        <f t="shared" si="32"/>
        <v/>
      </c>
      <c r="S126" t="str">
        <f>""</f>
        <v/>
      </c>
      <c r="AL126" s="18" t="str">
        <f>IF(COUNTIF($A$2:A125, A125) = 1, A125, "")</f>
        <v/>
      </c>
    </row>
    <row r="127" spans="6:38" x14ac:dyDescent="0.2">
      <c r="F127" t="str">
        <f t="shared" si="28"/>
        <v/>
      </c>
      <c r="L127" s="7" t="str">
        <f t="shared" si="29"/>
        <v/>
      </c>
      <c r="N127" s="7" t="str">
        <f t="shared" si="30"/>
        <v/>
      </c>
      <c r="O127" t="str">
        <f t="shared" si="31"/>
        <v/>
      </c>
      <c r="P127" t="str">
        <f t="shared" si="33"/>
        <v/>
      </c>
      <c r="Q127" t="str">
        <f t="shared" si="32"/>
        <v/>
      </c>
      <c r="S127" t="str">
        <f>""</f>
        <v/>
      </c>
      <c r="AL127" s="18" t="str">
        <f>IF(COUNTIF($A$2:A126, A126) = 1, A126, "")</f>
        <v/>
      </c>
    </row>
    <row r="128" spans="6:38" x14ac:dyDescent="0.2">
      <c r="F128" t="str">
        <f t="shared" si="28"/>
        <v/>
      </c>
      <c r="L128" s="7" t="str">
        <f t="shared" si="29"/>
        <v/>
      </c>
      <c r="N128" s="7" t="str">
        <f t="shared" si="30"/>
        <v/>
      </c>
      <c r="O128" t="str">
        <f t="shared" si="31"/>
        <v/>
      </c>
      <c r="P128" t="str">
        <f t="shared" si="33"/>
        <v/>
      </c>
      <c r="Q128" t="str">
        <f t="shared" si="32"/>
        <v/>
      </c>
      <c r="S128" t="str">
        <f>""</f>
        <v/>
      </c>
      <c r="AL128" s="18" t="str">
        <f>IF(COUNTIF($A$2:A127, A127) = 1, A127, "")</f>
        <v/>
      </c>
    </row>
    <row r="129" spans="6:38" x14ac:dyDescent="0.2">
      <c r="F129" t="str">
        <f t="shared" si="28"/>
        <v/>
      </c>
      <c r="L129" s="7" t="str">
        <f t="shared" si="29"/>
        <v/>
      </c>
      <c r="N129" s="7" t="str">
        <f t="shared" si="30"/>
        <v/>
      </c>
      <c r="O129" t="str">
        <f t="shared" si="31"/>
        <v/>
      </c>
      <c r="P129" t="str">
        <f t="shared" si="33"/>
        <v/>
      </c>
      <c r="Q129" t="str">
        <f t="shared" si="32"/>
        <v/>
      </c>
      <c r="S129" t="str">
        <f>""</f>
        <v/>
      </c>
      <c r="AL129" s="18" t="str">
        <f>IF(COUNTIF($A$2:A128, A128) = 1, A128, "")</f>
        <v/>
      </c>
    </row>
    <row r="130" spans="6:38" x14ac:dyDescent="0.2">
      <c r="F130" t="str">
        <f t="shared" ref="F130:F143" si="34">IF(OR(O130="", P130=""), "", SUM(IF((O130&lt;&gt;"None")*(O130&lt;&gt;""),LEN(O130)-LEN(SUBSTITUTE(O130,",",""))+1,0)) + SUM(IF((P130&lt;&gt;"None")*(P130&lt;&gt;""),LEN(P130)-LEN(SUBSTITUTE(P130,",",""))+1,0)))</f>
        <v/>
      </c>
      <c r="L130" s="7" t="str">
        <f t="shared" ref="L130:L143" si="35">IF(LEN(E130)=0, "", IFERROR(IF(E130&gt;=0, K130 * (1 + E130/100) - K130, K130 / (ABS(E130)/100))+K130, ""))</f>
        <v/>
      </c>
      <c r="N130" s="7" t="str">
        <f t="shared" ref="N130:N143" si="36">IF(M130="Yes",L130-K130,IF(M130="No",-K130,""))</f>
        <v/>
      </c>
      <c r="O130" t="str">
        <f t="shared" ref="O130:O143" si="37">IF(AND(G130="No",H130="No"), "None", "")</f>
        <v/>
      </c>
      <c r="P130" t="str">
        <f t="shared" si="33"/>
        <v/>
      </c>
      <c r="Q130" t="str">
        <f t="shared" ref="Q130:Q143" si="38">IF(AND(D130="Straight", M130 = "No"),IF(O130="None",P130,IF(P130="None",O130) ),"")</f>
        <v/>
      </c>
      <c r="S130" t="str">
        <f>""</f>
        <v/>
      </c>
      <c r="AL130" s="18" t="str">
        <f>IF(COUNTIF($A$2:A129, A129) = 1, A129, "")</f>
        <v/>
      </c>
    </row>
    <row r="131" spans="6:38" x14ac:dyDescent="0.2">
      <c r="F131" t="str">
        <f t="shared" si="34"/>
        <v/>
      </c>
      <c r="L131" s="7" t="str">
        <f t="shared" si="35"/>
        <v/>
      </c>
      <c r="N131" s="7" t="str">
        <f t="shared" si="36"/>
        <v/>
      </c>
      <c r="O131" t="str">
        <f t="shared" si="37"/>
        <v/>
      </c>
      <c r="P131" t="str">
        <f t="shared" si="33"/>
        <v/>
      </c>
      <c r="Q131" t="str">
        <f t="shared" si="38"/>
        <v/>
      </c>
      <c r="S131" t="str">
        <f>""</f>
        <v/>
      </c>
      <c r="AL131" s="18" t="str">
        <f>IF(COUNTIF($A$2:A130, A130) = 1, A130, "")</f>
        <v/>
      </c>
    </row>
    <row r="132" spans="6:38" x14ac:dyDescent="0.2">
      <c r="F132" t="str">
        <f t="shared" si="34"/>
        <v/>
      </c>
      <c r="L132" s="7" t="str">
        <f t="shared" si="35"/>
        <v/>
      </c>
      <c r="N132" s="7" t="str">
        <f t="shared" si="36"/>
        <v/>
      </c>
      <c r="O132" t="str">
        <f t="shared" si="37"/>
        <v/>
      </c>
      <c r="P132" t="str">
        <f t="shared" si="33"/>
        <v/>
      </c>
      <c r="Q132" t="str">
        <f t="shared" si="38"/>
        <v/>
      </c>
      <c r="S132" t="str">
        <f>""</f>
        <v/>
      </c>
      <c r="AL132" s="18" t="str">
        <f>IF(COUNTIF($A$2:A131, A131) = 1, A131, "")</f>
        <v/>
      </c>
    </row>
    <row r="133" spans="6:38" x14ac:dyDescent="0.2">
      <c r="F133" t="str">
        <f t="shared" si="34"/>
        <v/>
      </c>
      <c r="L133" s="7" t="str">
        <f t="shared" si="35"/>
        <v/>
      </c>
      <c r="N133" s="7" t="str">
        <f t="shared" si="36"/>
        <v/>
      </c>
      <c r="O133" t="str">
        <f t="shared" si="37"/>
        <v/>
      </c>
      <c r="P133" t="str">
        <f t="shared" si="33"/>
        <v/>
      </c>
      <c r="Q133" t="str">
        <f t="shared" si="38"/>
        <v/>
      </c>
      <c r="S133" t="str">
        <f>""</f>
        <v/>
      </c>
      <c r="AL133" s="18" t="str">
        <f>IF(COUNTIF($A$2:A132, A132) = 1, A132, "")</f>
        <v/>
      </c>
    </row>
    <row r="134" spans="6:38" x14ac:dyDescent="0.2">
      <c r="F134" t="str">
        <f t="shared" si="34"/>
        <v/>
      </c>
      <c r="L134" s="7" t="str">
        <f t="shared" si="35"/>
        <v/>
      </c>
      <c r="N134" s="7" t="str">
        <f t="shared" si="36"/>
        <v/>
      </c>
      <c r="O134" t="str">
        <f t="shared" si="37"/>
        <v/>
      </c>
      <c r="P134" t="str">
        <f t="shared" si="33"/>
        <v/>
      </c>
      <c r="Q134" t="str">
        <f t="shared" si="38"/>
        <v/>
      </c>
      <c r="S134" t="str">
        <f>""</f>
        <v/>
      </c>
      <c r="AL134" s="18" t="str">
        <f>IF(COUNTIF($A$2:A133, A133) = 1, A133, "")</f>
        <v/>
      </c>
    </row>
    <row r="135" spans="6:38" x14ac:dyDescent="0.2">
      <c r="F135" t="str">
        <f t="shared" si="34"/>
        <v/>
      </c>
      <c r="L135" s="7" t="str">
        <f t="shared" si="35"/>
        <v/>
      </c>
      <c r="N135" s="7" t="str">
        <f t="shared" si="36"/>
        <v/>
      </c>
      <c r="O135" t="str">
        <f t="shared" si="37"/>
        <v/>
      </c>
      <c r="P135" t="str">
        <f t="shared" si="33"/>
        <v/>
      </c>
      <c r="Q135" t="str">
        <f t="shared" si="38"/>
        <v/>
      </c>
      <c r="S135" t="str">
        <f>""</f>
        <v/>
      </c>
      <c r="AL135" s="18" t="str">
        <f>IF(COUNTIF($A$2:A134, A134) = 1, A134, "")</f>
        <v/>
      </c>
    </row>
    <row r="136" spans="6:38" x14ac:dyDescent="0.2">
      <c r="F136" t="str">
        <f t="shared" si="34"/>
        <v/>
      </c>
      <c r="L136" s="7" t="str">
        <f t="shared" si="35"/>
        <v/>
      </c>
      <c r="N136" s="7" t="str">
        <f t="shared" si="36"/>
        <v/>
      </c>
      <c r="O136" t="str">
        <f t="shared" si="37"/>
        <v/>
      </c>
      <c r="P136" t="str">
        <f t="shared" si="33"/>
        <v/>
      </c>
      <c r="Q136" t="str">
        <f t="shared" si="38"/>
        <v/>
      </c>
      <c r="S136" t="str">
        <f>""</f>
        <v/>
      </c>
      <c r="AL136" s="18" t="str">
        <f>IF(COUNTIF($A$2:A135, A135) = 1, A135, "")</f>
        <v/>
      </c>
    </row>
    <row r="137" spans="6:38" x14ac:dyDescent="0.2">
      <c r="F137" t="str">
        <f t="shared" si="34"/>
        <v/>
      </c>
      <c r="L137" s="7" t="str">
        <f t="shared" si="35"/>
        <v/>
      </c>
      <c r="N137" s="7" t="str">
        <f t="shared" si="36"/>
        <v/>
      </c>
      <c r="O137" t="str">
        <f t="shared" si="37"/>
        <v/>
      </c>
      <c r="P137" t="str">
        <f t="shared" si="33"/>
        <v/>
      </c>
      <c r="Q137" t="str">
        <f t="shared" si="38"/>
        <v/>
      </c>
      <c r="S137" t="str">
        <f>""</f>
        <v/>
      </c>
      <c r="AL137" s="18" t="str">
        <f>IF(COUNTIF($A$2:A136, A136) = 1, A136, "")</f>
        <v/>
      </c>
    </row>
    <row r="138" spans="6:38" x14ac:dyDescent="0.2">
      <c r="F138" t="str">
        <f t="shared" si="34"/>
        <v/>
      </c>
      <c r="L138" s="7" t="str">
        <f t="shared" si="35"/>
        <v/>
      </c>
      <c r="N138" s="7" t="str">
        <f t="shared" si="36"/>
        <v/>
      </c>
      <c r="O138" t="str">
        <f t="shared" si="37"/>
        <v/>
      </c>
      <c r="P138" t="str">
        <f t="shared" si="33"/>
        <v/>
      </c>
      <c r="Q138" t="str">
        <f t="shared" si="38"/>
        <v/>
      </c>
      <c r="S138" t="str">
        <f>""</f>
        <v/>
      </c>
      <c r="AL138" s="18" t="str">
        <f>IF(COUNTIF($A$2:A137, A137) = 1, A137, "")</f>
        <v/>
      </c>
    </row>
    <row r="139" spans="6:38" x14ac:dyDescent="0.2">
      <c r="F139" t="str">
        <f t="shared" si="34"/>
        <v/>
      </c>
      <c r="L139" s="7" t="str">
        <f t="shared" si="35"/>
        <v/>
      </c>
      <c r="N139" s="7" t="str">
        <f t="shared" si="36"/>
        <v/>
      </c>
      <c r="O139" t="str">
        <f t="shared" si="37"/>
        <v/>
      </c>
      <c r="P139" t="str">
        <f t="shared" si="33"/>
        <v/>
      </c>
      <c r="Q139" t="str">
        <f t="shared" si="38"/>
        <v/>
      </c>
      <c r="S139" t="str">
        <f>""</f>
        <v/>
      </c>
      <c r="AL139" s="18" t="str">
        <f>IF(COUNTIF($A$2:A138, A138) = 1, A138, "")</f>
        <v/>
      </c>
    </row>
    <row r="140" spans="6:38" x14ac:dyDescent="0.2">
      <c r="F140" t="str">
        <f t="shared" si="34"/>
        <v/>
      </c>
      <c r="L140" s="7" t="str">
        <f t="shared" si="35"/>
        <v/>
      </c>
      <c r="N140" s="7" t="str">
        <f t="shared" si="36"/>
        <v/>
      </c>
      <c r="O140" t="str">
        <f t="shared" si="37"/>
        <v/>
      </c>
      <c r="P140" t="str">
        <f t="shared" si="33"/>
        <v/>
      </c>
      <c r="Q140" t="str">
        <f t="shared" si="38"/>
        <v/>
      </c>
      <c r="S140" t="str">
        <f>""</f>
        <v/>
      </c>
      <c r="AL140" s="18" t="str">
        <f>IF(COUNTIF($A$2:A139, A139) = 1, A139, "")</f>
        <v/>
      </c>
    </row>
    <row r="141" spans="6:38" x14ac:dyDescent="0.2">
      <c r="F141" t="str">
        <f t="shared" si="34"/>
        <v/>
      </c>
      <c r="L141" s="7" t="str">
        <f t="shared" si="35"/>
        <v/>
      </c>
      <c r="N141" s="7" t="str">
        <f t="shared" si="36"/>
        <v/>
      </c>
      <c r="O141" t="str">
        <f t="shared" si="37"/>
        <v/>
      </c>
      <c r="P141" t="str">
        <f t="shared" si="33"/>
        <v/>
      </c>
      <c r="Q141" t="str">
        <f t="shared" si="38"/>
        <v/>
      </c>
      <c r="S141" t="str">
        <f>""</f>
        <v/>
      </c>
      <c r="AL141" s="18" t="str">
        <f>IF(COUNTIF($A$2:A140, A140) = 1, A140, "")</f>
        <v/>
      </c>
    </row>
    <row r="142" spans="6:38" x14ac:dyDescent="0.2">
      <c r="F142" t="str">
        <f t="shared" si="34"/>
        <v/>
      </c>
      <c r="L142" s="7" t="str">
        <f t="shared" si="35"/>
        <v/>
      </c>
      <c r="N142" s="7" t="str">
        <f t="shared" si="36"/>
        <v/>
      </c>
      <c r="O142" t="str">
        <f t="shared" si="37"/>
        <v/>
      </c>
      <c r="P142" t="str">
        <f t="shared" si="33"/>
        <v/>
      </c>
      <c r="Q142" t="str">
        <f t="shared" si="38"/>
        <v/>
      </c>
      <c r="S142" t="str">
        <f>""</f>
        <v/>
      </c>
      <c r="AL142" s="18" t="str">
        <f>IF(COUNTIF($A$2:A141, A141) = 1, A141, "")</f>
        <v/>
      </c>
    </row>
    <row r="143" spans="6:38" x14ac:dyDescent="0.2">
      <c r="F143" t="str">
        <f t="shared" si="34"/>
        <v/>
      </c>
      <c r="L143" s="7" t="str">
        <f t="shared" si="35"/>
        <v/>
      </c>
      <c r="N143" s="7" t="str">
        <f t="shared" si="36"/>
        <v/>
      </c>
      <c r="O143" t="str">
        <f t="shared" si="37"/>
        <v/>
      </c>
      <c r="P143" t="str">
        <f t="shared" si="33"/>
        <v/>
      </c>
      <c r="Q143" t="str">
        <f t="shared" si="38"/>
        <v/>
      </c>
      <c r="S143" t="str">
        <f>""</f>
        <v/>
      </c>
      <c r="AL143" s="18" t="str">
        <f>IF(COUNTIF($A$2:A142, A142) = 1, A142, "")</f>
        <v/>
      </c>
    </row>
    <row r="144" spans="6:38" x14ac:dyDescent="0.2">
      <c r="F144" t="str">
        <f t="shared" ref="F144:F207" si="39">IF(OR(O144="", P144=""), "", SUM(IF((O144&lt;&gt;"None")*(O144&lt;&gt;""),LEN(O144)-LEN(SUBSTITUTE(O144,",",""))+1,0)) + SUM(IF((P144&lt;&gt;"None")*(P144&lt;&gt;""),LEN(P144)-LEN(SUBSTITUTE(P144,",",""))+1,0)))</f>
        <v/>
      </c>
      <c r="L144" s="7" t="str">
        <f t="shared" ref="L144:L207" si="40">IF(LEN(E144)=0, "", IFERROR(IF(E144&gt;=0, K144 * (1 + E144/100) - K144, K144 / (ABS(E144)/100))+K144, ""))</f>
        <v/>
      </c>
      <c r="N144" s="7" t="str">
        <f t="shared" ref="N144:N207" si="41">IF(M144="Yes",L144-K144,IF(M144="No",-K144,""))</f>
        <v/>
      </c>
      <c r="O144" t="str">
        <f t="shared" ref="O144:O207" si="42">IF(AND(G144="No",H144="No"), "None", "")</f>
        <v/>
      </c>
      <c r="P144" t="str">
        <f t="shared" ref="P144:P207" si="43">IF(I144="No", "None", "")</f>
        <v/>
      </c>
      <c r="Q144" t="str">
        <f t="shared" ref="Q144:Q207" si="44">IF(AND(D144="Straight", M144 = "No"),IF(O144="None",P144,IF(P144="None",O144) ),"")</f>
        <v/>
      </c>
      <c r="S144" t="str">
        <f>""</f>
        <v/>
      </c>
      <c r="AL144" s="18" t="str">
        <f>IF(COUNTIF($A$2:A143, A143) = 1, A143, "")</f>
        <v/>
      </c>
    </row>
    <row r="145" spans="6:38" x14ac:dyDescent="0.2">
      <c r="F145" t="str">
        <f t="shared" si="39"/>
        <v/>
      </c>
      <c r="L145" s="7" t="str">
        <f t="shared" si="40"/>
        <v/>
      </c>
      <c r="N145" s="7" t="str">
        <f t="shared" si="41"/>
        <v/>
      </c>
      <c r="O145" t="str">
        <f t="shared" si="42"/>
        <v/>
      </c>
      <c r="P145" t="str">
        <f t="shared" si="43"/>
        <v/>
      </c>
      <c r="Q145" t="str">
        <f t="shared" si="44"/>
        <v/>
      </c>
      <c r="S145" t="str">
        <f>""</f>
        <v/>
      </c>
      <c r="AL145" s="18" t="str">
        <f>IF(COUNTIF($A$2:A144, A144) = 1, A144, "")</f>
        <v/>
      </c>
    </row>
    <row r="146" spans="6:38" x14ac:dyDescent="0.2">
      <c r="F146" t="str">
        <f t="shared" si="39"/>
        <v/>
      </c>
      <c r="L146" s="7" t="str">
        <f t="shared" si="40"/>
        <v/>
      </c>
      <c r="N146" s="7" t="str">
        <f t="shared" si="41"/>
        <v/>
      </c>
      <c r="O146" t="str">
        <f t="shared" si="42"/>
        <v/>
      </c>
      <c r="P146" t="str">
        <f t="shared" si="43"/>
        <v/>
      </c>
      <c r="Q146" t="str">
        <f t="shared" si="44"/>
        <v/>
      </c>
      <c r="S146" t="str">
        <f>""</f>
        <v/>
      </c>
      <c r="AL146" s="18" t="str">
        <f>IF(COUNTIF($A$2:A145, A145) = 1, A145, "")</f>
        <v/>
      </c>
    </row>
    <row r="147" spans="6:38" x14ac:dyDescent="0.2">
      <c r="F147" t="str">
        <f t="shared" si="39"/>
        <v/>
      </c>
      <c r="L147" s="7" t="str">
        <f t="shared" si="40"/>
        <v/>
      </c>
      <c r="N147" s="7" t="str">
        <f t="shared" si="41"/>
        <v/>
      </c>
      <c r="O147" t="str">
        <f t="shared" si="42"/>
        <v/>
      </c>
      <c r="P147" t="str">
        <f t="shared" si="43"/>
        <v/>
      </c>
      <c r="Q147" t="str">
        <f t="shared" si="44"/>
        <v/>
      </c>
      <c r="S147" t="str">
        <f>""</f>
        <v/>
      </c>
      <c r="AL147" s="18" t="str">
        <f>IF(COUNTIF($A$2:A146, A146) = 1, A146, "")</f>
        <v/>
      </c>
    </row>
    <row r="148" spans="6:38" x14ac:dyDescent="0.2">
      <c r="F148" t="str">
        <f t="shared" si="39"/>
        <v/>
      </c>
      <c r="L148" s="7" t="str">
        <f t="shared" si="40"/>
        <v/>
      </c>
      <c r="N148" s="7" t="str">
        <f t="shared" si="41"/>
        <v/>
      </c>
      <c r="O148" t="str">
        <f t="shared" si="42"/>
        <v/>
      </c>
      <c r="P148" t="str">
        <f t="shared" si="43"/>
        <v/>
      </c>
      <c r="Q148" t="str">
        <f t="shared" si="44"/>
        <v/>
      </c>
      <c r="S148" t="str">
        <f>""</f>
        <v/>
      </c>
      <c r="AL148" s="18" t="str">
        <f>IF(COUNTIF($A$2:A147, A147) = 1, A147, "")</f>
        <v/>
      </c>
    </row>
    <row r="149" spans="6:38" x14ac:dyDescent="0.2">
      <c r="F149" t="str">
        <f t="shared" si="39"/>
        <v/>
      </c>
      <c r="L149" s="7" t="str">
        <f t="shared" si="40"/>
        <v/>
      </c>
      <c r="N149" s="7" t="str">
        <f t="shared" si="41"/>
        <v/>
      </c>
      <c r="O149" t="str">
        <f t="shared" si="42"/>
        <v/>
      </c>
      <c r="P149" t="str">
        <f t="shared" si="43"/>
        <v/>
      </c>
      <c r="Q149" t="str">
        <f t="shared" si="44"/>
        <v/>
      </c>
      <c r="S149" t="str">
        <f>""</f>
        <v/>
      </c>
      <c r="AL149" s="18" t="str">
        <f>IF(COUNTIF($A$2:A148, A148) = 1, A148, "")</f>
        <v/>
      </c>
    </row>
    <row r="150" spans="6:38" x14ac:dyDescent="0.2">
      <c r="F150" t="str">
        <f t="shared" si="39"/>
        <v/>
      </c>
      <c r="L150" s="7" t="str">
        <f t="shared" si="40"/>
        <v/>
      </c>
      <c r="N150" s="7" t="str">
        <f t="shared" si="41"/>
        <v/>
      </c>
      <c r="O150" t="str">
        <f t="shared" si="42"/>
        <v/>
      </c>
      <c r="P150" t="str">
        <f t="shared" si="43"/>
        <v/>
      </c>
      <c r="Q150" t="str">
        <f t="shared" si="44"/>
        <v/>
      </c>
      <c r="S150" t="str">
        <f>""</f>
        <v/>
      </c>
      <c r="AL150" s="18" t="str">
        <f>IF(COUNTIF($A$2:A149, A149) = 1, A149, "")</f>
        <v/>
      </c>
    </row>
    <row r="151" spans="6:38" x14ac:dyDescent="0.2">
      <c r="F151" t="str">
        <f t="shared" si="39"/>
        <v/>
      </c>
      <c r="L151" s="7" t="str">
        <f t="shared" si="40"/>
        <v/>
      </c>
      <c r="N151" s="7" t="str">
        <f t="shared" si="41"/>
        <v/>
      </c>
      <c r="O151" t="str">
        <f t="shared" si="42"/>
        <v/>
      </c>
      <c r="P151" t="str">
        <f t="shared" si="43"/>
        <v/>
      </c>
      <c r="Q151" t="str">
        <f t="shared" si="44"/>
        <v/>
      </c>
      <c r="S151" t="str">
        <f>""</f>
        <v/>
      </c>
      <c r="AL151" s="18" t="str">
        <f>IF(COUNTIF($A$2:A150, A150) = 1, A150, "")</f>
        <v/>
      </c>
    </row>
    <row r="152" spans="6:38" x14ac:dyDescent="0.2">
      <c r="F152" t="str">
        <f t="shared" si="39"/>
        <v/>
      </c>
      <c r="L152" s="7" t="str">
        <f t="shared" si="40"/>
        <v/>
      </c>
      <c r="N152" s="7" t="str">
        <f t="shared" si="41"/>
        <v/>
      </c>
      <c r="O152" t="str">
        <f t="shared" si="42"/>
        <v/>
      </c>
      <c r="P152" t="str">
        <f t="shared" si="43"/>
        <v/>
      </c>
      <c r="Q152" t="str">
        <f t="shared" si="44"/>
        <v/>
      </c>
      <c r="S152" t="str">
        <f>""</f>
        <v/>
      </c>
      <c r="AL152" s="18" t="str">
        <f>IF(COUNTIF($A$2:A151, A151) = 1, A151, "")</f>
        <v/>
      </c>
    </row>
    <row r="153" spans="6:38" x14ac:dyDescent="0.2">
      <c r="F153" t="str">
        <f t="shared" si="39"/>
        <v/>
      </c>
      <c r="L153" s="7" t="str">
        <f t="shared" si="40"/>
        <v/>
      </c>
      <c r="N153" s="7" t="str">
        <f t="shared" si="41"/>
        <v/>
      </c>
      <c r="O153" t="str">
        <f t="shared" si="42"/>
        <v/>
      </c>
      <c r="P153" t="str">
        <f t="shared" si="43"/>
        <v/>
      </c>
      <c r="Q153" t="str">
        <f t="shared" si="44"/>
        <v/>
      </c>
      <c r="S153" t="str">
        <f>""</f>
        <v/>
      </c>
      <c r="AL153" s="18" t="str">
        <f>IF(COUNTIF($A$2:A152, A152) = 1, A152, "")</f>
        <v/>
      </c>
    </row>
    <row r="154" spans="6:38" x14ac:dyDescent="0.2">
      <c r="F154" t="str">
        <f t="shared" si="39"/>
        <v/>
      </c>
      <c r="L154" s="7" t="str">
        <f t="shared" si="40"/>
        <v/>
      </c>
      <c r="N154" s="7" t="str">
        <f t="shared" si="41"/>
        <v/>
      </c>
      <c r="O154" t="str">
        <f t="shared" si="42"/>
        <v/>
      </c>
      <c r="P154" t="str">
        <f t="shared" si="43"/>
        <v/>
      </c>
      <c r="Q154" t="str">
        <f t="shared" si="44"/>
        <v/>
      </c>
      <c r="S154" t="str">
        <f>""</f>
        <v/>
      </c>
      <c r="AL154" s="18" t="str">
        <f>IF(COUNTIF($A$2:A153, A153) = 1, A153, "")</f>
        <v/>
      </c>
    </row>
    <row r="155" spans="6:38" x14ac:dyDescent="0.2">
      <c r="F155" t="str">
        <f t="shared" si="39"/>
        <v/>
      </c>
      <c r="L155" s="7" t="str">
        <f t="shared" si="40"/>
        <v/>
      </c>
      <c r="N155" s="7" t="str">
        <f t="shared" si="41"/>
        <v/>
      </c>
      <c r="O155" t="str">
        <f t="shared" si="42"/>
        <v/>
      </c>
      <c r="P155" t="str">
        <f t="shared" si="43"/>
        <v/>
      </c>
      <c r="Q155" t="str">
        <f t="shared" si="44"/>
        <v/>
      </c>
      <c r="S155" t="str">
        <f>""</f>
        <v/>
      </c>
      <c r="AL155" s="18" t="str">
        <f>IF(COUNTIF($A$2:A154, A154) = 1, A154, "")</f>
        <v/>
      </c>
    </row>
    <row r="156" spans="6:38" x14ac:dyDescent="0.2">
      <c r="F156" t="str">
        <f t="shared" si="39"/>
        <v/>
      </c>
      <c r="L156" s="7" t="str">
        <f t="shared" si="40"/>
        <v/>
      </c>
      <c r="N156" s="7" t="str">
        <f t="shared" si="41"/>
        <v/>
      </c>
      <c r="O156" t="str">
        <f t="shared" si="42"/>
        <v/>
      </c>
      <c r="P156" t="str">
        <f t="shared" si="43"/>
        <v/>
      </c>
      <c r="Q156" t="str">
        <f t="shared" si="44"/>
        <v/>
      </c>
      <c r="S156" t="str">
        <f>""</f>
        <v/>
      </c>
      <c r="AL156" s="18" t="str">
        <f>IF(COUNTIF($A$2:A155, A155) = 1, A155, "")</f>
        <v/>
      </c>
    </row>
    <row r="157" spans="6:38" x14ac:dyDescent="0.2">
      <c r="F157" t="str">
        <f t="shared" si="39"/>
        <v/>
      </c>
      <c r="L157" s="7" t="str">
        <f t="shared" si="40"/>
        <v/>
      </c>
      <c r="N157" s="7" t="str">
        <f t="shared" si="41"/>
        <v/>
      </c>
      <c r="O157" t="str">
        <f t="shared" si="42"/>
        <v/>
      </c>
      <c r="P157" t="str">
        <f t="shared" si="43"/>
        <v/>
      </c>
      <c r="Q157" t="str">
        <f t="shared" si="44"/>
        <v/>
      </c>
      <c r="S157" t="str">
        <f>""</f>
        <v/>
      </c>
      <c r="AL157" s="18" t="str">
        <f>IF(COUNTIF($A$2:A156, A156) = 1, A156, "")</f>
        <v/>
      </c>
    </row>
    <row r="158" spans="6:38" x14ac:dyDescent="0.2">
      <c r="F158" t="str">
        <f t="shared" si="39"/>
        <v/>
      </c>
      <c r="L158" s="7" t="str">
        <f t="shared" si="40"/>
        <v/>
      </c>
      <c r="N158" s="7" t="str">
        <f t="shared" si="41"/>
        <v/>
      </c>
      <c r="O158" t="str">
        <f t="shared" si="42"/>
        <v/>
      </c>
      <c r="P158" t="str">
        <f t="shared" si="43"/>
        <v/>
      </c>
      <c r="Q158" t="str">
        <f t="shared" si="44"/>
        <v/>
      </c>
      <c r="S158" t="str">
        <f>""</f>
        <v/>
      </c>
      <c r="AL158" s="18" t="str">
        <f>IF(COUNTIF($A$2:A157, A157) = 1, A157, "")</f>
        <v/>
      </c>
    </row>
    <row r="159" spans="6:38" x14ac:dyDescent="0.2">
      <c r="F159" t="str">
        <f t="shared" si="39"/>
        <v/>
      </c>
      <c r="L159" s="7" t="str">
        <f t="shared" si="40"/>
        <v/>
      </c>
      <c r="N159" s="7" t="str">
        <f t="shared" si="41"/>
        <v/>
      </c>
      <c r="O159" t="str">
        <f t="shared" si="42"/>
        <v/>
      </c>
      <c r="P159" t="str">
        <f t="shared" si="43"/>
        <v/>
      </c>
      <c r="Q159" t="str">
        <f t="shared" si="44"/>
        <v/>
      </c>
      <c r="S159" t="str">
        <f>""</f>
        <v/>
      </c>
      <c r="AL159" s="18" t="str">
        <f>IF(COUNTIF($A$2:A158, A158) = 1, A158, "")</f>
        <v/>
      </c>
    </row>
    <row r="160" spans="6:38" x14ac:dyDescent="0.2">
      <c r="F160" t="str">
        <f t="shared" si="39"/>
        <v/>
      </c>
      <c r="L160" s="7" t="str">
        <f t="shared" si="40"/>
        <v/>
      </c>
      <c r="N160" s="7" t="str">
        <f t="shared" si="41"/>
        <v/>
      </c>
      <c r="O160" t="str">
        <f t="shared" si="42"/>
        <v/>
      </c>
      <c r="P160" t="str">
        <f t="shared" si="43"/>
        <v/>
      </c>
      <c r="Q160" t="str">
        <f t="shared" si="44"/>
        <v/>
      </c>
      <c r="S160" t="str">
        <f>""</f>
        <v/>
      </c>
      <c r="AL160" s="18" t="str">
        <f>IF(COUNTIF($A$2:A159, A159) = 1, A159, "")</f>
        <v/>
      </c>
    </row>
    <row r="161" spans="6:38" x14ac:dyDescent="0.2">
      <c r="F161" t="str">
        <f t="shared" si="39"/>
        <v/>
      </c>
      <c r="L161" s="7" t="str">
        <f t="shared" si="40"/>
        <v/>
      </c>
      <c r="N161" s="7" t="str">
        <f t="shared" si="41"/>
        <v/>
      </c>
      <c r="O161" t="str">
        <f t="shared" si="42"/>
        <v/>
      </c>
      <c r="P161" t="str">
        <f t="shared" si="43"/>
        <v/>
      </c>
      <c r="Q161" t="str">
        <f t="shared" si="44"/>
        <v/>
      </c>
      <c r="S161" t="str">
        <f>""</f>
        <v/>
      </c>
      <c r="AL161" s="18" t="str">
        <f>IF(COUNTIF($A$2:A160, A160) = 1, A160, "")</f>
        <v/>
      </c>
    </row>
    <row r="162" spans="6:38" x14ac:dyDescent="0.2">
      <c r="F162" t="str">
        <f t="shared" si="39"/>
        <v/>
      </c>
      <c r="L162" s="7" t="str">
        <f t="shared" si="40"/>
        <v/>
      </c>
      <c r="N162" s="7" t="str">
        <f t="shared" si="41"/>
        <v/>
      </c>
      <c r="O162" t="str">
        <f t="shared" si="42"/>
        <v/>
      </c>
      <c r="P162" t="str">
        <f t="shared" si="43"/>
        <v/>
      </c>
      <c r="Q162" t="str">
        <f t="shared" si="44"/>
        <v/>
      </c>
      <c r="S162" t="str">
        <f>""</f>
        <v/>
      </c>
      <c r="AL162" s="18" t="str">
        <f>IF(COUNTIF($A$2:A161, A161) = 1, A161, "")</f>
        <v/>
      </c>
    </row>
    <row r="163" spans="6:38" x14ac:dyDescent="0.2">
      <c r="F163" t="str">
        <f t="shared" si="39"/>
        <v/>
      </c>
      <c r="L163" s="7" t="str">
        <f t="shared" si="40"/>
        <v/>
      </c>
      <c r="N163" s="7" t="str">
        <f t="shared" si="41"/>
        <v/>
      </c>
      <c r="O163" t="str">
        <f t="shared" si="42"/>
        <v/>
      </c>
      <c r="P163" t="str">
        <f t="shared" si="43"/>
        <v/>
      </c>
      <c r="Q163" t="str">
        <f t="shared" si="44"/>
        <v/>
      </c>
      <c r="S163" t="str">
        <f>""</f>
        <v/>
      </c>
      <c r="AL163" s="18" t="str">
        <f>IF(COUNTIF($A$2:A162, A162) = 1, A162, "")</f>
        <v/>
      </c>
    </row>
    <row r="164" spans="6:38" x14ac:dyDescent="0.2">
      <c r="F164" t="str">
        <f t="shared" si="39"/>
        <v/>
      </c>
      <c r="L164" s="7" t="str">
        <f t="shared" si="40"/>
        <v/>
      </c>
      <c r="N164" s="7" t="str">
        <f t="shared" si="41"/>
        <v/>
      </c>
      <c r="O164" t="str">
        <f t="shared" si="42"/>
        <v/>
      </c>
      <c r="P164" t="str">
        <f t="shared" si="43"/>
        <v/>
      </c>
      <c r="Q164" t="str">
        <f t="shared" si="44"/>
        <v/>
      </c>
      <c r="S164" t="str">
        <f>""</f>
        <v/>
      </c>
      <c r="AL164" s="18" t="str">
        <f>IF(COUNTIF($A$2:A163, A163) = 1, A163, "")</f>
        <v/>
      </c>
    </row>
    <row r="165" spans="6:38" x14ac:dyDescent="0.2">
      <c r="F165" t="str">
        <f t="shared" si="39"/>
        <v/>
      </c>
      <c r="L165" s="7" t="str">
        <f t="shared" si="40"/>
        <v/>
      </c>
      <c r="N165" s="7" t="str">
        <f t="shared" si="41"/>
        <v/>
      </c>
      <c r="O165" t="str">
        <f t="shared" si="42"/>
        <v/>
      </c>
      <c r="P165" t="str">
        <f t="shared" si="43"/>
        <v/>
      </c>
      <c r="Q165" t="str">
        <f t="shared" si="44"/>
        <v/>
      </c>
      <c r="S165" t="str">
        <f>""</f>
        <v/>
      </c>
      <c r="AL165" s="18" t="str">
        <f>IF(COUNTIF($A$2:A164, A164) = 1, A164, "")</f>
        <v/>
      </c>
    </row>
    <row r="166" spans="6:38" x14ac:dyDescent="0.2">
      <c r="F166" t="str">
        <f t="shared" si="39"/>
        <v/>
      </c>
      <c r="L166" s="7" t="str">
        <f t="shared" si="40"/>
        <v/>
      </c>
      <c r="N166" s="7" t="str">
        <f t="shared" si="41"/>
        <v/>
      </c>
      <c r="O166" t="str">
        <f t="shared" si="42"/>
        <v/>
      </c>
      <c r="P166" t="str">
        <f t="shared" si="43"/>
        <v/>
      </c>
      <c r="Q166" t="str">
        <f t="shared" si="44"/>
        <v/>
      </c>
      <c r="S166" t="str">
        <f>""</f>
        <v/>
      </c>
      <c r="AL166" s="18" t="str">
        <f>IF(COUNTIF($A$2:A165, A165) = 1, A165, "")</f>
        <v/>
      </c>
    </row>
    <row r="167" spans="6:38" x14ac:dyDescent="0.2">
      <c r="F167" t="str">
        <f t="shared" si="39"/>
        <v/>
      </c>
      <c r="L167" s="7" t="str">
        <f t="shared" si="40"/>
        <v/>
      </c>
      <c r="N167" s="7" t="str">
        <f t="shared" si="41"/>
        <v/>
      </c>
      <c r="O167" t="str">
        <f t="shared" si="42"/>
        <v/>
      </c>
      <c r="P167" t="str">
        <f t="shared" si="43"/>
        <v/>
      </c>
      <c r="Q167" t="str">
        <f t="shared" si="44"/>
        <v/>
      </c>
      <c r="S167" t="str">
        <f>""</f>
        <v/>
      </c>
      <c r="AL167" s="18" t="str">
        <f>IF(COUNTIF($A$2:A166, A166) = 1, A166, "")</f>
        <v/>
      </c>
    </row>
    <row r="168" spans="6:38" x14ac:dyDescent="0.2">
      <c r="F168" t="str">
        <f t="shared" si="39"/>
        <v/>
      </c>
      <c r="L168" s="7" t="str">
        <f t="shared" si="40"/>
        <v/>
      </c>
      <c r="N168" s="7" t="str">
        <f t="shared" si="41"/>
        <v/>
      </c>
      <c r="O168" t="str">
        <f t="shared" si="42"/>
        <v/>
      </c>
      <c r="P168" t="str">
        <f t="shared" si="43"/>
        <v/>
      </c>
      <c r="Q168" t="str">
        <f t="shared" si="44"/>
        <v/>
      </c>
      <c r="S168" t="str">
        <f>""</f>
        <v/>
      </c>
      <c r="AL168" s="18" t="str">
        <f>IF(COUNTIF($A$2:A167, A167) = 1, A167, "")</f>
        <v/>
      </c>
    </row>
    <row r="169" spans="6:38" x14ac:dyDescent="0.2">
      <c r="F169" t="str">
        <f t="shared" si="39"/>
        <v/>
      </c>
      <c r="L169" s="7" t="str">
        <f t="shared" si="40"/>
        <v/>
      </c>
      <c r="N169" s="7" t="str">
        <f t="shared" si="41"/>
        <v/>
      </c>
      <c r="O169" t="str">
        <f t="shared" si="42"/>
        <v/>
      </c>
      <c r="P169" t="str">
        <f t="shared" si="43"/>
        <v/>
      </c>
      <c r="Q169" t="str">
        <f t="shared" si="44"/>
        <v/>
      </c>
      <c r="S169" t="str">
        <f>""</f>
        <v/>
      </c>
      <c r="AL169" s="18" t="str">
        <f>IF(COUNTIF($A$2:A168, A168) = 1, A168, "")</f>
        <v/>
      </c>
    </row>
    <row r="170" spans="6:38" x14ac:dyDescent="0.2">
      <c r="F170" t="str">
        <f t="shared" si="39"/>
        <v/>
      </c>
      <c r="L170" s="7" t="str">
        <f t="shared" si="40"/>
        <v/>
      </c>
      <c r="N170" s="7" t="str">
        <f t="shared" si="41"/>
        <v/>
      </c>
      <c r="O170" t="str">
        <f t="shared" si="42"/>
        <v/>
      </c>
      <c r="P170" t="str">
        <f t="shared" si="43"/>
        <v/>
      </c>
      <c r="Q170" t="str">
        <f t="shared" si="44"/>
        <v/>
      </c>
      <c r="S170" t="str">
        <f>""</f>
        <v/>
      </c>
      <c r="AL170" s="18" t="str">
        <f>IF(COUNTIF($A$2:A169, A169) = 1, A169, "")</f>
        <v/>
      </c>
    </row>
    <row r="171" spans="6:38" x14ac:dyDescent="0.2">
      <c r="F171" t="str">
        <f t="shared" si="39"/>
        <v/>
      </c>
      <c r="L171" s="7" t="str">
        <f t="shared" si="40"/>
        <v/>
      </c>
      <c r="N171" s="7" t="str">
        <f t="shared" si="41"/>
        <v/>
      </c>
      <c r="O171" t="str">
        <f t="shared" si="42"/>
        <v/>
      </c>
      <c r="P171" t="str">
        <f t="shared" si="43"/>
        <v/>
      </c>
      <c r="Q171" t="str">
        <f t="shared" si="44"/>
        <v/>
      </c>
      <c r="S171" t="str">
        <f>""</f>
        <v/>
      </c>
      <c r="AL171" s="18" t="str">
        <f>IF(COUNTIF($A$2:A170, A170) = 1, A170, "")</f>
        <v/>
      </c>
    </row>
    <row r="172" spans="6:38" x14ac:dyDescent="0.2">
      <c r="F172" t="str">
        <f t="shared" si="39"/>
        <v/>
      </c>
      <c r="L172" s="7" t="str">
        <f t="shared" si="40"/>
        <v/>
      </c>
      <c r="N172" s="7" t="str">
        <f t="shared" si="41"/>
        <v/>
      </c>
      <c r="O172" t="str">
        <f t="shared" si="42"/>
        <v/>
      </c>
      <c r="P172" t="str">
        <f t="shared" si="43"/>
        <v/>
      </c>
      <c r="Q172" t="str">
        <f t="shared" si="44"/>
        <v/>
      </c>
      <c r="S172" t="str">
        <f>""</f>
        <v/>
      </c>
      <c r="AL172" s="18" t="str">
        <f>IF(COUNTIF($A$2:A171, A171) = 1, A171, "")</f>
        <v/>
      </c>
    </row>
    <row r="173" spans="6:38" x14ac:dyDescent="0.2">
      <c r="F173" t="str">
        <f t="shared" si="39"/>
        <v/>
      </c>
      <c r="L173" s="7" t="str">
        <f t="shared" si="40"/>
        <v/>
      </c>
      <c r="N173" s="7" t="str">
        <f t="shared" si="41"/>
        <v/>
      </c>
      <c r="O173" t="str">
        <f t="shared" si="42"/>
        <v/>
      </c>
      <c r="P173" t="str">
        <f t="shared" si="43"/>
        <v/>
      </c>
      <c r="Q173" t="str">
        <f t="shared" si="44"/>
        <v/>
      </c>
      <c r="S173" t="str">
        <f>""</f>
        <v/>
      </c>
      <c r="AL173" s="18" t="str">
        <f>IF(COUNTIF($A$2:A172, A172) = 1, A172, "")</f>
        <v/>
      </c>
    </row>
    <row r="174" spans="6:38" x14ac:dyDescent="0.2">
      <c r="F174" t="str">
        <f t="shared" si="39"/>
        <v/>
      </c>
      <c r="L174" s="7" t="str">
        <f t="shared" si="40"/>
        <v/>
      </c>
      <c r="N174" s="7" t="str">
        <f t="shared" si="41"/>
        <v/>
      </c>
      <c r="O174" t="str">
        <f t="shared" si="42"/>
        <v/>
      </c>
      <c r="P174" t="str">
        <f t="shared" si="43"/>
        <v/>
      </c>
      <c r="Q174" t="str">
        <f t="shared" si="44"/>
        <v/>
      </c>
      <c r="S174" t="str">
        <f>""</f>
        <v/>
      </c>
      <c r="AL174" s="18" t="str">
        <f>IF(COUNTIF($A$2:A173, A173) = 1, A173, "")</f>
        <v/>
      </c>
    </row>
    <row r="175" spans="6:38" x14ac:dyDescent="0.2">
      <c r="F175" t="str">
        <f t="shared" si="39"/>
        <v/>
      </c>
      <c r="L175" s="7" t="str">
        <f t="shared" si="40"/>
        <v/>
      </c>
      <c r="N175" s="7" t="str">
        <f t="shared" si="41"/>
        <v/>
      </c>
      <c r="O175" t="str">
        <f t="shared" si="42"/>
        <v/>
      </c>
      <c r="P175" t="str">
        <f t="shared" si="43"/>
        <v/>
      </c>
      <c r="Q175" t="str">
        <f t="shared" si="44"/>
        <v/>
      </c>
      <c r="S175" t="str">
        <f>""</f>
        <v/>
      </c>
      <c r="AL175" s="18" t="str">
        <f>IF(COUNTIF($A$2:A174, A174) = 1, A174, "")</f>
        <v/>
      </c>
    </row>
    <row r="176" spans="6:38" x14ac:dyDescent="0.2">
      <c r="F176" t="str">
        <f t="shared" si="39"/>
        <v/>
      </c>
      <c r="L176" s="7" t="str">
        <f t="shared" si="40"/>
        <v/>
      </c>
      <c r="N176" s="7" t="str">
        <f t="shared" si="41"/>
        <v/>
      </c>
      <c r="O176" t="str">
        <f t="shared" si="42"/>
        <v/>
      </c>
      <c r="P176" t="str">
        <f t="shared" si="43"/>
        <v/>
      </c>
      <c r="Q176" t="str">
        <f t="shared" si="44"/>
        <v/>
      </c>
      <c r="S176" t="str">
        <f>""</f>
        <v/>
      </c>
      <c r="AL176" s="18" t="str">
        <f>IF(COUNTIF($A$2:A175, A175) = 1, A175, "")</f>
        <v/>
      </c>
    </row>
    <row r="177" spans="6:38" x14ac:dyDescent="0.2">
      <c r="F177" t="str">
        <f t="shared" si="39"/>
        <v/>
      </c>
      <c r="L177" s="7" t="str">
        <f t="shared" si="40"/>
        <v/>
      </c>
      <c r="N177" s="7" t="str">
        <f t="shared" si="41"/>
        <v/>
      </c>
      <c r="O177" t="str">
        <f t="shared" si="42"/>
        <v/>
      </c>
      <c r="P177" t="str">
        <f t="shared" si="43"/>
        <v/>
      </c>
      <c r="Q177" t="str">
        <f t="shared" si="44"/>
        <v/>
      </c>
      <c r="S177" t="str">
        <f>""</f>
        <v/>
      </c>
      <c r="AL177" s="18" t="str">
        <f>IF(COUNTIF($A$2:A176, A176) = 1, A176, "")</f>
        <v/>
      </c>
    </row>
    <row r="178" spans="6:38" x14ac:dyDescent="0.2">
      <c r="F178" t="str">
        <f t="shared" si="39"/>
        <v/>
      </c>
      <c r="L178" s="7" t="str">
        <f t="shared" si="40"/>
        <v/>
      </c>
      <c r="N178" s="7" t="str">
        <f t="shared" si="41"/>
        <v/>
      </c>
      <c r="O178" t="str">
        <f t="shared" si="42"/>
        <v/>
      </c>
      <c r="P178" t="str">
        <f t="shared" si="43"/>
        <v/>
      </c>
      <c r="Q178" t="str">
        <f t="shared" si="44"/>
        <v/>
      </c>
      <c r="S178" t="str">
        <f>""</f>
        <v/>
      </c>
      <c r="AL178" s="18" t="str">
        <f>IF(COUNTIF($A$2:A177, A177) = 1, A177, "")</f>
        <v/>
      </c>
    </row>
    <row r="179" spans="6:38" x14ac:dyDescent="0.2">
      <c r="F179" t="str">
        <f t="shared" si="39"/>
        <v/>
      </c>
      <c r="L179" s="7" t="str">
        <f t="shared" si="40"/>
        <v/>
      </c>
      <c r="N179" s="7" t="str">
        <f t="shared" si="41"/>
        <v/>
      </c>
      <c r="O179" t="str">
        <f t="shared" si="42"/>
        <v/>
      </c>
      <c r="P179" t="str">
        <f t="shared" si="43"/>
        <v/>
      </c>
      <c r="Q179" t="str">
        <f t="shared" si="44"/>
        <v/>
      </c>
      <c r="S179" t="str">
        <f>""</f>
        <v/>
      </c>
      <c r="AL179" s="18" t="str">
        <f>IF(COUNTIF($A$2:A178, A178) = 1, A178, "")</f>
        <v/>
      </c>
    </row>
    <row r="180" spans="6:38" x14ac:dyDescent="0.2">
      <c r="F180" t="str">
        <f t="shared" si="39"/>
        <v/>
      </c>
      <c r="L180" s="7" t="str">
        <f t="shared" si="40"/>
        <v/>
      </c>
      <c r="N180" s="7" t="str">
        <f t="shared" si="41"/>
        <v/>
      </c>
      <c r="O180" t="str">
        <f t="shared" si="42"/>
        <v/>
      </c>
      <c r="P180" t="str">
        <f t="shared" si="43"/>
        <v/>
      </c>
      <c r="Q180" t="str">
        <f t="shared" si="44"/>
        <v/>
      </c>
      <c r="S180" t="str">
        <f>""</f>
        <v/>
      </c>
      <c r="AL180" s="18" t="str">
        <f>IF(COUNTIF($A$2:A179, A179) = 1, A179, "")</f>
        <v/>
      </c>
    </row>
    <row r="181" spans="6:38" x14ac:dyDescent="0.2">
      <c r="F181" t="str">
        <f t="shared" si="39"/>
        <v/>
      </c>
      <c r="L181" s="7" t="str">
        <f t="shared" si="40"/>
        <v/>
      </c>
      <c r="N181" s="7" t="str">
        <f t="shared" si="41"/>
        <v/>
      </c>
      <c r="O181" t="str">
        <f t="shared" si="42"/>
        <v/>
      </c>
      <c r="P181" t="str">
        <f t="shared" si="43"/>
        <v/>
      </c>
      <c r="Q181" t="str">
        <f t="shared" si="44"/>
        <v/>
      </c>
      <c r="S181" t="str">
        <f>""</f>
        <v/>
      </c>
      <c r="AL181" s="18" t="str">
        <f>IF(COUNTIF($A$2:A180, A180) = 1, A180, "")</f>
        <v/>
      </c>
    </row>
    <row r="182" spans="6:38" x14ac:dyDescent="0.2">
      <c r="F182" t="str">
        <f t="shared" si="39"/>
        <v/>
      </c>
      <c r="L182" s="7" t="str">
        <f t="shared" si="40"/>
        <v/>
      </c>
      <c r="N182" s="7" t="str">
        <f t="shared" si="41"/>
        <v/>
      </c>
      <c r="O182" t="str">
        <f t="shared" si="42"/>
        <v/>
      </c>
      <c r="P182" t="str">
        <f t="shared" si="43"/>
        <v/>
      </c>
      <c r="Q182" t="str">
        <f t="shared" si="44"/>
        <v/>
      </c>
      <c r="S182" t="str">
        <f>""</f>
        <v/>
      </c>
      <c r="AL182" s="18" t="str">
        <f>IF(COUNTIF($A$2:A181, A181) = 1, A181, "")</f>
        <v/>
      </c>
    </row>
    <row r="183" spans="6:38" x14ac:dyDescent="0.2">
      <c r="F183" t="str">
        <f t="shared" si="39"/>
        <v/>
      </c>
      <c r="L183" s="7" t="str">
        <f t="shared" si="40"/>
        <v/>
      </c>
      <c r="N183" s="7" t="str">
        <f t="shared" si="41"/>
        <v/>
      </c>
      <c r="O183" t="str">
        <f t="shared" si="42"/>
        <v/>
      </c>
      <c r="P183" t="str">
        <f t="shared" si="43"/>
        <v/>
      </c>
      <c r="Q183" t="str">
        <f t="shared" si="44"/>
        <v/>
      </c>
      <c r="S183" t="str">
        <f>""</f>
        <v/>
      </c>
      <c r="AL183" s="18" t="str">
        <f>IF(COUNTIF($A$2:A182, A182) = 1, A182, "")</f>
        <v/>
      </c>
    </row>
    <row r="184" spans="6:38" x14ac:dyDescent="0.2">
      <c r="F184" t="str">
        <f t="shared" si="39"/>
        <v/>
      </c>
      <c r="L184" s="7" t="str">
        <f t="shared" si="40"/>
        <v/>
      </c>
      <c r="N184" s="7" t="str">
        <f t="shared" si="41"/>
        <v/>
      </c>
      <c r="O184" t="str">
        <f t="shared" si="42"/>
        <v/>
      </c>
      <c r="P184" t="str">
        <f t="shared" si="43"/>
        <v/>
      </c>
      <c r="Q184" t="str">
        <f t="shared" si="44"/>
        <v/>
      </c>
      <c r="S184" t="str">
        <f>""</f>
        <v/>
      </c>
      <c r="AL184" s="18" t="str">
        <f>IF(COUNTIF($A$2:A183, A183) = 1, A183, "")</f>
        <v/>
      </c>
    </row>
    <row r="185" spans="6:38" x14ac:dyDescent="0.2">
      <c r="F185" t="str">
        <f t="shared" si="39"/>
        <v/>
      </c>
      <c r="L185" s="7" t="str">
        <f t="shared" si="40"/>
        <v/>
      </c>
      <c r="N185" s="7" t="str">
        <f t="shared" si="41"/>
        <v/>
      </c>
      <c r="O185" t="str">
        <f t="shared" si="42"/>
        <v/>
      </c>
      <c r="P185" t="str">
        <f t="shared" si="43"/>
        <v/>
      </c>
      <c r="Q185" t="str">
        <f t="shared" si="44"/>
        <v/>
      </c>
      <c r="S185" t="str">
        <f>""</f>
        <v/>
      </c>
      <c r="AL185" s="18" t="str">
        <f>IF(COUNTIF($A$2:A184, A184) = 1, A184, "")</f>
        <v/>
      </c>
    </row>
    <row r="186" spans="6:38" x14ac:dyDescent="0.2">
      <c r="F186" t="str">
        <f t="shared" si="39"/>
        <v/>
      </c>
      <c r="L186" s="7" t="str">
        <f t="shared" si="40"/>
        <v/>
      </c>
      <c r="N186" s="7" t="str">
        <f t="shared" si="41"/>
        <v/>
      </c>
      <c r="O186" t="str">
        <f t="shared" si="42"/>
        <v/>
      </c>
      <c r="P186" t="str">
        <f t="shared" si="43"/>
        <v/>
      </c>
      <c r="Q186" t="str">
        <f t="shared" si="44"/>
        <v/>
      </c>
      <c r="S186" t="str">
        <f>""</f>
        <v/>
      </c>
      <c r="AL186" s="18" t="str">
        <f>IF(COUNTIF($A$2:A185, A185) = 1, A185, "")</f>
        <v/>
      </c>
    </row>
    <row r="187" spans="6:38" x14ac:dyDescent="0.2">
      <c r="F187" t="str">
        <f t="shared" si="39"/>
        <v/>
      </c>
      <c r="L187" s="7" t="str">
        <f t="shared" si="40"/>
        <v/>
      </c>
      <c r="N187" s="7" t="str">
        <f t="shared" si="41"/>
        <v/>
      </c>
      <c r="O187" t="str">
        <f t="shared" si="42"/>
        <v/>
      </c>
      <c r="P187" t="str">
        <f t="shared" si="43"/>
        <v/>
      </c>
      <c r="Q187" t="str">
        <f t="shared" si="44"/>
        <v/>
      </c>
      <c r="S187" t="str">
        <f>""</f>
        <v/>
      </c>
      <c r="AL187" s="18" t="str">
        <f>IF(COUNTIF($A$2:A186, A186) = 1, A186, "")</f>
        <v/>
      </c>
    </row>
    <row r="188" spans="6:38" x14ac:dyDescent="0.2">
      <c r="F188" t="str">
        <f t="shared" si="39"/>
        <v/>
      </c>
      <c r="L188" s="7" t="str">
        <f t="shared" si="40"/>
        <v/>
      </c>
      <c r="N188" s="7" t="str">
        <f t="shared" si="41"/>
        <v/>
      </c>
      <c r="O188" t="str">
        <f t="shared" si="42"/>
        <v/>
      </c>
      <c r="P188" t="str">
        <f t="shared" si="43"/>
        <v/>
      </c>
      <c r="Q188" t="str">
        <f t="shared" si="44"/>
        <v/>
      </c>
      <c r="S188" t="str">
        <f>""</f>
        <v/>
      </c>
      <c r="AL188" s="18" t="str">
        <f>IF(COUNTIF($A$2:A187, A187) = 1, A187, "")</f>
        <v/>
      </c>
    </row>
    <row r="189" spans="6:38" x14ac:dyDescent="0.2">
      <c r="F189" t="str">
        <f t="shared" si="39"/>
        <v/>
      </c>
      <c r="L189" s="7" t="str">
        <f t="shared" si="40"/>
        <v/>
      </c>
      <c r="N189" s="7" t="str">
        <f t="shared" si="41"/>
        <v/>
      </c>
      <c r="O189" t="str">
        <f t="shared" si="42"/>
        <v/>
      </c>
      <c r="P189" t="str">
        <f t="shared" si="43"/>
        <v/>
      </c>
      <c r="Q189" t="str">
        <f t="shared" si="44"/>
        <v/>
      </c>
      <c r="S189" t="str">
        <f>""</f>
        <v/>
      </c>
      <c r="AL189" s="18" t="str">
        <f>IF(COUNTIF($A$2:A188, A188) = 1, A188, "")</f>
        <v/>
      </c>
    </row>
    <row r="190" spans="6:38" x14ac:dyDescent="0.2">
      <c r="F190" t="str">
        <f t="shared" si="39"/>
        <v/>
      </c>
      <c r="L190" s="7" t="str">
        <f t="shared" si="40"/>
        <v/>
      </c>
      <c r="N190" s="7" t="str">
        <f t="shared" si="41"/>
        <v/>
      </c>
      <c r="O190" t="str">
        <f t="shared" si="42"/>
        <v/>
      </c>
      <c r="P190" t="str">
        <f t="shared" si="43"/>
        <v/>
      </c>
      <c r="Q190" t="str">
        <f t="shared" si="44"/>
        <v/>
      </c>
      <c r="S190" t="str">
        <f>""</f>
        <v/>
      </c>
      <c r="AL190" s="18" t="str">
        <f>IF(COUNTIF($A$2:A189, A189) = 1, A189, "")</f>
        <v/>
      </c>
    </row>
    <row r="191" spans="6:38" x14ac:dyDescent="0.2">
      <c r="F191" t="str">
        <f t="shared" si="39"/>
        <v/>
      </c>
      <c r="L191" s="7" t="str">
        <f t="shared" si="40"/>
        <v/>
      </c>
      <c r="N191" s="7" t="str">
        <f t="shared" si="41"/>
        <v/>
      </c>
      <c r="O191" t="str">
        <f t="shared" si="42"/>
        <v/>
      </c>
      <c r="P191" t="str">
        <f t="shared" si="43"/>
        <v/>
      </c>
      <c r="Q191" t="str">
        <f t="shared" si="44"/>
        <v/>
      </c>
      <c r="S191" t="str">
        <f>""</f>
        <v/>
      </c>
      <c r="AL191" s="18" t="str">
        <f>IF(COUNTIF($A$2:A190, A190) = 1, A190, "")</f>
        <v/>
      </c>
    </row>
    <row r="192" spans="6:38" x14ac:dyDescent="0.2">
      <c r="F192" t="str">
        <f t="shared" si="39"/>
        <v/>
      </c>
      <c r="L192" s="7" t="str">
        <f t="shared" si="40"/>
        <v/>
      </c>
      <c r="N192" s="7" t="str">
        <f t="shared" si="41"/>
        <v/>
      </c>
      <c r="O192" t="str">
        <f t="shared" si="42"/>
        <v/>
      </c>
      <c r="P192" t="str">
        <f t="shared" si="43"/>
        <v/>
      </c>
      <c r="Q192" t="str">
        <f t="shared" si="44"/>
        <v/>
      </c>
      <c r="S192" t="str">
        <f>""</f>
        <v/>
      </c>
      <c r="AL192" s="18" t="str">
        <f>IF(COUNTIF($A$2:A191, A191) = 1, A191, "")</f>
        <v/>
      </c>
    </row>
    <row r="193" spans="6:38" x14ac:dyDescent="0.2">
      <c r="F193" t="str">
        <f t="shared" si="39"/>
        <v/>
      </c>
      <c r="L193" s="7" t="str">
        <f t="shared" si="40"/>
        <v/>
      </c>
      <c r="N193" s="7" t="str">
        <f t="shared" si="41"/>
        <v/>
      </c>
      <c r="O193" t="str">
        <f t="shared" si="42"/>
        <v/>
      </c>
      <c r="P193" t="str">
        <f t="shared" si="43"/>
        <v/>
      </c>
      <c r="Q193" t="str">
        <f t="shared" si="44"/>
        <v/>
      </c>
      <c r="S193" t="str">
        <f>""</f>
        <v/>
      </c>
      <c r="AL193" s="18" t="str">
        <f>IF(COUNTIF($A$2:A192, A192) = 1, A192, "")</f>
        <v/>
      </c>
    </row>
    <row r="194" spans="6:38" x14ac:dyDescent="0.2">
      <c r="F194" t="str">
        <f t="shared" si="39"/>
        <v/>
      </c>
      <c r="L194" s="7" t="str">
        <f t="shared" si="40"/>
        <v/>
      </c>
      <c r="N194" s="7" t="str">
        <f t="shared" si="41"/>
        <v/>
      </c>
      <c r="O194" t="str">
        <f t="shared" si="42"/>
        <v/>
      </c>
      <c r="P194" t="str">
        <f t="shared" si="43"/>
        <v/>
      </c>
      <c r="Q194" t="str">
        <f t="shared" si="44"/>
        <v/>
      </c>
      <c r="S194" t="str">
        <f>""</f>
        <v/>
      </c>
      <c r="AL194" s="18" t="str">
        <f>IF(COUNTIF($A$2:A193, A193) = 1, A193, "")</f>
        <v/>
      </c>
    </row>
    <row r="195" spans="6:38" x14ac:dyDescent="0.2">
      <c r="F195" t="str">
        <f t="shared" si="39"/>
        <v/>
      </c>
      <c r="L195" s="7" t="str">
        <f t="shared" si="40"/>
        <v/>
      </c>
      <c r="N195" s="7" t="str">
        <f t="shared" si="41"/>
        <v/>
      </c>
      <c r="O195" t="str">
        <f t="shared" si="42"/>
        <v/>
      </c>
      <c r="P195" t="str">
        <f t="shared" si="43"/>
        <v/>
      </c>
      <c r="Q195" t="str">
        <f t="shared" si="44"/>
        <v/>
      </c>
      <c r="S195" t="str">
        <f>""</f>
        <v/>
      </c>
      <c r="AL195" s="18" t="str">
        <f>IF(COUNTIF($A$2:A194, A194) = 1, A194, "")</f>
        <v/>
      </c>
    </row>
    <row r="196" spans="6:38" x14ac:dyDescent="0.2">
      <c r="F196" t="str">
        <f t="shared" si="39"/>
        <v/>
      </c>
      <c r="L196" s="7" t="str">
        <f t="shared" si="40"/>
        <v/>
      </c>
      <c r="N196" s="7" t="str">
        <f t="shared" si="41"/>
        <v/>
      </c>
      <c r="O196" t="str">
        <f t="shared" si="42"/>
        <v/>
      </c>
      <c r="P196" t="str">
        <f t="shared" si="43"/>
        <v/>
      </c>
      <c r="Q196" t="str">
        <f t="shared" si="44"/>
        <v/>
      </c>
      <c r="S196" t="str">
        <f>""</f>
        <v/>
      </c>
      <c r="AL196" s="18" t="str">
        <f>IF(COUNTIF($A$2:A195, A195) = 1, A195, "")</f>
        <v/>
      </c>
    </row>
    <row r="197" spans="6:38" x14ac:dyDescent="0.2">
      <c r="F197" t="str">
        <f t="shared" si="39"/>
        <v/>
      </c>
      <c r="L197" s="7" t="str">
        <f t="shared" si="40"/>
        <v/>
      </c>
      <c r="N197" s="7" t="str">
        <f t="shared" si="41"/>
        <v/>
      </c>
      <c r="O197" t="str">
        <f t="shared" si="42"/>
        <v/>
      </c>
      <c r="P197" t="str">
        <f t="shared" si="43"/>
        <v/>
      </c>
      <c r="Q197" t="str">
        <f t="shared" si="44"/>
        <v/>
      </c>
      <c r="S197" t="str">
        <f>""</f>
        <v/>
      </c>
      <c r="AL197" s="18" t="str">
        <f>IF(COUNTIF($A$2:A196, A196) = 1, A196, "")</f>
        <v/>
      </c>
    </row>
    <row r="198" spans="6:38" x14ac:dyDescent="0.2">
      <c r="F198" t="str">
        <f t="shared" si="39"/>
        <v/>
      </c>
      <c r="L198" s="7" t="str">
        <f t="shared" si="40"/>
        <v/>
      </c>
      <c r="N198" s="7" t="str">
        <f t="shared" si="41"/>
        <v/>
      </c>
      <c r="O198" t="str">
        <f t="shared" si="42"/>
        <v/>
      </c>
      <c r="P198" t="str">
        <f t="shared" si="43"/>
        <v/>
      </c>
      <c r="Q198" t="str">
        <f t="shared" si="44"/>
        <v/>
      </c>
      <c r="S198" t="str">
        <f>""</f>
        <v/>
      </c>
      <c r="AL198" s="18" t="str">
        <f>IF(COUNTIF($A$2:A197, A197) = 1, A197, "")</f>
        <v/>
      </c>
    </row>
    <row r="199" spans="6:38" x14ac:dyDescent="0.2">
      <c r="F199" t="str">
        <f t="shared" si="39"/>
        <v/>
      </c>
      <c r="L199" s="7" t="str">
        <f t="shared" si="40"/>
        <v/>
      </c>
      <c r="N199" s="7" t="str">
        <f t="shared" si="41"/>
        <v/>
      </c>
      <c r="O199" t="str">
        <f t="shared" si="42"/>
        <v/>
      </c>
      <c r="P199" t="str">
        <f t="shared" si="43"/>
        <v/>
      </c>
      <c r="Q199" t="str">
        <f t="shared" si="44"/>
        <v/>
      </c>
      <c r="S199" t="str">
        <f>""</f>
        <v/>
      </c>
      <c r="AL199" s="18" t="str">
        <f>IF(COUNTIF($A$2:A198, A198) = 1, A198, "")</f>
        <v/>
      </c>
    </row>
    <row r="200" spans="6:38" x14ac:dyDescent="0.2">
      <c r="F200" t="str">
        <f t="shared" si="39"/>
        <v/>
      </c>
      <c r="L200" s="7" t="str">
        <f t="shared" si="40"/>
        <v/>
      </c>
      <c r="N200" s="7" t="str">
        <f t="shared" si="41"/>
        <v/>
      </c>
      <c r="O200" t="str">
        <f t="shared" si="42"/>
        <v/>
      </c>
      <c r="P200" t="str">
        <f t="shared" si="43"/>
        <v/>
      </c>
      <c r="Q200" t="str">
        <f t="shared" si="44"/>
        <v/>
      </c>
      <c r="S200" t="str">
        <f>""</f>
        <v/>
      </c>
      <c r="AL200" s="18" t="str">
        <f>IF(COUNTIF($A$2:A199, A199) = 1, A199, "")</f>
        <v/>
      </c>
    </row>
    <row r="201" spans="6:38" x14ac:dyDescent="0.2">
      <c r="F201" t="str">
        <f t="shared" si="39"/>
        <v/>
      </c>
      <c r="L201" s="7" t="str">
        <f t="shared" si="40"/>
        <v/>
      </c>
      <c r="N201" s="7" t="str">
        <f t="shared" si="41"/>
        <v/>
      </c>
      <c r="O201" t="str">
        <f t="shared" si="42"/>
        <v/>
      </c>
      <c r="P201" t="str">
        <f t="shared" si="43"/>
        <v/>
      </c>
      <c r="Q201" t="str">
        <f t="shared" si="44"/>
        <v/>
      </c>
      <c r="S201" t="str">
        <f>""</f>
        <v/>
      </c>
      <c r="AL201" s="18" t="str">
        <f>IF(COUNTIF($A$2:A200, A200) = 1, A200, "")</f>
        <v/>
      </c>
    </row>
    <row r="202" spans="6:38" x14ac:dyDescent="0.2">
      <c r="F202" t="str">
        <f t="shared" si="39"/>
        <v/>
      </c>
      <c r="L202" s="7" t="str">
        <f t="shared" si="40"/>
        <v/>
      </c>
      <c r="N202" s="7" t="str">
        <f t="shared" si="41"/>
        <v/>
      </c>
      <c r="O202" t="str">
        <f t="shared" si="42"/>
        <v/>
      </c>
      <c r="P202" t="str">
        <f t="shared" si="43"/>
        <v/>
      </c>
      <c r="Q202" t="str">
        <f t="shared" si="44"/>
        <v/>
      </c>
      <c r="S202" t="str">
        <f>""</f>
        <v/>
      </c>
      <c r="AL202" s="18" t="str">
        <f>IF(COUNTIF($A$2:A201, A201) = 1, A201, "")</f>
        <v/>
      </c>
    </row>
    <row r="203" spans="6:38" x14ac:dyDescent="0.2">
      <c r="F203" t="str">
        <f t="shared" si="39"/>
        <v/>
      </c>
      <c r="L203" s="7" t="str">
        <f t="shared" si="40"/>
        <v/>
      </c>
      <c r="N203" s="7" t="str">
        <f t="shared" si="41"/>
        <v/>
      </c>
      <c r="O203" t="str">
        <f t="shared" si="42"/>
        <v/>
      </c>
      <c r="P203" t="str">
        <f t="shared" si="43"/>
        <v/>
      </c>
      <c r="Q203" t="str">
        <f t="shared" si="44"/>
        <v/>
      </c>
      <c r="S203" t="str">
        <f>""</f>
        <v/>
      </c>
      <c r="AL203" s="18" t="str">
        <f>IF(COUNTIF($A$2:A202, A202) = 1, A202, "")</f>
        <v/>
      </c>
    </row>
    <row r="204" spans="6:38" x14ac:dyDescent="0.2">
      <c r="F204" t="str">
        <f t="shared" si="39"/>
        <v/>
      </c>
      <c r="L204" s="7" t="str">
        <f t="shared" si="40"/>
        <v/>
      </c>
      <c r="N204" s="7" t="str">
        <f t="shared" si="41"/>
        <v/>
      </c>
      <c r="O204" t="str">
        <f t="shared" si="42"/>
        <v/>
      </c>
      <c r="P204" t="str">
        <f t="shared" si="43"/>
        <v/>
      </c>
      <c r="Q204" t="str">
        <f t="shared" si="44"/>
        <v/>
      </c>
      <c r="S204" t="str">
        <f>""</f>
        <v/>
      </c>
      <c r="AL204" s="18" t="str">
        <f>IF(COUNTIF($A$2:A203, A203) = 1, A203, "")</f>
        <v/>
      </c>
    </row>
    <row r="205" spans="6:38" x14ac:dyDescent="0.2">
      <c r="F205" t="str">
        <f t="shared" si="39"/>
        <v/>
      </c>
      <c r="L205" s="7" t="str">
        <f t="shared" si="40"/>
        <v/>
      </c>
      <c r="N205" s="7" t="str">
        <f t="shared" si="41"/>
        <v/>
      </c>
      <c r="O205" t="str">
        <f t="shared" si="42"/>
        <v/>
      </c>
      <c r="P205" t="str">
        <f t="shared" si="43"/>
        <v/>
      </c>
      <c r="Q205" t="str">
        <f t="shared" si="44"/>
        <v/>
      </c>
      <c r="S205" t="str">
        <f>""</f>
        <v/>
      </c>
      <c r="AL205" s="18" t="str">
        <f>IF(COUNTIF($A$2:A204, A204) = 1, A204, "")</f>
        <v/>
      </c>
    </row>
    <row r="206" spans="6:38" x14ac:dyDescent="0.2">
      <c r="F206" t="str">
        <f t="shared" si="39"/>
        <v/>
      </c>
      <c r="L206" s="7" t="str">
        <f t="shared" si="40"/>
        <v/>
      </c>
      <c r="N206" s="7" t="str">
        <f t="shared" si="41"/>
        <v/>
      </c>
      <c r="O206" t="str">
        <f t="shared" si="42"/>
        <v/>
      </c>
      <c r="P206" t="str">
        <f t="shared" si="43"/>
        <v/>
      </c>
      <c r="Q206" t="str">
        <f t="shared" si="44"/>
        <v/>
      </c>
      <c r="S206" t="str">
        <f>""</f>
        <v/>
      </c>
      <c r="AL206" s="18" t="str">
        <f>IF(COUNTIF($A$2:A205, A205) = 1, A205, "")</f>
        <v/>
      </c>
    </row>
    <row r="207" spans="6:38" x14ac:dyDescent="0.2">
      <c r="F207" t="str">
        <f t="shared" si="39"/>
        <v/>
      </c>
      <c r="L207" s="7" t="str">
        <f t="shared" si="40"/>
        <v/>
      </c>
      <c r="N207" s="7" t="str">
        <f t="shared" si="41"/>
        <v/>
      </c>
      <c r="O207" t="str">
        <f t="shared" si="42"/>
        <v/>
      </c>
      <c r="P207" t="str">
        <f t="shared" si="43"/>
        <v/>
      </c>
      <c r="Q207" t="str">
        <f t="shared" si="44"/>
        <v/>
      </c>
      <c r="S207" t="str">
        <f>""</f>
        <v/>
      </c>
      <c r="AL207" s="18" t="str">
        <f>IF(COUNTIF($A$2:A206, A206) = 1, A206, "")</f>
        <v/>
      </c>
    </row>
    <row r="208" spans="6:38" x14ac:dyDescent="0.2">
      <c r="F208" t="str">
        <f t="shared" ref="F208:F271" si="45">IF(OR(O208="", P208=""), "", SUM(IF((O208&lt;&gt;"None")*(O208&lt;&gt;""),LEN(O208)-LEN(SUBSTITUTE(O208,",",""))+1,0)) + SUM(IF((P208&lt;&gt;"None")*(P208&lt;&gt;""),LEN(P208)-LEN(SUBSTITUTE(P208,",",""))+1,0)))</f>
        <v/>
      </c>
      <c r="L208" s="7" t="str">
        <f t="shared" ref="L208:L271" si="46">IF(LEN(E208)=0, "", IFERROR(IF(E208&gt;=0, K208 * (1 + E208/100) - K208, K208 / (ABS(E208)/100))+K208, ""))</f>
        <v/>
      </c>
      <c r="N208" s="7" t="str">
        <f t="shared" ref="N208:N271" si="47">IF(M208="Yes",L208-K208,IF(M208="No",-K208,""))</f>
        <v/>
      </c>
      <c r="O208" t="str">
        <f t="shared" ref="O208:O271" si="48">IF(AND(G208="No",H208="No"), "None", "")</f>
        <v/>
      </c>
      <c r="P208" t="str">
        <f t="shared" ref="P208:P271" si="49">IF(I208="No", "None", "")</f>
        <v/>
      </c>
      <c r="Q208" t="str">
        <f t="shared" ref="Q208:Q271" si="50">IF(AND(D208="Straight", M208 = "No"),IF(O208="None",P208,IF(P208="None",O208) ),"")</f>
        <v/>
      </c>
      <c r="S208" t="str">
        <f>""</f>
        <v/>
      </c>
      <c r="AL208" s="18" t="str">
        <f>IF(COUNTIF($A$2:A207, A207) = 1, A207, "")</f>
        <v/>
      </c>
    </row>
    <row r="209" spans="6:38" x14ac:dyDescent="0.2">
      <c r="F209" t="str">
        <f t="shared" si="45"/>
        <v/>
      </c>
      <c r="L209" s="7" t="str">
        <f t="shared" si="46"/>
        <v/>
      </c>
      <c r="N209" s="7" t="str">
        <f t="shared" si="47"/>
        <v/>
      </c>
      <c r="O209" t="str">
        <f t="shared" si="48"/>
        <v/>
      </c>
      <c r="P209" t="str">
        <f t="shared" si="49"/>
        <v/>
      </c>
      <c r="Q209" t="str">
        <f t="shared" si="50"/>
        <v/>
      </c>
      <c r="S209" t="str">
        <f>""</f>
        <v/>
      </c>
      <c r="AL209" s="18" t="str">
        <f>IF(COUNTIF($A$2:A208, A208) = 1, A208, "")</f>
        <v/>
      </c>
    </row>
    <row r="210" spans="6:38" x14ac:dyDescent="0.2">
      <c r="F210" t="str">
        <f t="shared" si="45"/>
        <v/>
      </c>
      <c r="L210" s="7" t="str">
        <f t="shared" si="46"/>
        <v/>
      </c>
      <c r="N210" s="7" t="str">
        <f t="shared" si="47"/>
        <v/>
      </c>
      <c r="O210" t="str">
        <f t="shared" si="48"/>
        <v/>
      </c>
      <c r="P210" t="str">
        <f t="shared" si="49"/>
        <v/>
      </c>
      <c r="Q210" t="str">
        <f t="shared" si="50"/>
        <v/>
      </c>
      <c r="S210" t="str">
        <f>""</f>
        <v/>
      </c>
      <c r="AL210" s="18" t="str">
        <f>IF(COUNTIF($A$2:A209, A209) = 1, A209, "")</f>
        <v/>
      </c>
    </row>
    <row r="211" spans="6:38" x14ac:dyDescent="0.2">
      <c r="F211" t="str">
        <f t="shared" si="45"/>
        <v/>
      </c>
      <c r="L211" s="7" t="str">
        <f t="shared" si="46"/>
        <v/>
      </c>
      <c r="N211" s="7" t="str">
        <f t="shared" si="47"/>
        <v/>
      </c>
      <c r="O211" t="str">
        <f t="shared" si="48"/>
        <v/>
      </c>
      <c r="P211" t="str">
        <f t="shared" si="49"/>
        <v/>
      </c>
      <c r="Q211" t="str">
        <f t="shared" si="50"/>
        <v/>
      </c>
      <c r="S211" t="str">
        <f>""</f>
        <v/>
      </c>
      <c r="AL211" s="18" t="str">
        <f>IF(COUNTIF($A$2:A210, A210) = 1, A210, "")</f>
        <v/>
      </c>
    </row>
    <row r="212" spans="6:38" x14ac:dyDescent="0.2">
      <c r="F212" t="str">
        <f t="shared" si="45"/>
        <v/>
      </c>
      <c r="L212" s="7" t="str">
        <f t="shared" si="46"/>
        <v/>
      </c>
      <c r="N212" s="7" t="str">
        <f t="shared" si="47"/>
        <v/>
      </c>
      <c r="O212" t="str">
        <f t="shared" si="48"/>
        <v/>
      </c>
      <c r="P212" t="str">
        <f t="shared" si="49"/>
        <v/>
      </c>
      <c r="Q212" t="str">
        <f t="shared" si="50"/>
        <v/>
      </c>
      <c r="S212" t="str">
        <f>""</f>
        <v/>
      </c>
      <c r="AL212" s="18" t="str">
        <f>IF(COUNTIF($A$2:A211, A211) = 1, A211, "")</f>
        <v/>
      </c>
    </row>
    <row r="213" spans="6:38" x14ac:dyDescent="0.2">
      <c r="F213" t="str">
        <f t="shared" si="45"/>
        <v/>
      </c>
      <c r="L213" s="7" t="str">
        <f t="shared" si="46"/>
        <v/>
      </c>
      <c r="N213" s="7" t="str">
        <f t="shared" si="47"/>
        <v/>
      </c>
      <c r="O213" t="str">
        <f t="shared" si="48"/>
        <v/>
      </c>
      <c r="P213" t="str">
        <f t="shared" si="49"/>
        <v/>
      </c>
      <c r="Q213" t="str">
        <f t="shared" si="50"/>
        <v/>
      </c>
      <c r="S213" t="str">
        <f>""</f>
        <v/>
      </c>
      <c r="AL213" s="18" t="str">
        <f>IF(COUNTIF($A$2:A212, A212) = 1, A212, "")</f>
        <v/>
      </c>
    </row>
    <row r="214" spans="6:38" x14ac:dyDescent="0.2">
      <c r="F214" t="str">
        <f t="shared" si="45"/>
        <v/>
      </c>
      <c r="L214" s="7" t="str">
        <f t="shared" si="46"/>
        <v/>
      </c>
      <c r="N214" s="7" t="str">
        <f t="shared" si="47"/>
        <v/>
      </c>
      <c r="O214" t="str">
        <f t="shared" si="48"/>
        <v/>
      </c>
      <c r="P214" t="str">
        <f t="shared" si="49"/>
        <v/>
      </c>
      <c r="Q214" t="str">
        <f t="shared" si="50"/>
        <v/>
      </c>
      <c r="S214" t="str">
        <f>""</f>
        <v/>
      </c>
      <c r="AL214" s="18" t="str">
        <f>IF(COUNTIF($A$2:A213, A213) = 1, A213, "")</f>
        <v/>
      </c>
    </row>
    <row r="215" spans="6:38" x14ac:dyDescent="0.2">
      <c r="F215" t="str">
        <f t="shared" si="45"/>
        <v/>
      </c>
      <c r="L215" s="7" t="str">
        <f t="shared" si="46"/>
        <v/>
      </c>
      <c r="N215" s="7" t="str">
        <f t="shared" si="47"/>
        <v/>
      </c>
      <c r="O215" t="str">
        <f t="shared" si="48"/>
        <v/>
      </c>
      <c r="P215" t="str">
        <f t="shared" si="49"/>
        <v/>
      </c>
      <c r="Q215" t="str">
        <f t="shared" si="50"/>
        <v/>
      </c>
      <c r="S215" t="str">
        <f>""</f>
        <v/>
      </c>
      <c r="AL215" s="18" t="str">
        <f>IF(COUNTIF($A$2:A214, A214) = 1, A214, "")</f>
        <v/>
      </c>
    </row>
    <row r="216" spans="6:38" x14ac:dyDescent="0.2">
      <c r="F216" t="str">
        <f t="shared" si="45"/>
        <v/>
      </c>
      <c r="L216" s="7" t="str">
        <f t="shared" si="46"/>
        <v/>
      </c>
      <c r="N216" s="7" t="str">
        <f t="shared" si="47"/>
        <v/>
      </c>
      <c r="O216" t="str">
        <f t="shared" si="48"/>
        <v/>
      </c>
      <c r="P216" t="str">
        <f t="shared" si="49"/>
        <v/>
      </c>
      <c r="Q216" t="str">
        <f t="shared" si="50"/>
        <v/>
      </c>
      <c r="S216" t="str">
        <f>""</f>
        <v/>
      </c>
      <c r="AL216" s="18" t="str">
        <f>IF(COUNTIF($A$2:A215, A215) = 1, A215, "")</f>
        <v/>
      </c>
    </row>
    <row r="217" spans="6:38" x14ac:dyDescent="0.2">
      <c r="F217" t="str">
        <f t="shared" si="45"/>
        <v/>
      </c>
      <c r="L217" s="7" t="str">
        <f t="shared" si="46"/>
        <v/>
      </c>
      <c r="N217" s="7" t="str">
        <f t="shared" si="47"/>
        <v/>
      </c>
      <c r="O217" t="str">
        <f t="shared" si="48"/>
        <v/>
      </c>
      <c r="P217" t="str">
        <f t="shared" si="49"/>
        <v/>
      </c>
      <c r="Q217" t="str">
        <f t="shared" si="50"/>
        <v/>
      </c>
      <c r="S217" t="str">
        <f>""</f>
        <v/>
      </c>
      <c r="AL217" s="18" t="str">
        <f>IF(COUNTIF($A$2:A216, A216) = 1, A216, "")</f>
        <v/>
      </c>
    </row>
    <row r="218" spans="6:38" x14ac:dyDescent="0.2">
      <c r="F218" t="str">
        <f t="shared" si="45"/>
        <v/>
      </c>
      <c r="L218" s="7" t="str">
        <f t="shared" si="46"/>
        <v/>
      </c>
      <c r="N218" s="7" t="str">
        <f t="shared" si="47"/>
        <v/>
      </c>
      <c r="O218" t="str">
        <f t="shared" si="48"/>
        <v/>
      </c>
      <c r="P218" t="str">
        <f t="shared" si="49"/>
        <v/>
      </c>
      <c r="Q218" t="str">
        <f t="shared" si="50"/>
        <v/>
      </c>
      <c r="S218" t="str">
        <f>""</f>
        <v/>
      </c>
      <c r="AL218" s="18" t="str">
        <f>IF(COUNTIF($A$2:A217, A217) = 1, A217, "")</f>
        <v/>
      </c>
    </row>
    <row r="219" spans="6:38" x14ac:dyDescent="0.2">
      <c r="F219" t="str">
        <f t="shared" si="45"/>
        <v/>
      </c>
      <c r="L219" s="7" t="str">
        <f t="shared" si="46"/>
        <v/>
      </c>
      <c r="N219" s="7" t="str">
        <f t="shared" si="47"/>
        <v/>
      </c>
      <c r="O219" t="str">
        <f t="shared" si="48"/>
        <v/>
      </c>
      <c r="P219" t="str">
        <f t="shared" si="49"/>
        <v/>
      </c>
      <c r="Q219" t="str">
        <f t="shared" si="50"/>
        <v/>
      </c>
      <c r="S219" t="str">
        <f>""</f>
        <v/>
      </c>
      <c r="AL219" s="18" t="str">
        <f>IF(COUNTIF($A$2:A218, A218) = 1, A218, "")</f>
        <v/>
      </c>
    </row>
    <row r="220" spans="6:38" x14ac:dyDescent="0.2">
      <c r="F220" t="str">
        <f t="shared" si="45"/>
        <v/>
      </c>
      <c r="L220" s="7" t="str">
        <f t="shared" si="46"/>
        <v/>
      </c>
      <c r="N220" s="7" t="str">
        <f t="shared" si="47"/>
        <v/>
      </c>
      <c r="O220" t="str">
        <f t="shared" si="48"/>
        <v/>
      </c>
      <c r="P220" t="str">
        <f t="shared" si="49"/>
        <v/>
      </c>
      <c r="Q220" t="str">
        <f t="shared" si="50"/>
        <v/>
      </c>
      <c r="S220" t="str">
        <f>""</f>
        <v/>
      </c>
      <c r="AL220" s="18" t="str">
        <f>IF(COUNTIF($A$2:A219, A219) = 1, A219, "")</f>
        <v/>
      </c>
    </row>
    <row r="221" spans="6:38" x14ac:dyDescent="0.2">
      <c r="F221" t="str">
        <f t="shared" si="45"/>
        <v/>
      </c>
      <c r="L221" s="7" t="str">
        <f t="shared" si="46"/>
        <v/>
      </c>
      <c r="N221" s="7" t="str">
        <f t="shared" si="47"/>
        <v/>
      </c>
      <c r="O221" t="str">
        <f t="shared" si="48"/>
        <v/>
      </c>
      <c r="P221" t="str">
        <f t="shared" si="49"/>
        <v/>
      </c>
      <c r="Q221" t="str">
        <f t="shared" si="50"/>
        <v/>
      </c>
      <c r="S221" t="str">
        <f>""</f>
        <v/>
      </c>
      <c r="AL221" s="18" t="str">
        <f>IF(COUNTIF($A$2:A220, A220) = 1, A220, "")</f>
        <v/>
      </c>
    </row>
    <row r="222" spans="6:38" x14ac:dyDescent="0.2">
      <c r="F222" t="str">
        <f t="shared" si="45"/>
        <v/>
      </c>
      <c r="L222" s="7" t="str">
        <f t="shared" si="46"/>
        <v/>
      </c>
      <c r="N222" s="7" t="str">
        <f t="shared" si="47"/>
        <v/>
      </c>
      <c r="O222" t="str">
        <f t="shared" si="48"/>
        <v/>
      </c>
      <c r="P222" t="str">
        <f t="shared" si="49"/>
        <v/>
      </c>
      <c r="Q222" t="str">
        <f t="shared" si="50"/>
        <v/>
      </c>
      <c r="S222" t="str">
        <f>""</f>
        <v/>
      </c>
      <c r="AL222" s="18" t="str">
        <f>IF(COUNTIF($A$2:A221, A221) = 1, A221, "")</f>
        <v/>
      </c>
    </row>
    <row r="223" spans="6:38" x14ac:dyDescent="0.2">
      <c r="F223" t="str">
        <f t="shared" si="45"/>
        <v/>
      </c>
      <c r="L223" s="7" t="str">
        <f t="shared" si="46"/>
        <v/>
      </c>
      <c r="N223" s="7" t="str">
        <f t="shared" si="47"/>
        <v/>
      </c>
      <c r="O223" t="str">
        <f t="shared" si="48"/>
        <v/>
      </c>
      <c r="P223" t="str">
        <f t="shared" si="49"/>
        <v/>
      </c>
      <c r="Q223" t="str">
        <f t="shared" si="50"/>
        <v/>
      </c>
      <c r="S223" t="str">
        <f>""</f>
        <v/>
      </c>
      <c r="AL223" s="18" t="str">
        <f>IF(COUNTIF($A$2:A222, A222) = 1, A222, "")</f>
        <v/>
      </c>
    </row>
    <row r="224" spans="6:38" x14ac:dyDescent="0.2">
      <c r="F224" t="str">
        <f t="shared" si="45"/>
        <v/>
      </c>
      <c r="L224" s="7" t="str">
        <f t="shared" si="46"/>
        <v/>
      </c>
      <c r="N224" s="7" t="str">
        <f t="shared" si="47"/>
        <v/>
      </c>
      <c r="O224" t="str">
        <f t="shared" si="48"/>
        <v/>
      </c>
      <c r="P224" t="str">
        <f t="shared" si="49"/>
        <v/>
      </c>
      <c r="Q224" t="str">
        <f t="shared" si="50"/>
        <v/>
      </c>
      <c r="S224" t="str">
        <f>""</f>
        <v/>
      </c>
      <c r="AL224" s="18" t="str">
        <f>IF(COUNTIF($A$2:A223, A223) = 1, A223, "")</f>
        <v/>
      </c>
    </row>
    <row r="225" spans="6:38" x14ac:dyDescent="0.2">
      <c r="F225" t="str">
        <f t="shared" si="45"/>
        <v/>
      </c>
      <c r="L225" s="7" t="str">
        <f t="shared" si="46"/>
        <v/>
      </c>
      <c r="N225" s="7" t="str">
        <f t="shared" si="47"/>
        <v/>
      </c>
      <c r="O225" t="str">
        <f t="shared" si="48"/>
        <v/>
      </c>
      <c r="P225" t="str">
        <f t="shared" si="49"/>
        <v/>
      </c>
      <c r="Q225" t="str">
        <f t="shared" si="50"/>
        <v/>
      </c>
      <c r="S225" t="str">
        <f>""</f>
        <v/>
      </c>
      <c r="AL225" s="18" t="str">
        <f>IF(COUNTIF($A$2:A224, A224) = 1, A224, "")</f>
        <v/>
      </c>
    </row>
    <row r="226" spans="6:38" x14ac:dyDescent="0.2">
      <c r="F226" t="str">
        <f t="shared" si="45"/>
        <v/>
      </c>
      <c r="L226" s="7" t="str">
        <f t="shared" si="46"/>
        <v/>
      </c>
      <c r="N226" s="7" t="str">
        <f t="shared" si="47"/>
        <v/>
      </c>
      <c r="O226" t="str">
        <f t="shared" si="48"/>
        <v/>
      </c>
      <c r="P226" t="str">
        <f t="shared" si="49"/>
        <v/>
      </c>
      <c r="Q226" t="str">
        <f t="shared" si="50"/>
        <v/>
      </c>
      <c r="S226" t="str">
        <f>""</f>
        <v/>
      </c>
      <c r="AL226" s="18" t="str">
        <f>IF(COUNTIF($A$2:A225, A225) = 1, A225, "")</f>
        <v/>
      </c>
    </row>
    <row r="227" spans="6:38" x14ac:dyDescent="0.2">
      <c r="F227" t="str">
        <f t="shared" si="45"/>
        <v/>
      </c>
      <c r="L227" s="7" t="str">
        <f t="shared" si="46"/>
        <v/>
      </c>
      <c r="N227" s="7" t="str">
        <f t="shared" si="47"/>
        <v/>
      </c>
      <c r="O227" t="str">
        <f t="shared" si="48"/>
        <v/>
      </c>
      <c r="P227" t="str">
        <f t="shared" si="49"/>
        <v/>
      </c>
      <c r="Q227" t="str">
        <f t="shared" si="50"/>
        <v/>
      </c>
      <c r="S227" t="str">
        <f>""</f>
        <v/>
      </c>
      <c r="AL227" s="18" t="str">
        <f>IF(COUNTIF($A$2:A226, A226) = 1, A226, "")</f>
        <v/>
      </c>
    </row>
    <row r="228" spans="6:38" x14ac:dyDescent="0.2">
      <c r="F228" t="str">
        <f t="shared" si="45"/>
        <v/>
      </c>
      <c r="L228" s="7" t="str">
        <f t="shared" si="46"/>
        <v/>
      </c>
      <c r="N228" s="7" t="str">
        <f t="shared" si="47"/>
        <v/>
      </c>
      <c r="O228" t="str">
        <f t="shared" si="48"/>
        <v/>
      </c>
      <c r="P228" t="str">
        <f t="shared" si="49"/>
        <v/>
      </c>
      <c r="Q228" t="str">
        <f t="shared" si="50"/>
        <v/>
      </c>
      <c r="S228" t="str">
        <f>""</f>
        <v/>
      </c>
      <c r="AL228" s="18" t="str">
        <f>IF(COUNTIF($A$2:A227, A227) = 1, A227, "")</f>
        <v/>
      </c>
    </row>
    <row r="229" spans="6:38" x14ac:dyDescent="0.2">
      <c r="F229" t="str">
        <f t="shared" si="45"/>
        <v/>
      </c>
      <c r="L229" s="7" t="str">
        <f t="shared" si="46"/>
        <v/>
      </c>
      <c r="N229" s="7" t="str">
        <f t="shared" si="47"/>
        <v/>
      </c>
      <c r="O229" t="str">
        <f t="shared" si="48"/>
        <v/>
      </c>
      <c r="P229" t="str">
        <f t="shared" si="49"/>
        <v/>
      </c>
      <c r="Q229" t="str">
        <f t="shared" si="50"/>
        <v/>
      </c>
      <c r="S229" t="str">
        <f>""</f>
        <v/>
      </c>
      <c r="AL229" s="18" t="str">
        <f>IF(COUNTIF($A$2:A228, A228) = 1, A228, "")</f>
        <v/>
      </c>
    </row>
    <row r="230" spans="6:38" x14ac:dyDescent="0.2">
      <c r="F230" t="str">
        <f t="shared" si="45"/>
        <v/>
      </c>
      <c r="L230" s="7" t="str">
        <f t="shared" si="46"/>
        <v/>
      </c>
      <c r="N230" s="7" t="str">
        <f t="shared" si="47"/>
        <v/>
      </c>
      <c r="O230" t="str">
        <f t="shared" si="48"/>
        <v/>
      </c>
      <c r="P230" t="str">
        <f t="shared" si="49"/>
        <v/>
      </c>
      <c r="Q230" t="str">
        <f t="shared" si="50"/>
        <v/>
      </c>
      <c r="S230" t="str">
        <f>""</f>
        <v/>
      </c>
      <c r="AL230" s="18" t="str">
        <f>IF(COUNTIF($A$2:A229, A229) = 1, A229, "")</f>
        <v/>
      </c>
    </row>
    <row r="231" spans="6:38" x14ac:dyDescent="0.2">
      <c r="F231" t="str">
        <f t="shared" si="45"/>
        <v/>
      </c>
      <c r="L231" s="7" t="str">
        <f t="shared" si="46"/>
        <v/>
      </c>
      <c r="N231" s="7" t="str">
        <f t="shared" si="47"/>
        <v/>
      </c>
      <c r="O231" t="str">
        <f t="shared" si="48"/>
        <v/>
      </c>
      <c r="P231" t="str">
        <f t="shared" si="49"/>
        <v/>
      </c>
      <c r="Q231" t="str">
        <f t="shared" si="50"/>
        <v/>
      </c>
      <c r="S231" t="str">
        <f>""</f>
        <v/>
      </c>
      <c r="AL231" s="18" t="str">
        <f>IF(COUNTIF($A$2:A230, A230) = 1, A230, "")</f>
        <v/>
      </c>
    </row>
    <row r="232" spans="6:38" x14ac:dyDescent="0.2">
      <c r="F232" t="str">
        <f t="shared" si="45"/>
        <v/>
      </c>
      <c r="L232" s="7" t="str">
        <f t="shared" si="46"/>
        <v/>
      </c>
      <c r="N232" s="7" t="str">
        <f t="shared" si="47"/>
        <v/>
      </c>
      <c r="O232" t="str">
        <f t="shared" si="48"/>
        <v/>
      </c>
      <c r="P232" t="str">
        <f t="shared" si="49"/>
        <v/>
      </c>
      <c r="Q232" t="str">
        <f t="shared" si="50"/>
        <v/>
      </c>
      <c r="S232" t="str">
        <f>""</f>
        <v/>
      </c>
      <c r="AL232" s="18" t="str">
        <f>IF(COUNTIF($A$2:A231, A231) = 1, A231, "")</f>
        <v/>
      </c>
    </row>
    <row r="233" spans="6:38" x14ac:dyDescent="0.2">
      <c r="F233" t="str">
        <f t="shared" si="45"/>
        <v/>
      </c>
      <c r="L233" s="7" t="str">
        <f t="shared" si="46"/>
        <v/>
      </c>
      <c r="N233" s="7" t="str">
        <f t="shared" si="47"/>
        <v/>
      </c>
      <c r="O233" t="str">
        <f t="shared" si="48"/>
        <v/>
      </c>
      <c r="P233" t="str">
        <f t="shared" si="49"/>
        <v/>
      </c>
      <c r="Q233" t="str">
        <f t="shared" si="50"/>
        <v/>
      </c>
      <c r="S233" t="str">
        <f>""</f>
        <v/>
      </c>
      <c r="AL233" s="18" t="str">
        <f>IF(COUNTIF($A$2:A232, A232) = 1, A232, "")</f>
        <v/>
      </c>
    </row>
    <row r="234" spans="6:38" x14ac:dyDescent="0.2">
      <c r="F234" t="str">
        <f t="shared" si="45"/>
        <v/>
      </c>
      <c r="L234" s="7" t="str">
        <f t="shared" si="46"/>
        <v/>
      </c>
      <c r="N234" s="7" t="str">
        <f t="shared" si="47"/>
        <v/>
      </c>
      <c r="O234" t="str">
        <f t="shared" si="48"/>
        <v/>
      </c>
      <c r="P234" t="str">
        <f t="shared" si="49"/>
        <v/>
      </c>
      <c r="Q234" t="str">
        <f t="shared" si="50"/>
        <v/>
      </c>
      <c r="S234" t="str">
        <f>""</f>
        <v/>
      </c>
      <c r="AL234" s="18" t="str">
        <f>IF(COUNTIF($A$2:A233, A233) = 1, A233, "")</f>
        <v/>
      </c>
    </row>
    <row r="235" spans="6:38" x14ac:dyDescent="0.2">
      <c r="F235" t="str">
        <f t="shared" si="45"/>
        <v/>
      </c>
      <c r="L235" s="7" t="str">
        <f t="shared" si="46"/>
        <v/>
      </c>
      <c r="N235" s="7" t="str">
        <f t="shared" si="47"/>
        <v/>
      </c>
      <c r="O235" t="str">
        <f t="shared" si="48"/>
        <v/>
      </c>
      <c r="P235" t="str">
        <f t="shared" si="49"/>
        <v/>
      </c>
      <c r="Q235" t="str">
        <f t="shared" si="50"/>
        <v/>
      </c>
      <c r="S235" t="str">
        <f>""</f>
        <v/>
      </c>
      <c r="AL235" s="18" t="str">
        <f>IF(COUNTIF($A$2:A234, A234) = 1, A234, "")</f>
        <v/>
      </c>
    </row>
    <row r="236" spans="6:38" x14ac:dyDescent="0.2">
      <c r="F236" t="str">
        <f t="shared" si="45"/>
        <v/>
      </c>
      <c r="L236" s="7" t="str">
        <f t="shared" si="46"/>
        <v/>
      </c>
      <c r="N236" s="7" t="str">
        <f t="shared" si="47"/>
        <v/>
      </c>
      <c r="O236" t="str">
        <f t="shared" si="48"/>
        <v/>
      </c>
      <c r="P236" t="str">
        <f t="shared" si="49"/>
        <v/>
      </c>
      <c r="Q236" t="str">
        <f t="shared" si="50"/>
        <v/>
      </c>
      <c r="S236" t="str">
        <f>""</f>
        <v/>
      </c>
      <c r="AL236" s="18" t="str">
        <f>IF(COUNTIF($A$2:A235, A235) = 1, A235, "")</f>
        <v/>
      </c>
    </row>
    <row r="237" spans="6:38" x14ac:dyDescent="0.2">
      <c r="F237" t="str">
        <f t="shared" si="45"/>
        <v/>
      </c>
      <c r="L237" s="7" t="str">
        <f t="shared" si="46"/>
        <v/>
      </c>
      <c r="N237" s="7" t="str">
        <f t="shared" si="47"/>
        <v/>
      </c>
      <c r="O237" t="str">
        <f t="shared" si="48"/>
        <v/>
      </c>
      <c r="P237" t="str">
        <f t="shared" si="49"/>
        <v/>
      </c>
      <c r="Q237" t="str">
        <f t="shared" si="50"/>
        <v/>
      </c>
      <c r="S237" t="str">
        <f>""</f>
        <v/>
      </c>
      <c r="AL237" s="18" t="str">
        <f>IF(COUNTIF($A$2:A236, A236) = 1, A236, "")</f>
        <v/>
      </c>
    </row>
    <row r="238" spans="6:38" x14ac:dyDescent="0.2">
      <c r="F238" t="str">
        <f t="shared" si="45"/>
        <v/>
      </c>
      <c r="L238" s="7" t="str">
        <f t="shared" si="46"/>
        <v/>
      </c>
      <c r="N238" s="7" t="str">
        <f t="shared" si="47"/>
        <v/>
      </c>
      <c r="O238" t="str">
        <f t="shared" si="48"/>
        <v/>
      </c>
      <c r="P238" t="str">
        <f t="shared" si="49"/>
        <v/>
      </c>
      <c r="Q238" t="str">
        <f t="shared" si="50"/>
        <v/>
      </c>
      <c r="S238" t="str">
        <f>""</f>
        <v/>
      </c>
      <c r="AL238" s="18" t="str">
        <f>IF(COUNTIF($A$2:A237, A237) = 1, A237, "")</f>
        <v/>
      </c>
    </row>
    <row r="239" spans="6:38" x14ac:dyDescent="0.2">
      <c r="F239" t="str">
        <f t="shared" si="45"/>
        <v/>
      </c>
      <c r="L239" s="7" t="str">
        <f t="shared" si="46"/>
        <v/>
      </c>
      <c r="N239" s="7" t="str">
        <f t="shared" si="47"/>
        <v/>
      </c>
      <c r="O239" t="str">
        <f t="shared" si="48"/>
        <v/>
      </c>
      <c r="P239" t="str">
        <f t="shared" si="49"/>
        <v/>
      </c>
      <c r="Q239" t="str">
        <f t="shared" si="50"/>
        <v/>
      </c>
      <c r="S239" t="str">
        <f>""</f>
        <v/>
      </c>
      <c r="AL239" s="18" t="str">
        <f>IF(COUNTIF($A$2:A238, A238) = 1, A238, "")</f>
        <v/>
      </c>
    </row>
    <row r="240" spans="6:38" x14ac:dyDescent="0.2">
      <c r="F240" t="str">
        <f t="shared" si="45"/>
        <v/>
      </c>
      <c r="L240" s="7" t="str">
        <f t="shared" si="46"/>
        <v/>
      </c>
      <c r="N240" s="7" t="str">
        <f t="shared" si="47"/>
        <v/>
      </c>
      <c r="O240" t="str">
        <f t="shared" si="48"/>
        <v/>
      </c>
      <c r="P240" t="str">
        <f t="shared" si="49"/>
        <v/>
      </c>
      <c r="Q240" t="str">
        <f t="shared" si="50"/>
        <v/>
      </c>
      <c r="S240" t="str">
        <f>""</f>
        <v/>
      </c>
      <c r="AL240" s="18" t="str">
        <f>IF(COUNTIF($A$2:A239, A239) = 1, A239, "")</f>
        <v/>
      </c>
    </row>
    <row r="241" spans="6:38" x14ac:dyDescent="0.2">
      <c r="F241" t="str">
        <f t="shared" si="45"/>
        <v/>
      </c>
      <c r="L241" s="7" t="str">
        <f t="shared" si="46"/>
        <v/>
      </c>
      <c r="N241" s="7" t="str">
        <f t="shared" si="47"/>
        <v/>
      </c>
      <c r="O241" t="str">
        <f t="shared" si="48"/>
        <v/>
      </c>
      <c r="P241" t="str">
        <f t="shared" si="49"/>
        <v/>
      </c>
      <c r="Q241" t="str">
        <f t="shared" si="50"/>
        <v/>
      </c>
      <c r="S241" t="str">
        <f>""</f>
        <v/>
      </c>
      <c r="AL241" s="18" t="str">
        <f>IF(COUNTIF($A$2:A240, A240) = 1, A240, "")</f>
        <v/>
      </c>
    </row>
    <row r="242" spans="6:38" x14ac:dyDescent="0.2">
      <c r="F242" t="str">
        <f t="shared" si="45"/>
        <v/>
      </c>
      <c r="L242" s="7" t="str">
        <f t="shared" si="46"/>
        <v/>
      </c>
      <c r="N242" s="7" t="str">
        <f t="shared" si="47"/>
        <v/>
      </c>
      <c r="O242" t="str">
        <f t="shared" si="48"/>
        <v/>
      </c>
      <c r="P242" t="str">
        <f t="shared" si="49"/>
        <v/>
      </c>
      <c r="Q242" t="str">
        <f t="shared" si="50"/>
        <v/>
      </c>
      <c r="S242" t="str">
        <f>""</f>
        <v/>
      </c>
      <c r="AL242" s="18" t="str">
        <f>IF(COUNTIF($A$2:A241, A241) = 1, A241, "")</f>
        <v/>
      </c>
    </row>
    <row r="243" spans="6:38" x14ac:dyDescent="0.2">
      <c r="F243" t="str">
        <f t="shared" si="45"/>
        <v/>
      </c>
      <c r="L243" s="7" t="str">
        <f t="shared" si="46"/>
        <v/>
      </c>
      <c r="N243" s="7" t="str">
        <f t="shared" si="47"/>
        <v/>
      </c>
      <c r="O243" t="str">
        <f t="shared" si="48"/>
        <v/>
      </c>
      <c r="P243" t="str">
        <f t="shared" si="49"/>
        <v/>
      </c>
      <c r="Q243" t="str">
        <f t="shared" si="50"/>
        <v/>
      </c>
      <c r="S243" t="str">
        <f>""</f>
        <v/>
      </c>
      <c r="AL243" s="18" t="str">
        <f>IF(COUNTIF($A$2:A242, A242) = 1, A242, "")</f>
        <v/>
      </c>
    </row>
    <row r="244" spans="6:38" x14ac:dyDescent="0.2">
      <c r="F244" t="str">
        <f t="shared" si="45"/>
        <v/>
      </c>
      <c r="L244" s="7" t="str">
        <f t="shared" si="46"/>
        <v/>
      </c>
      <c r="N244" s="7" t="str">
        <f t="shared" si="47"/>
        <v/>
      </c>
      <c r="O244" t="str">
        <f t="shared" si="48"/>
        <v/>
      </c>
      <c r="P244" t="str">
        <f t="shared" si="49"/>
        <v/>
      </c>
      <c r="Q244" t="str">
        <f t="shared" si="50"/>
        <v/>
      </c>
      <c r="S244" t="str">
        <f>""</f>
        <v/>
      </c>
      <c r="AL244" s="18" t="str">
        <f>IF(COUNTIF($A$2:A243, A243) = 1, A243, "")</f>
        <v/>
      </c>
    </row>
    <row r="245" spans="6:38" x14ac:dyDescent="0.2">
      <c r="F245" t="str">
        <f t="shared" si="45"/>
        <v/>
      </c>
      <c r="L245" s="7" t="str">
        <f t="shared" si="46"/>
        <v/>
      </c>
      <c r="N245" s="7" t="str">
        <f t="shared" si="47"/>
        <v/>
      </c>
      <c r="O245" t="str">
        <f t="shared" si="48"/>
        <v/>
      </c>
      <c r="P245" t="str">
        <f t="shared" si="49"/>
        <v/>
      </c>
      <c r="Q245" t="str">
        <f t="shared" si="50"/>
        <v/>
      </c>
      <c r="S245" t="str">
        <f>""</f>
        <v/>
      </c>
      <c r="AL245" s="18" t="str">
        <f>IF(COUNTIF($A$2:A244, A244) = 1, A244, "")</f>
        <v/>
      </c>
    </row>
    <row r="246" spans="6:38" x14ac:dyDescent="0.2">
      <c r="F246" t="str">
        <f t="shared" si="45"/>
        <v/>
      </c>
      <c r="L246" s="7" t="str">
        <f t="shared" si="46"/>
        <v/>
      </c>
      <c r="N246" s="7" t="str">
        <f t="shared" si="47"/>
        <v/>
      </c>
      <c r="O246" t="str">
        <f t="shared" si="48"/>
        <v/>
      </c>
      <c r="P246" t="str">
        <f t="shared" si="49"/>
        <v/>
      </c>
      <c r="Q246" t="str">
        <f t="shared" si="50"/>
        <v/>
      </c>
      <c r="S246" t="str">
        <f>""</f>
        <v/>
      </c>
      <c r="AL246" s="18" t="str">
        <f>IF(COUNTIF($A$2:A245, A245) = 1, A245, "")</f>
        <v/>
      </c>
    </row>
    <row r="247" spans="6:38" x14ac:dyDescent="0.2">
      <c r="F247" t="str">
        <f t="shared" si="45"/>
        <v/>
      </c>
      <c r="L247" s="7" t="str">
        <f t="shared" si="46"/>
        <v/>
      </c>
      <c r="N247" s="7" t="str">
        <f t="shared" si="47"/>
        <v/>
      </c>
      <c r="O247" t="str">
        <f t="shared" si="48"/>
        <v/>
      </c>
      <c r="P247" t="str">
        <f t="shared" si="49"/>
        <v/>
      </c>
      <c r="Q247" t="str">
        <f t="shared" si="50"/>
        <v/>
      </c>
      <c r="S247" t="str">
        <f>""</f>
        <v/>
      </c>
      <c r="AL247" s="18" t="str">
        <f>IF(COUNTIF($A$2:A246, A246) = 1, A246, "")</f>
        <v/>
      </c>
    </row>
    <row r="248" spans="6:38" x14ac:dyDescent="0.2">
      <c r="F248" t="str">
        <f t="shared" si="45"/>
        <v/>
      </c>
      <c r="L248" s="7" t="str">
        <f t="shared" si="46"/>
        <v/>
      </c>
      <c r="N248" s="7" t="str">
        <f t="shared" si="47"/>
        <v/>
      </c>
      <c r="O248" t="str">
        <f t="shared" si="48"/>
        <v/>
      </c>
      <c r="P248" t="str">
        <f t="shared" si="49"/>
        <v/>
      </c>
      <c r="Q248" t="str">
        <f t="shared" si="50"/>
        <v/>
      </c>
      <c r="S248" t="str">
        <f>""</f>
        <v/>
      </c>
      <c r="AL248" s="18" t="str">
        <f>IF(COUNTIF($A$2:A247, A247) = 1, A247, "")</f>
        <v/>
      </c>
    </row>
    <row r="249" spans="6:38" x14ac:dyDescent="0.2">
      <c r="F249" t="str">
        <f t="shared" si="45"/>
        <v/>
      </c>
      <c r="L249" s="7" t="str">
        <f t="shared" si="46"/>
        <v/>
      </c>
      <c r="N249" s="7" t="str">
        <f t="shared" si="47"/>
        <v/>
      </c>
      <c r="O249" t="str">
        <f t="shared" si="48"/>
        <v/>
      </c>
      <c r="P249" t="str">
        <f t="shared" si="49"/>
        <v/>
      </c>
      <c r="Q249" t="str">
        <f t="shared" si="50"/>
        <v/>
      </c>
      <c r="S249" t="str">
        <f>""</f>
        <v/>
      </c>
      <c r="AL249" s="18" t="str">
        <f>IF(COUNTIF($A$2:A248, A248) = 1, A248, "")</f>
        <v/>
      </c>
    </row>
    <row r="250" spans="6:38" x14ac:dyDescent="0.2">
      <c r="F250" t="str">
        <f t="shared" si="45"/>
        <v/>
      </c>
      <c r="L250" s="7" t="str">
        <f t="shared" si="46"/>
        <v/>
      </c>
      <c r="N250" s="7" t="str">
        <f t="shared" si="47"/>
        <v/>
      </c>
      <c r="O250" t="str">
        <f t="shared" si="48"/>
        <v/>
      </c>
      <c r="P250" t="str">
        <f t="shared" si="49"/>
        <v/>
      </c>
      <c r="Q250" t="str">
        <f t="shared" si="50"/>
        <v/>
      </c>
      <c r="S250" t="str">
        <f>""</f>
        <v/>
      </c>
      <c r="AL250" s="18" t="str">
        <f>IF(COUNTIF($A$2:A249, A249) = 1, A249, "")</f>
        <v/>
      </c>
    </row>
    <row r="251" spans="6:38" x14ac:dyDescent="0.2">
      <c r="F251" t="str">
        <f t="shared" si="45"/>
        <v/>
      </c>
      <c r="L251" s="7" t="str">
        <f t="shared" si="46"/>
        <v/>
      </c>
      <c r="N251" s="7" t="str">
        <f t="shared" si="47"/>
        <v/>
      </c>
      <c r="O251" t="str">
        <f t="shared" si="48"/>
        <v/>
      </c>
      <c r="P251" t="str">
        <f t="shared" si="49"/>
        <v/>
      </c>
      <c r="Q251" t="str">
        <f t="shared" si="50"/>
        <v/>
      </c>
      <c r="S251" t="str">
        <f>""</f>
        <v/>
      </c>
      <c r="AL251" s="18" t="str">
        <f>IF(COUNTIF($A$2:A250, A250) = 1, A250, "")</f>
        <v/>
      </c>
    </row>
    <row r="252" spans="6:38" x14ac:dyDescent="0.2">
      <c r="F252" t="str">
        <f t="shared" si="45"/>
        <v/>
      </c>
      <c r="L252" s="7" t="str">
        <f t="shared" si="46"/>
        <v/>
      </c>
      <c r="N252" s="7" t="str">
        <f t="shared" si="47"/>
        <v/>
      </c>
      <c r="O252" t="str">
        <f t="shared" si="48"/>
        <v/>
      </c>
      <c r="P252" t="str">
        <f t="shared" si="49"/>
        <v/>
      </c>
      <c r="Q252" t="str">
        <f t="shared" si="50"/>
        <v/>
      </c>
      <c r="S252" t="str">
        <f>""</f>
        <v/>
      </c>
      <c r="AL252" s="18" t="str">
        <f>IF(COUNTIF($A$2:A251, A251) = 1, A251, "")</f>
        <v/>
      </c>
    </row>
    <row r="253" spans="6:38" x14ac:dyDescent="0.2">
      <c r="F253" t="str">
        <f t="shared" si="45"/>
        <v/>
      </c>
      <c r="L253" s="7" t="str">
        <f t="shared" si="46"/>
        <v/>
      </c>
      <c r="N253" s="7" t="str">
        <f t="shared" si="47"/>
        <v/>
      </c>
      <c r="O253" t="str">
        <f t="shared" si="48"/>
        <v/>
      </c>
      <c r="P253" t="str">
        <f t="shared" si="49"/>
        <v/>
      </c>
      <c r="Q253" t="str">
        <f t="shared" si="50"/>
        <v/>
      </c>
      <c r="S253" t="str">
        <f>""</f>
        <v/>
      </c>
      <c r="AL253" s="18" t="str">
        <f>IF(COUNTIF($A$2:A252, A252) = 1, A252, "")</f>
        <v/>
      </c>
    </row>
    <row r="254" spans="6:38" x14ac:dyDescent="0.2">
      <c r="F254" t="str">
        <f t="shared" si="45"/>
        <v/>
      </c>
      <c r="L254" s="7" t="str">
        <f t="shared" si="46"/>
        <v/>
      </c>
      <c r="N254" s="7" t="str">
        <f t="shared" si="47"/>
        <v/>
      </c>
      <c r="O254" t="str">
        <f t="shared" si="48"/>
        <v/>
      </c>
      <c r="P254" t="str">
        <f t="shared" si="49"/>
        <v/>
      </c>
      <c r="Q254" t="str">
        <f t="shared" si="50"/>
        <v/>
      </c>
      <c r="S254" t="str">
        <f>""</f>
        <v/>
      </c>
      <c r="AL254" s="18" t="str">
        <f>IF(COUNTIF($A$2:A253, A253) = 1, A253, "")</f>
        <v/>
      </c>
    </row>
    <row r="255" spans="6:38" x14ac:dyDescent="0.2">
      <c r="F255" t="str">
        <f t="shared" si="45"/>
        <v/>
      </c>
      <c r="L255" s="7" t="str">
        <f t="shared" si="46"/>
        <v/>
      </c>
      <c r="N255" s="7" t="str">
        <f t="shared" si="47"/>
        <v/>
      </c>
      <c r="O255" t="str">
        <f t="shared" si="48"/>
        <v/>
      </c>
      <c r="P255" t="str">
        <f t="shared" si="49"/>
        <v/>
      </c>
      <c r="Q255" t="str">
        <f t="shared" si="50"/>
        <v/>
      </c>
      <c r="S255" t="str">
        <f>""</f>
        <v/>
      </c>
      <c r="AL255" s="18" t="str">
        <f>IF(COUNTIF($A$2:A254, A254) = 1, A254, "")</f>
        <v/>
      </c>
    </row>
    <row r="256" spans="6:38" x14ac:dyDescent="0.2">
      <c r="F256" t="str">
        <f t="shared" si="45"/>
        <v/>
      </c>
      <c r="L256" s="7" t="str">
        <f t="shared" si="46"/>
        <v/>
      </c>
      <c r="N256" s="7" t="str">
        <f t="shared" si="47"/>
        <v/>
      </c>
      <c r="O256" t="str">
        <f t="shared" si="48"/>
        <v/>
      </c>
      <c r="P256" t="str">
        <f t="shared" si="49"/>
        <v/>
      </c>
      <c r="Q256" t="str">
        <f t="shared" si="50"/>
        <v/>
      </c>
      <c r="S256" t="str">
        <f>""</f>
        <v/>
      </c>
      <c r="AL256" s="18" t="str">
        <f>IF(COUNTIF($A$2:A255, A255) = 1, A255, "")</f>
        <v/>
      </c>
    </row>
    <row r="257" spans="6:38" x14ac:dyDescent="0.2">
      <c r="F257" t="str">
        <f t="shared" si="45"/>
        <v/>
      </c>
      <c r="L257" s="7" t="str">
        <f t="shared" si="46"/>
        <v/>
      </c>
      <c r="N257" s="7" t="str">
        <f t="shared" si="47"/>
        <v/>
      </c>
      <c r="O257" t="str">
        <f t="shared" si="48"/>
        <v/>
      </c>
      <c r="P257" t="str">
        <f t="shared" si="49"/>
        <v/>
      </c>
      <c r="Q257" t="str">
        <f t="shared" si="50"/>
        <v/>
      </c>
      <c r="S257" t="str">
        <f>""</f>
        <v/>
      </c>
      <c r="AL257" s="18" t="str">
        <f>IF(COUNTIF($A$2:A256, A256) = 1, A256, "")</f>
        <v/>
      </c>
    </row>
    <row r="258" spans="6:38" x14ac:dyDescent="0.2">
      <c r="F258" t="str">
        <f t="shared" si="45"/>
        <v/>
      </c>
      <c r="L258" s="7" t="str">
        <f t="shared" si="46"/>
        <v/>
      </c>
      <c r="N258" s="7" t="str">
        <f t="shared" si="47"/>
        <v/>
      </c>
      <c r="O258" t="str">
        <f t="shared" si="48"/>
        <v/>
      </c>
      <c r="P258" t="str">
        <f t="shared" si="49"/>
        <v/>
      </c>
      <c r="Q258" t="str">
        <f t="shared" si="50"/>
        <v/>
      </c>
      <c r="S258" t="str">
        <f>""</f>
        <v/>
      </c>
      <c r="AL258" s="18" t="str">
        <f>IF(COUNTIF($A$2:A257, A257) = 1, A257, "")</f>
        <v/>
      </c>
    </row>
    <row r="259" spans="6:38" x14ac:dyDescent="0.2">
      <c r="F259" t="str">
        <f t="shared" si="45"/>
        <v/>
      </c>
      <c r="L259" s="7" t="str">
        <f t="shared" si="46"/>
        <v/>
      </c>
      <c r="N259" s="7" t="str">
        <f t="shared" si="47"/>
        <v/>
      </c>
      <c r="O259" t="str">
        <f t="shared" si="48"/>
        <v/>
      </c>
      <c r="P259" t="str">
        <f t="shared" si="49"/>
        <v/>
      </c>
      <c r="Q259" t="str">
        <f t="shared" si="50"/>
        <v/>
      </c>
      <c r="S259" t="str">
        <f>""</f>
        <v/>
      </c>
      <c r="AL259" s="18" t="str">
        <f>IF(COUNTIF($A$2:A258, A258) = 1, A258, "")</f>
        <v/>
      </c>
    </row>
    <row r="260" spans="6:38" x14ac:dyDescent="0.2">
      <c r="F260" t="str">
        <f t="shared" si="45"/>
        <v/>
      </c>
      <c r="L260" s="7" t="str">
        <f t="shared" si="46"/>
        <v/>
      </c>
      <c r="N260" s="7" t="str">
        <f t="shared" si="47"/>
        <v/>
      </c>
      <c r="O260" t="str">
        <f t="shared" si="48"/>
        <v/>
      </c>
      <c r="P260" t="str">
        <f t="shared" si="49"/>
        <v/>
      </c>
      <c r="Q260" t="str">
        <f t="shared" si="50"/>
        <v/>
      </c>
      <c r="S260" t="str">
        <f>""</f>
        <v/>
      </c>
      <c r="AL260" s="18" t="str">
        <f>IF(COUNTIF($A$2:A259, A259) = 1, A259, "")</f>
        <v/>
      </c>
    </row>
    <row r="261" spans="6:38" x14ac:dyDescent="0.2">
      <c r="F261" t="str">
        <f t="shared" si="45"/>
        <v/>
      </c>
      <c r="L261" s="7" t="str">
        <f t="shared" si="46"/>
        <v/>
      </c>
      <c r="N261" s="7" t="str">
        <f t="shared" si="47"/>
        <v/>
      </c>
      <c r="O261" t="str">
        <f t="shared" si="48"/>
        <v/>
      </c>
      <c r="P261" t="str">
        <f t="shared" si="49"/>
        <v/>
      </c>
      <c r="Q261" t="str">
        <f t="shared" si="50"/>
        <v/>
      </c>
      <c r="S261" t="str">
        <f>""</f>
        <v/>
      </c>
      <c r="AL261" s="18" t="str">
        <f>IF(COUNTIF($A$2:A260, A260) = 1, A260, "")</f>
        <v/>
      </c>
    </row>
    <row r="262" spans="6:38" x14ac:dyDescent="0.2">
      <c r="F262" t="str">
        <f t="shared" si="45"/>
        <v/>
      </c>
      <c r="L262" s="7" t="str">
        <f t="shared" si="46"/>
        <v/>
      </c>
      <c r="N262" s="7" t="str">
        <f t="shared" si="47"/>
        <v/>
      </c>
      <c r="O262" t="str">
        <f t="shared" si="48"/>
        <v/>
      </c>
      <c r="P262" t="str">
        <f t="shared" si="49"/>
        <v/>
      </c>
      <c r="Q262" t="str">
        <f t="shared" si="50"/>
        <v/>
      </c>
      <c r="S262" t="str">
        <f>""</f>
        <v/>
      </c>
      <c r="AL262" s="18" t="str">
        <f>IF(COUNTIF($A$2:A261, A261) = 1, A261, "")</f>
        <v/>
      </c>
    </row>
    <row r="263" spans="6:38" x14ac:dyDescent="0.2">
      <c r="F263" t="str">
        <f t="shared" si="45"/>
        <v/>
      </c>
      <c r="L263" s="7" t="str">
        <f t="shared" si="46"/>
        <v/>
      </c>
      <c r="N263" s="7" t="str">
        <f t="shared" si="47"/>
        <v/>
      </c>
      <c r="O263" t="str">
        <f t="shared" si="48"/>
        <v/>
      </c>
      <c r="P263" t="str">
        <f t="shared" si="49"/>
        <v/>
      </c>
      <c r="Q263" t="str">
        <f t="shared" si="50"/>
        <v/>
      </c>
      <c r="S263" t="str">
        <f>""</f>
        <v/>
      </c>
      <c r="AL263" s="18" t="str">
        <f>IF(COUNTIF($A$2:A262, A262) = 1, A262, "")</f>
        <v/>
      </c>
    </row>
    <row r="264" spans="6:38" x14ac:dyDescent="0.2">
      <c r="F264" t="str">
        <f t="shared" si="45"/>
        <v/>
      </c>
      <c r="L264" s="7" t="str">
        <f t="shared" si="46"/>
        <v/>
      </c>
      <c r="N264" s="7" t="str">
        <f t="shared" si="47"/>
        <v/>
      </c>
      <c r="O264" t="str">
        <f t="shared" si="48"/>
        <v/>
      </c>
      <c r="P264" t="str">
        <f t="shared" si="49"/>
        <v/>
      </c>
      <c r="Q264" t="str">
        <f t="shared" si="50"/>
        <v/>
      </c>
      <c r="S264" t="str">
        <f>""</f>
        <v/>
      </c>
      <c r="AL264" s="18" t="str">
        <f>IF(COUNTIF($A$2:A263, A263) = 1, A263, "")</f>
        <v/>
      </c>
    </row>
    <row r="265" spans="6:38" x14ac:dyDescent="0.2">
      <c r="F265" t="str">
        <f t="shared" si="45"/>
        <v/>
      </c>
      <c r="L265" s="7" t="str">
        <f t="shared" si="46"/>
        <v/>
      </c>
      <c r="N265" s="7" t="str">
        <f t="shared" si="47"/>
        <v/>
      </c>
      <c r="O265" t="str">
        <f t="shared" si="48"/>
        <v/>
      </c>
      <c r="P265" t="str">
        <f t="shared" si="49"/>
        <v/>
      </c>
      <c r="Q265" t="str">
        <f t="shared" si="50"/>
        <v/>
      </c>
      <c r="S265" t="str">
        <f>""</f>
        <v/>
      </c>
      <c r="AL265" s="18" t="str">
        <f>IF(COUNTIF($A$2:A264, A264) = 1, A264, "")</f>
        <v/>
      </c>
    </row>
    <row r="266" spans="6:38" x14ac:dyDescent="0.2">
      <c r="F266" t="str">
        <f t="shared" si="45"/>
        <v/>
      </c>
      <c r="L266" s="7" t="str">
        <f t="shared" si="46"/>
        <v/>
      </c>
      <c r="N266" s="7" t="str">
        <f t="shared" si="47"/>
        <v/>
      </c>
      <c r="O266" t="str">
        <f t="shared" si="48"/>
        <v/>
      </c>
      <c r="P266" t="str">
        <f t="shared" si="49"/>
        <v/>
      </c>
      <c r="Q266" t="str">
        <f t="shared" si="50"/>
        <v/>
      </c>
      <c r="S266" t="str">
        <f>""</f>
        <v/>
      </c>
      <c r="AL266" s="18" t="str">
        <f>IF(COUNTIF($A$2:A265, A265) = 1, A265, "")</f>
        <v/>
      </c>
    </row>
    <row r="267" spans="6:38" x14ac:dyDescent="0.2">
      <c r="F267" t="str">
        <f t="shared" si="45"/>
        <v/>
      </c>
      <c r="L267" s="7" t="str">
        <f t="shared" si="46"/>
        <v/>
      </c>
      <c r="N267" s="7" t="str">
        <f t="shared" si="47"/>
        <v/>
      </c>
      <c r="O267" t="str">
        <f t="shared" si="48"/>
        <v/>
      </c>
      <c r="P267" t="str">
        <f t="shared" si="49"/>
        <v/>
      </c>
      <c r="Q267" t="str">
        <f t="shared" si="50"/>
        <v/>
      </c>
      <c r="S267" t="str">
        <f>""</f>
        <v/>
      </c>
      <c r="AL267" s="18" t="str">
        <f>IF(COUNTIF($A$2:A266, A266) = 1, A266, "")</f>
        <v/>
      </c>
    </row>
    <row r="268" spans="6:38" x14ac:dyDescent="0.2">
      <c r="F268" t="str">
        <f t="shared" si="45"/>
        <v/>
      </c>
      <c r="L268" s="7" t="str">
        <f t="shared" si="46"/>
        <v/>
      </c>
      <c r="N268" s="7" t="str">
        <f t="shared" si="47"/>
        <v/>
      </c>
      <c r="O268" t="str">
        <f t="shared" si="48"/>
        <v/>
      </c>
      <c r="P268" t="str">
        <f t="shared" si="49"/>
        <v/>
      </c>
      <c r="Q268" t="str">
        <f t="shared" si="50"/>
        <v/>
      </c>
      <c r="S268" t="str">
        <f>""</f>
        <v/>
      </c>
      <c r="AL268" s="18" t="str">
        <f>IF(COUNTIF($A$2:A267, A267) = 1, A267, "")</f>
        <v/>
      </c>
    </row>
    <row r="269" spans="6:38" x14ac:dyDescent="0.2">
      <c r="F269" t="str">
        <f t="shared" si="45"/>
        <v/>
      </c>
      <c r="L269" s="7" t="str">
        <f t="shared" si="46"/>
        <v/>
      </c>
      <c r="N269" s="7" t="str">
        <f t="shared" si="47"/>
        <v/>
      </c>
      <c r="O269" t="str">
        <f t="shared" si="48"/>
        <v/>
      </c>
      <c r="P269" t="str">
        <f t="shared" si="49"/>
        <v/>
      </c>
      <c r="Q269" t="str">
        <f t="shared" si="50"/>
        <v/>
      </c>
      <c r="S269" t="str">
        <f>""</f>
        <v/>
      </c>
      <c r="AL269" s="18" t="str">
        <f>IF(COUNTIF($A$2:A268, A268) = 1, A268, "")</f>
        <v/>
      </c>
    </row>
    <row r="270" spans="6:38" x14ac:dyDescent="0.2">
      <c r="F270" t="str">
        <f t="shared" si="45"/>
        <v/>
      </c>
      <c r="L270" s="7" t="str">
        <f t="shared" si="46"/>
        <v/>
      </c>
      <c r="N270" s="7" t="str">
        <f t="shared" si="47"/>
        <v/>
      </c>
      <c r="O270" t="str">
        <f t="shared" si="48"/>
        <v/>
      </c>
      <c r="P270" t="str">
        <f t="shared" si="49"/>
        <v/>
      </c>
      <c r="Q270" t="str">
        <f t="shared" si="50"/>
        <v/>
      </c>
      <c r="S270" t="str">
        <f>""</f>
        <v/>
      </c>
      <c r="AL270" s="18" t="str">
        <f>IF(COUNTIF($A$2:A269, A269) = 1, A269, "")</f>
        <v/>
      </c>
    </row>
    <row r="271" spans="6:38" x14ac:dyDescent="0.2">
      <c r="F271" t="str">
        <f t="shared" si="45"/>
        <v/>
      </c>
      <c r="L271" s="7" t="str">
        <f t="shared" si="46"/>
        <v/>
      </c>
      <c r="N271" s="7" t="str">
        <f t="shared" si="47"/>
        <v/>
      </c>
      <c r="O271" t="str">
        <f t="shared" si="48"/>
        <v/>
      </c>
      <c r="P271" t="str">
        <f t="shared" si="49"/>
        <v/>
      </c>
      <c r="Q271" t="str">
        <f t="shared" si="50"/>
        <v/>
      </c>
      <c r="S271" t="str">
        <f>""</f>
        <v/>
      </c>
      <c r="AL271" s="18" t="str">
        <f>IF(COUNTIF($A$2:A270, A270) = 1, A270, "")</f>
        <v/>
      </c>
    </row>
    <row r="272" spans="6:38" x14ac:dyDescent="0.2">
      <c r="F272" t="str">
        <f t="shared" ref="F272:F335" si="51">IF(OR(O272="", P272=""), "", SUM(IF((O272&lt;&gt;"None")*(O272&lt;&gt;""),LEN(O272)-LEN(SUBSTITUTE(O272,",",""))+1,0)) + SUM(IF((P272&lt;&gt;"None")*(P272&lt;&gt;""),LEN(P272)-LEN(SUBSTITUTE(P272,",",""))+1,0)))</f>
        <v/>
      </c>
      <c r="L272" s="7" t="str">
        <f t="shared" ref="L272:L335" si="52">IF(LEN(E272)=0, "", IFERROR(IF(E272&gt;=0, K272 * (1 + E272/100) - K272, K272 / (ABS(E272)/100))+K272, ""))</f>
        <v/>
      </c>
      <c r="N272" s="7" t="str">
        <f t="shared" ref="N272:N335" si="53">IF(M272="Yes",L272-K272,IF(M272="No",-K272,""))</f>
        <v/>
      </c>
      <c r="O272" t="str">
        <f t="shared" ref="O272:O335" si="54">IF(AND(G272="No",H272="No"), "None", "")</f>
        <v/>
      </c>
      <c r="P272" t="str">
        <f t="shared" ref="P272:P335" si="55">IF(I272="No", "None", "")</f>
        <v/>
      </c>
      <c r="Q272" t="str">
        <f t="shared" ref="Q272:Q335" si="56">IF(AND(D272="Straight", M272 = "No"),IF(O272="None",P272,IF(P272="None",O272) ),"")</f>
        <v/>
      </c>
      <c r="S272" t="str">
        <f>""</f>
        <v/>
      </c>
      <c r="AL272" s="18" t="str">
        <f>IF(COUNTIF($A$2:A271, A271) = 1, A271, "")</f>
        <v/>
      </c>
    </row>
    <row r="273" spans="6:38" x14ac:dyDescent="0.2">
      <c r="F273" t="str">
        <f t="shared" si="51"/>
        <v/>
      </c>
      <c r="L273" s="7" t="str">
        <f t="shared" si="52"/>
        <v/>
      </c>
      <c r="N273" s="7" t="str">
        <f t="shared" si="53"/>
        <v/>
      </c>
      <c r="O273" t="str">
        <f t="shared" si="54"/>
        <v/>
      </c>
      <c r="P273" t="str">
        <f t="shared" si="55"/>
        <v/>
      </c>
      <c r="Q273" t="str">
        <f t="shared" si="56"/>
        <v/>
      </c>
      <c r="S273" t="str">
        <f>""</f>
        <v/>
      </c>
      <c r="AL273" s="18" t="str">
        <f>IF(COUNTIF($A$2:A272, A272) = 1, A272, "")</f>
        <v/>
      </c>
    </row>
    <row r="274" spans="6:38" x14ac:dyDescent="0.2">
      <c r="F274" t="str">
        <f t="shared" si="51"/>
        <v/>
      </c>
      <c r="L274" s="7" t="str">
        <f t="shared" si="52"/>
        <v/>
      </c>
      <c r="N274" s="7" t="str">
        <f t="shared" si="53"/>
        <v/>
      </c>
      <c r="O274" t="str">
        <f t="shared" si="54"/>
        <v/>
      </c>
      <c r="P274" t="str">
        <f t="shared" si="55"/>
        <v/>
      </c>
      <c r="Q274" t="str">
        <f t="shared" si="56"/>
        <v/>
      </c>
      <c r="S274" t="str">
        <f>""</f>
        <v/>
      </c>
      <c r="AL274" s="18" t="str">
        <f>IF(COUNTIF($A$2:A273, A273) = 1, A273, "")</f>
        <v/>
      </c>
    </row>
    <row r="275" spans="6:38" x14ac:dyDescent="0.2">
      <c r="F275" t="str">
        <f t="shared" si="51"/>
        <v/>
      </c>
      <c r="L275" s="7" t="str">
        <f t="shared" si="52"/>
        <v/>
      </c>
      <c r="N275" s="7" t="str">
        <f t="shared" si="53"/>
        <v/>
      </c>
      <c r="O275" t="str">
        <f t="shared" si="54"/>
        <v/>
      </c>
      <c r="P275" t="str">
        <f t="shared" si="55"/>
        <v/>
      </c>
      <c r="Q275" t="str">
        <f t="shared" si="56"/>
        <v/>
      </c>
      <c r="S275" t="str">
        <f>""</f>
        <v/>
      </c>
      <c r="AL275" s="18" t="str">
        <f>IF(COUNTIF($A$2:A274, A274) = 1, A274, "")</f>
        <v/>
      </c>
    </row>
    <row r="276" spans="6:38" x14ac:dyDescent="0.2">
      <c r="F276" t="str">
        <f t="shared" si="51"/>
        <v/>
      </c>
      <c r="L276" s="7" t="str">
        <f t="shared" si="52"/>
        <v/>
      </c>
      <c r="N276" s="7" t="str">
        <f t="shared" si="53"/>
        <v/>
      </c>
      <c r="O276" t="str">
        <f t="shared" si="54"/>
        <v/>
      </c>
      <c r="P276" t="str">
        <f t="shared" si="55"/>
        <v/>
      </c>
      <c r="Q276" t="str">
        <f t="shared" si="56"/>
        <v/>
      </c>
      <c r="S276" t="str">
        <f>""</f>
        <v/>
      </c>
      <c r="AL276" s="18" t="str">
        <f>IF(COUNTIF($A$2:A275, A275) = 1, A275, "")</f>
        <v/>
      </c>
    </row>
    <row r="277" spans="6:38" x14ac:dyDescent="0.2">
      <c r="F277" t="str">
        <f t="shared" si="51"/>
        <v/>
      </c>
      <c r="L277" s="7" t="str">
        <f t="shared" si="52"/>
        <v/>
      </c>
      <c r="N277" s="7" t="str">
        <f t="shared" si="53"/>
        <v/>
      </c>
      <c r="O277" t="str">
        <f t="shared" si="54"/>
        <v/>
      </c>
      <c r="P277" t="str">
        <f t="shared" si="55"/>
        <v/>
      </c>
      <c r="Q277" t="str">
        <f t="shared" si="56"/>
        <v/>
      </c>
      <c r="S277" t="str">
        <f>""</f>
        <v/>
      </c>
      <c r="AL277" s="18" t="str">
        <f>IF(COUNTIF($A$2:A276, A276) = 1, A276, "")</f>
        <v/>
      </c>
    </row>
    <row r="278" spans="6:38" x14ac:dyDescent="0.2">
      <c r="F278" t="str">
        <f t="shared" si="51"/>
        <v/>
      </c>
      <c r="L278" s="7" t="str">
        <f t="shared" si="52"/>
        <v/>
      </c>
      <c r="N278" s="7" t="str">
        <f t="shared" si="53"/>
        <v/>
      </c>
      <c r="O278" t="str">
        <f t="shared" si="54"/>
        <v/>
      </c>
      <c r="P278" t="str">
        <f t="shared" si="55"/>
        <v/>
      </c>
      <c r="Q278" t="str">
        <f t="shared" si="56"/>
        <v/>
      </c>
      <c r="S278" t="str">
        <f>""</f>
        <v/>
      </c>
      <c r="AL278" s="18" t="str">
        <f>IF(COUNTIF($A$2:A277, A277) = 1, A277, "")</f>
        <v/>
      </c>
    </row>
    <row r="279" spans="6:38" x14ac:dyDescent="0.2">
      <c r="F279" t="str">
        <f t="shared" si="51"/>
        <v/>
      </c>
      <c r="L279" s="7" t="str">
        <f t="shared" si="52"/>
        <v/>
      </c>
      <c r="N279" s="7" t="str">
        <f t="shared" si="53"/>
        <v/>
      </c>
      <c r="O279" t="str">
        <f t="shared" si="54"/>
        <v/>
      </c>
      <c r="P279" t="str">
        <f t="shared" si="55"/>
        <v/>
      </c>
      <c r="Q279" t="str">
        <f t="shared" si="56"/>
        <v/>
      </c>
      <c r="S279" t="str">
        <f>""</f>
        <v/>
      </c>
      <c r="AL279" s="18" t="str">
        <f>IF(COUNTIF($A$2:A278, A278) = 1, A278, "")</f>
        <v/>
      </c>
    </row>
    <row r="280" spans="6:38" x14ac:dyDescent="0.2">
      <c r="F280" t="str">
        <f t="shared" si="51"/>
        <v/>
      </c>
      <c r="L280" s="7" t="str">
        <f t="shared" si="52"/>
        <v/>
      </c>
      <c r="N280" s="7" t="str">
        <f t="shared" si="53"/>
        <v/>
      </c>
      <c r="O280" t="str">
        <f t="shared" si="54"/>
        <v/>
      </c>
      <c r="P280" t="str">
        <f t="shared" si="55"/>
        <v/>
      </c>
      <c r="Q280" t="str">
        <f t="shared" si="56"/>
        <v/>
      </c>
      <c r="S280" t="str">
        <f>""</f>
        <v/>
      </c>
      <c r="AL280" s="18" t="str">
        <f>IF(COUNTIF($A$2:A279, A279) = 1, A279, "")</f>
        <v/>
      </c>
    </row>
    <row r="281" spans="6:38" x14ac:dyDescent="0.2">
      <c r="F281" t="str">
        <f t="shared" si="51"/>
        <v/>
      </c>
      <c r="L281" s="7" t="str">
        <f t="shared" si="52"/>
        <v/>
      </c>
      <c r="N281" s="7" t="str">
        <f t="shared" si="53"/>
        <v/>
      </c>
      <c r="O281" t="str">
        <f t="shared" si="54"/>
        <v/>
      </c>
      <c r="P281" t="str">
        <f t="shared" si="55"/>
        <v/>
      </c>
      <c r="Q281" t="str">
        <f t="shared" si="56"/>
        <v/>
      </c>
      <c r="S281" t="str">
        <f>""</f>
        <v/>
      </c>
      <c r="AL281" s="18" t="str">
        <f>IF(COUNTIF($A$2:A280, A280) = 1, A280, "")</f>
        <v/>
      </c>
    </row>
    <row r="282" spans="6:38" x14ac:dyDescent="0.2">
      <c r="F282" t="str">
        <f t="shared" si="51"/>
        <v/>
      </c>
      <c r="L282" s="7" t="str">
        <f t="shared" si="52"/>
        <v/>
      </c>
      <c r="N282" s="7" t="str">
        <f t="shared" si="53"/>
        <v/>
      </c>
      <c r="O282" t="str">
        <f t="shared" si="54"/>
        <v/>
      </c>
      <c r="P282" t="str">
        <f t="shared" si="55"/>
        <v/>
      </c>
      <c r="Q282" t="str">
        <f t="shared" si="56"/>
        <v/>
      </c>
      <c r="S282" t="str">
        <f>""</f>
        <v/>
      </c>
      <c r="AL282" s="18" t="str">
        <f>IF(COUNTIF($A$2:A281, A281) = 1, A281, "")</f>
        <v/>
      </c>
    </row>
    <row r="283" spans="6:38" x14ac:dyDescent="0.2">
      <c r="F283" t="str">
        <f t="shared" si="51"/>
        <v/>
      </c>
      <c r="L283" s="7" t="str">
        <f t="shared" si="52"/>
        <v/>
      </c>
      <c r="N283" s="7" t="str">
        <f t="shared" si="53"/>
        <v/>
      </c>
      <c r="O283" t="str">
        <f t="shared" si="54"/>
        <v/>
      </c>
      <c r="P283" t="str">
        <f t="shared" si="55"/>
        <v/>
      </c>
      <c r="Q283" t="str">
        <f t="shared" si="56"/>
        <v/>
      </c>
      <c r="S283" t="str">
        <f>""</f>
        <v/>
      </c>
      <c r="AL283" s="18" t="str">
        <f>IF(COUNTIF($A$2:A282, A282) = 1, A282, "")</f>
        <v/>
      </c>
    </row>
    <row r="284" spans="6:38" x14ac:dyDescent="0.2">
      <c r="F284" t="str">
        <f t="shared" si="51"/>
        <v/>
      </c>
      <c r="L284" s="7" t="str">
        <f t="shared" si="52"/>
        <v/>
      </c>
      <c r="N284" s="7" t="str">
        <f t="shared" si="53"/>
        <v/>
      </c>
      <c r="O284" t="str">
        <f t="shared" si="54"/>
        <v/>
      </c>
      <c r="P284" t="str">
        <f t="shared" si="55"/>
        <v/>
      </c>
      <c r="Q284" t="str">
        <f t="shared" si="56"/>
        <v/>
      </c>
      <c r="S284" t="str">
        <f>""</f>
        <v/>
      </c>
      <c r="AL284" s="18" t="str">
        <f>IF(COUNTIF($A$2:A283, A283) = 1, A283, "")</f>
        <v/>
      </c>
    </row>
    <row r="285" spans="6:38" x14ac:dyDescent="0.2">
      <c r="F285" t="str">
        <f t="shared" si="51"/>
        <v/>
      </c>
      <c r="L285" s="7" t="str">
        <f t="shared" si="52"/>
        <v/>
      </c>
      <c r="N285" s="7" t="str">
        <f t="shared" si="53"/>
        <v/>
      </c>
      <c r="O285" t="str">
        <f t="shared" si="54"/>
        <v/>
      </c>
      <c r="P285" t="str">
        <f t="shared" si="55"/>
        <v/>
      </c>
      <c r="Q285" t="str">
        <f t="shared" si="56"/>
        <v/>
      </c>
      <c r="S285" t="str">
        <f>""</f>
        <v/>
      </c>
      <c r="AL285" s="18" t="str">
        <f>IF(COUNTIF($A$2:A284, A284) = 1, A284, "")</f>
        <v/>
      </c>
    </row>
    <row r="286" spans="6:38" x14ac:dyDescent="0.2">
      <c r="F286" t="str">
        <f t="shared" si="51"/>
        <v/>
      </c>
      <c r="L286" s="7" t="str">
        <f t="shared" si="52"/>
        <v/>
      </c>
      <c r="N286" s="7" t="str">
        <f t="shared" si="53"/>
        <v/>
      </c>
      <c r="O286" t="str">
        <f t="shared" si="54"/>
        <v/>
      </c>
      <c r="P286" t="str">
        <f t="shared" si="55"/>
        <v/>
      </c>
      <c r="Q286" t="str">
        <f t="shared" si="56"/>
        <v/>
      </c>
      <c r="S286" t="str">
        <f>""</f>
        <v/>
      </c>
      <c r="AL286" s="18" t="str">
        <f>IF(COUNTIF($A$2:A285, A285) = 1, A285, "")</f>
        <v/>
      </c>
    </row>
    <row r="287" spans="6:38" x14ac:dyDescent="0.2">
      <c r="F287" t="str">
        <f t="shared" si="51"/>
        <v/>
      </c>
      <c r="L287" s="7" t="str">
        <f t="shared" si="52"/>
        <v/>
      </c>
      <c r="N287" s="7" t="str">
        <f t="shared" si="53"/>
        <v/>
      </c>
      <c r="O287" t="str">
        <f t="shared" si="54"/>
        <v/>
      </c>
      <c r="P287" t="str">
        <f t="shared" si="55"/>
        <v/>
      </c>
      <c r="Q287" t="str">
        <f t="shared" si="56"/>
        <v/>
      </c>
      <c r="S287" t="str">
        <f>""</f>
        <v/>
      </c>
      <c r="AL287" s="18" t="str">
        <f>IF(COUNTIF($A$2:A286, A286) = 1, A286, "")</f>
        <v/>
      </c>
    </row>
    <row r="288" spans="6:38" x14ac:dyDescent="0.2">
      <c r="F288" t="str">
        <f t="shared" si="51"/>
        <v/>
      </c>
      <c r="L288" s="7" t="str">
        <f t="shared" si="52"/>
        <v/>
      </c>
      <c r="N288" s="7" t="str">
        <f t="shared" si="53"/>
        <v/>
      </c>
      <c r="O288" t="str">
        <f t="shared" si="54"/>
        <v/>
      </c>
      <c r="P288" t="str">
        <f t="shared" si="55"/>
        <v/>
      </c>
      <c r="Q288" t="str">
        <f t="shared" si="56"/>
        <v/>
      </c>
      <c r="S288" t="str">
        <f>""</f>
        <v/>
      </c>
      <c r="AL288" s="18" t="str">
        <f>IF(COUNTIF($A$2:A287, A287) = 1, A287, "")</f>
        <v/>
      </c>
    </row>
    <row r="289" spans="6:38" x14ac:dyDescent="0.2">
      <c r="F289" t="str">
        <f t="shared" si="51"/>
        <v/>
      </c>
      <c r="L289" s="7" t="str">
        <f t="shared" si="52"/>
        <v/>
      </c>
      <c r="N289" s="7" t="str">
        <f t="shared" si="53"/>
        <v/>
      </c>
      <c r="O289" t="str">
        <f t="shared" si="54"/>
        <v/>
      </c>
      <c r="P289" t="str">
        <f t="shared" si="55"/>
        <v/>
      </c>
      <c r="Q289" t="str">
        <f t="shared" si="56"/>
        <v/>
      </c>
      <c r="S289" t="str">
        <f>""</f>
        <v/>
      </c>
      <c r="AL289" s="18" t="str">
        <f>IF(COUNTIF($A$2:A288, A288) = 1, A288, "")</f>
        <v/>
      </c>
    </row>
    <row r="290" spans="6:38" x14ac:dyDescent="0.2">
      <c r="F290" t="str">
        <f t="shared" si="51"/>
        <v/>
      </c>
      <c r="L290" s="7" t="str">
        <f t="shared" si="52"/>
        <v/>
      </c>
      <c r="N290" s="7" t="str">
        <f t="shared" si="53"/>
        <v/>
      </c>
      <c r="O290" t="str">
        <f t="shared" si="54"/>
        <v/>
      </c>
      <c r="P290" t="str">
        <f t="shared" si="55"/>
        <v/>
      </c>
      <c r="Q290" t="str">
        <f t="shared" si="56"/>
        <v/>
      </c>
      <c r="S290" t="str">
        <f>""</f>
        <v/>
      </c>
      <c r="AL290" s="18" t="str">
        <f>IF(COUNTIF($A$2:A289, A289) = 1, A289, "")</f>
        <v/>
      </c>
    </row>
    <row r="291" spans="6:38" x14ac:dyDescent="0.2">
      <c r="F291" t="str">
        <f t="shared" si="51"/>
        <v/>
      </c>
      <c r="L291" s="7" t="str">
        <f t="shared" si="52"/>
        <v/>
      </c>
      <c r="N291" s="7" t="str">
        <f t="shared" si="53"/>
        <v/>
      </c>
      <c r="O291" t="str">
        <f t="shared" si="54"/>
        <v/>
      </c>
      <c r="P291" t="str">
        <f t="shared" si="55"/>
        <v/>
      </c>
      <c r="Q291" t="str">
        <f t="shared" si="56"/>
        <v/>
      </c>
      <c r="S291" t="str">
        <f>""</f>
        <v/>
      </c>
      <c r="AL291" s="18" t="str">
        <f>IF(COUNTIF($A$2:A290, A290) = 1, A290, "")</f>
        <v/>
      </c>
    </row>
    <row r="292" spans="6:38" x14ac:dyDescent="0.2">
      <c r="F292" t="str">
        <f t="shared" si="51"/>
        <v/>
      </c>
      <c r="L292" s="7" t="str">
        <f t="shared" si="52"/>
        <v/>
      </c>
      <c r="N292" s="7" t="str">
        <f t="shared" si="53"/>
        <v/>
      </c>
      <c r="O292" t="str">
        <f t="shared" si="54"/>
        <v/>
      </c>
      <c r="P292" t="str">
        <f t="shared" si="55"/>
        <v/>
      </c>
      <c r="Q292" t="str">
        <f t="shared" si="56"/>
        <v/>
      </c>
      <c r="S292" t="str">
        <f>""</f>
        <v/>
      </c>
      <c r="AL292" s="18" t="str">
        <f>IF(COUNTIF($A$2:A291, A291) = 1, A291, "")</f>
        <v/>
      </c>
    </row>
    <row r="293" spans="6:38" x14ac:dyDescent="0.2">
      <c r="F293" t="str">
        <f t="shared" si="51"/>
        <v/>
      </c>
      <c r="L293" s="7" t="str">
        <f t="shared" si="52"/>
        <v/>
      </c>
      <c r="N293" s="7" t="str">
        <f t="shared" si="53"/>
        <v/>
      </c>
      <c r="O293" t="str">
        <f t="shared" si="54"/>
        <v/>
      </c>
      <c r="P293" t="str">
        <f t="shared" si="55"/>
        <v/>
      </c>
      <c r="Q293" t="str">
        <f t="shared" si="56"/>
        <v/>
      </c>
      <c r="S293" t="str">
        <f>""</f>
        <v/>
      </c>
      <c r="AL293" s="18" t="str">
        <f>IF(COUNTIF($A$2:A292, A292) = 1, A292, "")</f>
        <v/>
      </c>
    </row>
    <row r="294" spans="6:38" x14ac:dyDescent="0.2">
      <c r="F294" t="str">
        <f t="shared" si="51"/>
        <v/>
      </c>
      <c r="L294" s="7" t="str">
        <f t="shared" si="52"/>
        <v/>
      </c>
      <c r="N294" s="7" t="str">
        <f t="shared" si="53"/>
        <v/>
      </c>
      <c r="O294" t="str">
        <f t="shared" si="54"/>
        <v/>
      </c>
      <c r="P294" t="str">
        <f t="shared" si="55"/>
        <v/>
      </c>
      <c r="Q294" t="str">
        <f t="shared" si="56"/>
        <v/>
      </c>
      <c r="S294" t="str">
        <f>""</f>
        <v/>
      </c>
      <c r="AL294" s="18" t="str">
        <f>IF(COUNTIF($A$2:A293, A293) = 1, A293, "")</f>
        <v/>
      </c>
    </row>
    <row r="295" spans="6:38" x14ac:dyDescent="0.2">
      <c r="F295" t="str">
        <f t="shared" si="51"/>
        <v/>
      </c>
      <c r="L295" s="7" t="str">
        <f t="shared" si="52"/>
        <v/>
      </c>
      <c r="N295" s="7" t="str">
        <f t="shared" si="53"/>
        <v/>
      </c>
      <c r="O295" t="str">
        <f t="shared" si="54"/>
        <v/>
      </c>
      <c r="P295" t="str">
        <f t="shared" si="55"/>
        <v/>
      </c>
      <c r="Q295" t="str">
        <f t="shared" si="56"/>
        <v/>
      </c>
      <c r="S295" t="str">
        <f>""</f>
        <v/>
      </c>
      <c r="AL295" s="18" t="str">
        <f>IF(COUNTIF($A$2:A294, A294) = 1, A294, "")</f>
        <v/>
      </c>
    </row>
    <row r="296" spans="6:38" x14ac:dyDescent="0.2">
      <c r="F296" t="str">
        <f t="shared" si="51"/>
        <v/>
      </c>
      <c r="L296" s="7" t="str">
        <f t="shared" si="52"/>
        <v/>
      </c>
      <c r="N296" s="7" t="str">
        <f t="shared" si="53"/>
        <v/>
      </c>
      <c r="O296" t="str">
        <f t="shared" si="54"/>
        <v/>
      </c>
      <c r="P296" t="str">
        <f t="shared" si="55"/>
        <v/>
      </c>
      <c r="Q296" t="str">
        <f t="shared" si="56"/>
        <v/>
      </c>
      <c r="S296" t="str">
        <f>""</f>
        <v/>
      </c>
      <c r="AL296" s="18" t="str">
        <f>IF(COUNTIF($A$2:A295, A295) = 1, A295, "")</f>
        <v/>
      </c>
    </row>
    <row r="297" spans="6:38" x14ac:dyDescent="0.2">
      <c r="F297" t="str">
        <f t="shared" si="51"/>
        <v/>
      </c>
      <c r="L297" s="7" t="str">
        <f t="shared" si="52"/>
        <v/>
      </c>
      <c r="N297" s="7" t="str">
        <f t="shared" si="53"/>
        <v/>
      </c>
      <c r="O297" t="str">
        <f t="shared" si="54"/>
        <v/>
      </c>
      <c r="P297" t="str">
        <f t="shared" si="55"/>
        <v/>
      </c>
      <c r="Q297" t="str">
        <f t="shared" si="56"/>
        <v/>
      </c>
      <c r="S297" t="str">
        <f>""</f>
        <v/>
      </c>
      <c r="AL297" s="18" t="str">
        <f>IF(COUNTIF($A$2:A296, A296) = 1, A296, "")</f>
        <v/>
      </c>
    </row>
    <row r="298" spans="6:38" x14ac:dyDescent="0.2">
      <c r="F298" t="str">
        <f t="shared" si="51"/>
        <v/>
      </c>
      <c r="L298" s="7" t="str">
        <f t="shared" si="52"/>
        <v/>
      </c>
      <c r="N298" s="7" t="str">
        <f t="shared" si="53"/>
        <v/>
      </c>
      <c r="O298" t="str">
        <f t="shared" si="54"/>
        <v/>
      </c>
      <c r="P298" t="str">
        <f t="shared" si="55"/>
        <v/>
      </c>
      <c r="Q298" t="str">
        <f t="shared" si="56"/>
        <v/>
      </c>
      <c r="S298" t="str">
        <f>""</f>
        <v/>
      </c>
      <c r="AL298" s="18" t="str">
        <f>IF(COUNTIF($A$2:A297, A297) = 1, A297, "")</f>
        <v/>
      </c>
    </row>
    <row r="299" spans="6:38" x14ac:dyDescent="0.2">
      <c r="F299" t="str">
        <f t="shared" si="51"/>
        <v/>
      </c>
      <c r="L299" s="7" t="str">
        <f t="shared" si="52"/>
        <v/>
      </c>
      <c r="N299" s="7" t="str">
        <f t="shared" si="53"/>
        <v/>
      </c>
      <c r="O299" t="str">
        <f t="shared" si="54"/>
        <v/>
      </c>
      <c r="P299" t="str">
        <f t="shared" si="55"/>
        <v/>
      </c>
      <c r="Q299" t="str">
        <f t="shared" si="56"/>
        <v/>
      </c>
      <c r="S299" t="str">
        <f>""</f>
        <v/>
      </c>
      <c r="AL299" s="18" t="str">
        <f>IF(COUNTIF($A$2:A298, A298) = 1, A298, "")</f>
        <v/>
      </c>
    </row>
    <row r="300" spans="6:38" x14ac:dyDescent="0.2">
      <c r="F300" t="str">
        <f t="shared" si="51"/>
        <v/>
      </c>
      <c r="L300" s="7" t="str">
        <f t="shared" si="52"/>
        <v/>
      </c>
      <c r="N300" s="7" t="str">
        <f t="shared" si="53"/>
        <v/>
      </c>
      <c r="O300" t="str">
        <f t="shared" si="54"/>
        <v/>
      </c>
      <c r="P300" t="str">
        <f t="shared" si="55"/>
        <v/>
      </c>
      <c r="Q300" t="str">
        <f t="shared" si="56"/>
        <v/>
      </c>
      <c r="S300" t="str">
        <f>""</f>
        <v/>
      </c>
      <c r="AL300" s="18" t="str">
        <f>IF(COUNTIF($A$2:A299, A299) = 1, A299, "")</f>
        <v/>
      </c>
    </row>
    <row r="301" spans="6:38" x14ac:dyDescent="0.2">
      <c r="F301" t="str">
        <f t="shared" si="51"/>
        <v/>
      </c>
      <c r="L301" s="7" t="str">
        <f t="shared" si="52"/>
        <v/>
      </c>
      <c r="N301" s="7" t="str">
        <f t="shared" si="53"/>
        <v/>
      </c>
      <c r="O301" t="str">
        <f t="shared" si="54"/>
        <v/>
      </c>
      <c r="P301" t="str">
        <f t="shared" si="55"/>
        <v/>
      </c>
      <c r="Q301" t="str">
        <f t="shared" si="56"/>
        <v/>
      </c>
      <c r="S301" t="str">
        <f>""</f>
        <v/>
      </c>
      <c r="AL301" s="18" t="str">
        <f>IF(COUNTIF($A$2:A300, A300) = 1, A300, "")</f>
        <v/>
      </c>
    </row>
    <row r="302" spans="6:38" x14ac:dyDescent="0.2">
      <c r="F302" t="str">
        <f t="shared" si="51"/>
        <v/>
      </c>
      <c r="L302" s="7" t="str">
        <f t="shared" si="52"/>
        <v/>
      </c>
      <c r="N302" s="7" t="str">
        <f t="shared" si="53"/>
        <v/>
      </c>
      <c r="O302" t="str">
        <f t="shared" si="54"/>
        <v/>
      </c>
      <c r="P302" t="str">
        <f t="shared" si="55"/>
        <v/>
      </c>
      <c r="Q302" t="str">
        <f t="shared" si="56"/>
        <v/>
      </c>
      <c r="S302" t="str">
        <f>""</f>
        <v/>
      </c>
      <c r="AL302" s="18" t="str">
        <f>IF(COUNTIF($A$2:A301, A301) = 1, A301, "")</f>
        <v/>
      </c>
    </row>
    <row r="303" spans="6:38" x14ac:dyDescent="0.2">
      <c r="F303" t="str">
        <f t="shared" si="51"/>
        <v/>
      </c>
      <c r="L303" s="7" t="str">
        <f t="shared" si="52"/>
        <v/>
      </c>
      <c r="N303" s="7" t="str">
        <f t="shared" si="53"/>
        <v/>
      </c>
      <c r="O303" t="str">
        <f t="shared" si="54"/>
        <v/>
      </c>
      <c r="P303" t="str">
        <f t="shared" si="55"/>
        <v/>
      </c>
      <c r="Q303" t="str">
        <f t="shared" si="56"/>
        <v/>
      </c>
      <c r="S303" t="str">
        <f>""</f>
        <v/>
      </c>
      <c r="AL303" s="18" t="str">
        <f>IF(COUNTIF($A$2:A302, A302) = 1, A302, "")</f>
        <v/>
      </c>
    </row>
    <row r="304" spans="6:38" x14ac:dyDescent="0.2">
      <c r="F304" t="str">
        <f t="shared" si="51"/>
        <v/>
      </c>
      <c r="L304" s="7" t="str">
        <f t="shared" si="52"/>
        <v/>
      </c>
      <c r="N304" s="7" t="str">
        <f t="shared" si="53"/>
        <v/>
      </c>
      <c r="O304" t="str">
        <f t="shared" si="54"/>
        <v/>
      </c>
      <c r="P304" t="str">
        <f t="shared" si="55"/>
        <v/>
      </c>
      <c r="Q304" t="str">
        <f t="shared" si="56"/>
        <v/>
      </c>
      <c r="S304" t="str">
        <f>""</f>
        <v/>
      </c>
      <c r="AL304" s="18" t="str">
        <f>IF(COUNTIF($A$2:A303, A303) = 1, A303, "")</f>
        <v/>
      </c>
    </row>
    <row r="305" spans="6:38" x14ac:dyDescent="0.2">
      <c r="F305" t="str">
        <f t="shared" si="51"/>
        <v/>
      </c>
      <c r="L305" s="7" t="str">
        <f t="shared" si="52"/>
        <v/>
      </c>
      <c r="N305" s="7" t="str">
        <f t="shared" si="53"/>
        <v/>
      </c>
      <c r="O305" t="str">
        <f t="shared" si="54"/>
        <v/>
      </c>
      <c r="P305" t="str">
        <f t="shared" si="55"/>
        <v/>
      </c>
      <c r="Q305" t="str">
        <f t="shared" si="56"/>
        <v/>
      </c>
      <c r="S305" t="str">
        <f>""</f>
        <v/>
      </c>
      <c r="AL305" s="18" t="str">
        <f>IF(COUNTIF($A$2:A304, A304) = 1, A304, "")</f>
        <v/>
      </c>
    </row>
    <row r="306" spans="6:38" x14ac:dyDescent="0.2">
      <c r="F306" t="str">
        <f t="shared" si="51"/>
        <v/>
      </c>
      <c r="L306" s="7" t="str">
        <f t="shared" si="52"/>
        <v/>
      </c>
      <c r="N306" s="7" t="str">
        <f t="shared" si="53"/>
        <v/>
      </c>
      <c r="O306" t="str">
        <f t="shared" si="54"/>
        <v/>
      </c>
      <c r="P306" t="str">
        <f t="shared" si="55"/>
        <v/>
      </c>
      <c r="Q306" t="str">
        <f t="shared" si="56"/>
        <v/>
      </c>
      <c r="S306" t="str">
        <f>""</f>
        <v/>
      </c>
      <c r="AL306" s="18" t="str">
        <f>IF(COUNTIF($A$2:A305, A305) = 1, A305, "")</f>
        <v/>
      </c>
    </row>
    <row r="307" spans="6:38" x14ac:dyDescent="0.2">
      <c r="F307" t="str">
        <f t="shared" si="51"/>
        <v/>
      </c>
      <c r="L307" s="7" t="str">
        <f t="shared" si="52"/>
        <v/>
      </c>
      <c r="N307" s="7" t="str">
        <f t="shared" si="53"/>
        <v/>
      </c>
      <c r="O307" t="str">
        <f t="shared" si="54"/>
        <v/>
      </c>
      <c r="P307" t="str">
        <f t="shared" si="55"/>
        <v/>
      </c>
      <c r="Q307" t="str">
        <f t="shared" si="56"/>
        <v/>
      </c>
      <c r="S307" t="str">
        <f>""</f>
        <v/>
      </c>
      <c r="AL307" s="18" t="str">
        <f>IF(COUNTIF($A$2:A306, A306) = 1, A306, "")</f>
        <v/>
      </c>
    </row>
    <row r="308" spans="6:38" x14ac:dyDescent="0.2">
      <c r="F308" t="str">
        <f t="shared" si="51"/>
        <v/>
      </c>
      <c r="L308" s="7" t="str">
        <f t="shared" si="52"/>
        <v/>
      </c>
      <c r="N308" s="7" t="str">
        <f t="shared" si="53"/>
        <v/>
      </c>
      <c r="O308" t="str">
        <f t="shared" si="54"/>
        <v/>
      </c>
      <c r="P308" t="str">
        <f t="shared" si="55"/>
        <v/>
      </c>
      <c r="Q308" t="str">
        <f t="shared" si="56"/>
        <v/>
      </c>
      <c r="S308" t="str">
        <f>""</f>
        <v/>
      </c>
      <c r="AL308" s="18" t="str">
        <f>IF(COUNTIF($A$2:A307, A307) = 1, A307, "")</f>
        <v/>
      </c>
    </row>
    <row r="309" spans="6:38" x14ac:dyDescent="0.2">
      <c r="F309" t="str">
        <f t="shared" si="51"/>
        <v/>
      </c>
      <c r="L309" s="7" t="str">
        <f t="shared" si="52"/>
        <v/>
      </c>
      <c r="N309" s="7" t="str">
        <f t="shared" si="53"/>
        <v/>
      </c>
      <c r="O309" t="str">
        <f t="shared" si="54"/>
        <v/>
      </c>
      <c r="P309" t="str">
        <f t="shared" si="55"/>
        <v/>
      </c>
      <c r="Q309" t="str">
        <f t="shared" si="56"/>
        <v/>
      </c>
      <c r="S309" t="str">
        <f>""</f>
        <v/>
      </c>
      <c r="AL309" s="18" t="str">
        <f>IF(COUNTIF($A$2:A308, A308) = 1, A308, "")</f>
        <v/>
      </c>
    </row>
    <row r="310" spans="6:38" x14ac:dyDescent="0.2">
      <c r="F310" t="str">
        <f t="shared" si="51"/>
        <v/>
      </c>
      <c r="L310" s="7" t="str">
        <f t="shared" si="52"/>
        <v/>
      </c>
      <c r="N310" s="7" t="str">
        <f t="shared" si="53"/>
        <v/>
      </c>
      <c r="O310" t="str">
        <f t="shared" si="54"/>
        <v/>
      </c>
      <c r="P310" t="str">
        <f t="shared" si="55"/>
        <v/>
      </c>
      <c r="Q310" t="str">
        <f t="shared" si="56"/>
        <v/>
      </c>
      <c r="S310" t="str">
        <f>""</f>
        <v/>
      </c>
      <c r="AL310" s="18" t="str">
        <f>IF(COUNTIF($A$2:A309, A309) = 1, A309, "")</f>
        <v/>
      </c>
    </row>
    <row r="311" spans="6:38" x14ac:dyDescent="0.2">
      <c r="F311" t="str">
        <f t="shared" si="51"/>
        <v/>
      </c>
      <c r="L311" s="7" t="str">
        <f t="shared" si="52"/>
        <v/>
      </c>
      <c r="N311" s="7" t="str">
        <f t="shared" si="53"/>
        <v/>
      </c>
      <c r="O311" t="str">
        <f t="shared" si="54"/>
        <v/>
      </c>
      <c r="P311" t="str">
        <f t="shared" si="55"/>
        <v/>
      </c>
      <c r="Q311" t="str">
        <f t="shared" si="56"/>
        <v/>
      </c>
      <c r="S311" t="str">
        <f>""</f>
        <v/>
      </c>
      <c r="AL311" s="18" t="str">
        <f>IF(COUNTIF($A$2:A310, A310) = 1, A310, "")</f>
        <v/>
      </c>
    </row>
    <row r="312" spans="6:38" x14ac:dyDescent="0.2">
      <c r="F312" t="str">
        <f t="shared" si="51"/>
        <v/>
      </c>
      <c r="L312" s="7" t="str">
        <f t="shared" si="52"/>
        <v/>
      </c>
      <c r="N312" s="7" t="str">
        <f t="shared" si="53"/>
        <v/>
      </c>
      <c r="O312" t="str">
        <f t="shared" si="54"/>
        <v/>
      </c>
      <c r="P312" t="str">
        <f t="shared" si="55"/>
        <v/>
      </c>
      <c r="Q312" t="str">
        <f t="shared" si="56"/>
        <v/>
      </c>
      <c r="S312" t="str">
        <f>""</f>
        <v/>
      </c>
      <c r="AL312" s="18" t="str">
        <f>IF(COUNTIF($A$2:A311, A311) = 1, A311, "")</f>
        <v/>
      </c>
    </row>
    <row r="313" spans="6:38" x14ac:dyDescent="0.2">
      <c r="F313" t="str">
        <f t="shared" si="51"/>
        <v/>
      </c>
      <c r="L313" s="7" t="str">
        <f t="shared" si="52"/>
        <v/>
      </c>
      <c r="N313" s="7" t="str">
        <f t="shared" si="53"/>
        <v/>
      </c>
      <c r="O313" t="str">
        <f t="shared" si="54"/>
        <v/>
      </c>
      <c r="P313" t="str">
        <f t="shared" si="55"/>
        <v/>
      </c>
      <c r="Q313" t="str">
        <f t="shared" si="56"/>
        <v/>
      </c>
      <c r="S313" t="str">
        <f>""</f>
        <v/>
      </c>
      <c r="AL313" s="18" t="str">
        <f>IF(COUNTIF($A$2:A312, A312) = 1, A312, "")</f>
        <v/>
      </c>
    </row>
    <row r="314" spans="6:38" x14ac:dyDescent="0.2">
      <c r="F314" t="str">
        <f t="shared" si="51"/>
        <v/>
      </c>
      <c r="L314" s="7" t="str">
        <f t="shared" si="52"/>
        <v/>
      </c>
      <c r="N314" s="7" t="str">
        <f t="shared" si="53"/>
        <v/>
      </c>
      <c r="O314" t="str">
        <f t="shared" si="54"/>
        <v/>
      </c>
      <c r="P314" t="str">
        <f t="shared" si="55"/>
        <v/>
      </c>
      <c r="Q314" t="str">
        <f t="shared" si="56"/>
        <v/>
      </c>
      <c r="S314" t="str">
        <f>""</f>
        <v/>
      </c>
      <c r="AL314" s="18" t="str">
        <f>IF(COUNTIF($A$2:A313, A313) = 1, A313, "")</f>
        <v/>
      </c>
    </row>
    <row r="315" spans="6:38" x14ac:dyDescent="0.2">
      <c r="F315" t="str">
        <f t="shared" si="51"/>
        <v/>
      </c>
      <c r="L315" s="7" t="str">
        <f t="shared" si="52"/>
        <v/>
      </c>
      <c r="N315" s="7" t="str">
        <f t="shared" si="53"/>
        <v/>
      </c>
      <c r="O315" t="str">
        <f t="shared" si="54"/>
        <v/>
      </c>
      <c r="P315" t="str">
        <f t="shared" si="55"/>
        <v/>
      </c>
      <c r="Q315" t="str">
        <f t="shared" si="56"/>
        <v/>
      </c>
      <c r="S315" t="str">
        <f>""</f>
        <v/>
      </c>
      <c r="AL315" s="18" t="str">
        <f>IF(COUNTIF($A$2:A314, A314) = 1, A314, "")</f>
        <v/>
      </c>
    </row>
    <row r="316" spans="6:38" x14ac:dyDescent="0.2">
      <c r="F316" t="str">
        <f t="shared" si="51"/>
        <v/>
      </c>
      <c r="L316" s="7" t="str">
        <f t="shared" si="52"/>
        <v/>
      </c>
      <c r="N316" s="7" t="str">
        <f t="shared" si="53"/>
        <v/>
      </c>
      <c r="O316" t="str">
        <f t="shared" si="54"/>
        <v/>
      </c>
      <c r="P316" t="str">
        <f t="shared" si="55"/>
        <v/>
      </c>
      <c r="Q316" t="str">
        <f t="shared" si="56"/>
        <v/>
      </c>
      <c r="S316" t="str">
        <f>""</f>
        <v/>
      </c>
      <c r="AL316" s="18" t="str">
        <f>IF(COUNTIF($A$2:A315, A315) = 1, A315, "")</f>
        <v/>
      </c>
    </row>
    <row r="317" spans="6:38" x14ac:dyDescent="0.2">
      <c r="F317" t="str">
        <f t="shared" si="51"/>
        <v/>
      </c>
      <c r="L317" s="7" t="str">
        <f t="shared" si="52"/>
        <v/>
      </c>
      <c r="N317" s="7" t="str">
        <f t="shared" si="53"/>
        <v/>
      </c>
      <c r="O317" t="str">
        <f t="shared" si="54"/>
        <v/>
      </c>
      <c r="P317" t="str">
        <f t="shared" si="55"/>
        <v/>
      </c>
      <c r="Q317" t="str">
        <f t="shared" si="56"/>
        <v/>
      </c>
      <c r="S317" t="str">
        <f>""</f>
        <v/>
      </c>
      <c r="AL317" s="18" t="str">
        <f>IF(COUNTIF($A$2:A316, A316) = 1, A316, "")</f>
        <v/>
      </c>
    </row>
    <row r="318" spans="6:38" x14ac:dyDescent="0.2">
      <c r="F318" t="str">
        <f t="shared" si="51"/>
        <v/>
      </c>
      <c r="L318" s="7" t="str">
        <f t="shared" si="52"/>
        <v/>
      </c>
      <c r="N318" s="7" t="str">
        <f t="shared" si="53"/>
        <v/>
      </c>
      <c r="O318" t="str">
        <f t="shared" si="54"/>
        <v/>
      </c>
      <c r="P318" t="str">
        <f t="shared" si="55"/>
        <v/>
      </c>
      <c r="Q318" t="str">
        <f t="shared" si="56"/>
        <v/>
      </c>
      <c r="S318" t="str">
        <f>""</f>
        <v/>
      </c>
      <c r="AL318" s="18" t="str">
        <f>IF(COUNTIF($A$2:A317, A317) = 1, A317, "")</f>
        <v/>
      </c>
    </row>
    <row r="319" spans="6:38" x14ac:dyDescent="0.2">
      <c r="F319" t="str">
        <f t="shared" si="51"/>
        <v/>
      </c>
      <c r="L319" s="7" t="str">
        <f t="shared" si="52"/>
        <v/>
      </c>
      <c r="N319" s="7" t="str">
        <f t="shared" si="53"/>
        <v/>
      </c>
      <c r="O319" t="str">
        <f t="shared" si="54"/>
        <v/>
      </c>
      <c r="P319" t="str">
        <f t="shared" si="55"/>
        <v/>
      </c>
      <c r="Q319" t="str">
        <f t="shared" si="56"/>
        <v/>
      </c>
      <c r="S319" t="str">
        <f>""</f>
        <v/>
      </c>
      <c r="AL319" s="18" t="str">
        <f>IF(COUNTIF($A$2:A318, A318) = 1, A318, "")</f>
        <v/>
      </c>
    </row>
    <row r="320" spans="6:38" x14ac:dyDescent="0.2">
      <c r="F320" t="str">
        <f t="shared" si="51"/>
        <v/>
      </c>
      <c r="L320" s="7" t="str">
        <f t="shared" si="52"/>
        <v/>
      </c>
      <c r="N320" s="7" t="str">
        <f t="shared" si="53"/>
        <v/>
      </c>
      <c r="O320" t="str">
        <f t="shared" si="54"/>
        <v/>
      </c>
      <c r="P320" t="str">
        <f t="shared" si="55"/>
        <v/>
      </c>
      <c r="Q320" t="str">
        <f t="shared" si="56"/>
        <v/>
      </c>
      <c r="S320" t="str">
        <f>""</f>
        <v/>
      </c>
      <c r="AL320" s="18" t="str">
        <f>IF(COUNTIF($A$2:A319, A319) = 1, A319, "")</f>
        <v/>
      </c>
    </row>
    <row r="321" spans="6:38" x14ac:dyDescent="0.2">
      <c r="F321" t="str">
        <f t="shared" si="51"/>
        <v/>
      </c>
      <c r="L321" s="7" t="str">
        <f t="shared" si="52"/>
        <v/>
      </c>
      <c r="N321" s="7" t="str">
        <f t="shared" si="53"/>
        <v/>
      </c>
      <c r="O321" t="str">
        <f t="shared" si="54"/>
        <v/>
      </c>
      <c r="P321" t="str">
        <f t="shared" si="55"/>
        <v/>
      </c>
      <c r="Q321" t="str">
        <f t="shared" si="56"/>
        <v/>
      </c>
      <c r="S321" t="str">
        <f>""</f>
        <v/>
      </c>
      <c r="AL321" s="18" t="str">
        <f>IF(COUNTIF($A$2:A320, A320) = 1, A320, "")</f>
        <v/>
      </c>
    </row>
    <row r="322" spans="6:38" x14ac:dyDescent="0.2">
      <c r="F322" t="str">
        <f t="shared" si="51"/>
        <v/>
      </c>
      <c r="L322" s="7" t="str">
        <f t="shared" si="52"/>
        <v/>
      </c>
      <c r="N322" s="7" t="str">
        <f t="shared" si="53"/>
        <v/>
      </c>
      <c r="O322" t="str">
        <f t="shared" si="54"/>
        <v/>
      </c>
      <c r="P322" t="str">
        <f t="shared" si="55"/>
        <v/>
      </c>
      <c r="Q322" t="str">
        <f t="shared" si="56"/>
        <v/>
      </c>
      <c r="S322" t="str">
        <f>""</f>
        <v/>
      </c>
      <c r="AL322" s="18" t="str">
        <f>IF(COUNTIF($A$2:A321, A321) = 1, A321, "")</f>
        <v/>
      </c>
    </row>
    <row r="323" spans="6:38" x14ac:dyDescent="0.2">
      <c r="F323" t="str">
        <f t="shared" si="51"/>
        <v/>
      </c>
      <c r="L323" s="7" t="str">
        <f t="shared" si="52"/>
        <v/>
      </c>
      <c r="N323" s="7" t="str">
        <f t="shared" si="53"/>
        <v/>
      </c>
      <c r="O323" t="str">
        <f t="shared" si="54"/>
        <v/>
      </c>
      <c r="P323" t="str">
        <f t="shared" si="55"/>
        <v/>
      </c>
      <c r="Q323" t="str">
        <f t="shared" si="56"/>
        <v/>
      </c>
      <c r="S323" t="str">
        <f>""</f>
        <v/>
      </c>
      <c r="AL323" s="18" t="str">
        <f>IF(COUNTIF($A$2:A322, A322) = 1, A322, "")</f>
        <v/>
      </c>
    </row>
    <row r="324" spans="6:38" x14ac:dyDescent="0.2">
      <c r="F324" t="str">
        <f t="shared" si="51"/>
        <v/>
      </c>
      <c r="L324" s="7" t="str">
        <f t="shared" si="52"/>
        <v/>
      </c>
      <c r="N324" s="7" t="str">
        <f t="shared" si="53"/>
        <v/>
      </c>
      <c r="O324" t="str">
        <f t="shared" si="54"/>
        <v/>
      </c>
      <c r="P324" t="str">
        <f t="shared" si="55"/>
        <v/>
      </c>
      <c r="Q324" t="str">
        <f t="shared" si="56"/>
        <v/>
      </c>
      <c r="S324" t="str">
        <f>""</f>
        <v/>
      </c>
      <c r="AL324" s="18" t="str">
        <f>IF(COUNTIF($A$2:A323, A323) = 1, A323, "")</f>
        <v/>
      </c>
    </row>
    <row r="325" spans="6:38" x14ac:dyDescent="0.2">
      <c r="F325" t="str">
        <f t="shared" si="51"/>
        <v/>
      </c>
      <c r="L325" s="7" t="str">
        <f t="shared" si="52"/>
        <v/>
      </c>
      <c r="N325" s="7" t="str">
        <f t="shared" si="53"/>
        <v/>
      </c>
      <c r="O325" t="str">
        <f t="shared" si="54"/>
        <v/>
      </c>
      <c r="P325" t="str">
        <f t="shared" si="55"/>
        <v/>
      </c>
      <c r="Q325" t="str">
        <f t="shared" si="56"/>
        <v/>
      </c>
      <c r="S325" t="str">
        <f>""</f>
        <v/>
      </c>
      <c r="AL325" s="18" t="str">
        <f>IF(COUNTIF($A$2:A324, A324) = 1, A324, "")</f>
        <v/>
      </c>
    </row>
    <row r="326" spans="6:38" x14ac:dyDescent="0.2">
      <c r="F326" t="str">
        <f t="shared" si="51"/>
        <v/>
      </c>
      <c r="L326" s="7" t="str">
        <f t="shared" si="52"/>
        <v/>
      </c>
      <c r="N326" s="7" t="str">
        <f t="shared" si="53"/>
        <v/>
      </c>
      <c r="O326" t="str">
        <f t="shared" si="54"/>
        <v/>
      </c>
      <c r="P326" t="str">
        <f t="shared" si="55"/>
        <v/>
      </c>
      <c r="Q326" t="str">
        <f t="shared" si="56"/>
        <v/>
      </c>
      <c r="S326" t="str">
        <f>""</f>
        <v/>
      </c>
      <c r="AL326" s="18" t="str">
        <f>IF(COUNTIF($A$2:A325, A325) = 1, A325, "")</f>
        <v/>
      </c>
    </row>
    <row r="327" spans="6:38" x14ac:dyDescent="0.2">
      <c r="F327" t="str">
        <f t="shared" si="51"/>
        <v/>
      </c>
      <c r="L327" s="7" t="str">
        <f t="shared" si="52"/>
        <v/>
      </c>
      <c r="N327" s="7" t="str">
        <f t="shared" si="53"/>
        <v/>
      </c>
      <c r="O327" t="str">
        <f t="shared" si="54"/>
        <v/>
      </c>
      <c r="P327" t="str">
        <f t="shared" si="55"/>
        <v/>
      </c>
      <c r="Q327" t="str">
        <f t="shared" si="56"/>
        <v/>
      </c>
      <c r="S327" t="str">
        <f>""</f>
        <v/>
      </c>
      <c r="AL327" s="18" t="str">
        <f>IF(COUNTIF($A$2:A326, A326) = 1, A326, "")</f>
        <v/>
      </c>
    </row>
    <row r="328" spans="6:38" x14ac:dyDescent="0.2">
      <c r="F328" t="str">
        <f t="shared" si="51"/>
        <v/>
      </c>
      <c r="L328" s="7" t="str">
        <f t="shared" si="52"/>
        <v/>
      </c>
      <c r="N328" s="7" t="str">
        <f t="shared" si="53"/>
        <v/>
      </c>
      <c r="O328" t="str">
        <f t="shared" si="54"/>
        <v/>
      </c>
      <c r="P328" t="str">
        <f t="shared" si="55"/>
        <v/>
      </c>
      <c r="Q328" t="str">
        <f t="shared" si="56"/>
        <v/>
      </c>
      <c r="S328" t="str">
        <f>""</f>
        <v/>
      </c>
      <c r="AL328" s="18" t="str">
        <f>IF(COUNTIF($A$2:A327, A327) = 1, A327, "")</f>
        <v/>
      </c>
    </row>
    <row r="329" spans="6:38" x14ac:dyDescent="0.2">
      <c r="F329" t="str">
        <f t="shared" si="51"/>
        <v/>
      </c>
      <c r="L329" s="7" t="str">
        <f t="shared" si="52"/>
        <v/>
      </c>
      <c r="N329" s="7" t="str">
        <f t="shared" si="53"/>
        <v/>
      </c>
      <c r="O329" t="str">
        <f t="shared" si="54"/>
        <v/>
      </c>
      <c r="P329" t="str">
        <f t="shared" si="55"/>
        <v/>
      </c>
      <c r="Q329" t="str">
        <f t="shared" si="56"/>
        <v/>
      </c>
      <c r="S329" t="str">
        <f>""</f>
        <v/>
      </c>
      <c r="AL329" s="18" t="str">
        <f>IF(COUNTIF($A$2:A328, A328) = 1, A328, "")</f>
        <v/>
      </c>
    </row>
    <row r="330" spans="6:38" x14ac:dyDescent="0.2">
      <c r="F330" t="str">
        <f t="shared" si="51"/>
        <v/>
      </c>
      <c r="L330" s="7" t="str">
        <f t="shared" si="52"/>
        <v/>
      </c>
      <c r="N330" s="7" t="str">
        <f t="shared" si="53"/>
        <v/>
      </c>
      <c r="O330" t="str">
        <f t="shared" si="54"/>
        <v/>
      </c>
      <c r="P330" t="str">
        <f t="shared" si="55"/>
        <v/>
      </c>
      <c r="Q330" t="str">
        <f t="shared" si="56"/>
        <v/>
      </c>
      <c r="S330" t="str">
        <f>""</f>
        <v/>
      </c>
      <c r="AL330" s="18" t="str">
        <f>IF(COUNTIF($A$2:A329, A329) = 1, A329, "")</f>
        <v/>
      </c>
    </row>
    <row r="331" spans="6:38" x14ac:dyDescent="0.2">
      <c r="F331" t="str">
        <f t="shared" si="51"/>
        <v/>
      </c>
      <c r="L331" s="7" t="str">
        <f t="shared" si="52"/>
        <v/>
      </c>
      <c r="N331" s="7" t="str">
        <f t="shared" si="53"/>
        <v/>
      </c>
      <c r="O331" t="str">
        <f t="shared" si="54"/>
        <v/>
      </c>
      <c r="P331" t="str">
        <f t="shared" si="55"/>
        <v/>
      </c>
      <c r="Q331" t="str">
        <f t="shared" si="56"/>
        <v/>
      </c>
      <c r="S331" t="str">
        <f>""</f>
        <v/>
      </c>
      <c r="AL331" s="18" t="str">
        <f>IF(COUNTIF($A$2:A330, A330) = 1, A330, "")</f>
        <v/>
      </c>
    </row>
    <row r="332" spans="6:38" x14ac:dyDescent="0.2">
      <c r="F332" t="str">
        <f t="shared" si="51"/>
        <v/>
      </c>
      <c r="L332" s="7" t="str">
        <f t="shared" si="52"/>
        <v/>
      </c>
      <c r="N332" s="7" t="str">
        <f t="shared" si="53"/>
        <v/>
      </c>
      <c r="O332" t="str">
        <f t="shared" si="54"/>
        <v/>
      </c>
      <c r="P332" t="str">
        <f t="shared" si="55"/>
        <v/>
      </c>
      <c r="Q332" t="str">
        <f t="shared" si="56"/>
        <v/>
      </c>
      <c r="S332" t="str">
        <f>""</f>
        <v/>
      </c>
      <c r="AL332" s="18" t="str">
        <f>IF(COUNTIF($A$2:A331, A331) = 1, A331, "")</f>
        <v/>
      </c>
    </row>
    <row r="333" spans="6:38" x14ac:dyDescent="0.2">
      <c r="F333" t="str">
        <f t="shared" si="51"/>
        <v/>
      </c>
      <c r="L333" s="7" t="str">
        <f t="shared" si="52"/>
        <v/>
      </c>
      <c r="N333" s="7" t="str">
        <f t="shared" si="53"/>
        <v/>
      </c>
      <c r="O333" t="str">
        <f t="shared" si="54"/>
        <v/>
      </c>
      <c r="P333" t="str">
        <f t="shared" si="55"/>
        <v/>
      </c>
      <c r="Q333" t="str">
        <f t="shared" si="56"/>
        <v/>
      </c>
      <c r="S333" t="str">
        <f>""</f>
        <v/>
      </c>
      <c r="AL333" s="18" t="str">
        <f>IF(COUNTIF($A$2:A332, A332) = 1, A332, "")</f>
        <v/>
      </c>
    </row>
    <row r="334" spans="6:38" x14ac:dyDescent="0.2">
      <c r="F334" t="str">
        <f t="shared" si="51"/>
        <v/>
      </c>
      <c r="L334" s="7" t="str">
        <f t="shared" si="52"/>
        <v/>
      </c>
      <c r="N334" s="7" t="str">
        <f t="shared" si="53"/>
        <v/>
      </c>
      <c r="O334" t="str">
        <f t="shared" si="54"/>
        <v/>
      </c>
      <c r="P334" t="str">
        <f t="shared" si="55"/>
        <v/>
      </c>
      <c r="Q334" t="str">
        <f t="shared" si="56"/>
        <v/>
      </c>
      <c r="S334" t="str">
        <f>""</f>
        <v/>
      </c>
      <c r="AL334" s="18" t="str">
        <f>IF(COUNTIF($A$2:A333, A333) = 1, A333, "")</f>
        <v/>
      </c>
    </row>
    <row r="335" spans="6:38" x14ac:dyDescent="0.2">
      <c r="F335" t="str">
        <f t="shared" si="51"/>
        <v/>
      </c>
      <c r="L335" s="7" t="str">
        <f t="shared" si="52"/>
        <v/>
      </c>
      <c r="N335" s="7" t="str">
        <f t="shared" si="53"/>
        <v/>
      </c>
      <c r="O335" t="str">
        <f t="shared" si="54"/>
        <v/>
      </c>
      <c r="P335" t="str">
        <f t="shared" si="55"/>
        <v/>
      </c>
      <c r="Q335" t="str">
        <f t="shared" si="56"/>
        <v/>
      </c>
      <c r="S335" t="str">
        <f>""</f>
        <v/>
      </c>
      <c r="AL335" s="18" t="str">
        <f>IF(COUNTIF($A$2:A334, A334) = 1, A334, "")</f>
        <v/>
      </c>
    </row>
    <row r="336" spans="6:38" x14ac:dyDescent="0.2">
      <c r="F336" t="str">
        <f t="shared" ref="F336:F399" si="57">IF(OR(O336="", P336=""), "", SUM(IF((O336&lt;&gt;"None")*(O336&lt;&gt;""),LEN(O336)-LEN(SUBSTITUTE(O336,",",""))+1,0)) + SUM(IF((P336&lt;&gt;"None")*(P336&lt;&gt;""),LEN(P336)-LEN(SUBSTITUTE(P336,",",""))+1,0)))</f>
        <v/>
      </c>
      <c r="L336" s="7" t="str">
        <f t="shared" ref="L336:L399" si="58">IF(LEN(E336)=0, "", IFERROR(IF(E336&gt;=0, K336 * (1 + E336/100) - K336, K336 / (ABS(E336)/100))+K336, ""))</f>
        <v/>
      </c>
      <c r="N336" s="7" t="str">
        <f t="shared" ref="N336:N399" si="59">IF(M336="Yes",L336-K336,IF(M336="No",-K336,""))</f>
        <v/>
      </c>
      <c r="O336" t="str">
        <f t="shared" ref="O336:O399" si="60">IF(AND(G336="No",H336="No"), "None", "")</f>
        <v/>
      </c>
      <c r="P336" t="str">
        <f t="shared" ref="P336:P399" si="61">IF(I336="No", "None", "")</f>
        <v/>
      </c>
      <c r="Q336" t="str">
        <f t="shared" ref="Q336:Q399" si="62">IF(AND(D336="Straight", M336 = "No"),IF(O336="None",P336,IF(P336="None",O336) ),"")</f>
        <v/>
      </c>
      <c r="S336" t="str">
        <f>""</f>
        <v/>
      </c>
      <c r="AL336" s="18" t="str">
        <f>IF(COUNTIF($A$2:A335, A335) = 1, A335, "")</f>
        <v/>
      </c>
    </row>
    <row r="337" spans="6:38" x14ac:dyDescent="0.2">
      <c r="F337" t="str">
        <f t="shared" si="57"/>
        <v/>
      </c>
      <c r="L337" s="7" t="str">
        <f t="shared" si="58"/>
        <v/>
      </c>
      <c r="N337" s="7" t="str">
        <f t="shared" si="59"/>
        <v/>
      </c>
      <c r="O337" t="str">
        <f t="shared" si="60"/>
        <v/>
      </c>
      <c r="P337" t="str">
        <f t="shared" si="61"/>
        <v/>
      </c>
      <c r="Q337" t="str">
        <f t="shared" si="62"/>
        <v/>
      </c>
      <c r="S337" t="str">
        <f>""</f>
        <v/>
      </c>
      <c r="AL337" s="18" t="str">
        <f>IF(COUNTIF($A$2:A336, A336) = 1, A336, "")</f>
        <v/>
      </c>
    </row>
    <row r="338" spans="6:38" x14ac:dyDescent="0.2">
      <c r="F338" t="str">
        <f t="shared" si="57"/>
        <v/>
      </c>
      <c r="L338" s="7" t="str">
        <f t="shared" si="58"/>
        <v/>
      </c>
      <c r="N338" s="7" t="str">
        <f t="shared" si="59"/>
        <v/>
      </c>
      <c r="O338" t="str">
        <f t="shared" si="60"/>
        <v/>
      </c>
      <c r="P338" t="str">
        <f t="shared" si="61"/>
        <v/>
      </c>
      <c r="Q338" t="str">
        <f t="shared" si="62"/>
        <v/>
      </c>
      <c r="S338" t="str">
        <f>""</f>
        <v/>
      </c>
      <c r="AL338" s="18" t="str">
        <f>IF(COUNTIF($A$2:A337, A337) = 1, A337, "")</f>
        <v/>
      </c>
    </row>
    <row r="339" spans="6:38" x14ac:dyDescent="0.2">
      <c r="F339" t="str">
        <f t="shared" si="57"/>
        <v/>
      </c>
      <c r="L339" s="7" t="str">
        <f t="shared" si="58"/>
        <v/>
      </c>
      <c r="N339" s="7" t="str">
        <f t="shared" si="59"/>
        <v/>
      </c>
      <c r="O339" t="str">
        <f t="shared" si="60"/>
        <v/>
      </c>
      <c r="P339" t="str">
        <f t="shared" si="61"/>
        <v/>
      </c>
      <c r="Q339" t="str">
        <f t="shared" si="62"/>
        <v/>
      </c>
      <c r="S339" t="str">
        <f>""</f>
        <v/>
      </c>
      <c r="AL339" s="18" t="str">
        <f>IF(COUNTIF($A$2:A338, A338) = 1, A338, "")</f>
        <v/>
      </c>
    </row>
    <row r="340" spans="6:38" x14ac:dyDescent="0.2">
      <c r="F340" t="str">
        <f t="shared" si="57"/>
        <v/>
      </c>
      <c r="L340" s="7" t="str">
        <f t="shared" si="58"/>
        <v/>
      </c>
      <c r="N340" s="7" t="str">
        <f t="shared" si="59"/>
        <v/>
      </c>
      <c r="O340" t="str">
        <f t="shared" si="60"/>
        <v/>
      </c>
      <c r="P340" t="str">
        <f t="shared" si="61"/>
        <v/>
      </c>
      <c r="Q340" t="str">
        <f t="shared" si="62"/>
        <v/>
      </c>
      <c r="S340" t="str">
        <f>""</f>
        <v/>
      </c>
      <c r="AL340" s="18" t="str">
        <f>IF(COUNTIF($A$2:A339, A339) = 1, A339, "")</f>
        <v/>
      </c>
    </row>
    <row r="341" spans="6:38" x14ac:dyDescent="0.2">
      <c r="F341" t="str">
        <f t="shared" si="57"/>
        <v/>
      </c>
      <c r="L341" s="7" t="str">
        <f t="shared" si="58"/>
        <v/>
      </c>
      <c r="N341" s="7" t="str">
        <f t="shared" si="59"/>
        <v/>
      </c>
      <c r="O341" t="str">
        <f t="shared" si="60"/>
        <v/>
      </c>
      <c r="P341" t="str">
        <f t="shared" si="61"/>
        <v/>
      </c>
      <c r="Q341" t="str">
        <f t="shared" si="62"/>
        <v/>
      </c>
      <c r="S341" t="str">
        <f>""</f>
        <v/>
      </c>
      <c r="AL341" s="18" t="str">
        <f>IF(COUNTIF($A$2:A340, A340) = 1, A340, "")</f>
        <v/>
      </c>
    </row>
    <row r="342" spans="6:38" x14ac:dyDescent="0.2">
      <c r="F342" t="str">
        <f t="shared" si="57"/>
        <v/>
      </c>
      <c r="L342" s="7" t="str">
        <f t="shared" si="58"/>
        <v/>
      </c>
      <c r="N342" s="7" t="str">
        <f t="shared" si="59"/>
        <v/>
      </c>
      <c r="O342" t="str">
        <f t="shared" si="60"/>
        <v/>
      </c>
      <c r="P342" t="str">
        <f t="shared" si="61"/>
        <v/>
      </c>
      <c r="Q342" t="str">
        <f t="shared" si="62"/>
        <v/>
      </c>
      <c r="S342" t="str">
        <f>""</f>
        <v/>
      </c>
      <c r="AL342" s="18" t="str">
        <f>IF(COUNTIF($A$2:A341, A341) = 1, A341, "")</f>
        <v/>
      </c>
    </row>
    <row r="343" spans="6:38" x14ac:dyDescent="0.2">
      <c r="F343" t="str">
        <f t="shared" si="57"/>
        <v/>
      </c>
      <c r="L343" s="7" t="str">
        <f t="shared" si="58"/>
        <v/>
      </c>
      <c r="N343" s="7" t="str">
        <f t="shared" si="59"/>
        <v/>
      </c>
      <c r="O343" t="str">
        <f t="shared" si="60"/>
        <v/>
      </c>
      <c r="P343" t="str">
        <f t="shared" si="61"/>
        <v/>
      </c>
      <c r="Q343" t="str">
        <f t="shared" si="62"/>
        <v/>
      </c>
      <c r="S343" t="str">
        <f>""</f>
        <v/>
      </c>
      <c r="AL343" s="18" t="str">
        <f>IF(COUNTIF($A$2:A342, A342) = 1, A342, "")</f>
        <v/>
      </c>
    </row>
    <row r="344" spans="6:38" x14ac:dyDescent="0.2">
      <c r="F344" t="str">
        <f t="shared" si="57"/>
        <v/>
      </c>
      <c r="L344" s="7" t="str">
        <f t="shared" si="58"/>
        <v/>
      </c>
      <c r="N344" s="7" t="str">
        <f t="shared" si="59"/>
        <v/>
      </c>
      <c r="O344" t="str">
        <f t="shared" si="60"/>
        <v/>
      </c>
      <c r="P344" t="str">
        <f t="shared" si="61"/>
        <v/>
      </c>
      <c r="Q344" t="str">
        <f t="shared" si="62"/>
        <v/>
      </c>
      <c r="S344" t="str">
        <f>""</f>
        <v/>
      </c>
      <c r="AL344" s="18" t="str">
        <f>IF(COUNTIF($A$2:A343, A343) = 1, A343, "")</f>
        <v/>
      </c>
    </row>
    <row r="345" spans="6:38" x14ac:dyDescent="0.2">
      <c r="F345" t="str">
        <f t="shared" si="57"/>
        <v/>
      </c>
      <c r="L345" s="7" t="str">
        <f t="shared" si="58"/>
        <v/>
      </c>
      <c r="N345" s="7" t="str">
        <f t="shared" si="59"/>
        <v/>
      </c>
      <c r="O345" t="str">
        <f t="shared" si="60"/>
        <v/>
      </c>
      <c r="P345" t="str">
        <f t="shared" si="61"/>
        <v/>
      </c>
      <c r="Q345" t="str">
        <f t="shared" si="62"/>
        <v/>
      </c>
      <c r="S345" t="str">
        <f>""</f>
        <v/>
      </c>
      <c r="AL345" s="18" t="str">
        <f>IF(COUNTIF($A$2:A344, A344) = 1, A344, "")</f>
        <v/>
      </c>
    </row>
    <row r="346" spans="6:38" x14ac:dyDescent="0.2">
      <c r="F346" t="str">
        <f t="shared" si="57"/>
        <v/>
      </c>
      <c r="L346" s="7" t="str">
        <f t="shared" si="58"/>
        <v/>
      </c>
      <c r="N346" s="7" t="str">
        <f t="shared" si="59"/>
        <v/>
      </c>
      <c r="O346" t="str">
        <f t="shared" si="60"/>
        <v/>
      </c>
      <c r="P346" t="str">
        <f t="shared" si="61"/>
        <v/>
      </c>
      <c r="Q346" t="str">
        <f t="shared" si="62"/>
        <v/>
      </c>
      <c r="S346" t="str">
        <f>""</f>
        <v/>
      </c>
      <c r="AL346" s="18" t="str">
        <f>IF(COUNTIF($A$2:A345, A345) = 1, A345, "")</f>
        <v/>
      </c>
    </row>
    <row r="347" spans="6:38" x14ac:dyDescent="0.2">
      <c r="F347" t="str">
        <f t="shared" si="57"/>
        <v/>
      </c>
      <c r="L347" s="7" t="str">
        <f t="shared" si="58"/>
        <v/>
      </c>
      <c r="N347" s="7" t="str">
        <f t="shared" si="59"/>
        <v/>
      </c>
      <c r="O347" t="str">
        <f t="shared" si="60"/>
        <v/>
      </c>
      <c r="P347" t="str">
        <f t="shared" si="61"/>
        <v/>
      </c>
      <c r="Q347" t="str">
        <f t="shared" si="62"/>
        <v/>
      </c>
      <c r="S347" t="str">
        <f>""</f>
        <v/>
      </c>
      <c r="AL347" s="18" t="str">
        <f>IF(COUNTIF($A$2:A346, A346) = 1, A346, "")</f>
        <v/>
      </c>
    </row>
    <row r="348" spans="6:38" x14ac:dyDescent="0.2">
      <c r="F348" t="str">
        <f t="shared" si="57"/>
        <v/>
      </c>
      <c r="L348" s="7" t="str">
        <f t="shared" si="58"/>
        <v/>
      </c>
      <c r="N348" s="7" t="str">
        <f t="shared" si="59"/>
        <v/>
      </c>
      <c r="O348" t="str">
        <f t="shared" si="60"/>
        <v/>
      </c>
      <c r="P348" t="str">
        <f t="shared" si="61"/>
        <v/>
      </c>
      <c r="Q348" t="str">
        <f t="shared" si="62"/>
        <v/>
      </c>
      <c r="S348" t="str">
        <f>""</f>
        <v/>
      </c>
      <c r="AL348" s="18" t="str">
        <f>IF(COUNTIF($A$2:A347, A347) = 1, A347, "")</f>
        <v/>
      </c>
    </row>
    <row r="349" spans="6:38" x14ac:dyDescent="0.2">
      <c r="F349" t="str">
        <f t="shared" si="57"/>
        <v/>
      </c>
      <c r="L349" s="7" t="str">
        <f t="shared" si="58"/>
        <v/>
      </c>
      <c r="N349" s="7" t="str">
        <f t="shared" si="59"/>
        <v/>
      </c>
      <c r="O349" t="str">
        <f t="shared" si="60"/>
        <v/>
      </c>
      <c r="P349" t="str">
        <f t="shared" si="61"/>
        <v/>
      </c>
      <c r="Q349" t="str">
        <f t="shared" si="62"/>
        <v/>
      </c>
      <c r="S349" t="str">
        <f>""</f>
        <v/>
      </c>
      <c r="AL349" s="18" t="str">
        <f>IF(COUNTIF($A$2:A348, A348) = 1, A348, "")</f>
        <v/>
      </c>
    </row>
    <row r="350" spans="6:38" x14ac:dyDescent="0.2">
      <c r="F350" t="str">
        <f t="shared" si="57"/>
        <v/>
      </c>
      <c r="L350" s="7" t="str">
        <f t="shared" si="58"/>
        <v/>
      </c>
      <c r="N350" s="7" t="str">
        <f t="shared" si="59"/>
        <v/>
      </c>
      <c r="O350" t="str">
        <f t="shared" si="60"/>
        <v/>
      </c>
      <c r="P350" t="str">
        <f t="shared" si="61"/>
        <v/>
      </c>
      <c r="Q350" t="str">
        <f t="shared" si="62"/>
        <v/>
      </c>
      <c r="S350" t="str">
        <f>""</f>
        <v/>
      </c>
      <c r="AL350" s="18" t="str">
        <f>IF(COUNTIF($A$2:A349, A349) = 1, A349, "")</f>
        <v/>
      </c>
    </row>
    <row r="351" spans="6:38" x14ac:dyDescent="0.2">
      <c r="F351" t="str">
        <f t="shared" si="57"/>
        <v/>
      </c>
      <c r="L351" s="7" t="str">
        <f t="shared" si="58"/>
        <v/>
      </c>
      <c r="N351" s="7" t="str">
        <f t="shared" si="59"/>
        <v/>
      </c>
      <c r="O351" t="str">
        <f t="shared" si="60"/>
        <v/>
      </c>
      <c r="P351" t="str">
        <f t="shared" si="61"/>
        <v/>
      </c>
      <c r="Q351" t="str">
        <f t="shared" si="62"/>
        <v/>
      </c>
      <c r="S351" t="str">
        <f>""</f>
        <v/>
      </c>
      <c r="AL351" s="18" t="str">
        <f>IF(COUNTIF($A$2:A350, A350) = 1, A350, "")</f>
        <v/>
      </c>
    </row>
    <row r="352" spans="6:38" x14ac:dyDescent="0.2">
      <c r="F352" t="str">
        <f t="shared" si="57"/>
        <v/>
      </c>
      <c r="L352" s="7" t="str">
        <f t="shared" si="58"/>
        <v/>
      </c>
      <c r="N352" s="7" t="str">
        <f t="shared" si="59"/>
        <v/>
      </c>
      <c r="O352" t="str">
        <f t="shared" si="60"/>
        <v/>
      </c>
      <c r="P352" t="str">
        <f t="shared" si="61"/>
        <v/>
      </c>
      <c r="Q352" t="str">
        <f t="shared" si="62"/>
        <v/>
      </c>
      <c r="S352" t="str">
        <f>""</f>
        <v/>
      </c>
      <c r="AL352" s="18" t="str">
        <f>IF(COUNTIF($A$2:A351, A351) = 1, A351, "")</f>
        <v/>
      </c>
    </row>
    <row r="353" spans="6:38" x14ac:dyDescent="0.2">
      <c r="F353" t="str">
        <f t="shared" si="57"/>
        <v/>
      </c>
      <c r="L353" s="7" t="str">
        <f t="shared" si="58"/>
        <v/>
      </c>
      <c r="N353" s="7" t="str">
        <f t="shared" si="59"/>
        <v/>
      </c>
      <c r="O353" t="str">
        <f t="shared" si="60"/>
        <v/>
      </c>
      <c r="P353" t="str">
        <f t="shared" si="61"/>
        <v/>
      </c>
      <c r="Q353" t="str">
        <f t="shared" si="62"/>
        <v/>
      </c>
      <c r="S353" t="str">
        <f>""</f>
        <v/>
      </c>
      <c r="AL353" s="18" t="str">
        <f>IF(COUNTIF($A$2:A352, A352) = 1, A352, "")</f>
        <v/>
      </c>
    </row>
    <row r="354" spans="6:38" x14ac:dyDescent="0.2">
      <c r="F354" t="str">
        <f t="shared" si="57"/>
        <v/>
      </c>
      <c r="L354" s="7" t="str">
        <f t="shared" si="58"/>
        <v/>
      </c>
      <c r="N354" s="7" t="str">
        <f t="shared" si="59"/>
        <v/>
      </c>
      <c r="O354" t="str">
        <f t="shared" si="60"/>
        <v/>
      </c>
      <c r="P354" t="str">
        <f t="shared" si="61"/>
        <v/>
      </c>
      <c r="Q354" t="str">
        <f t="shared" si="62"/>
        <v/>
      </c>
      <c r="S354" t="str">
        <f>""</f>
        <v/>
      </c>
      <c r="AL354" s="18" t="str">
        <f>IF(COUNTIF($A$2:A353, A353) = 1, A353, "")</f>
        <v/>
      </c>
    </row>
    <row r="355" spans="6:38" x14ac:dyDescent="0.2">
      <c r="F355" t="str">
        <f t="shared" si="57"/>
        <v/>
      </c>
      <c r="L355" s="7" t="str">
        <f t="shared" si="58"/>
        <v/>
      </c>
      <c r="N355" s="7" t="str">
        <f t="shared" si="59"/>
        <v/>
      </c>
      <c r="O355" t="str">
        <f t="shared" si="60"/>
        <v/>
      </c>
      <c r="P355" t="str">
        <f t="shared" si="61"/>
        <v/>
      </c>
      <c r="Q355" t="str">
        <f t="shared" si="62"/>
        <v/>
      </c>
      <c r="S355" t="str">
        <f>""</f>
        <v/>
      </c>
      <c r="AL355" s="18" t="str">
        <f>IF(COUNTIF($A$2:A354, A354) = 1, A354, "")</f>
        <v/>
      </c>
    </row>
    <row r="356" spans="6:38" x14ac:dyDescent="0.2">
      <c r="F356" t="str">
        <f t="shared" si="57"/>
        <v/>
      </c>
      <c r="L356" s="7" t="str">
        <f t="shared" si="58"/>
        <v/>
      </c>
      <c r="N356" s="7" t="str">
        <f t="shared" si="59"/>
        <v/>
      </c>
      <c r="O356" t="str">
        <f t="shared" si="60"/>
        <v/>
      </c>
      <c r="P356" t="str">
        <f t="shared" si="61"/>
        <v/>
      </c>
      <c r="Q356" t="str">
        <f t="shared" si="62"/>
        <v/>
      </c>
      <c r="S356" t="str">
        <f>""</f>
        <v/>
      </c>
      <c r="AL356" s="18" t="str">
        <f>IF(COUNTIF($A$2:A355, A355) = 1, A355, "")</f>
        <v/>
      </c>
    </row>
    <row r="357" spans="6:38" x14ac:dyDescent="0.2">
      <c r="F357" t="str">
        <f t="shared" si="57"/>
        <v/>
      </c>
      <c r="L357" s="7" t="str">
        <f t="shared" si="58"/>
        <v/>
      </c>
      <c r="N357" s="7" t="str">
        <f t="shared" si="59"/>
        <v/>
      </c>
      <c r="O357" t="str">
        <f t="shared" si="60"/>
        <v/>
      </c>
      <c r="P357" t="str">
        <f t="shared" si="61"/>
        <v/>
      </c>
      <c r="Q357" t="str">
        <f t="shared" si="62"/>
        <v/>
      </c>
      <c r="S357" t="str">
        <f>""</f>
        <v/>
      </c>
      <c r="AL357" s="18" t="str">
        <f>IF(COUNTIF($A$2:A356, A356) = 1, A356, "")</f>
        <v/>
      </c>
    </row>
    <row r="358" spans="6:38" x14ac:dyDescent="0.2">
      <c r="F358" t="str">
        <f t="shared" si="57"/>
        <v/>
      </c>
      <c r="L358" s="7" t="str">
        <f t="shared" si="58"/>
        <v/>
      </c>
      <c r="N358" s="7" t="str">
        <f t="shared" si="59"/>
        <v/>
      </c>
      <c r="O358" t="str">
        <f t="shared" si="60"/>
        <v/>
      </c>
      <c r="P358" t="str">
        <f t="shared" si="61"/>
        <v/>
      </c>
      <c r="Q358" t="str">
        <f t="shared" si="62"/>
        <v/>
      </c>
      <c r="S358" t="str">
        <f>""</f>
        <v/>
      </c>
      <c r="AL358" s="18" t="str">
        <f>IF(COUNTIF($A$2:A357, A357) = 1, A357, "")</f>
        <v/>
      </c>
    </row>
    <row r="359" spans="6:38" x14ac:dyDescent="0.2">
      <c r="F359" t="str">
        <f t="shared" si="57"/>
        <v/>
      </c>
      <c r="L359" s="7" t="str">
        <f t="shared" si="58"/>
        <v/>
      </c>
      <c r="N359" s="7" t="str">
        <f t="shared" si="59"/>
        <v/>
      </c>
      <c r="O359" t="str">
        <f t="shared" si="60"/>
        <v/>
      </c>
      <c r="P359" t="str">
        <f t="shared" si="61"/>
        <v/>
      </c>
      <c r="Q359" t="str">
        <f t="shared" si="62"/>
        <v/>
      </c>
      <c r="S359" t="str">
        <f>""</f>
        <v/>
      </c>
      <c r="AL359" s="18" t="str">
        <f>IF(COUNTIF($A$2:A358, A358) = 1, A358, "")</f>
        <v/>
      </c>
    </row>
    <row r="360" spans="6:38" x14ac:dyDescent="0.2">
      <c r="F360" t="str">
        <f t="shared" si="57"/>
        <v/>
      </c>
      <c r="L360" s="7" t="str">
        <f t="shared" si="58"/>
        <v/>
      </c>
      <c r="N360" s="7" t="str">
        <f t="shared" si="59"/>
        <v/>
      </c>
      <c r="O360" t="str">
        <f t="shared" si="60"/>
        <v/>
      </c>
      <c r="P360" t="str">
        <f t="shared" si="61"/>
        <v/>
      </c>
      <c r="Q360" t="str">
        <f t="shared" si="62"/>
        <v/>
      </c>
      <c r="S360" t="str">
        <f>""</f>
        <v/>
      </c>
      <c r="AL360" s="18" t="str">
        <f>IF(COUNTIF($A$2:A359, A359) = 1, A359, "")</f>
        <v/>
      </c>
    </row>
    <row r="361" spans="6:38" x14ac:dyDescent="0.2">
      <c r="F361" t="str">
        <f t="shared" si="57"/>
        <v/>
      </c>
      <c r="L361" s="7" t="str">
        <f t="shared" si="58"/>
        <v/>
      </c>
      <c r="N361" s="7" t="str">
        <f t="shared" si="59"/>
        <v/>
      </c>
      <c r="O361" t="str">
        <f t="shared" si="60"/>
        <v/>
      </c>
      <c r="P361" t="str">
        <f t="shared" si="61"/>
        <v/>
      </c>
      <c r="Q361" t="str">
        <f t="shared" si="62"/>
        <v/>
      </c>
      <c r="S361" t="str">
        <f>""</f>
        <v/>
      </c>
      <c r="AL361" s="18" t="str">
        <f>IF(COUNTIF($A$2:A360, A360) = 1, A360, "")</f>
        <v/>
      </c>
    </row>
    <row r="362" spans="6:38" x14ac:dyDescent="0.2">
      <c r="F362" t="str">
        <f t="shared" si="57"/>
        <v/>
      </c>
      <c r="L362" s="7" t="str">
        <f t="shared" si="58"/>
        <v/>
      </c>
      <c r="N362" s="7" t="str">
        <f t="shared" si="59"/>
        <v/>
      </c>
      <c r="O362" t="str">
        <f t="shared" si="60"/>
        <v/>
      </c>
      <c r="P362" t="str">
        <f t="shared" si="61"/>
        <v/>
      </c>
      <c r="Q362" t="str">
        <f t="shared" si="62"/>
        <v/>
      </c>
      <c r="S362" t="str">
        <f>""</f>
        <v/>
      </c>
      <c r="AL362" s="18" t="str">
        <f>IF(COUNTIF($A$2:A361, A361) = 1, A361, "")</f>
        <v/>
      </c>
    </row>
    <row r="363" spans="6:38" x14ac:dyDescent="0.2">
      <c r="F363" t="str">
        <f t="shared" si="57"/>
        <v/>
      </c>
      <c r="L363" s="7" t="str">
        <f t="shared" si="58"/>
        <v/>
      </c>
      <c r="N363" s="7" t="str">
        <f t="shared" si="59"/>
        <v/>
      </c>
      <c r="O363" t="str">
        <f t="shared" si="60"/>
        <v/>
      </c>
      <c r="P363" t="str">
        <f t="shared" si="61"/>
        <v/>
      </c>
      <c r="Q363" t="str">
        <f t="shared" si="62"/>
        <v/>
      </c>
      <c r="S363" t="str">
        <f>""</f>
        <v/>
      </c>
      <c r="AL363" s="18" t="str">
        <f>IF(COUNTIF($A$2:A362, A362) = 1, A362, "")</f>
        <v/>
      </c>
    </row>
    <row r="364" spans="6:38" x14ac:dyDescent="0.2">
      <c r="F364" t="str">
        <f t="shared" si="57"/>
        <v/>
      </c>
      <c r="L364" s="7" t="str">
        <f t="shared" si="58"/>
        <v/>
      </c>
      <c r="N364" s="7" t="str">
        <f t="shared" si="59"/>
        <v/>
      </c>
      <c r="O364" t="str">
        <f t="shared" si="60"/>
        <v/>
      </c>
      <c r="P364" t="str">
        <f t="shared" si="61"/>
        <v/>
      </c>
      <c r="Q364" t="str">
        <f t="shared" si="62"/>
        <v/>
      </c>
      <c r="S364" t="str">
        <f>""</f>
        <v/>
      </c>
      <c r="AL364" s="18" t="str">
        <f>IF(COUNTIF($A$2:A363, A363) = 1, A363, "")</f>
        <v/>
      </c>
    </row>
    <row r="365" spans="6:38" x14ac:dyDescent="0.2">
      <c r="F365" t="str">
        <f t="shared" si="57"/>
        <v/>
      </c>
      <c r="L365" s="7" t="str">
        <f t="shared" si="58"/>
        <v/>
      </c>
      <c r="N365" s="7" t="str">
        <f t="shared" si="59"/>
        <v/>
      </c>
      <c r="O365" t="str">
        <f t="shared" si="60"/>
        <v/>
      </c>
      <c r="P365" t="str">
        <f t="shared" si="61"/>
        <v/>
      </c>
      <c r="Q365" t="str">
        <f t="shared" si="62"/>
        <v/>
      </c>
      <c r="S365" t="str">
        <f>""</f>
        <v/>
      </c>
      <c r="AL365" s="18" t="str">
        <f>IF(COUNTIF($A$2:A364, A364) = 1, A364, "")</f>
        <v/>
      </c>
    </row>
    <row r="366" spans="6:38" x14ac:dyDescent="0.2">
      <c r="F366" t="str">
        <f t="shared" si="57"/>
        <v/>
      </c>
      <c r="L366" s="7" t="str">
        <f t="shared" si="58"/>
        <v/>
      </c>
      <c r="N366" s="7" t="str">
        <f t="shared" si="59"/>
        <v/>
      </c>
      <c r="O366" t="str">
        <f t="shared" si="60"/>
        <v/>
      </c>
      <c r="P366" t="str">
        <f t="shared" si="61"/>
        <v/>
      </c>
      <c r="Q366" t="str">
        <f t="shared" si="62"/>
        <v/>
      </c>
      <c r="S366" t="str">
        <f>""</f>
        <v/>
      </c>
      <c r="AL366" s="18" t="str">
        <f>IF(COUNTIF($A$2:A365, A365) = 1, A365, "")</f>
        <v/>
      </c>
    </row>
    <row r="367" spans="6:38" x14ac:dyDescent="0.2">
      <c r="F367" t="str">
        <f t="shared" si="57"/>
        <v/>
      </c>
      <c r="L367" s="7" t="str">
        <f t="shared" si="58"/>
        <v/>
      </c>
      <c r="N367" s="7" t="str">
        <f t="shared" si="59"/>
        <v/>
      </c>
      <c r="O367" t="str">
        <f t="shared" si="60"/>
        <v/>
      </c>
      <c r="P367" t="str">
        <f t="shared" si="61"/>
        <v/>
      </c>
      <c r="Q367" t="str">
        <f t="shared" si="62"/>
        <v/>
      </c>
      <c r="S367" t="str">
        <f>""</f>
        <v/>
      </c>
      <c r="AL367" s="18" t="str">
        <f>IF(COUNTIF($A$2:A366, A366) = 1, A366, "")</f>
        <v/>
      </c>
    </row>
    <row r="368" spans="6:38" x14ac:dyDescent="0.2">
      <c r="F368" t="str">
        <f t="shared" si="57"/>
        <v/>
      </c>
      <c r="L368" s="7" t="str">
        <f t="shared" si="58"/>
        <v/>
      </c>
      <c r="N368" s="7" t="str">
        <f t="shared" si="59"/>
        <v/>
      </c>
      <c r="O368" t="str">
        <f t="shared" si="60"/>
        <v/>
      </c>
      <c r="P368" t="str">
        <f t="shared" si="61"/>
        <v/>
      </c>
      <c r="Q368" t="str">
        <f t="shared" si="62"/>
        <v/>
      </c>
      <c r="S368" t="str">
        <f>""</f>
        <v/>
      </c>
      <c r="AL368" s="18" t="str">
        <f>IF(COUNTIF($A$2:A367, A367) = 1, A367, "")</f>
        <v/>
      </c>
    </row>
    <row r="369" spans="6:38" x14ac:dyDescent="0.2">
      <c r="F369" t="str">
        <f t="shared" si="57"/>
        <v/>
      </c>
      <c r="L369" s="7" t="str">
        <f t="shared" si="58"/>
        <v/>
      </c>
      <c r="N369" s="7" t="str">
        <f t="shared" si="59"/>
        <v/>
      </c>
      <c r="O369" t="str">
        <f t="shared" si="60"/>
        <v/>
      </c>
      <c r="P369" t="str">
        <f t="shared" si="61"/>
        <v/>
      </c>
      <c r="Q369" t="str">
        <f t="shared" si="62"/>
        <v/>
      </c>
      <c r="S369" t="str">
        <f>""</f>
        <v/>
      </c>
      <c r="AL369" s="18" t="str">
        <f>IF(COUNTIF($A$2:A368, A368) = 1, A368, "")</f>
        <v/>
      </c>
    </row>
    <row r="370" spans="6:38" x14ac:dyDescent="0.2">
      <c r="F370" t="str">
        <f t="shared" si="57"/>
        <v/>
      </c>
      <c r="L370" s="7" t="str">
        <f t="shared" si="58"/>
        <v/>
      </c>
      <c r="N370" s="7" t="str">
        <f t="shared" si="59"/>
        <v/>
      </c>
      <c r="O370" t="str">
        <f t="shared" si="60"/>
        <v/>
      </c>
      <c r="P370" t="str">
        <f t="shared" si="61"/>
        <v/>
      </c>
      <c r="Q370" t="str">
        <f t="shared" si="62"/>
        <v/>
      </c>
      <c r="S370" t="str">
        <f>""</f>
        <v/>
      </c>
      <c r="AL370" s="18" t="str">
        <f>IF(COUNTIF($A$2:A369, A369) = 1, A369, "")</f>
        <v/>
      </c>
    </row>
    <row r="371" spans="6:38" x14ac:dyDescent="0.2">
      <c r="F371" t="str">
        <f t="shared" si="57"/>
        <v/>
      </c>
      <c r="L371" s="7" t="str">
        <f t="shared" si="58"/>
        <v/>
      </c>
      <c r="N371" s="7" t="str">
        <f t="shared" si="59"/>
        <v/>
      </c>
      <c r="O371" t="str">
        <f t="shared" si="60"/>
        <v/>
      </c>
      <c r="P371" t="str">
        <f t="shared" si="61"/>
        <v/>
      </c>
      <c r="Q371" t="str">
        <f t="shared" si="62"/>
        <v/>
      </c>
      <c r="S371" t="str">
        <f>""</f>
        <v/>
      </c>
      <c r="AL371" s="18" t="str">
        <f>IF(COUNTIF($A$2:A370, A370) = 1, A370, "")</f>
        <v/>
      </c>
    </row>
    <row r="372" spans="6:38" x14ac:dyDescent="0.2">
      <c r="F372" t="str">
        <f t="shared" si="57"/>
        <v/>
      </c>
      <c r="L372" s="7" t="str">
        <f t="shared" si="58"/>
        <v/>
      </c>
      <c r="N372" s="7" t="str">
        <f t="shared" si="59"/>
        <v/>
      </c>
      <c r="O372" t="str">
        <f t="shared" si="60"/>
        <v/>
      </c>
      <c r="P372" t="str">
        <f t="shared" si="61"/>
        <v/>
      </c>
      <c r="Q372" t="str">
        <f t="shared" si="62"/>
        <v/>
      </c>
      <c r="S372" t="str">
        <f>""</f>
        <v/>
      </c>
      <c r="AL372" s="18" t="str">
        <f>IF(COUNTIF($A$2:A371, A371) = 1, A371, "")</f>
        <v/>
      </c>
    </row>
    <row r="373" spans="6:38" x14ac:dyDescent="0.2">
      <c r="F373" t="str">
        <f t="shared" si="57"/>
        <v/>
      </c>
      <c r="L373" s="7" t="str">
        <f t="shared" si="58"/>
        <v/>
      </c>
      <c r="N373" s="7" t="str">
        <f t="shared" si="59"/>
        <v/>
      </c>
      <c r="O373" t="str">
        <f t="shared" si="60"/>
        <v/>
      </c>
      <c r="P373" t="str">
        <f t="shared" si="61"/>
        <v/>
      </c>
      <c r="Q373" t="str">
        <f t="shared" si="62"/>
        <v/>
      </c>
      <c r="S373" t="str">
        <f>""</f>
        <v/>
      </c>
      <c r="AL373" s="18" t="str">
        <f>IF(COUNTIF($A$2:A372, A372) = 1, A372, "")</f>
        <v/>
      </c>
    </row>
    <row r="374" spans="6:38" x14ac:dyDescent="0.2">
      <c r="F374" t="str">
        <f t="shared" si="57"/>
        <v/>
      </c>
      <c r="L374" s="7" t="str">
        <f t="shared" si="58"/>
        <v/>
      </c>
      <c r="N374" s="7" t="str">
        <f t="shared" si="59"/>
        <v/>
      </c>
      <c r="O374" t="str">
        <f t="shared" si="60"/>
        <v/>
      </c>
      <c r="P374" t="str">
        <f t="shared" si="61"/>
        <v/>
      </c>
      <c r="Q374" t="str">
        <f t="shared" si="62"/>
        <v/>
      </c>
      <c r="S374" t="str">
        <f>""</f>
        <v/>
      </c>
      <c r="AL374" s="18" t="str">
        <f>IF(COUNTIF($A$2:A373, A373) = 1, A373, "")</f>
        <v/>
      </c>
    </row>
    <row r="375" spans="6:38" x14ac:dyDescent="0.2">
      <c r="F375" t="str">
        <f t="shared" si="57"/>
        <v/>
      </c>
      <c r="L375" s="7" t="str">
        <f t="shared" si="58"/>
        <v/>
      </c>
      <c r="N375" s="7" t="str">
        <f t="shared" si="59"/>
        <v/>
      </c>
      <c r="O375" t="str">
        <f t="shared" si="60"/>
        <v/>
      </c>
      <c r="P375" t="str">
        <f t="shared" si="61"/>
        <v/>
      </c>
      <c r="Q375" t="str">
        <f t="shared" si="62"/>
        <v/>
      </c>
      <c r="S375" t="str">
        <f>""</f>
        <v/>
      </c>
      <c r="AL375" s="18" t="str">
        <f>IF(COUNTIF($A$2:A374, A374) = 1, A374, "")</f>
        <v/>
      </c>
    </row>
    <row r="376" spans="6:38" x14ac:dyDescent="0.2">
      <c r="F376" t="str">
        <f t="shared" si="57"/>
        <v/>
      </c>
      <c r="L376" s="7" t="str">
        <f t="shared" si="58"/>
        <v/>
      </c>
      <c r="N376" s="7" t="str">
        <f t="shared" si="59"/>
        <v/>
      </c>
      <c r="O376" t="str">
        <f t="shared" si="60"/>
        <v/>
      </c>
      <c r="P376" t="str">
        <f t="shared" si="61"/>
        <v/>
      </c>
      <c r="Q376" t="str">
        <f t="shared" si="62"/>
        <v/>
      </c>
      <c r="S376" t="str">
        <f>""</f>
        <v/>
      </c>
      <c r="AL376" s="18" t="str">
        <f>IF(COUNTIF($A$2:A375, A375) = 1, A375, "")</f>
        <v/>
      </c>
    </row>
    <row r="377" spans="6:38" x14ac:dyDescent="0.2">
      <c r="F377" t="str">
        <f t="shared" si="57"/>
        <v/>
      </c>
      <c r="L377" s="7" t="str">
        <f t="shared" si="58"/>
        <v/>
      </c>
      <c r="N377" s="7" t="str">
        <f t="shared" si="59"/>
        <v/>
      </c>
      <c r="O377" t="str">
        <f t="shared" si="60"/>
        <v/>
      </c>
      <c r="P377" t="str">
        <f t="shared" si="61"/>
        <v/>
      </c>
      <c r="Q377" t="str">
        <f t="shared" si="62"/>
        <v/>
      </c>
      <c r="S377" t="str">
        <f>""</f>
        <v/>
      </c>
      <c r="AL377" s="18" t="str">
        <f>IF(COUNTIF($A$2:A376, A376) = 1, A376, "")</f>
        <v/>
      </c>
    </row>
    <row r="378" spans="6:38" x14ac:dyDescent="0.2">
      <c r="F378" t="str">
        <f t="shared" si="57"/>
        <v/>
      </c>
      <c r="L378" s="7" t="str">
        <f t="shared" si="58"/>
        <v/>
      </c>
      <c r="N378" s="7" t="str">
        <f t="shared" si="59"/>
        <v/>
      </c>
      <c r="O378" t="str">
        <f t="shared" si="60"/>
        <v/>
      </c>
      <c r="P378" t="str">
        <f t="shared" si="61"/>
        <v/>
      </c>
      <c r="Q378" t="str">
        <f t="shared" si="62"/>
        <v/>
      </c>
      <c r="S378" t="str">
        <f>""</f>
        <v/>
      </c>
      <c r="AL378" s="18" t="str">
        <f>IF(COUNTIF($A$2:A377, A377) = 1, A377, "")</f>
        <v/>
      </c>
    </row>
    <row r="379" spans="6:38" x14ac:dyDescent="0.2">
      <c r="F379" t="str">
        <f t="shared" si="57"/>
        <v/>
      </c>
      <c r="L379" s="7" t="str">
        <f t="shared" si="58"/>
        <v/>
      </c>
      <c r="N379" s="7" t="str">
        <f t="shared" si="59"/>
        <v/>
      </c>
      <c r="O379" t="str">
        <f t="shared" si="60"/>
        <v/>
      </c>
      <c r="P379" t="str">
        <f t="shared" si="61"/>
        <v/>
      </c>
      <c r="Q379" t="str">
        <f t="shared" si="62"/>
        <v/>
      </c>
      <c r="S379" t="str">
        <f>""</f>
        <v/>
      </c>
      <c r="AL379" s="18" t="str">
        <f>IF(COUNTIF($A$2:A378, A378) = 1, A378, "")</f>
        <v/>
      </c>
    </row>
    <row r="380" spans="6:38" x14ac:dyDescent="0.2">
      <c r="F380" t="str">
        <f t="shared" si="57"/>
        <v/>
      </c>
      <c r="L380" s="7" t="str">
        <f t="shared" si="58"/>
        <v/>
      </c>
      <c r="N380" s="7" t="str">
        <f t="shared" si="59"/>
        <v/>
      </c>
      <c r="O380" t="str">
        <f t="shared" si="60"/>
        <v/>
      </c>
      <c r="P380" t="str">
        <f t="shared" si="61"/>
        <v/>
      </c>
      <c r="Q380" t="str">
        <f t="shared" si="62"/>
        <v/>
      </c>
      <c r="S380" t="str">
        <f>""</f>
        <v/>
      </c>
      <c r="AL380" s="18" t="str">
        <f>IF(COUNTIF($A$2:A379, A379) = 1, A379, "")</f>
        <v/>
      </c>
    </row>
    <row r="381" spans="6:38" x14ac:dyDescent="0.2">
      <c r="F381" t="str">
        <f t="shared" si="57"/>
        <v/>
      </c>
      <c r="L381" s="7" t="str">
        <f t="shared" si="58"/>
        <v/>
      </c>
      <c r="N381" s="7" t="str">
        <f t="shared" si="59"/>
        <v/>
      </c>
      <c r="O381" t="str">
        <f t="shared" si="60"/>
        <v/>
      </c>
      <c r="P381" t="str">
        <f t="shared" si="61"/>
        <v/>
      </c>
      <c r="Q381" t="str">
        <f t="shared" si="62"/>
        <v/>
      </c>
      <c r="S381" t="str">
        <f>""</f>
        <v/>
      </c>
      <c r="AL381" s="18" t="str">
        <f>IF(COUNTIF($A$2:A380, A380) = 1, A380, "")</f>
        <v/>
      </c>
    </row>
    <row r="382" spans="6:38" x14ac:dyDescent="0.2">
      <c r="F382" t="str">
        <f t="shared" si="57"/>
        <v/>
      </c>
      <c r="L382" s="7" t="str">
        <f t="shared" si="58"/>
        <v/>
      </c>
      <c r="N382" s="7" t="str">
        <f t="shared" si="59"/>
        <v/>
      </c>
      <c r="O382" t="str">
        <f t="shared" si="60"/>
        <v/>
      </c>
      <c r="P382" t="str">
        <f t="shared" si="61"/>
        <v/>
      </c>
      <c r="Q382" t="str">
        <f t="shared" si="62"/>
        <v/>
      </c>
      <c r="S382" t="str">
        <f>""</f>
        <v/>
      </c>
      <c r="AL382" s="18" t="str">
        <f>IF(COUNTIF($A$2:A381, A381) = 1, A381, "")</f>
        <v/>
      </c>
    </row>
    <row r="383" spans="6:38" x14ac:dyDescent="0.2">
      <c r="F383" t="str">
        <f t="shared" si="57"/>
        <v/>
      </c>
      <c r="L383" s="7" t="str">
        <f t="shared" si="58"/>
        <v/>
      </c>
      <c r="N383" s="7" t="str">
        <f t="shared" si="59"/>
        <v/>
      </c>
      <c r="O383" t="str">
        <f t="shared" si="60"/>
        <v/>
      </c>
      <c r="P383" t="str">
        <f t="shared" si="61"/>
        <v/>
      </c>
      <c r="Q383" t="str">
        <f t="shared" si="62"/>
        <v/>
      </c>
      <c r="S383" t="str">
        <f>""</f>
        <v/>
      </c>
      <c r="AL383" s="18" t="str">
        <f>IF(COUNTIF($A$2:A382, A382) = 1, A382, "")</f>
        <v/>
      </c>
    </row>
    <row r="384" spans="6:38" x14ac:dyDescent="0.2">
      <c r="F384" t="str">
        <f t="shared" si="57"/>
        <v/>
      </c>
      <c r="L384" s="7" t="str">
        <f t="shared" si="58"/>
        <v/>
      </c>
      <c r="N384" s="7" t="str">
        <f t="shared" si="59"/>
        <v/>
      </c>
      <c r="O384" t="str">
        <f t="shared" si="60"/>
        <v/>
      </c>
      <c r="P384" t="str">
        <f t="shared" si="61"/>
        <v/>
      </c>
      <c r="Q384" t="str">
        <f t="shared" si="62"/>
        <v/>
      </c>
      <c r="S384" t="str">
        <f>""</f>
        <v/>
      </c>
      <c r="AL384" s="18" t="str">
        <f>IF(COUNTIF($A$2:A383, A383) = 1, A383, "")</f>
        <v/>
      </c>
    </row>
    <row r="385" spans="6:38" x14ac:dyDescent="0.2">
      <c r="F385" t="str">
        <f t="shared" si="57"/>
        <v/>
      </c>
      <c r="L385" s="7" t="str">
        <f t="shared" si="58"/>
        <v/>
      </c>
      <c r="N385" s="7" t="str">
        <f t="shared" si="59"/>
        <v/>
      </c>
      <c r="O385" t="str">
        <f t="shared" si="60"/>
        <v/>
      </c>
      <c r="P385" t="str">
        <f t="shared" si="61"/>
        <v/>
      </c>
      <c r="Q385" t="str">
        <f t="shared" si="62"/>
        <v/>
      </c>
      <c r="S385" t="str">
        <f>""</f>
        <v/>
      </c>
      <c r="AL385" s="18" t="str">
        <f>IF(COUNTIF($A$2:A384, A384) = 1, A384, "")</f>
        <v/>
      </c>
    </row>
    <row r="386" spans="6:38" x14ac:dyDescent="0.2">
      <c r="F386" t="str">
        <f t="shared" si="57"/>
        <v/>
      </c>
      <c r="L386" s="7" t="str">
        <f t="shared" si="58"/>
        <v/>
      </c>
      <c r="N386" s="7" t="str">
        <f t="shared" si="59"/>
        <v/>
      </c>
      <c r="O386" t="str">
        <f t="shared" si="60"/>
        <v/>
      </c>
      <c r="P386" t="str">
        <f t="shared" si="61"/>
        <v/>
      </c>
      <c r="Q386" t="str">
        <f t="shared" si="62"/>
        <v/>
      </c>
      <c r="S386" t="str">
        <f>""</f>
        <v/>
      </c>
      <c r="AL386" s="18" t="str">
        <f>IF(COUNTIF($A$2:A385, A385) = 1, A385, "")</f>
        <v/>
      </c>
    </row>
    <row r="387" spans="6:38" x14ac:dyDescent="0.2">
      <c r="F387" t="str">
        <f t="shared" si="57"/>
        <v/>
      </c>
      <c r="L387" s="7" t="str">
        <f t="shared" si="58"/>
        <v/>
      </c>
      <c r="N387" s="7" t="str">
        <f t="shared" si="59"/>
        <v/>
      </c>
      <c r="O387" t="str">
        <f t="shared" si="60"/>
        <v/>
      </c>
      <c r="P387" t="str">
        <f t="shared" si="61"/>
        <v/>
      </c>
      <c r="Q387" t="str">
        <f t="shared" si="62"/>
        <v/>
      </c>
      <c r="S387" t="str">
        <f>""</f>
        <v/>
      </c>
      <c r="AL387" s="18" t="str">
        <f>IF(COUNTIF($A$2:A386, A386) = 1, A386, "")</f>
        <v/>
      </c>
    </row>
    <row r="388" spans="6:38" x14ac:dyDescent="0.2">
      <c r="F388" t="str">
        <f t="shared" si="57"/>
        <v/>
      </c>
      <c r="L388" s="7" t="str">
        <f t="shared" si="58"/>
        <v/>
      </c>
      <c r="N388" s="7" t="str">
        <f t="shared" si="59"/>
        <v/>
      </c>
      <c r="O388" t="str">
        <f t="shared" si="60"/>
        <v/>
      </c>
      <c r="P388" t="str">
        <f t="shared" si="61"/>
        <v/>
      </c>
      <c r="Q388" t="str">
        <f t="shared" si="62"/>
        <v/>
      </c>
      <c r="S388" t="str">
        <f>""</f>
        <v/>
      </c>
      <c r="AL388" s="18" t="str">
        <f>IF(COUNTIF($A$2:A387, A387) = 1, A387, "")</f>
        <v/>
      </c>
    </row>
    <row r="389" spans="6:38" x14ac:dyDescent="0.2">
      <c r="F389" t="str">
        <f t="shared" si="57"/>
        <v/>
      </c>
      <c r="L389" s="7" t="str">
        <f t="shared" si="58"/>
        <v/>
      </c>
      <c r="N389" s="7" t="str">
        <f t="shared" si="59"/>
        <v/>
      </c>
      <c r="O389" t="str">
        <f t="shared" si="60"/>
        <v/>
      </c>
      <c r="P389" t="str">
        <f t="shared" si="61"/>
        <v/>
      </c>
      <c r="Q389" t="str">
        <f t="shared" si="62"/>
        <v/>
      </c>
      <c r="S389" t="str">
        <f>""</f>
        <v/>
      </c>
      <c r="AL389" s="18" t="str">
        <f>IF(COUNTIF($A$2:A388, A388) = 1, A388, "")</f>
        <v/>
      </c>
    </row>
    <row r="390" spans="6:38" x14ac:dyDescent="0.2">
      <c r="F390" t="str">
        <f t="shared" si="57"/>
        <v/>
      </c>
      <c r="L390" s="7" t="str">
        <f t="shared" si="58"/>
        <v/>
      </c>
      <c r="N390" s="7" t="str">
        <f t="shared" si="59"/>
        <v/>
      </c>
      <c r="O390" t="str">
        <f t="shared" si="60"/>
        <v/>
      </c>
      <c r="P390" t="str">
        <f t="shared" si="61"/>
        <v/>
      </c>
      <c r="Q390" t="str">
        <f t="shared" si="62"/>
        <v/>
      </c>
      <c r="S390" t="str">
        <f>""</f>
        <v/>
      </c>
      <c r="AL390" s="18" t="str">
        <f>IF(COUNTIF($A$2:A389, A389) = 1, A389, "")</f>
        <v/>
      </c>
    </row>
    <row r="391" spans="6:38" x14ac:dyDescent="0.2">
      <c r="F391" t="str">
        <f t="shared" si="57"/>
        <v/>
      </c>
      <c r="L391" s="7" t="str">
        <f t="shared" si="58"/>
        <v/>
      </c>
      <c r="N391" s="7" t="str">
        <f t="shared" si="59"/>
        <v/>
      </c>
      <c r="O391" t="str">
        <f t="shared" si="60"/>
        <v/>
      </c>
      <c r="P391" t="str">
        <f t="shared" si="61"/>
        <v/>
      </c>
      <c r="Q391" t="str">
        <f t="shared" si="62"/>
        <v/>
      </c>
      <c r="S391" t="str">
        <f>""</f>
        <v/>
      </c>
      <c r="AL391" s="18" t="str">
        <f>IF(COUNTIF($A$2:A390, A390) = 1, A390, "")</f>
        <v/>
      </c>
    </row>
    <row r="392" spans="6:38" x14ac:dyDescent="0.2">
      <c r="F392" t="str">
        <f t="shared" si="57"/>
        <v/>
      </c>
      <c r="L392" s="7" t="str">
        <f t="shared" si="58"/>
        <v/>
      </c>
      <c r="N392" s="7" t="str">
        <f t="shared" si="59"/>
        <v/>
      </c>
      <c r="O392" t="str">
        <f t="shared" si="60"/>
        <v/>
      </c>
      <c r="P392" t="str">
        <f t="shared" si="61"/>
        <v/>
      </c>
      <c r="Q392" t="str">
        <f t="shared" si="62"/>
        <v/>
      </c>
      <c r="S392" t="str">
        <f>""</f>
        <v/>
      </c>
      <c r="AL392" s="18" t="str">
        <f>IF(COUNTIF($A$2:A391, A391) = 1, A391, "")</f>
        <v/>
      </c>
    </row>
    <row r="393" spans="6:38" x14ac:dyDescent="0.2">
      <c r="F393" t="str">
        <f t="shared" si="57"/>
        <v/>
      </c>
      <c r="L393" s="7" t="str">
        <f t="shared" si="58"/>
        <v/>
      </c>
      <c r="N393" s="7" t="str">
        <f t="shared" si="59"/>
        <v/>
      </c>
      <c r="O393" t="str">
        <f t="shared" si="60"/>
        <v/>
      </c>
      <c r="P393" t="str">
        <f t="shared" si="61"/>
        <v/>
      </c>
      <c r="Q393" t="str">
        <f t="shared" si="62"/>
        <v/>
      </c>
      <c r="S393" t="str">
        <f>""</f>
        <v/>
      </c>
      <c r="AL393" s="18" t="str">
        <f>IF(COUNTIF($A$2:A392, A392) = 1, A392, "")</f>
        <v/>
      </c>
    </row>
    <row r="394" spans="6:38" x14ac:dyDescent="0.2">
      <c r="F394" t="str">
        <f t="shared" si="57"/>
        <v/>
      </c>
      <c r="L394" s="7" t="str">
        <f t="shared" si="58"/>
        <v/>
      </c>
      <c r="N394" s="7" t="str">
        <f t="shared" si="59"/>
        <v/>
      </c>
      <c r="O394" t="str">
        <f t="shared" si="60"/>
        <v/>
      </c>
      <c r="P394" t="str">
        <f t="shared" si="61"/>
        <v/>
      </c>
      <c r="Q394" t="str">
        <f t="shared" si="62"/>
        <v/>
      </c>
      <c r="S394" t="str">
        <f>""</f>
        <v/>
      </c>
      <c r="AL394" s="18" t="str">
        <f>IF(COUNTIF($A$2:A393, A393) = 1, A393, "")</f>
        <v/>
      </c>
    </row>
    <row r="395" spans="6:38" x14ac:dyDescent="0.2">
      <c r="F395" t="str">
        <f t="shared" si="57"/>
        <v/>
      </c>
      <c r="L395" s="7" t="str">
        <f t="shared" si="58"/>
        <v/>
      </c>
      <c r="N395" s="7" t="str">
        <f t="shared" si="59"/>
        <v/>
      </c>
      <c r="O395" t="str">
        <f t="shared" si="60"/>
        <v/>
      </c>
      <c r="P395" t="str">
        <f t="shared" si="61"/>
        <v/>
      </c>
      <c r="Q395" t="str">
        <f t="shared" si="62"/>
        <v/>
      </c>
      <c r="S395" t="str">
        <f>""</f>
        <v/>
      </c>
      <c r="AL395" s="18" t="str">
        <f>IF(COUNTIF($A$2:A394, A394) = 1, A394, "")</f>
        <v/>
      </c>
    </row>
    <row r="396" spans="6:38" x14ac:dyDescent="0.2">
      <c r="F396" t="str">
        <f t="shared" si="57"/>
        <v/>
      </c>
      <c r="L396" s="7" t="str">
        <f t="shared" si="58"/>
        <v/>
      </c>
      <c r="N396" s="7" t="str">
        <f t="shared" si="59"/>
        <v/>
      </c>
      <c r="O396" t="str">
        <f t="shared" si="60"/>
        <v/>
      </c>
      <c r="P396" t="str">
        <f t="shared" si="61"/>
        <v/>
      </c>
      <c r="Q396" t="str">
        <f t="shared" si="62"/>
        <v/>
      </c>
      <c r="S396" t="str">
        <f>""</f>
        <v/>
      </c>
      <c r="AL396" s="18" t="str">
        <f>IF(COUNTIF($A$2:A395, A395) = 1, A395, "")</f>
        <v/>
      </c>
    </row>
    <row r="397" spans="6:38" x14ac:dyDescent="0.2">
      <c r="F397" t="str">
        <f t="shared" si="57"/>
        <v/>
      </c>
      <c r="L397" s="7" t="str">
        <f t="shared" si="58"/>
        <v/>
      </c>
      <c r="N397" s="7" t="str">
        <f t="shared" si="59"/>
        <v/>
      </c>
      <c r="O397" t="str">
        <f t="shared" si="60"/>
        <v/>
      </c>
      <c r="P397" t="str">
        <f t="shared" si="61"/>
        <v/>
      </c>
      <c r="Q397" t="str">
        <f t="shared" si="62"/>
        <v/>
      </c>
      <c r="S397" t="str">
        <f>""</f>
        <v/>
      </c>
      <c r="AL397" s="18" t="str">
        <f>IF(COUNTIF($A$2:A396, A396) = 1, A396, "")</f>
        <v/>
      </c>
    </row>
    <row r="398" spans="6:38" x14ac:dyDescent="0.2">
      <c r="F398" t="str">
        <f t="shared" si="57"/>
        <v/>
      </c>
      <c r="L398" s="7" t="str">
        <f t="shared" si="58"/>
        <v/>
      </c>
      <c r="N398" s="7" t="str">
        <f t="shared" si="59"/>
        <v/>
      </c>
      <c r="O398" t="str">
        <f t="shared" si="60"/>
        <v/>
      </c>
      <c r="P398" t="str">
        <f t="shared" si="61"/>
        <v/>
      </c>
      <c r="Q398" t="str">
        <f t="shared" si="62"/>
        <v/>
      </c>
      <c r="S398" t="str">
        <f>""</f>
        <v/>
      </c>
      <c r="AL398" s="18" t="str">
        <f>IF(COUNTIF($A$2:A397, A397) = 1, A397, "")</f>
        <v/>
      </c>
    </row>
    <row r="399" spans="6:38" x14ac:dyDescent="0.2">
      <c r="F399" t="str">
        <f t="shared" si="57"/>
        <v/>
      </c>
      <c r="L399" s="7" t="str">
        <f t="shared" si="58"/>
        <v/>
      </c>
      <c r="N399" s="7" t="str">
        <f t="shared" si="59"/>
        <v/>
      </c>
      <c r="O399" t="str">
        <f t="shared" si="60"/>
        <v/>
      </c>
      <c r="P399" t="str">
        <f t="shared" si="61"/>
        <v/>
      </c>
      <c r="Q399" t="str">
        <f t="shared" si="62"/>
        <v/>
      </c>
      <c r="S399" t="str">
        <f>""</f>
        <v/>
      </c>
      <c r="AL399" s="18" t="str">
        <f>IF(COUNTIF($A$2:A398, A398) = 1, A398, "")</f>
        <v/>
      </c>
    </row>
    <row r="400" spans="6:38" x14ac:dyDescent="0.2">
      <c r="F400" t="str">
        <f t="shared" ref="F400:F440" si="63">IF(OR(O400="", P400=""), "", SUM(IF((O400&lt;&gt;"None")*(O400&lt;&gt;""),LEN(O400)-LEN(SUBSTITUTE(O400,",",""))+1,0)) + SUM(IF((P400&lt;&gt;"None")*(P400&lt;&gt;""),LEN(P400)-LEN(SUBSTITUTE(P400,",",""))+1,0)))</f>
        <v/>
      </c>
      <c r="L400" s="7" t="str">
        <f t="shared" ref="L400:L440" si="64">IF(LEN(E400)=0, "", IFERROR(IF(E400&gt;=0, K400 * (1 + E400/100) - K400, K400 / (ABS(E400)/100))+K400, ""))</f>
        <v/>
      </c>
      <c r="N400" s="7" t="str">
        <f t="shared" ref="N400:N440" si="65">IF(M400="Yes",L400-K400,IF(M400="No",-K400,""))</f>
        <v/>
      </c>
      <c r="O400" t="str">
        <f t="shared" ref="O400:O440" si="66">IF(AND(G400="No",H400="No"), "None", "")</f>
        <v/>
      </c>
      <c r="P400" t="str">
        <f t="shared" ref="P400:P440" si="67">IF(I400="No", "None", "")</f>
        <v/>
      </c>
      <c r="Q400" t="str">
        <f t="shared" ref="Q400:Q440" si="68">IF(AND(D400="Straight", M400 = "No"),IF(O400="None",P400,IF(P400="None",O400) ),"")</f>
        <v/>
      </c>
      <c r="S400" t="str">
        <f>""</f>
        <v/>
      </c>
      <c r="AL400" s="18" t="str">
        <f>IF(COUNTIF($A$2:A399, A399) = 1, A399, "")</f>
        <v/>
      </c>
    </row>
    <row r="401" spans="6:38" x14ac:dyDescent="0.2">
      <c r="F401" t="str">
        <f t="shared" si="63"/>
        <v/>
      </c>
      <c r="L401" s="7" t="str">
        <f t="shared" si="64"/>
        <v/>
      </c>
      <c r="N401" s="7" t="str">
        <f t="shared" si="65"/>
        <v/>
      </c>
      <c r="O401" t="str">
        <f t="shared" si="66"/>
        <v/>
      </c>
      <c r="P401" t="str">
        <f t="shared" si="67"/>
        <v/>
      </c>
      <c r="Q401" t="str">
        <f t="shared" si="68"/>
        <v/>
      </c>
      <c r="S401" t="str">
        <f>""</f>
        <v/>
      </c>
      <c r="AL401" s="18" t="str">
        <f>IF(COUNTIF($A$2:A400, A400) = 1, A400, "")</f>
        <v/>
      </c>
    </row>
    <row r="402" spans="6:38" x14ac:dyDescent="0.2">
      <c r="F402" t="str">
        <f t="shared" si="63"/>
        <v/>
      </c>
      <c r="L402" s="7" t="str">
        <f t="shared" si="64"/>
        <v/>
      </c>
      <c r="N402" s="7" t="str">
        <f t="shared" si="65"/>
        <v/>
      </c>
      <c r="O402" t="str">
        <f t="shared" si="66"/>
        <v/>
      </c>
      <c r="P402" t="str">
        <f t="shared" si="67"/>
        <v/>
      </c>
      <c r="Q402" t="str">
        <f t="shared" si="68"/>
        <v/>
      </c>
      <c r="S402" t="str">
        <f>""</f>
        <v/>
      </c>
      <c r="AL402" s="18" t="str">
        <f>IF(COUNTIF($A$2:A401, A401) = 1, A401, "")</f>
        <v/>
      </c>
    </row>
    <row r="403" spans="6:38" x14ac:dyDescent="0.2">
      <c r="F403" t="str">
        <f t="shared" si="63"/>
        <v/>
      </c>
      <c r="L403" s="7" t="str">
        <f t="shared" si="64"/>
        <v/>
      </c>
      <c r="N403" s="7" t="str">
        <f t="shared" si="65"/>
        <v/>
      </c>
      <c r="O403" t="str">
        <f t="shared" si="66"/>
        <v/>
      </c>
      <c r="P403" t="str">
        <f t="shared" si="67"/>
        <v/>
      </c>
      <c r="Q403" t="str">
        <f t="shared" si="68"/>
        <v/>
      </c>
      <c r="S403" t="str">
        <f>""</f>
        <v/>
      </c>
      <c r="AL403" s="18" t="str">
        <f>IF(COUNTIF($A$2:A402, A402) = 1, A402, "")</f>
        <v/>
      </c>
    </row>
    <row r="404" spans="6:38" x14ac:dyDescent="0.2">
      <c r="F404" t="str">
        <f t="shared" si="63"/>
        <v/>
      </c>
      <c r="L404" s="7" t="str">
        <f t="shared" si="64"/>
        <v/>
      </c>
      <c r="N404" s="7" t="str">
        <f t="shared" si="65"/>
        <v/>
      </c>
      <c r="O404" t="str">
        <f t="shared" si="66"/>
        <v/>
      </c>
      <c r="P404" t="str">
        <f t="shared" si="67"/>
        <v/>
      </c>
      <c r="Q404" t="str">
        <f t="shared" si="68"/>
        <v/>
      </c>
      <c r="S404" t="str">
        <f>""</f>
        <v/>
      </c>
      <c r="AL404" s="18" t="str">
        <f>IF(COUNTIF($A$2:A403, A403) = 1, A403, "")</f>
        <v/>
      </c>
    </row>
    <row r="405" spans="6:38" x14ac:dyDescent="0.2">
      <c r="F405" t="str">
        <f t="shared" si="63"/>
        <v/>
      </c>
      <c r="L405" s="7" t="str">
        <f t="shared" si="64"/>
        <v/>
      </c>
      <c r="N405" s="7" t="str">
        <f t="shared" si="65"/>
        <v/>
      </c>
      <c r="O405" t="str">
        <f t="shared" si="66"/>
        <v/>
      </c>
      <c r="P405" t="str">
        <f t="shared" si="67"/>
        <v/>
      </c>
      <c r="Q405" t="str">
        <f t="shared" si="68"/>
        <v/>
      </c>
      <c r="S405" t="str">
        <f>""</f>
        <v/>
      </c>
      <c r="AL405" s="18" t="str">
        <f>IF(COUNTIF($A$2:A404, A404) = 1, A404, "")</f>
        <v/>
      </c>
    </row>
    <row r="406" spans="6:38" x14ac:dyDescent="0.2">
      <c r="F406" t="str">
        <f t="shared" si="63"/>
        <v/>
      </c>
      <c r="L406" s="7" t="str">
        <f t="shared" si="64"/>
        <v/>
      </c>
      <c r="N406" s="7" t="str">
        <f t="shared" si="65"/>
        <v/>
      </c>
      <c r="O406" t="str">
        <f t="shared" si="66"/>
        <v/>
      </c>
      <c r="P406" t="str">
        <f t="shared" si="67"/>
        <v/>
      </c>
      <c r="Q406" t="str">
        <f t="shared" si="68"/>
        <v/>
      </c>
      <c r="S406" t="str">
        <f>""</f>
        <v/>
      </c>
      <c r="AL406" s="18" t="str">
        <f>IF(COUNTIF($A$2:A405, A405) = 1, A405, "")</f>
        <v/>
      </c>
    </row>
    <row r="407" spans="6:38" x14ac:dyDescent="0.2">
      <c r="F407" t="str">
        <f t="shared" si="63"/>
        <v/>
      </c>
      <c r="L407" s="7" t="str">
        <f t="shared" si="64"/>
        <v/>
      </c>
      <c r="N407" s="7" t="str">
        <f t="shared" si="65"/>
        <v/>
      </c>
      <c r="O407" t="str">
        <f t="shared" si="66"/>
        <v/>
      </c>
      <c r="P407" t="str">
        <f t="shared" si="67"/>
        <v/>
      </c>
      <c r="Q407" t="str">
        <f t="shared" si="68"/>
        <v/>
      </c>
      <c r="S407" t="str">
        <f>""</f>
        <v/>
      </c>
      <c r="AL407" s="18" t="str">
        <f>IF(COUNTIF($A$2:A406, A406) = 1, A406, "")</f>
        <v/>
      </c>
    </row>
    <row r="408" spans="6:38" x14ac:dyDescent="0.2">
      <c r="F408" t="str">
        <f t="shared" si="63"/>
        <v/>
      </c>
      <c r="L408" s="7" t="str">
        <f t="shared" si="64"/>
        <v/>
      </c>
      <c r="N408" s="7" t="str">
        <f t="shared" si="65"/>
        <v/>
      </c>
      <c r="O408" t="str">
        <f t="shared" si="66"/>
        <v/>
      </c>
      <c r="P408" t="str">
        <f t="shared" si="67"/>
        <v/>
      </c>
      <c r="Q408" t="str">
        <f t="shared" si="68"/>
        <v/>
      </c>
      <c r="S408" t="str">
        <f>""</f>
        <v/>
      </c>
      <c r="AL408" s="18" t="str">
        <f>IF(COUNTIF($A$2:A407, A407) = 1, A407, "")</f>
        <v/>
      </c>
    </row>
    <row r="409" spans="6:38" x14ac:dyDescent="0.2">
      <c r="F409" t="str">
        <f t="shared" si="63"/>
        <v/>
      </c>
      <c r="L409" s="7" t="str">
        <f t="shared" si="64"/>
        <v/>
      </c>
      <c r="N409" s="7" t="str">
        <f t="shared" si="65"/>
        <v/>
      </c>
      <c r="O409" t="str">
        <f t="shared" si="66"/>
        <v/>
      </c>
      <c r="P409" t="str">
        <f t="shared" si="67"/>
        <v/>
      </c>
      <c r="Q409" t="str">
        <f t="shared" si="68"/>
        <v/>
      </c>
      <c r="S409" t="str">
        <f>""</f>
        <v/>
      </c>
      <c r="AL409" s="18" t="str">
        <f>IF(COUNTIF($A$2:A408, A408) = 1, A408, "")</f>
        <v/>
      </c>
    </row>
    <row r="410" spans="6:38" x14ac:dyDescent="0.2">
      <c r="F410" t="str">
        <f t="shared" si="63"/>
        <v/>
      </c>
      <c r="L410" s="7" t="str">
        <f t="shared" si="64"/>
        <v/>
      </c>
      <c r="N410" s="7" t="str">
        <f t="shared" si="65"/>
        <v/>
      </c>
      <c r="O410" t="str">
        <f t="shared" si="66"/>
        <v/>
      </c>
      <c r="P410" t="str">
        <f t="shared" si="67"/>
        <v/>
      </c>
      <c r="Q410" t="str">
        <f t="shared" si="68"/>
        <v/>
      </c>
      <c r="S410" t="str">
        <f>""</f>
        <v/>
      </c>
      <c r="AL410" s="18" t="str">
        <f>IF(COUNTIF($A$2:A409, A409) = 1, A409, "")</f>
        <v/>
      </c>
    </row>
    <row r="411" spans="6:38" x14ac:dyDescent="0.2">
      <c r="F411" t="str">
        <f t="shared" si="63"/>
        <v/>
      </c>
      <c r="L411" s="7" t="str">
        <f t="shared" si="64"/>
        <v/>
      </c>
      <c r="N411" s="7" t="str">
        <f t="shared" si="65"/>
        <v/>
      </c>
      <c r="O411" t="str">
        <f t="shared" si="66"/>
        <v/>
      </c>
      <c r="P411" t="str">
        <f t="shared" si="67"/>
        <v/>
      </c>
      <c r="Q411" t="str">
        <f t="shared" si="68"/>
        <v/>
      </c>
      <c r="S411" t="str">
        <f>""</f>
        <v/>
      </c>
      <c r="AL411" s="18" t="str">
        <f>IF(COUNTIF($A$2:A410, A410) = 1, A410, "")</f>
        <v/>
      </c>
    </row>
    <row r="412" spans="6:38" x14ac:dyDescent="0.2">
      <c r="F412" t="str">
        <f t="shared" si="63"/>
        <v/>
      </c>
      <c r="L412" s="7" t="str">
        <f t="shared" si="64"/>
        <v/>
      </c>
      <c r="N412" s="7" t="str">
        <f t="shared" si="65"/>
        <v/>
      </c>
      <c r="O412" t="str">
        <f t="shared" si="66"/>
        <v/>
      </c>
      <c r="P412" t="str">
        <f t="shared" si="67"/>
        <v/>
      </c>
      <c r="Q412" t="str">
        <f t="shared" si="68"/>
        <v/>
      </c>
      <c r="S412" t="str">
        <f>""</f>
        <v/>
      </c>
      <c r="AL412" s="18" t="str">
        <f>IF(COUNTIF($A$2:A411, A411) = 1, A411, "")</f>
        <v/>
      </c>
    </row>
    <row r="413" spans="6:38" x14ac:dyDescent="0.2">
      <c r="F413" t="str">
        <f t="shared" si="63"/>
        <v/>
      </c>
      <c r="L413" s="7" t="str">
        <f t="shared" si="64"/>
        <v/>
      </c>
      <c r="N413" s="7" t="str">
        <f t="shared" si="65"/>
        <v/>
      </c>
      <c r="O413" t="str">
        <f t="shared" si="66"/>
        <v/>
      </c>
      <c r="P413" t="str">
        <f t="shared" si="67"/>
        <v/>
      </c>
      <c r="Q413" t="str">
        <f t="shared" si="68"/>
        <v/>
      </c>
      <c r="S413" t="str">
        <f>""</f>
        <v/>
      </c>
      <c r="AL413" s="18" t="str">
        <f>IF(COUNTIF($A$2:A412, A412) = 1, A412, "")</f>
        <v/>
      </c>
    </row>
    <row r="414" spans="6:38" x14ac:dyDescent="0.2">
      <c r="F414" t="str">
        <f t="shared" si="63"/>
        <v/>
      </c>
      <c r="L414" s="7" t="str">
        <f t="shared" si="64"/>
        <v/>
      </c>
      <c r="N414" s="7" t="str">
        <f t="shared" si="65"/>
        <v/>
      </c>
      <c r="O414" t="str">
        <f t="shared" si="66"/>
        <v/>
      </c>
      <c r="P414" t="str">
        <f t="shared" si="67"/>
        <v/>
      </c>
      <c r="Q414" t="str">
        <f t="shared" si="68"/>
        <v/>
      </c>
      <c r="S414" t="str">
        <f>""</f>
        <v/>
      </c>
      <c r="AL414" s="18" t="str">
        <f>IF(COUNTIF($A$2:A413, A413) = 1, A413, "")</f>
        <v/>
      </c>
    </row>
    <row r="415" spans="6:38" x14ac:dyDescent="0.2">
      <c r="F415" t="str">
        <f t="shared" si="63"/>
        <v/>
      </c>
      <c r="L415" s="7" t="str">
        <f t="shared" si="64"/>
        <v/>
      </c>
      <c r="N415" s="7" t="str">
        <f t="shared" si="65"/>
        <v/>
      </c>
      <c r="O415" t="str">
        <f t="shared" si="66"/>
        <v/>
      </c>
      <c r="P415" t="str">
        <f t="shared" si="67"/>
        <v/>
      </c>
      <c r="Q415" t="str">
        <f t="shared" si="68"/>
        <v/>
      </c>
      <c r="S415" t="str">
        <f>""</f>
        <v/>
      </c>
      <c r="AL415" s="18" t="str">
        <f>IF(COUNTIF($A$2:A414, A414) = 1, A414, "")</f>
        <v/>
      </c>
    </row>
    <row r="416" spans="6:38" x14ac:dyDescent="0.2">
      <c r="F416" t="str">
        <f t="shared" si="63"/>
        <v/>
      </c>
      <c r="L416" s="7" t="str">
        <f t="shared" si="64"/>
        <v/>
      </c>
      <c r="N416" s="7" t="str">
        <f t="shared" si="65"/>
        <v/>
      </c>
      <c r="O416" t="str">
        <f t="shared" si="66"/>
        <v/>
      </c>
      <c r="P416" t="str">
        <f t="shared" si="67"/>
        <v/>
      </c>
      <c r="Q416" t="str">
        <f t="shared" si="68"/>
        <v/>
      </c>
      <c r="S416" t="str">
        <f>""</f>
        <v/>
      </c>
      <c r="AL416" s="18" t="str">
        <f>IF(COUNTIF($A$2:A415, A415) = 1, A415, "")</f>
        <v/>
      </c>
    </row>
    <row r="417" spans="6:38" x14ac:dyDescent="0.2">
      <c r="F417" t="str">
        <f t="shared" si="63"/>
        <v/>
      </c>
      <c r="L417" s="7" t="str">
        <f t="shared" si="64"/>
        <v/>
      </c>
      <c r="N417" s="7" t="str">
        <f t="shared" si="65"/>
        <v/>
      </c>
      <c r="O417" t="str">
        <f t="shared" si="66"/>
        <v/>
      </c>
      <c r="P417" t="str">
        <f t="shared" si="67"/>
        <v/>
      </c>
      <c r="Q417" t="str">
        <f t="shared" si="68"/>
        <v/>
      </c>
      <c r="S417" t="str">
        <f>""</f>
        <v/>
      </c>
      <c r="AL417" s="18" t="str">
        <f>IF(COUNTIF($A$2:A416, A416) = 1, A416, "")</f>
        <v/>
      </c>
    </row>
    <row r="418" spans="6:38" x14ac:dyDescent="0.2">
      <c r="F418" t="str">
        <f t="shared" si="63"/>
        <v/>
      </c>
      <c r="L418" s="7" t="str">
        <f t="shared" si="64"/>
        <v/>
      </c>
      <c r="N418" s="7" t="str">
        <f t="shared" si="65"/>
        <v/>
      </c>
      <c r="O418" t="str">
        <f t="shared" si="66"/>
        <v/>
      </c>
      <c r="P418" t="str">
        <f t="shared" si="67"/>
        <v/>
      </c>
      <c r="Q418" t="str">
        <f t="shared" si="68"/>
        <v/>
      </c>
      <c r="S418" t="str">
        <f>""</f>
        <v/>
      </c>
      <c r="AL418" s="18" t="str">
        <f>IF(COUNTIF($A$2:A417, A417) = 1, A417, "")</f>
        <v/>
      </c>
    </row>
    <row r="419" spans="6:38" x14ac:dyDescent="0.2">
      <c r="F419" t="str">
        <f t="shared" si="63"/>
        <v/>
      </c>
      <c r="L419" s="7" t="str">
        <f t="shared" si="64"/>
        <v/>
      </c>
      <c r="N419" s="7" t="str">
        <f t="shared" si="65"/>
        <v/>
      </c>
      <c r="O419" t="str">
        <f t="shared" si="66"/>
        <v/>
      </c>
      <c r="P419" t="str">
        <f t="shared" si="67"/>
        <v/>
      </c>
      <c r="Q419" t="str">
        <f t="shared" si="68"/>
        <v/>
      </c>
      <c r="S419" t="str">
        <f>""</f>
        <v/>
      </c>
      <c r="AL419" s="18" t="str">
        <f>IF(COUNTIF($A$2:A418, A418) = 1, A418, "")</f>
        <v/>
      </c>
    </row>
    <row r="420" spans="6:38" x14ac:dyDescent="0.2">
      <c r="F420" t="str">
        <f t="shared" si="63"/>
        <v/>
      </c>
      <c r="L420" s="7" t="str">
        <f t="shared" si="64"/>
        <v/>
      </c>
      <c r="N420" s="7" t="str">
        <f t="shared" si="65"/>
        <v/>
      </c>
      <c r="O420" t="str">
        <f t="shared" si="66"/>
        <v/>
      </c>
      <c r="P420" t="str">
        <f t="shared" si="67"/>
        <v/>
      </c>
      <c r="Q420" t="str">
        <f t="shared" si="68"/>
        <v/>
      </c>
      <c r="S420" t="str">
        <f>""</f>
        <v/>
      </c>
      <c r="AL420" s="18" t="str">
        <f>IF(COUNTIF($A$2:A419, A419) = 1, A419, "")</f>
        <v/>
      </c>
    </row>
    <row r="421" spans="6:38" x14ac:dyDescent="0.2">
      <c r="F421" t="str">
        <f t="shared" si="63"/>
        <v/>
      </c>
      <c r="L421" s="7" t="str">
        <f t="shared" si="64"/>
        <v/>
      </c>
      <c r="N421" s="7" t="str">
        <f t="shared" si="65"/>
        <v/>
      </c>
      <c r="O421" t="str">
        <f t="shared" si="66"/>
        <v/>
      </c>
      <c r="P421" t="str">
        <f t="shared" si="67"/>
        <v/>
      </c>
      <c r="Q421" t="str">
        <f t="shared" si="68"/>
        <v/>
      </c>
      <c r="S421" t="str">
        <f>""</f>
        <v/>
      </c>
      <c r="AL421" s="18" t="str">
        <f>IF(COUNTIF($A$2:A420, A420) = 1, A420, "")</f>
        <v/>
      </c>
    </row>
    <row r="422" spans="6:38" x14ac:dyDescent="0.2">
      <c r="F422" t="str">
        <f t="shared" si="63"/>
        <v/>
      </c>
      <c r="L422" s="7" t="str">
        <f t="shared" si="64"/>
        <v/>
      </c>
      <c r="N422" s="7" t="str">
        <f t="shared" si="65"/>
        <v/>
      </c>
      <c r="O422" t="str">
        <f t="shared" si="66"/>
        <v/>
      </c>
      <c r="P422" t="str">
        <f t="shared" si="67"/>
        <v/>
      </c>
      <c r="Q422" t="str">
        <f t="shared" si="68"/>
        <v/>
      </c>
      <c r="S422" t="str">
        <f>""</f>
        <v/>
      </c>
      <c r="AL422" s="18" t="str">
        <f>IF(COUNTIF($A$2:A421, A421) = 1, A421, "")</f>
        <v/>
      </c>
    </row>
    <row r="423" spans="6:38" x14ac:dyDescent="0.2">
      <c r="F423" t="str">
        <f t="shared" si="63"/>
        <v/>
      </c>
      <c r="L423" s="7" t="str">
        <f t="shared" si="64"/>
        <v/>
      </c>
      <c r="N423" s="7" t="str">
        <f t="shared" si="65"/>
        <v/>
      </c>
      <c r="O423" t="str">
        <f t="shared" si="66"/>
        <v/>
      </c>
      <c r="P423" t="str">
        <f t="shared" si="67"/>
        <v/>
      </c>
      <c r="Q423" t="str">
        <f t="shared" si="68"/>
        <v/>
      </c>
      <c r="S423" t="str">
        <f>""</f>
        <v/>
      </c>
      <c r="AL423" s="18" t="str">
        <f>IF(COUNTIF($A$2:A422, A422) = 1, A422, "")</f>
        <v/>
      </c>
    </row>
    <row r="424" spans="6:38" x14ac:dyDescent="0.2">
      <c r="F424" t="str">
        <f t="shared" si="63"/>
        <v/>
      </c>
      <c r="L424" s="7" t="str">
        <f t="shared" si="64"/>
        <v/>
      </c>
      <c r="N424" s="7" t="str">
        <f t="shared" si="65"/>
        <v/>
      </c>
      <c r="O424" t="str">
        <f t="shared" si="66"/>
        <v/>
      </c>
      <c r="P424" t="str">
        <f t="shared" si="67"/>
        <v/>
      </c>
      <c r="Q424" t="str">
        <f t="shared" si="68"/>
        <v/>
      </c>
      <c r="S424" t="str">
        <f>""</f>
        <v/>
      </c>
      <c r="AL424" s="18" t="str">
        <f>IF(COUNTIF($A$2:A423, A423) = 1, A423, "")</f>
        <v/>
      </c>
    </row>
    <row r="425" spans="6:38" x14ac:dyDescent="0.2">
      <c r="F425" t="str">
        <f t="shared" si="63"/>
        <v/>
      </c>
      <c r="L425" s="7" t="str">
        <f t="shared" si="64"/>
        <v/>
      </c>
      <c r="N425" s="7" t="str">
        <f t="shared" si="65"/>
        <v/>
      </c>
      <c r="O425" t="str">
        <f t="shared" si="66"/>
        <v/>
      </c>
      <c r="P425" t="str">
        <f t="shared" si="67"/>
        <v/>
      </c>
      <c r="Q425" t="str">
        <f t="shared" si="68"/>
        <v/>
      </c>
      <c r="S425" t="str">
        <f>""</f>
        <v/>
      </c>
      <c r="AL425" s="18" t="str">
        <f>IF(COUNTIF($A$2:A424, A424) = 1, A424, "")</f>
        <v/>
      </c>
    </row>
    <row r="426" spans="6:38" x14ac:dyDescent="0.2">
      <c r="F426" t="str">
        <f t="shared" si="63"/>
        <v/>
      </c>
      <c r="L426" s="7" t="str">
        <f t="shared" si="64"/>
        <v/>
      </c>
      <c r="N426" s="7" t="str">
        <f t="shared" si="65"/>
        <v/>
      </c>
      <c r="O426" t="str">
        <f t="shared" si="66"/>
        <v/>
      </c>
      <c r="P426" t="str">
        <f t="shared" si="67"/>
        <v/>
      </c>
      <c r="Q426" t="str">
        <f t="shared" si="68"/>
        <v/>
      </c>
      <c r="S426" t="str">
        <f>""</f>
        <v/>
      </c>
      <c r="AL426" s="18" t="str">
        <f>IF(COUNTIF($A$2:A425, A425) = 1, A425, "")</f>
        <v/>
      </c>
    </row>
    <row r="427" spans="6:38" x14ac:dyDescent="0.2">
      <c r="F427" t="str">
        <f t="shared" si="63"/>
        <v/>
      </c>
      <c r="L427" s="7" t="str">
        <f t="shared" si="64"/>
        <v/>
      </c>
      <c r="N427" s="7" t="str">
        <f t="shared" si="65"/>
        <v/>
      </c>
      <c r="O427" t="str">
        <f t="shared" si="66"/>
        <v/>
      </c>
      <c r="P427" t="str">
        <f t="shared" si="67"/>
        <v/>
      </c>
      <c r="Q427" t="str">
        <f t="shared" si="68"/>
        <v/>
      </c>
      <c r="S427" t="str">
        <f>""</f>
        <v/>
      </c>
      <c r="AL427" s="18" t="str">
        <f>IF(COUNTIF($A$2:A426, A426) = 1, A426, "")</f>
        <v/>
      </c>
    </row>
    <row r="428" spans="6:38" x14ac:dyDescent="0.2">
      <c r="F428" t="str">
        <f t="shared" si="63"/>
        <v/>
      </c>
      <c r="L428" s="7" t="str">
        <f t="shared" si="64"/>
        <v/>
      </c>
      <c r="N428" s="7" t="str">
        <f t="shared" si="65"/>
        <v/>
      </c>
      <c r="O428" t="str">
        <f t="shared" si="66"/>
        <v/>
      </c>
      <c r="P428" t="str">
        <f t="shared" si="67"/>
        <v/>
      </c>
      <c r="Q428" t="str">
        <f t="shared" si="68"/>
        <v/>
      </c>
      <c r="S428" t="str">
        <f>""</f>
        <v/>
      </c>
      <c r="AL428" s="18" t="str">
        <f>IF(COUNTIF($A$2:A427, A427) = 1, A427, "")</f>
        <v/>
      </c>
    </row>
    <row r="429" spans="6:38" x14ac:dyDescent="0.2">
      <c r="F429" t="str">
        <f t="shared" si="63"/>
        <v/>
      </c>
      <c r="L429" s="7" t="str">
        <f t="shared" si="64"/>
        <v/>
      </c>
      <c r="N429" s="7" t="str">
        <f t="shared" si="65"/>
        <v/>
      </c>
      <c r="O429" t="str">
        <f t="shared" si="66"/>
        <v/>
      </c>
      <c r="P429" t="str">
        <f t="shared" si="67"/>
        <v/>
      </c>
      <c r="Q429" t="str">
        <f t="shared" si="68"/>
        <v/>
      </c>
      <c r="S429" t="str">
        <f>""</f>
        <v/>
      </c>
      <c r="AL429" s="18" t="str">
        <f>IF(COUNTIF($A$2:A428, A428) = 1, A428, "")</f>
        <v/>
      </c>
    </row>
    <row r="430" spans="6:38" x14ac:dyDescent="0.2">
      <c r="F430" t="str">
        <f t="shared" si="63"/>
        <v/>
      </c>
      <c r="L430" s="7" t="str">
        <f t="shared" si="64"/>
        <v/>
      </c>
      <c r="N430" s="7" t="str">
        <f t="shared" si="65"/>
        <v/>
      </c>
      <c r="O430" t="str">
        <f t="shared" si="66"/>
        <v/>
      </c>
      <c r="P430" t="str">
        <f t="shared" si="67"/>
        <v/>
      </c>
      <c r="Q430" t="str">
        <f t="shared" si="68"/>
        <v/>
      </c>
      <c r="S430" t="str">
        <f>""</f>
        <v/>
      </c>
      <c r="AL430" s="18" t="str">
        <f>IF(COUNTIF($A$2:A429, A429) = 1, A429, "")</f>
        <v/>
      </c>
    </row>
    <row r="431" spans="6:38" x14ac:dyDescent="0.2">
      <c r="F431" t="str">
        <f t="shared" si="63"/>
        <v/>
      </c>
      <c r="L431" s="7" t="str">
        <f t="shared" si="64"/>
        <v/>
      </c>
      <c r="N431" s="7" t="str">
        <f t="shared" si="65"/>
        <v/>
      </c>
      <c r="O431" t="str">
        <f t="shared" si="66"/>
        <v/>
      </c>
      <c r="P431" t="str">
        <f t="shared" si="67"/>
        <v/>
      </c>
      <c r="Q431" t="str">
        <f t="shared" si="68"/>
        <v/>
      </c>
      <c r="S431" t="str">
        <f>""</f>
        <v/>
      </c>
      <c r="AL431" s="18" t="str">
        <f>IF(COUNTIF($A$2:A430, A430) = 1, A430, "")</f>
        <v/>
      </c>
    </row>
    <row r="432" spans="6:38" x14ac:dyDescent="0.2">
      <c r="F432" t="str">
        <f t="shared" si="63"/>
        <v/>
      </c>
      <c r="L432" s="7" t="str">
        <f t="shared" si="64"/>
        <v/>
      </c>
      <c r="N432" s="7" t="str">
        <f t="shared" si="65"/>
        <v/>
      </c>
      <c r="O432" t="str">
        <f t="shared" si="66"/>
        <v/>
      </c>
      <c r="P432" t="str">
        <f t="shared" si="67"/>
        <v/>
      </c>
      <c r="Q432" t="str">
        <f t="shared" si="68"/>
        <v/>
      </c>
      <c r="S432" t="str">
        <f>""</f>
        <v/>
      </c>
      <c r="AL432" s="18" t="str">
        <f>IF(COUNTIF($A$2:A431, A431) = 1, A431, "")</f>
        <v/>
      </c>
    </row>
    <row r="433" spans="6:38" x14ac:dyDescent="0.2">
      <c r="F433" t="str">
        <f t="shared" si="63"/>
        <v/>
      </c>
      <c r="L433" s="7" t="str">
        <f t="shared" si="64"/>
        <v/>
      </c>
      <c r="N433" s="7" t="str">
        <f t="shared" si="65"/>
        <v/>
      </c>
      <c r="O433" t="str">
        <f t="shared" si="66"/>
        <v/>
      </c>
      <c r="P433" t="str">
        <f t="shared" si="67"/>
        <v/>
      </c>
      <c r="Q433" t="str">
        <f t="shared" si="68"/>
        <v/>
      </c>
      <c r="S433" t="str">
        <f>""</f>
        <v/>
      </c>
      <c r="AL433" s="18" t="str">
        <f>IF(COUNTIF($A$2:A432, A432) = 1, A432, "")</f>
        <v/>
      </c>
    </row>
    <row r="434" spans="6:38" x14ac:dyDescent="0.2">
      <c r="F434" t="str">
        <f t="shared" si="63"/>
        <v/>
      </c>
      <c r="L434" s="7" t="str">
        <f t="shared" si="64"/>
        <v/>
      </c>
      <c r="N434" s="7" t="str">
        <f t="shared" si="65"/>
        <v/>
      </c>
      <c r="O434" t="str">
        <f t="shared" si="66"/>
        <v/>
      </c>
      <c r="P434" t="str">
        <f t="shared" si="67"/>
        <v/>
      </c>
      <c r="Q434" t="str">
        <f t="shared" si="68"/>
        <v/>
      </c>
      <c r="S434" t="str">
        <f>""</f>
        <v/>
      </c>
      <c r="AL434" s="18" t="str">
        <f>IF(COUNTIF($A$2:A433, A433) = 1, A433, "")</f>
        <v/>
      </c>
    </row>
    <row r="435" spans="6:38" x14ac:dyDescent="0.2">
      <c r="F435" t="str">
        <f t="shared" si="63"/>
        <v/>
      </c>
      <c r="L435" s="7" t="str">
        <f t="shared" si="64"/>
        <v/>
      </c>
      <c r="N435" s="7" t="str">
        <f t="shared" si="65"/>
        <v/>
      </c>
      <c r="O435" t="str">
        <f t="shared" si="66"/>
        <v/>
      </c>
      <c r="P435" t="str">
        <f t="shared" si="67"/>
        <v/>
      </c>
      <c r="Q435" t="str">
        <f t="shared" si="68"/>
        <v/>
      </c>
      <c r="S435" t="str">
        <f>""</f>
        <v/>
      </c>
      <c r="AL435" s="18" t="str">
        <f>IF(COUNTIF($A$2:A434, A434) = 1, A434, "")</f>
        <v/>
      </c>
    </row>
    <row r="436" spans="6:38" x14ac:dyDescent="0.2">
      <c r="F436" t="str">
        <f t="shared" si="63"/>
        <v/>
      </c>
      <c r="L436" s="7" t="str">
        <f t="shared" si="64"/>
        <v/>
      </c>
      <c r="N436" s="7" t="str">
        <f t="shared" si="65"/>
        <v/>
      </c>
      <c r="O436" t="str">
        <f t="shared" si="66"/>
        <v/>
      </c>
      <c r="P436" t="str">
        <f t="shared" si="67"/>
        <v/>
      </c>
      <c r="Q436" t="str">
        <f t="shared" si="68"/>
        <v/>
      </c>
      <c r="S436" t="str">
        <f>""</f>
        <v/>
      </c>
      <c r="AL436" s="18" t="str">
        <f>IF(COUNTIF($A$2:A435, A435) = 1, A435, "")</f>
        <v/>
      </c>
    </row>
    <row r="437" spans="6:38" x14ac:dyDescent="0.2">
      <c r="F437" t="str">
        <f t="shared" si="63"/>
        <v/>
      </c>
      <c r="L437" s="7" t="str">
        <f t="shared" si="64"/>
        <v/>
      </c>
      <c r="N437" s="7" t="str">
        <f t="shared" si="65"/>
        <v/>
      </c>
      <c r="O437" t="str">
        <f t="shared" si="66"/>
        <v/>
      </c>
      <c r="P437" t="str">
        <f t="shared" si="67"/>
        <v/>
      </c>
      <c r="Q437" t="str">
        <f t="shared" si="68"/>
        <v/>
      </c>
      <c r="S437" t="str">
        <f>""</f>
        <v/>
      </c>
      <c r="AL437" s="18" t="str">
        <f>IF(COUNTIF($A$2:A436, A436) = 1, A436, "")</f>
        <v/>
      </c>
    </row>
    <row r="438" spans="6:38" x14ac:dyDescent="0.2">
      <c r="F438" t="str">
        <f t="shared" si="63"/>
        <v/>
      </c>
      <c r="L438" s="7" t="str">
        <f t="shared" si="64"/>
        <v/>
      </c>
      <c r="N438" s="7" t="str">
        <f t="shared" si="65"/>
        <v/>
      </c>
      <c r="O438" t="str">
        <f t="shared" si="66"/>
        <v/>
      </c>
      <c r="P438" t="str">
        <f t="shared" si="67"/>
        <v/>
      </c>
      <c r="Q438" t="str">
        <f t="shared" si="68"/>
        <v/>
      </c>
      <c r="S438" t="str">
        <f>""</f>
        <v/>
      </c>
      <c r="AL438" s="18" t="str">
        <f>IF(COUNTIF($A$2:A437, A437) = 1, A437, "")</f>
        <v/>
      </c>
    </row>
    <row r="439" spans="6:38" x14ac:dyDescent="0.2">
      <c r="F439" t="str">
        <f t="shared" si="63"/>
        <v/>
      </c>
      <c r="L439" s="7" t="str">
        <f t="shared" si="64"/>
        <v/>
      </c>
      <c r="N439" s="7" t="str">
        <f t="shared" si="65"/>
        <v/>
      </c>
      <c r="O439" t="str">
        <f t="shared" si="66"/>
        <v/>
      </c>
      <c r="P439" t="str">
        <f t="shared" si="67"/>
        <v/>
      </c>
      <c r="Q439" t="str">
        <f t="shared" si="68"/>
        <v/>
      </c>
      <c r="S439" t="str">
        <f>""</f>
        <v/>
      </c>
      <c r="AL439" s="18" t="str">
        <f>IF(COUNTIF($A$2:A438, A438) = 1, A438, "")</f>
        <v/>
      </c>
    </row>
    <row r="440" spans="6:38" x14ac:dyDescent="0.2">
      <c r="F440" t="str">
        <f t="shared" si="63"/>
        <v/>
      </c>
      <c r="L440" s="7" t="str">
        <f t="shared" si="64"/>
        <v/>
      </c>
      <c r="N440" s="7" t="str">
        <f t="shared" si="65"/>
        <v/>
      </c>
      <c r="O440" t="str">
        <f t="shared" si="66"/>
        <v/>
      </c>
      <c r="P440" t="str">
        <f t="shared" si="67"/>
        <v/>
      </c>
      <c r="Q440" t="str">
        <f t="shared" si="68"/>
        <v/>
      </c>
      <c r="S440" t="str">
        <f>""</f>
        <v/>
      </c>
      <c r="AL440" s="18" t="str">
        <f>IF(COUNTIF($A$2:A439, A439) = 1, A439, "")</f>
        <v/>
      </c>
    </row>
    <row r="441" spans="6:38" x14ac:dyDescent="0.2">
      <c r="AL441" s="18" t="str">
        <f>IF(COUNTIF($A$2:A440, A440) = 1, A440, "")</f>
        <v/>
      </c>
    </row>
    <row r="442" spans="6:38" x14ac:dyDescent="0.2">
      <c r="AL442" s="18" t="str">
        <f>IF(COUNTIF($A$2:A441, A441) = 1, A441, "")</f>
        <v/>
      </c>
    </row>
    <row r="443" spans="6:38" x14ac:dyDescent="0.2">
      <c r="AL443" s="18" t="str">
        <f>IF(COUNTIF($A$2:A442, A442) = 1, A442, "")</f>
        <v/>
      </c>
    </row>
    <row r="444" spans="6:38" x14ac:dyDescent="0.2">
      <c r="AL444" s="18" t="str">
        <f>IF(COUNTIF($A$2:A443, A443) = 1, A443, "")</f>
        <v/>
      </c>
    </row>
    <row r="445" spans="6:38" x14ac:dyDescent="0.2">
      <c r="AL445" s="18" t="str">
        <f>IF(COUNTIF($A$2:A444, A444) = 1, A444, "")</f>
        <v/>
      </c>
    </row>
    <row r="446" spans="6:38" x14ac:dyDescent="0.2">
      <c r="AL446" s="18" t="str">
        <f>IF(COUNTIF($A$2:A445, A445) = 1, A445, "")</f>
        <v/>
      </c>
    </row>
    <row r="447" spans="6:38" x14ac:dyDescent="0.2">
      <c r="AL447" s="18" t="str">
        <f>IF(COUNTIF($A$2:A446, A446) = 1, A446, "")</f>
        <v/>
      </c>
    </row>
    <row r="448" spans="6:38" x14ac:dyDescent="0.2">
      <c r="AL448" s="18" t="str">
        <f>IF(COUNTIF($A$2:A447, A447) = 1, A447, "")</f>
        <v/>
      </c>
    </row>
    <row r="449" spans="38:38" x14ac:dyDescent="0.2">
      <c r="AL449" s="18" t="str">
        <f>IF(COUNTIF($A$2:A448, A448) = 1, A448, "")</f>
        <v/>
      </c>
    </row>
    <row r="450" spans="38:38" x14ac:dyDescent="0.2">
      <c r="AL450" s="18" t="str">
        <f>IF(COUNTIF($A$2:A449, A449) = 1, A449, "")</f>
        <v/>
      </c>
    </row>
    <row r="451" spans="38:38" x14ac:dyDescent="0.2">
      <c r="AL451" s="18" t="str">
        <f>IF(COUNTIF($A$2:A450, A450) = 1, A450, "")</f>
        <v/>
      </c>
    </row>
    <row r="452" spans="38:38" x14ac:dyDescent="0.2">
      <c r="AL452" s="18" t="str">
        <f>IF(COUNTIF($A$2:A451, A451) = 1, A451, "")</f>
        <v/>
      </c>
    </row>
    <row r="453" spans="38:38" x14ac:dyDescent="0.2">
      <c r="AL453" s="18" t="str">
        <f>IF(COUNTIF($A$2:A452, A452) = 1, A452, "")</f>
        <v/>
      </c>
    </row>
    <row r="454" spans="38:38" x14ac:dyDescent="0.2">
      <c r="AL454" s="18" t="str">
        <f>IF(COUNTIF($A$2:A453, A453) = 1, A453, "")</f>
        <v/>
      </c>
    </row>
    <row r="455" spans="38:38" x14ac:dyDescent="0.2">
      <c r="AL455" s="18" t="str">
        <f>IF(COUNTIF($A$2:A454, A454) = 1, A454, "")</f>
        <v/>
      </c>
    </row>
    <row r="456" spans="38:38" x14ac:dyDescent="0.2">
      <c r="AL456" s="18" t="str">
        <f>IF(COUNTIF($A$2:A455, A455) = 1, A455, "")</f>
        <v/>
      </c>
    </row>
    <row r="457" spans="38:38" x14ac:dyDescent="0.2">
      <c r="AL457" s="18" t="str">
        <f>IF(COUNTIF($A$2:A456, A456) = 1, A456, "")</f>
        <v/>
      </c>
    </row>
    <row r="458" spans="38:38" x14ac:dyDescent="0.2">
      <c r="AL458" s="18" t="str">
        <f>IF(COUNTIF($A$2:A457, A457) = 1, A457, "")</f>
        <v/>
      </c>
    </row>
    <row r="459" spans="38:38" x14ac:dyDescent="0.2">
      <c r="AL459" s="18" t="str">
        <f>IF(COUNTIF($A$2:A458, A458) = 1, A458, "")</f>
        <v/>
      </c>
    </row>
    <row r="460" spans="38:38" x14ac:dyDescent="0.2">
      <c r="AL460" s="18" t="str">
        <f>IF(COUNTIF($A$2:A459, A459) = 1, A459, "")</f>
        <v/>
      </c>
    </row>
    <row r="461" spans="38:38" x14ac:dyDescent="0.2">
      <c r="AL461" s="18" t="str">
        <f>IF(COUNTIF($A$2:A460, A460) = 1, A460, "")</f>
        <v/>
      </c>
    </row>
    <row r="462" spans="38:38" x14ac:dyDescent="0.2">
      <c r="AL462" s="18" t="str">
        <f>IF(COUNTIF($A$2:A461, A461) = 1, A461, "")</f>
        <v/>
      </c>
    </row>
    <row r="463" spans="38:38" x14ac:dyDescent="0.2">
      <c r="AL463" s="18" t="str">
        <f>IF(COUNTIF($A$2:A462, A462) = 1, A462, "")</f>
        <v/>
      </c>
    </row>
    <row r="464" spans="38:38" x14ac:dyDescent="0.2">
      <c r="AL464" s="18" t="str">
        <f>IF(COUNTIF($A$2:A463, A463) = 1, A463, "")</f>
        <v/>
      </c>
    </row>
    <row r="465" spans="38:38" x14ac:dyDescent="0.2">
      <c r="AL465" s="18" t="str">
        <f>IF(COUNTIF($A$2:A464, A464) = 1, A464, "")</f>
        <v/>
      </c>
    </row>
    <row r="466" spans="38:38" x14ac:dyDescent="0.2">
      <c r="AL466" s="18" t="str">
        <f>IF(COUNTIF($A$2:A465, A465) = 1, A465, "")</f>
        <v/>
      </c>
    </row>
    <row r="467" spans="38:38" x14ac:dyDescent="0.2">
      <c r="AL467" s="18" t="str">
        <f>IF(COUNTIF($A$2:A466, A466) = 1, A466, "")</f>
        <v/>
      </c>
    </row>
    <row r="468" spans="38:38" x14ac:dyDescent="0.2">
      <c r="AL468" s="18" t="str">
        <f>IF(COUNTIF($A$2:A467, A467) = 1, A467, "")</f>
        <v/>
      </c>
    </row>
    <row r="469" spans="38:38" x14ac:dyDescent="0.2">
      <c r="AL469" s="18" t="str">
        <f>IF(COUNTIF($A$2:A468, A468) = 1, A468, "")</f>
        <v/>
      </c>
    </row>
    <row r="470" spans="38:38" x14ac:dyDescent="0.2">
      <c r="AL470" s="18" t="str">
        <f>IF(COUNTIF($A$2:A469, A469) = 1, A469, "")</f>
        <v/>
      </c>
    </row>
    <row r="471" spans="38:38" x14ac:dyDescent="0.2">
      <c r="AL471" s="18" t="str">
        <f>IF(COUNTIF($A$2:A470, A470) = 1, A470, "")</f>
        <v/>
      </c>
    </row>
    <row r="472" spans="38:38" x14ac:dyDescent="0.2">
      <c r="AL472" s="18" t="str">
        <f>IF(COUNTIF($A$2:A471, A471) = 1, A471, "")</f>
        <v/>
      </c>
    </row>
    <row r="473" spans="38:38" x14ac:dyDescent="0.2">
      <c r="AL473" s="18" t="str">
        <f>IF(COUNTIF($A$2:A472, A472) = 1, A472, "")</f>
        <v/>
      </c>
    </row>
    <row r="474" spans="38:38" x14ac:dyDescent="0.2">
      <c r="AL474" s="18" t="str">
        <f>IF(COUNTIF($A$2:A473, A473) = 1, A473, "")</f>
        <v/>
      </c>
    </row>
    <row r="475" spans="38:38" x14ac:dyDescent="0.2">
      <c r="AL475" s="18" t="str">
        <f>IF(COUNTIF($A$2:A474, A474) = 1, A474, "")</f>
        <v/>
      </c>
    </row>
    <row r="476" spans="38:38" x14ac:dyDescent="0.2">
      <c r="AL476" s="18" t="str">
        <f>IF(COUNTIF($A$2:A475, A475) = 1, A475, "")</f>
        <v/>
      </c>
    </row>
    <row r="477" spans="38:38" x14ac:dyDescent="0.2">
      <c r="AL477" s="18" t="str">
        <f>IF(COUNTIF($A$2:A476, A476) = 1, A476, "")</f>
        <v/>
      </c>
    </row>
    <row r="478" spans="38:38" x14ac:dyDescent="0.2">
      <c r="AL478" s="18" t="str">
        <f>IF(COUNTIF($A$2:A477, A477) = 1, A477, "")</f>
        <v/>
      </c>
    </row>
    <row r="479" spans="38:38" x14ac:dyDescent="0.2">
      <c r="AL479" s="18" t="str">
        <f>IF(COUNTIF($A$2:A478, A478) = 1, A478, "")</f>
        <v/>
      </c>
    </row>
    <row r="480" spans="38:38" x14ac:dyDescent="0.2">
      <c r="AL480" s="18" t="str">
        <f>IF(COUNTIF($A$2:A479, A479) = 1, A479, "")</f>
        <v/>
      </c>
    </row>
    <row r="481" spans="38:38" x14ac:dyDescent="0.2">
      <c r="AL481" s="18" t="str">
        <f>IF(COUNTIF($A$2:A480, A480) = 1, A480, "")</f>
        <v/>
      </c>
    </row>
    <row r="482" spans="38:38" x14ac:dyDescent="0.2">
      <c r="AL482" s="18" t="str">
        <f>IF(COUNTIF($A$2:A481, A481) = 1, A481, "")</f>
        <v/>
      </c>
    </row>
    <row r="483" spans="38:38" x14ac:dyDescent="0.2">
      <c r="AL483" s="18" t="str">
        <f>IF(COUNTIF($A$2:A482, A482) = 1, A482, "")</f>
        <v/>
      </c>
    </row>
    <row r="484" spans="38:38" x14ac:dyDescent="0.2">
      <c r="AL484" s="18" t="str">
        <f>IF(COUNTIF($A$2:A483, A483) = 1, A483, "")</f>
        <v/>
      </c>
    </row>
    <row r="485" spans="38:38" x14ac:dyDescent="0.2">
      <c r="AL485" s="18" t="str">
        <f>IF(COUNTIF($A$2:A484, A484) = 1, A484, "")</f>
        <v/>
      </c>
    </row>
    <row r="486" spans="38:38" x14ac:dyDescent="0.2">
      <c r="AL486" s="18" t="str">
        <f>IF(COUNTIF($A$2:A485, A485) = 1, A485, "")</f>
        <v/>
      </c>
    </row>
    <row r="487" spans="38:38" x14ac:dyDescent="0.2">
      <c r="AL487" s="18" t="str">
        <f>IF(COUNTIF($A$2:A486, A486) = 1, A486, "")</f>
        <v/>
      </c>
    </row>
    <row r="488" spans="38:38" x14ac:dyDescent="0.2">
      <c r="AL488" s="18" t="str">
        <f>IF(COUNTIF($A$2:A487, A487) = 1, A487, "")</f>
        <v/>
      </c>
    </row>
    <row r="489" spans="38:38" x14ac:dyDescent="0.2">
      <c r="AL489" s="18" t="str">
        <f>IF(COUNTIF($A$2:A488, A488) = 1, A488, "")</f>
        <v/>
      </c>
    </row>
    <row r="490" spans="38:38" x14ac:dyDescent="0.2">
      <c r="AL490" s="18" t="str">
        <f>IF(COUNTIF($A$2:A489, A489) = 1, A489, "")</f>
        <v/>
      </c>
    </row>
    <row r="491" spans="38:38" x14ac:dyDescent="0.2">
      <c r="AL491" s="18" t="str">
        <f>IF(COUNTIF($A$2:A490, A490) = 1, A490, "")</f>
        <v/>
      </c>
    </row>
    <row r="492" spans="38:38" x14ac:dyDescent="0.2">
      <c r="AL492" s="18" t="str">
        <f>IF(COUNTIF($A$2:A491, A491) = 1, A491, "")</f>
        <v/>
      </c>
    </row>
    <row r="493" spans="38:38" x14ac:dyDescent="0.2">
      <c r="AL493" s="18" t="str">
        <f>IF(COUNTIF($A$2:A492, A492) = 1, A492, "")</f>
        <v/>
      </c>
    </row>
    <row r="494" spans="38:38" x14ac:dyDescent="0.2">
      <c r="AL494" s="18" t="str">
        <f>IF(COUNTIF($A$2:A493, A493) = 1, A493, "")</f>
        <v/>
      </c>
    </row>
    <row r="495" spans="38:38" x14ac:dyDescent="0.2">
      <c r="AL495" s="18" t="str">
        <f>IF(COUNTIF($A$2:A494, A494) = 1, A494, "")</f>
        <v/>
      </c>
    </row>
    <row r="496" spans="38:38" x14ac:dyDescent="0.2">
      <c r="AL496" s="18" t="str">
        <f>IF(COUNTIF($A$2:A495, A495) = 1, A495, "")</f>
        <v/>
      </c>
    </row>
    <row r="497" spans="38:38" x14ac:dyDescent="0.2">
      <c r="AL497" s="18" t="str">
        <f>IF(COUNTIF($A$2:A496, A496) = 1, A496, "")</f>
        <v/>
      </c>
    </row>
    <row r="498" spans="38:38" x14ac:dyDescent="0.2">
      <c r="AL498" s="18" t="str">
        <f>IF(COUNTIF($A$2:A497, A497) = 1, A497, "")</f>
        <v/>
      </c>
    </row>
    <row r="499" spans="38:38" x14ac:dyDescent="0.2">
      <c r="AL499" s="18" t="str">
        <f>IF(COUNTIF($A$2:A498, A498) = 1, A498, "")</f>
        <v/>
      </c>
    </row>
    <row r="500" spans="38:38" x14ac:dyDescent="0.2">
      <c r="AL500" s="18" t="str">
        <f>IF(COUNTIF($A$2:A499, A499) = 1, A499, "")</f>
        <v/>
      </c>
    </row>
    <row r="501" spans="38:38" x14ac:dyDescent="0.2">
      <c r="AL501" s="18" t="str">
        <f>IF(COUNTIF($A$2:A500, A500) = 1, A500, "")</f>
        <v/>
      </c>
    </row>
    <row r="502" spans="38:38" x14ac:dyDescent="0.2">
      <c r="AL502" s="18" t="str">
        <f>IF(COUNTIF($A$2:A501, A501) = 1, A501, "")</f>
        <v/>
      </c>
    </row>
    <row r="503" spans="38:38" x14ac:dyDescent="0.2">
      <c r="AL503" s="18" t="str">
        <f>IF(COUNTIF($A$2:A502, A502) = 1, A502, "")</f>
        <v/>
      </c>
    </row>
    <row r="504" spans="38:38" x14ac:dyDescent="0.2">
      <c r="AL504" s="18" t="str">
        <f>IF(COUNTIF($A$2:A503, A503) = 1, A503, "")</f>
        <v/>
      </c>
    </row>
    <row r="505" spans="38:38" x14ac:dyDescent="0.2">
      <c r="AL505" s="18" t="str">
        <f>IF(COUNTIF($A$2:A504, A504) = 1, A504, "")</f>
        <v/>
      </c>
    </row>
    <row r="506" spans="38:38" x14ac:dyDescent="0.2">
      <c r="AL506" s="18" t="str">
        <f>IF(COUNTIF($A$2:A505, A505) = 1, A505, "")</f>
        <v/>
      </c>
    </row>
    <row r="507" spans="38:38" x14ac:dyDescent="0.2">
      <c r="AL507" s="18" t="str">
        <f>IF(COUNTIF($A$2:A506, A506) = 1, A506, "")</f>
        <v/>
      </c>
    </row>
    <row r="508" spans="38:38" x14ac:dyDescent="0.2">
      <c r="AL508" s="18" t="str">
        <f>IF(COUNTIF($A$2:A507, A507) = 1, A507, "")</f>
        <v/>
      </c>
    </row>
    <row r="509" spans="38:38" x14ac:dyDescent="0.2">
      <c r="AL509" s="18" t="str">
        <f>IF(COUNTIF($A$2:A508, A508) = 1, A508, "")</f>
        <v/>
      </c>
    </row>
    <row r="510" spans="38:38" x14ac:dyDescent="0.2">
      <c r="AL510" s="18" t="str">
        <f>IF(COUNTIF($A$2:A509, A509) = 1, A509, "")</f>
        <v/>
      </c>
    </row>
    <row r="511" spans="38:38" x14ac:dyDescent="0.2">
      <c r="AL511" s="18" t="str">
        <f>IF(COUNTIF($A$2:A510, A510) = 1, A510, "")</f>
        <v/>
      </c>
    </row>
    <row r="512" spans="38:38" x14ac:dyDescent="0.2">
      <c r="AL512" s="18" t="str">
        <f>IF(COUNTIF($A$2:A511, A511) = 1, A511, "")</f>
        <v/>
      </c>
    </row>
    <row r="513" spans="38:38" x14ac:dyDescent="0.2">
      <c r="AL513" s="18" t="str">
        <f>IF(COUNTIF($A$2:A512, A512) = 1, A512, "")</f>
        <v/>
      </c>
    </row>
    <row r="514" spans="38:38" x14ac:dyDescent="0.2">
      <c r="AL514" s="18" t="str">
        <f>IF(COUNTIF($A$2:A513, A513) = 1, A513, "")</f>
        <v/>
      </c>
    </row>
    <row r="515" spans="38:38" x14ac:dyDescent="0.2">
      <c r="AL515" s="18" t="str">
        <f>IF(COUNTIF($A$2:A514, A514) = 1, A514, "")</f>
        <v/>
      </c>
    </row>
    <row r="516" spans="38:38" x14ac:dyDescent="0.2">
      <c r="AL516" s="18" t="str">
        <f>IF(COUNTIF($A$2:A515, A515) = 1, A515, "")</f>
        <v/>
      </c>
    </row>
    <row r="517" spans="38:38" x14ac:dyDescent="0.2">
      <c r="AL517" s="18" t="str">
        <f>IF(COUNTIF($A$2:A516, A516) = 1, A516, "")</f>
        <v/>
      </c>
    </row>
    <row r="518" spans="38:38" x14ac:dyDescent="0.2">
      <c r="AL518" s="18" t="str">
        <f>IF(COUNTIF($A$2:A517, A517) = 1, A517, "")</f>
        <v/>
      </c>
    </row>
    <row r="519" spans="38:38" x14ac:dyDescent="0.2">
      <c r="AL519" s="18" t="str">
        <f>IF(COUNTIF($A$2:A518, A518) = 1, A518, "")</f>
        <v/>
      </c>
    </row>
    <row r="520" spans="38:38" x14ac:dyDescent="0.2">
      <c r="AL520" s="18" t="str">
        <f>IF(COUNTIF($A$2:A519, A519) = 1, A519, "")</f>
        <v/>
      </c>
    </row>
    <row r="521" spans="38:38" x14ac:dyDescent="0.2">
      <c r="AL521" s="18" t="str">
        <f>IF(COUNTIF($A$2:A520, A520) = 1, A520, "")</f>
        <v/>
      </c>
    </row>
    <row r="522" spans="38:38" x14ac:dyDescent="0.2">
      <c r="AL522" s="18" t="str">
        <f>IF(COUNTIF($A$2:A521, A521) = 1, A521, "")</f>
        <v/>
      </c>
    </row>
    <row r="523" spans="38:38" x14ac:dyDescent="0.2">
      <c r="AL523" s="18" t="str">
        <f>IF(COUNTIF($A$2:A522, A522) = 1, A522, "")</f>
        <v/>
      </c>
    </row>
    <row r="524" spans="38:38" x14ac:dyDescent="0.2">
      <c r="AL524" s="18" t="str">
        <f>IF(COUNTIF($A$2:A523, A523) = 1, A523, "")</f>
        <v/>
      </c>
    </row>
    <row r="525" spans="38:38" x14ac:dyDescent="0.2">
      <c r="AL525" s="18" t="str">
        <f>IF(COUNTIF($A$2:A524, A524) = 1, A524, "")</f>
        <v/>
      </c>
    </row>
    <row r="526" spans="38:38" x14ac:dyDescent="0.2">
      <c r="AL526" s="18" t="str">
        <f>IF(COUNTIF($A$2:A525, A525) = 1, A525, "")</f>
        <v/>
      </c>
    </row>
    <row r="527" spans="38:38" x14ac:dyDescent="0.2">
      <c r="AL527" s="18" t="str">
        <f>IF(COUNTIF($A$2:A526, A526) = 1, A526, "")</f>
        <v/>
      </c>
    </row>
    <row r="528" spans="38:38" x14ac:dyDescent="0.2">
      <c r="AL528" s="18" t="str">
        <f>IF(COUNTIF($A$2:A527, A527) = 1, A527, "")</f>
        <v/>
      </c>
    </row>
    <row r="529" spans="38:38" x14ac:dyDescent="0.2">
      <c r="AL529" s="18" t="str">
        <f>IF(COUNTIF($A$2:A528, A528) = 1, A528, "")</f>
        <v/>
      </c>
    </row>
    <row r="530" spans="38:38" x14ac:dyDescent="0.2">
      <c r="AL530" s="18" t="str">
        <f>IF(COUNTIF($A$2:A529, A529) = 1, A529, "")</f>
        <v/>
      </c>
    </row>
    <row r="531" spans="38:38" x14ac:dyDescent="0.2">
      <c r="AL531" s="18" t="str">
        <f>IF(COUNTIF($A$2:A530, A530) = 1, A530, "")</f>
        <v/>
      </c>
    </row>
    <row r="532" spans="38:38" x14ac:dyDescent="0.2">
      <c r="AL532" s="18" t="str">
        <f>IF(COUNTIF($A$2:A531, A531) = 1, A531, "")</f>
        <v/>
      </c>
    </row>
    <row r="533" spans="38:38" x14ac:dyDescent="0.2">
      <c r="AL533" s="18" t="str">
        <f>IF(COUNTIF($A$2:A532, A532) = 1, A532, "")</f>
        <v/>
      </c>
    </row>
    <row r="534" spans="38:38" x14ac:dyDescent="0.2">
      <c r="AL534" s="18" t="str">
        <f>IF(COUNTIF($A$2:A533, A533) = 1, A533, "")</f>
        <v/>
      </c>
    </row>
    <row r="535" spans="38:38" x14ac:dyDescent="0.2">
      <c r="AL535" s="18" t="str">
        <f>IF(COUNTIF($A$2:A534, A534) = 1, A534, "")</f>
        <v/>
      </c>
    </row>
    <row r="536" spans="38:38" x14ac:dyDescent="0.2">
      <c r="AL536" s="18" t="str">
        <f>IF(COUNTIF($A$2:A535, A535) = 1, A535, "")</f>
        <v/>
      </c>
    </row>
    <row r="537" spans="38:38" x14ac:dyDescent="0.2">
      <c r="AL537" s="18" t="str">
        <f>IF(COUNTIF($A$2:A536, A536) = 1, A536, "")</f>
        <v/>
      </c>
    </row>
    <row r="538" spans="38:38" x14ac:dyDescent="0.2">
      <c r="AL538" s="18" t="str">
        <f>IF(COUNTIF($A$2:A537, A537) = 1, A537, "")</f>
        <v/>
      </c>
    </row>
    <row r="539" spans="38:38" x14ac:dyDescent="0.2">
      <c r="AL539" s="18" t="str">
        <f>IF(COUNTIF($A$2:A538, A538) = 1, A538, "")</f>
        <v/>
      </c>
    </row>
    <row r="540" spans="38:38" x14ac:dyDescent="0.2">
      <c r="AL540" s="18" t="str">
        <f>IF(COUNTIF($A$2:A539, A539) = 1, A539, "")</f>
        <v/>
      </c>
    </row>
    <row r="541" spans="38:38" x14ac:dyDescent="0.2">
      <c r="AL541" s="18" t="str">
        <f>IF(COUNTIF($A$2:A540, A540) = 1, A540, "")</f>
        <v/>
      </c>
    </row>
    <row r="542" spans="38:38" x14ac:dyDescent="0.2">
      <c r="AL542" s="18" t="str">
        <f>IF(COUNTIF($A$2:A541, A541) = 1, A541, "")</f>
        <v/>
      </c>
    </row>
    <row r="543" spans="38:38" x14ac:dyDescent="0.2">
      <c r="AL543" s="18" t="str">
        <f>IF(COUNTIF($A$2:A542, A542) = 1, A542, "")</f>
        <v/>
      </c>
    </row>
    <row r="544" spans="38:38" x14ac:dyDescent="0.2">
      <c r="AL544" s="18" t="str">
        <f>IF(COUNTIF($A$2:A543, A543) = 1, A543, "")</f>
        <v/>
      </c>
    </row>
    <row r="545" spans="38:38" x14ac:dyDescent="0.2">
      <c r="AL545" s="18" t="str">
        <f>IF(COUNTIF($A$2:A544, A544) = 1, A544, "")</f>
        <v/>
      </c>
    </row>
    <row r="546" spans="38:38" x14ac:dyDescent="0.2">
      <c r="AL546" s="18" t="str">
        <f>IF(COUNTIF($A$2:A545, A545) = 1, A545, "")</f>
        <v/>
      </c>
    </row>
    <row r="547" spans="38:38" x14ac:dyDescent="0.2">
      <c r="AL547" s="18" t="str">
        <f>IF(COUNTIF($A$2:A546, A546) = 1, A546, "")</f>
        <v/>
      </c>
    </row>
    <row r="548" spans="38:38" x14ac:dyDescent="0.2">
      <c r="AL548" s="18" t="str">
        <f>IF(COUNTIF($A$2:A547, A547) = 1, A547, "")</f>
        <v/>
      </c>
    </row>
    <row r="549" spans="38:38" x14ac:dyDescent="0.2">
      <c r="AL549" s="18" t="str">
        <f>IF(COUNTIF($A$2:A548, A548) = 1, A548, "")</f>
        <v/>
      </c>
    </row>
    <row r="550" spans="38:38" x14ac:dyDescent="0.2">
      <c r="AL550" s="18" t="str">
        <f>IF(COUNTIF($A$2:A549, A549) = 1, A549, "")</f>
        <v/>
      </c>
    </row>
    <row r="551" spans="38:38" x14ac:dyDescent="0.2">
      <c r="AL551" s="18" t="str">
        <f>IF(COUNTIF($A$2:A550, A550) = 1, A550, "")</f>
        <v/>
      </c>
    </row>
    <row r="552" spans="38:38" x14ac:dyDescent="0.2">
      <c r="AL552" s="18" t="str">
        <f>IF(COUNTIF($A$2:A551, A551) = 1, A551, "")</f>
        <v/>
      </c>
    </row>
    <row r="553" spans="38:38" x14ac:dyDescent="0.2">
      <c r="AL553" s="18" t="str">
        <f>IF(COUNTIF($A$2:A552, A552) = 1, A552, "")</f>
        <v/>
      </c>
    </row>
    <row r="554" spans="38:38" x14ac:dyDescent="0.2">
      <c r="AL554" s="18" t="str">
        <f>IF(COUNTIF($A$2:A553, A553) = 1, A553, "")</f>
        <v/>
      </c>
    </row>
    <row r="555" spans="38:38" x14ac:dyDescent="0.2">
      <c r="AL555" s="18" t="str">
        <f>IF(COUNTIF($A$2:A554, A554) = 1, A554, "")</f>
        <v/>
      </c>
    </row>
    <row r="556" spans="38:38" x14ac:dyDescent="0.2">
      <c r="AL556" s="18" t="str">
        <f>IF(COUNTIF($A$2:A555, A555) = 1, A555, "")</f>
        <v/>
      </c>
    </row>
    <row r="557" spans="38:38" x14ac:dyDescent="0.2">
      <c r="AL557" s="18" t="str">
        <f>IF(COUNTIF($A$2:A556, A556) = 1, A556, "")</f>
        <v/>
      </c>
    </row>
    <row r="558" spans="38:38" x14ac:dyDescent="0.2">
      <c r="AL558" s="18" t="str">
        <f>IF(COUNTIF($A$2:A557, A557) = 1, A557, "")</f>
        <v/>
      </c>
    </row>
    <row r="559" spans="38:38" x14ac:dyDescent="0.2">
      <c r="AL559" s="18" t="str">
        <f>IF(COUNTIF($A$2:A558, A558) = 1, A558, "")</f>
        <v/>
      </c>
    </row>
    <row r="560" spans="38:38" x14ac:dyDescent="0.2">
      <c r="AL560" s="18" t="str">
        <f>IF(COUNTIF($A$2:A559, A559) = 1, A559, "")</f>
        <v/>
      </c>
    </row>
    <row r="561" spans="38:38" x14ac:dyDescent="0.2">
      <c r="AL561" s="18" t="str">
        <f>IF(COUNTIF($A$2:A560, A560) = 1, A560, "")</f>
        <v/>
      </c>
    </row>
    <row r="562" spans="38:38" x14ac:dyDescent="0.2">
      <c r="AL562" s="18" t="str">
        <f>IF(COUNTIF($A$2:A561, A561) = 1, A561, "")</f>
        <v/>
      </c>
    </row>
    <row r="563" spans="38:38" x14ac:dyDescent="0.2">
      <c r="AL563" s="18" t="str">
        <f>IF(COUNTIF($A$2:A562, A562) = 1, A562, "")</f>
        <v/>
      </c>
    </row>
    <row r="564" spans="38:38" x14ac:dyDescent="0.2">
      <c r="AL564" s="18" t="str">
        <f>IF(COUNTIF($A$2:A563, A563) = 1, A563, "")</f>
        <v/>
      </c>
    </row>
    <row r="565" spans="38:38" x14ac:dyDescent="0.2">
      <c r="AL565" s="18" t="str">
        <f>IF(COUNTIF($A$2:A564, A564) = 1, A564, "")</f>
        <v/>
      </c>
    </row>
    <row r="566" spans="38:38" x14ac:dyDescent="0.2">
      <c r="AL566" s="18" t="str">
        <f>IF(COUNTIF($A$2:A565, A565) = 1, A565, "")</f>
        <v/>
      </c>
    </row>
    <row r="567" spans="38:38" x14ac:dyDescent="0.2">
      <c r="AL567" s="18" t="str">
        <f>IF(COUNTIF($A$2:A566, A566) = 1, A566, "")</f>
        <v/>
      </c>
    </row>
    <row r="568" spans="38:38" x14ac:dyDescent="0.2">
      <c r="AL568" s="18" t="str">
        <f>IF(COUNTIF($A$2:A567, A567) = 1, A567, "")</f>
        <v/>
      </c>
    </row>
    <row r="569" spans="38:38" x14ac:dyDescent="0.2">
      <c r="AL569" s="18" t="str">
        <f>IF(COUNTIF($A$2:A568, A568) = 1, A568, "")</f>
        <v/>
      </c>
    </row>
    <row r="570" spans="38:38" x14ac:dyDescent="0.2">
      <c r="AL570" s="18" t="str">
        <f>IF(COUNTIF($A$2:A569, A569) = 1, A569, "")</f>
        <v/>
      </c>
    </row>
    <row r="571" spans="38:38" x14ac:dyDescent="0.2">
      <c r="AL571" s="18" t="str">
        <f>IF(COUNTIF($A$2:A570, A570) = 1, A570, "")</f>
        <v/>
      </c>
    </row>
    <row r="572" spans="38:38" x14ac:dyDescent="0.2">
      <c r="AL572" s="18" t="str">
        <f>IF(COUNTIF($A$2:A571, A571) = 1, A571, "")</f>
        <v/>
      </c>
    </row>
    <row r="573" spans="38:38" x14ac:dyDescent="0.2">
      <c r="AL573" s="18" t="str">
        <f>IF(COUNTIF($A$2:A572, A572) = 1, A572, "")</f>
        <v/>
      </c>
    </row>
    <row r="574" spans="38:38" x14ac:dyDescent="0.2">
      <c r="AL574" s="18" t="str">
        <f>IF(COUNTIF($A$2:A573, A573) = 1, A573, "")</f>
        <v/>
      </c>
    </row>
    <row r="575" spans="38:38" x14ac:dyDescent="0.2">
      <c r="AL575" s="18" t="str">
        <f>IF(COUNTIF($A$2:A574, A574) = 1, A574, "")</f>
        <v/>
      </c>
    </row>
    <row r="576" spans="38:38" x14ac:dyDescent="0.2">
      <c r="AL576" s="18" t="str">
        <f>IF(COUNTIF($A$2:A575, A575) = 1, A575, "")</f>
        <v/>
      </c>
    </row>
    <row r="577" spans="38:38" x14ac:dyDescent="0.2">
      <c r="AL577" s="18" t="str">
        <f>IF(COUNTIF($A$2:A576, A576) = 1, A576, "")</f>
        <v/>
      </c>
    </row>
    <row r="578" spans="38:38" x14ac:dyDescent="0.2">
      <c r="AL578" s="18" t="str">
        <f>IF(COUNTIF($A$2:A577, A577) = 1, A577, "")</f>
        <v/>
      </c>
    </row>
    <row r="579" spans="38:38" x14ac:dyDescent="0.2">
      <c r="AL579" s="18" t="str">
        <f>IF(COUNTIF($A$2:A578, A578) = 1, A578, "")</f>
        <v/>
      </c>
    </row>
    <row r="580" spans="38:38" x14ac:dyDescent="0.2">
      <c r="AL580" s="18" t="str">
        <f>IF(COUNTIF($A$2:A579, A579) = 1, A579, "")</f>
        <v/>
      </c>
    </row>
    <row r="581" spans="38:38" x14ac:dyDescent="0.2">
      <c r="AL581" s="18" t="str">
        <f>IF(COUNTIF($A$2:A580, A580) = 1, A580, "")</f>
        <v/>
      </c>
    </row>
  </sheetData>
  <mergeCells count="19">
    <mergeCell ref="T2:U2"/>
    <mergeCell ref="T3:U3"/>
    <mergeCell ref="T4:U4"/>
    <mergeCell ref="T6:U6"/>
    <mergeCell ref="T19:U19"/>
    <mergeCell ref="T20:U20"/>
    <mergeCell ref="T21:U21"/>
    <mergeCell ref="T22:U22"/>
    <mergeCell ref="T7:U7"/>
    <mergeCell ref="T8:U8"/>
    <mergeCell ref="T9:U9"/>
    <mergeCell ref="T10:U10"/>
    <mergeCell ref="T11:V11"/>
    <mergeCell ref="T12:U12"/>
    <mergeCell ref="T14:U14"/>
    <mergeCell ref="T15:U15"/>
    <mergeCell ref="T16:U16"/>
    <mergeCell ref="T17:V17"/>
    <mergeCell ref="T13:U13"/>
  </mergeCells>
  <conditionalFormatting sqref="N1:N1048576">
    <cfRule type="dataBar" priority="69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{776962B1-9C13-634D-92BF-B5EB288C692A}</x14:id>
        </ext>
      </extLst>
    </cfRule>
  </conditionalFormatting>
  <conditionalFormatting sqref="V4">
    <cfRule type="colorScale" priority="62">
      <colorScale>
        <cfvo type="num" val="-50"/>
        <cfvo type="num" val="0"/>
        <cfvo type="num" val="50"/>
        <color rgb="FFC00000"/>
        <color theme="0"/>
        <color rgb="FF00B050"/>
      </colorScale>
    </cfRule>
  </conditionalFormatting>
  <conditionalFormatting sqref="V9">
    <cfRule type="dataBar" priority="61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{9F943D79-3EAE-FF4B-A5D2-09B244E90D51}</x14:id>
        </ext>
      </extLst>
    </cfRule>
  </conditionalFormatting>
  <conditionalFormatting sqref="V15">
    <cfRule type="dataBar" priority="60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{B12F9789-1418-EF49-861C-3EE681FFBC00}</x14:id>
        </ext>
      </extLst>
    </cfRule>
  </conditionalFormatting>
  <conditionalFormatting sqref="V10">
    <cfRule type="dataBar" priority="43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{E23E2771-83D9-224C-8B7B-B894FC06EF62}</x14:id>
        </ext>
      </extLst>
    </cfRule>
    <cfRule type="colorScale" priority="44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V16">
    <cfRule type="dataBar" priority="41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{13787A72-F554-7047-BCFA-58601826ABE7}</x14:id>
        </ext>
      </extLst>
    </cfRule>
    <cfRule type="colorScale" priority="42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12:Y18">
    <cfRule type="dataBar" priority="16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{83D18805-2ED2-1A40-B316-AE88C2F36324}</x14:id>
        </ext>
      </extLst>
    </cfRule>
    <cfRule type="colorScale" priority="17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A41:AA43 AA26:AA31 AA3:AA9 AA34:AA38 AA12:AA18 AA21:AA23">
    <cfRule type="dataBar" priority="11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{010C918E-0DB3-1B4B-ADDD-AB0D29C627FC}</x14:id>
        </ext>
      </extLst>
    </cfRule>
  </conditionalFormatting>
  <conditionalFormatting sqref="AA46:AA47">
    <cfRule type="dataBar" priority="10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{DDFF6D4C-6443-7B4D-8035-87F188A30FF8}</x14:id>
        </ext>
      </extLst>
    </cfRule>
  </conditionalFormatting>
  <conditionalFormatting sqref="Z2:Z47">
    <cfRule type="dataBar" priority="9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{4CD3CED5-246E-B74D-8F70-9926343A5713}</x14:id>
        </ext>
      </extLst>
    </cfRule>
  </conditionalFormatting>
  <conditionalFormatting sqref="AE3:AE50">
    <cfRule type="dataBar" priority="12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{FCD1238F-5AA9-7249-8131-16EA086BA83E}</x14:id>
        </ext>
      </extLst>
    </cfRule>
    <cfRule type="colorScale" priority="13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D3:AD50">
    <cfRule type="dataBar" priority="14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{F37E5F72-5542-DE43-821D-C2633F3E3EE1}</x14:id>
        </ext>
      </extLst>
    </cfRule>
    <cfRule type="colorScale" priority="15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3:Y9">
    <cfRule type="dataBar" priority="7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{FADA0781-A3FA-CE4B-B25F-202914D3582D}</x14:id>
        </ext>
      </extLst>
    </cfRule>
    <cfRule type="colorScale" priority="8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21:Y47">
    <cfRule type="dataBar" priority="5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{42BDD524-6298-3846-97B8-48918902FBEB}</x14:id>
        </ext>
      </extLst>
    </cfRule>
    <cfRule type="colorScale" priority="6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A50:AA58">
    <cfRule type="dataBar" priority="4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{2C26C6E6-5B85-2D41-A84D-300D25E97855}</x14:id>
        </ext>
      </extLst>
    </cfRule>
  </conditionalFormatting>
  <conditionalFormatting sqref="Z49:Z58">
    <cfRule type="dataBar" priority="3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{88ED13B4-ADF6-1F49-9A6F-FC8973CAC695}</x14:id>
        </ext>
      </extLst>
    </cfRule>
  </conditionalFormatting>
  <conditionalFormatting sqref="Y49:Y58">
    <cfRule type="dataBar" priority="1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{AE36E18B-5BC8-414E-9DF9-C265D270976F}</x14:id>
        </ext>
      </extLst>
    </cfRule>
    <cfRule type="colorScale" priority="2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dataValidations count="3">
    <dataValidation type="list" allowBlank="1" showInputMessage="1" showErrorMessage="1" sqref="D2:D440" xr:uid="{8FEF7FE9-4763-9B47-907A-BAA8BD549E0B}">
      <formula1>"Straight, Parlay, Boost"</formula1>
    </dataValidation>
    <dataValidation type="list" allowBlank="1" showInputMessage="1" showErrorMessage="1" sqref="M2:M440 G2:J440" xr:uid="{E69AFFAD-80F2-8841-93D9-91571BB49990}">
      <formula1>"Yes, No"</formula1>
    </dataValidation>
    <dataValidation type="list" allowBlank="1" showInputMessage="1" showErrorMessage="1" sqref="R2:R1048576" xr:uid="{06BF1FAF-22B2-8549-93B6-32B2BDF48018}">
      <formula1>$X$50:$X$58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76962B1-9C13-634D-92BF-B5EB288C69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N1:N1048576</xm:sqref>
        </x14:conditionalFormatting>
        <x14:conditionalFormatting xmlns:xm="http://schemas.microsoft.com/office/excel/2006/main">
          <x14:cfRule type="dataBar" id="{9F943D79-3EAE-FF4B-A5D2-09B244E90D51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B12F9789-1418-EF49-861C-3EE681FFBC00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E23E2771-83D9-224C-8B7B-B894FC06EF6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13787A72-F554-7047-BCFA-58601826ABE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83D18805-2ED2-1A40-B316-AE88C2F363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Y12:Y18</xm:sqref>
        </x14:conditionalFormatting>
        <x14:conditionalFormatting xmlns:xm="http://schemas.microsoft.com/office/excel/2006/main">
          <x14:cfRule type="dataBar" id="{010C918E-0DB3-1B4B-ADDD-AB0D29C627FC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AA41:AA43 AA26:AA31 AA3:AA9 AA34:AA38 AA12:AA18 AA21:AA23</xm:sqref>
        </x14:conditionalFormatting>
        <x14:conditionalFormatting xmlns:xm="http://schemas.microsoft.com/office/excel/2006/main">
          <x14:cfRule type="dataBar" id="{DDFF6D4C-6443-7B4D-8035-87F188A30FF8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AA46:AA47</xm:sqref>
        </x14:conditionalFormatting>
        <x14:conditionalFormatting xmlns:xm="http://schemas.microsoft.com/office/excel/2006/main">
          <x14:cfRule type="dataBar" id="{4CD3CED5-246E-B74D-8F70-9926343A571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Z2:Z47</xm:sqref>
        </x14:conditionalFormatting>
        <x14:conditionalFormatting xmlns:xm="http://schemas.microsoft.com/office/excel/2006/main">
          <x14:cfRule type="dataBar" id="{FCD1238F-5AA9-7249-8131-16EA086BA83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AE3:AE50</xm:sqref>
        </x14:conditionalFormatting>
        <x14:conditionalFormatting xmlns:xm="http://schemas.microsoft.com/office/excel/2006/main">
          <x14:cfRule type="dataBar" id="{F37E5F72-5542-DE43-821D-C2633F3E3EE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AD3:AD50</xm:sqref>
        </x14:conditionalFormatting>
        <x14:conditionalFormatting xmlns:xm="http://schemas.microsoft.com/office/excel/2006/main">
          <x14:cfRule type="dataBar" id="{FADA0781-A3FA-CE4B-B25F-202914D3582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Y3:Y9</xm:sqref>
        </x14:conditionalFormatting>
        <x14:conditionalFormatting xmlns:xm="http://schemas.microsoft.com/office/excel/2006/main">
          <x14:cfRule type="dataBar" id="{42BDD524-6298-3846-97B8-48918902FBE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Y21:Y47</xm:sqref>
        </x14:conditionalFormatting>
        <x14:conditionalFormatting xmlns:xm="http://schemas.microsoft.com/office/excel/2006/main">
          <x14:cfRule type="dataBar" id="{2C26C6E6-5B85-2D41-A84D-300D25E97855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AA50:AA58</xm:sqref>
        </x14:conditionalFormatting>
        <x14:conditionalFormatting xmlns:xm="http://schemas.microsoft.com/office/excel/2006/main">
          <x14:cfRule type="dataBar" id="{88ED13B4-ADF6-1F49-9A6F-FC8973CAC69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Z49:Z58</xm:sqref>
        </x14:conditionalFormatting>
        <x14:conditionalFormatting xmlns:xm="http://schemas.microsoft.com/office/excel/2006/main">
          <x14:cfRule type="dataBar" id="{AE36E18B-5BC8-414E-9DF9-C265D270976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Y49:Y58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ED10E-D864-6E46-ABBC-0D86DA61607E}">
  <sheetPr codeName="Sheet5"/>
  <dimension ref="A1:AL581"/>
  <sheetViews>
    <sheetView zoomScale="80" zoomScaleNormal="80" workbookViewId="0">
      <pane ySplit="1" topLeftCell="A2" activePane="bottomLeft" state="frozen"/>
      <selection pane="bottomLeft"/>
    </sheetView>
  </sheetViews>
  <sheetFormatPr baseColWidth="10" defaultRowHeight="16" x14ac:dyDescent="0.2"/>
  <cols>
    <col min="1" max="1" width="11.5" style="18" bestFit="1" customWidth="1"/>
    <col min="4" max="4" width="11.5" bestFit="1" customWidth="1"/>
    <col min="6" max="6" width="14.83203125" bestFit="1" customWidth="1"/>
    <col min="8" max="8" width="12.5" bestFit="1" customWidth="1"/>
    <col min="11" max="11" width="10.83203125" style="7"/>
    <col min="14" max="14" width="13.5" bestFit="1" customWidth="1"/>
    <col min="15" max="15" width="21.1640625" bestFit="1" customWidth="1"/>
    <col min="16" max="16" width="31.33203125" customWidth="1"/>
    <col min="17" max="17" width="30.5" customWidth="1"/>
    <col min="18" max="18" width="11.5" customWidth="1"/>
    <col min="19" max="19" width="19.33203125" customWidth="1"/>
    <col min="20" max="20" width="11.6640625" bestFit="1" customWidth="1"/>
    <col min="22" max="22" width="12.6640625" bestFit="1" customWidth="1"/>
    <col min="24" max="24" width="14.83203125" style="32" bestFit="1" customWidth="1"/>
    <col min="26" max="26" width="10.83203125" hidden="1" customWidth="1"/>
    <col min="29" max="29" width="10.83203125" style="18"/>
    <col min="30" max="30" width="11" customWidth="1"/>
    <col min="31" max="31" width="10.1640625" bestFit="1" customWidth="1"/>
    <col min="38" max="38" width="0" hidden="1" customWidth="1"/>
  </cols>
  <sheetData>
    <row r="1" spans="1:38" ht="17" thickBot="1" x14ac:dyDescent="0.25">
      <c r="A1" s="56" t="s">
        <v>15</v>
      </c>
      <c r="B1" s="57" t="s">
        <v>10</v>
      </c>
      <c r="C1" s="57" t="s">
        <v>11</v>
      </c>
      <c r="D1" s="57" t="s">
        <v>50</v>
      </c>
      <c r="E1" s="57" t="s">
        <v>12</v>
      </c>
      <c r="F1" s="57" t="s">
        <v>3</v>
      </c>
      <c r="G1" s="57" t="s">
        <v>4</v>
      </c>
      <c r="H1" s="57" t="s">
        <v>60</v>
      </c>
      <c r="I1" s="57" t="s">
        <v>6</v>
      </c>
      <c r="J1" s="57" t="s">
        <v>69</v>
      </c>
      <c r="K1" s="57" t="s">
        <v>7</v>
      </c>
      <c r="L1" s="57" t="s">
        <v>8</v>
      </c>
      <c r="M1" s="57" t="s">
        <v>21</v>
      </c>
      <c r="N1" s="57" t="s">
        <v>9</v>
      </c>
      <c r="O1" s="57" t="s">
        <v>51</v>
      </c>
      <c r="P1" s="57" t="s">
        <v>13</v>
      </c>
      <c r="Q1" s="57" t="s">
        <v>14</v>
      </c>
      <c r="R1" s="57" t="s">
        <v>89</v>
      </c>
      <c r="S1" s="57" t="s">
        <v>61</v>
      </c>
    </row>
    <row r="2" spans="1:38" ht="17" thickBot="1" x14ac:dyDescent="0.25">
      <c r="A2" s="55" t="s">
        <v>86</v>
      </c>
      <c r="F2" t="str">
        <f t="shared" ref="F2:F5" si="0">IF(OR(O2="", P2=""), "", SUM(IF((O2&lt;&gt;"None")*(O2&lt;&gt;""),LEN(O2)-LEN(SUBSTITUTE(O2,",",""))+1,0)) + SUM(IF((P2&lt;&gt;"None")*(P2&lt;&gt;""),LEN(P2)-LEN(SUBSTITUTE(P2,",",""))+1,0)))</f>
        <v/>
      </c>
      <c r="L2" s="7" t="str">
        <f t="shared" ref="L2:L5" si="1">IF(LEN(E2)=0, "", IFERROR(IF(E2&gt;=0, K2 * (1 + E2/100) - K2, K2 / (ABS(E2)/100))+K2, ""))</f>
        <v/>
      </c>
      <c r="N2" s="7" t="str">
        <f t="shared" ref="N2:N5" si="2">IF(M2="Yes",L2-K2,IF(M2="No",-K2,""))</f>
        <v/>
      </c>
      <c r="O2" t="str">
        <f t="shared" ref="O2:O5" si="3">IF(AND(G2="No",H2="No"), "None", "")</f>
        <v/>
      </c>
      <c r="P2" t="str">
        <f t="shared" ref="P2:P5" si="4">IF(I2="No", "None", "")</f>
        <v/>
      </c>
      <c r="Q2" t="str">
        <f t="shared" ref="Q2:Q5" si="5">IF(AND(D2="Straight", M2 = "No"),IF(O2="None",P2,IF(P2="None",O2) ),"")</f>
        <v/>
      </c>
      <c r="S2" t="str">
        <f>""</f>
        <v/>
      </c>
      <c r="T2" s="109" t="s">
        <v>0</v>
      </c>
      <c r="U2" s="110"/>
      <c r="V2" s="4">
        <f>'Feb 2025'!V3</f>
        <v>0</v>
      </c>
      <c r="X2" s="79" t="s">
        <v>10</v>
      </c>
      <c r="Y2" s="80" t="s">
        <v>9</v>
      </c>
      <c r="Z2" s="81" t="s">
        <v>84</v>
      </c>
      <c r="AA2" s="82" t="s">
        <v>39</v>
      </c>
      <c r="AC2" s="86" t="s">
        <v>70</v>
      </c>
      <c r="AD2" s="87" t="s">
        <v>9</v>
      </c>
      <c r="AE2" s="88" t="s">
        <v>71</v>
      </c>
    </row>
    <row r="3" spans="1:38" x14ac:dyDescent="0.2">
      <c r="F3" t="str">
        <f t="shared" si="0"/>
        <v/>
      </c>
      <c r="L3" s="7" t="str">
        <f t="shared" si="1"/>
        <v/>
      </c>
      <c r="N3" s="7" t="str">
        <f t="shared" si="2"/>
        <v/>
      </c>
      <c r="O3" t="str">
        <f t="shared" si="3"/>
        <v/>
      </c>
      <c r="P3" t="str">
        <f t="shared" si="4"/>
        <v/>
      </c>
      <c r="Q3" t="str">
        <f t="shared" si="5"/>
        <v/>
      </c>
      <c r="S3" t="str">
        <f>""</f>
        <v/>
      </c>
      <c r="T3" s="101" t="s">
        <v>1</v>
      </c>
      <c r="U3" s="102"/>
      <c r="V3" s="5">
        <f>V2+V4</f>
        <v>0</v>
      </c>
      <c r="X3" s="47" t="s">
        <v>16</v>
      </c>
      <c r="Y3" s="45">
        <f>SUMIF($B:B,X3,N:N)</f>
        <v>0</v>
      </c>
      <c r="Z3" s="40">
        <f t="shared" ref="Z3:Z9" si="6">COUNTIF(B:B,X3)</f>
        <v>0</v>
      </c>
      <c r="AA3" s="41">
        <f t="shared" ref="AA3:AA9" si="7">IFERROR(COUNTIFS(B:B, X3)/COUNTA($B$2:$B$994),0)</f>
        <v>0</v>
      </c>
      <c r="AC3" s="17" t="str" cm="1">
        <f t="array" ref="AC3">IFERROR(INDEX($AL$2:$AL$300, MATCH(0, COUNTIF($AC$2:AC2, $AL$2:$AL$300) + IF($AL$2:$AL$300="", 1, 0), 0)), "")</f>
        <v/>
      </c>
      <c r="AD3" s="9">
        <f t="shared" ref="AD3:AD25" si="8">IF(ISBLANK(AC3),"",SUMIF(A:A,AC3,N:N))</f>
        <v>0</v>
      </c>
      <c r="AE3" s="19">
        <f>SUM(AD$3:AD3)</f>
        <v>0</v>
      </c>
      <c r="AL3" s="18" t="str">
        <f>IF(COUNTIF($A$2:A2, A2) = 1, A2, "")</f>
        <v/>
      </c>
    </row>
    <row r="4" spans="1:38" ht="17" thickBot="1" x14ac:dyDescent="0.25">
      <c r="F4" t="str">
        <f t="shared" si="0"/>
        <v/>
      </c>
      <c r="L4" s="7" t="str">
        <f t="shared" si="1"/>
        <v/>
      </c>
      <c r="N4" s="7" t="str">
        <f t="shared" si="2"/>
        <v/>
      </c>
      <c r="O4" t="str">
        <f t="shared" si="3"/>
        <v/>
      </c>
      <c r="P4" t="str">
        <f t="shared" si="4"/>
        <v/>
      </c>
      <c r="Q4" t="str">
        <f t="shared" si="5"/>
        <v/>
      </c>
      <c r="S4" t="str">
        <f>""</f>
        <v/>
      </c>
      <c r="T4" s="96" t="s">
        <v>2</v>
      </c>
      <c r="U4" s="97"/>
      <c r="V4" s="10">
        <f>SUM(N2:N1048576)</f>
        <v>0</v>
      </c>
      <c r="X4" s="48" t="s">
        <v>23</v>
      </c>
      <c r="Y4" s="45">
        <f>SUMIF($B:B,X4,N:N)</f>
        <v>0</v>
      </c>
      <c r="Z4" s="34">
        <f t="shared" si="6"/>
        <v>0</v>
      </c>
      <c r="AA4" s="38">
        <f t="shared" si="7"/>
        <v>0</v>
      </c>
      <c r="AC4" s="17" t="str" cm="1">
        <f t="array" ref="AC4">IFERROR(INDEX($AL$2:$AL$300, MATCH(0, COUNTIF($AC$2:AC3, $AL$2:$AL$300) + IF($AL$2:$AL$300="", 1, 0), 0)), "")</f>
        <v/>
      </c>
      <c r="AD4" s="9">
        <f t="shared" si="8"/>
        <v>0</v>
      </c>
      <c r="AE4" s="19">
        <f>SUM(AD$3:AD4)</f>
        <v>0</v>
      </c>
      <c r="AL4" s="18" t="str">
        <f>IF(COUNTIF($A$2:A3, A3) = 1, A3, "")</f>
        <v/>
      </c>
    </row>
    <row r="5" spans="1:38" ht="17" thickBot="1" x14ac:dyDescent="0.25">
      <c r="F5" t="str">
        <f t="shared" si="0"/>
        <v/>
      </c>
      <c r="L5" s="7" t="str">
        <f t="shared" si="1"/>
        <v/>
      </c>
      <c r="N5" s="7" t="str">
        <f t="shared" si="2"/>
        <v/>
      </c>
      <c r="O5" t="str">
        <f t="shared" si="3"/>
        <v/>
      </c>
      <c r="P5" t="str">
        <f t="shared" si="4"/>
        <v/>
      </c>
      <c r="Q5" t="str">
        <f t="shared" si="5"/>
        <v/>
      </c>
      <c r="S5" t="str">
        <f>""</f>
        <v/>
      </c>
      <c r="X5" s="48" t="s">
        <v>24</v>
      </c>
      <c r="Y5" s="45">
        <f>SUMIF($B:B,X5,N:N)</f>
        <v>0</v>
      </c>
      <c r="Z5" s="34">
        <f t="shared" si="6"/>
        <v>0</v>
      </c>
      <c r="AA5" s="38">
        <f t="shared" si="7"/>
        <v>0</v>
      </c>
      <c r="AC5" s="17" t="str" cm="1">
        <f t="array" ref="AC5">IFERROR(INDEX($AL$2:$AL$300, MATCH(0, COUNTIF($AC$2:AC4, $AL$2:$AL$300) + IF($AL$2:$AL$300="", 1, 0), 0)), "")</f>
        <v/>
      </c>
      <c r="AD5" s="9">
        <f t="shared" si="8"/>
        <v>0</v>
      </c>
      <c r="AE5" s="19">
        <f>SUM(AD$3:AD5)</f>
        <v>0</v>
      </c>
      <c r="AL5" s="18" t="str">
        <f>IF(COUNTIF($A$2:A4, A4) = 1, A4, "")</f>
        <v/>
      </c>
    </row>
    <row r="6" spans="1:38" x14ac:dyDescent="0.2">
      <c r="F6" t="str">
        <f t="shared" ref="F6:F65" si="9">IF(OR(O6="", P6=""), "", SUM(IF((O6&lt;&gt;"None")*(O6&lt;&gt;""),LEN(O6)-LEN(SUBSTITUTE(O6,",",""))+1,0)) + SUM(IF((P6&lt;&gt;"None")*(P6&lt;&gt;""),LEN(P6)-LEN(SUBSTITUTE(P6,",",""))+1,0)))</f>
        <v/>
      </c>
      <c r="L6" s="7" t="str">
        <f t="shared" ref="L6:L65" si="10">IF(LEN(E6)=0, "", IFERROR(IF(E6&gt;=0, K6 * (1 + E6/100) - K6, K6 / (ABS(E6)/100))+K6, ""))</f>
        <v/>
      </c>
      <c r="N6" s="7" t="str">
        <f t="shared" ref="N6:N65" si="11">IF(M6="Yes",L6-K6,IF(M6="No",-K6,""))</f>
        <v/>
      </c>
      <c r="O6" t="str">
        <f t="shared" ref="O6:O65" si="12">IF(AND(G6="No",H6="No"), "None", "")</f>
        <v/>
      </c>
      <c r="P6" t="str">
        <f t="shared" ref="P6:P17" si="13">IF(I6="No", "None", "")</f>
        <v/>
      </c>
      <c r="Q6" t="str">
        <f t="shared" ref="Q6:Q65" si="14">IF(AND(D6="Straight", M6 = "No"),IF(O6="None",P6,IF(P6="None",O6) ),"")</f>
        <v/>
      </c>
      <c r="S6" t="str">
        <f>""</f>
        <v/>
      </c>
      <c r="T6" s="109" t="s">
        <v>27</v>
      </c>
      <c r="U6" s="110"/>
      <c r="V6" s="58" t="str">
        <f>Master!D6</f>
        <v>Lions</v>
      </c>
      <c r="X6" s="48" t="s">
        <v>52</v>
      </c>
      <c r="Y6" s="45">
        <f>SUMIF($B:B,X6,N:N)</f>
        <v>0</v>
      </c>
      <c r="Z6" s="34">
        <f t="shared" si="6"/>
        <v>0</v>
      </c>
      <c r="AA6" s="38">
        <f t="shared" si="7"/>
        <v>0</v>
      </c>
      <c r="AC6" s="17" t="str" cm="1">
        <f t="array" ref="AC6">IFERROR(INDEX($AL$2:$AL$300, MATCH(0, COUNTIF($AC$2:AC5, $AL$2:$AL$300) + IF($AL$2:$AL$300="", 1, 0), 0)), "")</f>
        <v/>
      </c>
      <c r="AD6" s="9">
        <f t="shared" si="8"/>
        <v>0</v>
      </c>
      <c r="AE6" s="19">
        <f>SUM(AD$3:AD6)</f>
        <v>0</v>
      </c>
      <c r="AL6" s="18" t="str">
        <f>IF(COUNTIF($A$2:A5, A5) = 1, A5, "")</f>
        <v/>
      </c>
    </row>
    <row r="7" spans="1:38" x14ac:dyDescent="0.2">
      <c r="F7" t="str">
        <f t="shared" si="9"/>
        <v/>
      </c>
      <c r="L7" s="7" t="str">
        <f t="shared" si="10"/>
        <v/>
      </c>
      <c r="N7" s="7" t="str">
        <f t="shared" si="11"/>
        <v/>
      </c>
      <c r="O7" t="str">
        <f t="shared" si="12"/>
        <v/>
      </c>
      <c r="P7" t="str">
        <f t="shared" si="13"/>
        <v/>
      </c>
      <c r="Q7" t="str">
        <f t="shared" si="14"/>
        <v/>
      </c>
      <c r="S7" t="str">
        <f>""</f>
        <v/>
      </c>
      <c r="T7" s="101" t="s">
        <v>99</v>
      </c>
      <c r="U7" s="102"/>
      <c r="V7" s="8" cm="1">
        <f t="array" ref="V7">SUM(IF(ISNUMBER(SEARCH(V6, SUBSTITUTE($O$2:$O$998, ",", ""))), 1, 0))</f>
        <v>0</v>
      </c>
      <c r="X7" s="48" t="s">
        <v>87</v>
      </c>
      <c r="Y7" s="45">
        <f>SUMIF($B:B,X7,N:N)</f>
        <v>0</v>
      </c>
      <c r="Z7" s="34">
        <f t="shared" si="6"/>
        <v>0</v>
      </c>
      <c r="AA7" s="38">
        <f t="shared" si="7"/>
        <v>0</v>
      </c>
      <c r="AC7" s="17" t="str" cm="1">
        <f t="array" ref="AC7">IFERROR(INDEX($AL$2:$AL$300, MATCH(0, COUNTIF($AC$2:AC6, $AL$2:$AL$300) + IF($AL$2:$AL$300="", 1, 0), 0)), "")</f>
        <v/>
      </c>
      <c r="AD7" s="9">
        <f t="shared" si="8"/>
        <v>0</v>
      </c>
      <c r="AE7" s="20">
        <f>SUM(AD$3:AD7)</f>
        <v>0</v>
      </c>
      <c r="AL7" s="18" t="str">
        <f>IF(COUNTIF($A$2:A6, A6) = 1, A6, "")</f>
        <v/>
      </c>
    </row>
    <row r="8" spans="1:38" x14ac:dyDescent="0.2">
      <c r="F8" t="str">
        <f t="shared" si="9"/>
        <v/>
      </c>
      <c r="L8" s="7" t="str">
        <f t="shared" si="10"/>
        <v/>
      </c>
      <c r="N8" s="7" t="str">
        <f t="shared" si="11"/>
        <v/>
      </c>
      <c r="O8" t="str">
        <f t="shared" si="12"/>
        <v/>
      </c>
      <c r="P8" t="str">
        <f t="shared" si="13"/>
        <v/>
      </c>
      <c r="Q8" t="str">
        <f t="shared" si="14"/>
        <v/>
      </c>
      <c r="S8" t="str">
        <f>""</f>
        <v/>
      </c>
      <c r="T8" s="101" t="s">
        <v>100</v>
      </c>
      <c r="U8" s="102"/>
      <c r="V8" s="8" cm="1">
        <f t="array" ref="V8">SUM(IF(ISNUMBER(SEARCH(V6, SUBSTITUTE($Q$2:$Q$998, ",", ""))), 1, 0))</f>
        <v>0</v>
      </c>
      <c r="X8" s="48" t="s">
        <v>85</v>
      </c>
      <c r="Y8" s="45">
        <f>SUMIF($B:B,X8,N:N)</f>
        <v>0</v>
      </c>
      <c r="Z8" s="34">
        <f t="shared" si="6"/>
        <v>0</v>
      </c>
      <c r="AA8" s="38">
        <f t="shared" si="7"/>
        <v>0</v>
      </c>
      <c r="AC8" s="17" t="str" cm="1">
        <f t="array" ref="AC8">IFERROR(INDEX($AL$2:$AL$300, MATCH(0, COUNTIF($AC$2:AC7, $AL$2:$AL$300) + IF($AL$2:$AL$300="", 1, 0), 0)), "")</f>
        <v/>
      </c>
      <c r="AD8" s="9">
        <f t="shared" si="8"/>
        <v>0</v>
      </c>
      <c r="AE8" s="19">
        <f>SUM(AD$3:AD8)</f>
        <v>0</v>
      </c>
      <c r="AL8" s="18" t="str">
        <f>IF(COUNTIF($A$2:A7, A7) = 1, A7, "")</f>
        <v/>
      </c>
    </row>
    <row r="9" spans="1:38" ht="17" thickBot="1" x14ac:dyDescent="0.25">
      <c r="F9" t="str">
        <f t="shared" si="9"/>
        <v/>
      </c>
      <c r="L9" s="7" t="str">
        <f t="shared" si="10"/>
        <v/>
      </c>
      <c r="N9" s="7" t="str">
        <f t="shared" si="11"/>
        <v/>
      </c>
      <c r="O9" t="str">
        <f t="shared" si="12"/>
        <v/>
      </c>
      <c r="P9" t="str">
        <f t="shared" si="13"/>
        <v/>
      </c>
      <c r="Q9" t="str">
        <f t="shared" si="14"/>
        <v/>
      </c>
      <c r="S9" t="str">
        <f>""</f>
        <v/>
      </c>
      <c r="T9" s="101" t="s">
        <v>28</v>
      </c>
      <c r="U9" s="102"/>
      <c r="V9" s="51" t="e">
        <f>1-(V8/V7)</f>
        <v>#DIV/0!</v>
      </c>
      <c r="X9" s="50" t="s">
        <v>53</v>
      </c>
      <c r="Y9" s="44">
        <f>SUMIF($B:B,X9,N:N)</f>
        <v>0</v>
      </c>
      <c r="Z9" s="35">
        <f t="shared" si="6"/>
        <v>0</v>
      </c>
      <c r="AA9" s="39">
        <f t="shared" si="7"/>
        <v>0</v>
      </c>
      <c r="AC9" s="17" t="str" cm="1">
        <f t="array" ref="AC9">IFERROR(INDEX($AL$2:$AL$300, MATCH(0, COUNTIF($AC$2:AC8, $AL$2:$AL$300) + IF($AL$2:$AL$300="", 1, 0), 0)), "")</f>
        <v/>
      </c>
      <c r="AD9" s="9">
        <f t="shared" si="8"/>
        <v>0</v>
      </c>
      <c r="AE9" s="19">
        <f>SUM(AD$3:AD9)</f>
        <v>0</v>
      </c>
      <c r="AL9" s="18" t="str">
        <f>IF(COUNTIF($A$2:A8, A8) = 1, A8, "")</f>
        <v/>
      </c>
    </row>
    <row r="10" spans="1:38" ht="17" thickBot="1" x14ac:dyDescent="0.25">
      <c r="F10" t="str">
        <f t="shared" si="9"/>
        <v/>
      </c>
      <c r="L10" s="7" t="str">
        <f t="shared" si="10"/>
        <v/>
      </c>
      <c r="N10" s="7" t="str">
        <f t="shared" si="11"/>
        <v/>
      </c>
      <c r="O10" t="str">
        <f t="shared" si="12"/>
        <v/>
      </c>
      <c r="P10" t="str">
        <f t="shared" si="13"/>
        <v/>
      </c>
      <c r="Q10" t="str">
        <f t="shared" si="14"/>
        <v/>
      </c>
      <c r="S10" t="str">
        <f>""</f>
        <v/>
      </c>
      <c r="T10" s="115" t="s">
        <v>9</v>
      </c>
      <c r="U10" s="116"/>
      <c r="V10" s="45" cm="1">
        <f t="array" ref="V10">SUMPRODUCT(--($D$2:$D$998="Straight"), --ISNUMBER(SEARCH(V6, SUBSTITUTE($O$2:$O$998, ",", ""))), $N$2:$N$998)</f>
        <v>0</v>
      </c>
      <c r="Y10" s="7"/>
      <c r="AC10" s="17" t="str" cm="1">
        <f t="array" ref="AC10">IFERROR(INDEX($AL$2:$AL$300, MATCH(0, COUNTIF($AC$2:AC9, $AL$2:$AL$300) + IF($AL$2:$AL$300="", 1, 0), 0)), "")</f>
        <v/>
      </c>
      <c r="AD10" s="9">
        <f t="shared" si="8"/>
        <v>0</v>
      </c>
      <c r="AE10" s="19">
        <f>SUM(AD$3:AD10)</f>
        <v>0</v>
      </c>
      <c r="AL10" s="18" t="str">
        <f>IF(COUNTIF($A$2:A9, A9) = 1, A9, "")</f>
        <v/>
      </c>
    </row>
    <row r="11" spans="1:38" ht="17" thickBot="1" x14ac:dyDescent="0.25">
      <c r="F11" t="str">
        <f t="shared" si="9"/>
        <v/>
      </c>
      <c r="L11" s="7" t="str">
        <f t="shared" si="10"/>
        <v/>
      </c>
      <c r="N11" s="7" t="str">
        <f t="shared" si="11"/>
        <v/>
      </c>
      <c r="O11" t="str">
        <f t="shared" si="12"/>
        <v/>
      </c>
      <c r="P11" t="str">
        <f t="shared" si="13"/>
        <v/>
      </c>
      <c r="Q11" t="str">
        <f t="shared" si="14"/>
        <v/>
      </c>
      <c r="S11" t="str">
        <f>""</f>
        <v/>
      </c>
      <c r="T11" s="117" t="s">
        <v>57</v>
      </c>
      <c r="U11" s="118"/>
      <c r="V11" s="119"/>
      <c r="X11" s="79" t="s">
        <v>11</v>
      </c>
      <c r="Y11" s="83" t="s">
        <v>9</v>
      </c>
      <c r="Z11" s="81" t="s">
        <v>84</v>
      </c>
      <c r="AA11" s="82" t="s">
        <v>39</v>
      </c>
      <c r="AC11" s="17" t="str" cm="1">
        <f t="array" ref="AC11">IFERROR(INDEX($AL$2:$AL$300, MATCH(0, COUNTIF($AC$2:AC10, $AL$2:$AL$300) + IF($AL$2:$AL$300="", 1, 0), 0)), "")</f>
        <v/>
      </c>
      <c r="AD11" s="9">
        <f t="shared" si="8"/>
        <v>0</v>
      </c>
      <c r="AE11" s="20">
        <f>SUM(AD$3:AD11)</f>
        <v>0</v>
      </c>
      <c r="AL11" s="18" t="str">
        <f>IF(COUNTIF($A$2:A10, A10) = 1, A10, "")</f>
        <v/>
      </c>
    </row>
    <row r="12" spans="1:38" x14ac:dyDescent="0.2">
      <c r="F12" t="str">
        <f t="shared" si="9"/>
        <v/>
      </c>
      <c r="L12" s="7" t="str">
        <f t="shared" si="10"/>
        <v/>
      </c>
      <c r="N12" s="7" t="str">
        <f t="shared" si="11"/>
        <v/>
      </c>
      <c r="O12" t="str">
        <f t="shared" si="12"/>
        <v/>
      </c>
      <c r="P12" t="str">
        <f t="shared" si="13"/>
        <v/>
      </c>
      <c r="Q12" t="str">
        <f t="shared" si="14"/>
        <v/>
      </c>
      <c r="S12" t="str">
        <f>""</f>
        <v/>
      </c>
      <c r="T12" s="109" t="s">
        <v>22</v>
      </c>
      <c r="U12" s="110"/>
      <c r="V12" s="58" t="str">
        <f>Master!D12</f>
        <v>Josh Allen</v>
      </c>
      <c r="X12" s="47" t="s">
        <v>17</v>
      </c>
      <c r="Y12" s="45">
        <f t="shared" ref="Y12:Y18" si="15">SUMIF(C:C,X12,N:N)</f>
        <v>0</v>
      </c>
      <c r="Z12" s="40">
        <f t="shared" ref="Z12:Z18" si="16">COUNTIF(C:C,X12)</f>
        <v>0</v>
      </c>
      <c r="AA12" s="41">
        <f t="shared" ref="AA12:AA18" si="17">IFERROR(COUNTIFS(C:C, X12)/COUNTA($C$2:$C$994),0)</f>
        <v>0</v>
      </c>
      <c r="AC12" s="17" t="str" cm="1">
        <f t="array" ref="AC12">IFERROR(INDEX($AL$2:$AL$300, MATCH(0, COUNTIF($AC$2:AC11, $AL$2:$AL$300) + IF($AL$2:$AL$300="", 1, 0), 0)), "")</f>
        <v/>
      </c>
      <c r="AD12" s="9">
        <f t="shared" si="8"/>
        <v>0</v>
      </c>
      <c r="AE12" s="19">
        <f>SUM(AD$3:AD12)</f>
        <v>0</v>
      </c>
      <c r="AL12" s="18" t="str">
        <f>IF(COUNTIF($A$2:A11, A11) = 1, A11, "")</f>
        <v/>
      </c>
    </row>
    <row r="13" spans="1:38" x14ac:dyDescent="0.2">
      <c r="F13" t="str">
        <f t="shared" si="9"/>
        <v/>
      </c>
      <c r="L13" s="7" t="str">
        <f t="shared" si="10"/>
        <v/>
      </c>
      <c r="N13" s="7" t="str">
        <f t="shared" si="11"/>
        <v/>
      </c>
      <c r="O13" t="str">
        <f t="shared" si="12"/>
        <v/>
      </c>
      <c r="P13" t="str">
        <f t="shared" si="13"/>
        <v/>
      </c>
      <c r="Q13" t="str">
        <f t="shared" si="14"/>
        <v/>
      </c>
      <c r="S13" t="str">
        <f>""</f>
        <v/>
      </c>
      <c r="T13" s="101" t="s">
        <v>99</v>
      </c>
      <c r="U13" s="102"/>
      <c r="V13" s="8" cm="1">
        <f t="array" ref="V13">SUM(IF(ISNUMBER(SEARCH(V12, SUBSTITUTE($P$2:$P$998, ",", ""))), 1, 0))</f>
        <v>0</v>
      </c>
      <c r="X13" s="48" t="s">
        <v>19</v>
      </c>
      <c r="Y13" s="43">
        <f t="shared" si="15"/>
        <v>0</v>
      </c>
      <c r="Z13" s="34">
        <f t="shared" si="16"/>
        <v>0</v>
      </c>
      <c r="AA13" s="41">
        <f t="shared" si="17"/>
        <v>0</v>
      </c>
      <c r="AC13" s="17" t="str" cm="1">
        <f t="array" ref="AC13">IFERROR(INDEX($AL$2:$AL$300, MATCH(0, COUNTIF($AC$2:AC12, $AL$2:$AL$300) + IF($AL$2:$AL$300="", 1, 0), 0)), "")</f>
        <v/>
      </c>
      <c r="AD13" s="9">
        <f t="shared" si="8"/>
        <v>0</v>
      </c>
      <c r="AE13" s="19">
        <f>SUM(AD$3:AD13)</f>
        <v>0</v>
      </c>
      <c r="AL13" s="18" t="str">
        <f>IF(COUNTIF($A$2:A12, A12) = 1, A12, "")</f>
        <v/>
      </c>
    </row>
    <row r="14" spans="1:38" x14ac:dyDescent="0.2">
      <c r="F14" t="str">
        <f t="shared" si="9"/>
        <v/>
      </c>
      <c r="L14" s="7" t="str">
        <f t="shared" si="10"/>
        <v/>
      </c>
      <c r="N14" s="7" t="str">
        <f t="shared" si="11"/>
        <v/>
      </c>
      <c r="O14" t="str">
        <f t="shared" si="12"/>
        <v/>
      </c>
      <c r="P14" t="str">
        <f t="shared" si="13"/>
        <v/>
      </c>
      <c r="Q14" t="str">
        <f t="shared" si="14"/>
        <v/>
      </c>
      <c r="S14" t="str">
        <f>""</f>
        <v/>
      </c>
      <c r="T14" s="101" t="s">
        <v>100</v>
      </c>
      <c r="U14" s="102"/>
      <c r="V14" s="8" cm="1">
        <f t="array" ref="V14">SUM(IF(ISNUMBER(SEARCH(V12, SUBSTITUTE($Q$2:$Q$998, ",", ""))), 1, 0))</f>
        <v>0</v>
      </c>
      <c r="X14" s="48" t="s">
        <v>25</v>
      </c>
      <c r="Y14" s="43">
        <f t="shared" si="15"/>
        <v>0</v>
      </c>
      <c r="Z14" s="34">
        <f t="shared" si="16"/>
        <v>0</v>
      </c>
      <c r="AA14" s="41">
        <f t="shared" si="17"/>
        <v>0</v>
      </c>
      <c r="AC14" s="17" t="str" cm="1">
        <f t="array" ref="AC14">IFERROR(INDEX($AL$2:$AL$300, MATCH(0, COUNTIF($AC$2:AC13, $AL$2:$AL$300) + IF($AL$2:$AL$300="", 1, 0), 0)), "")</f>
        <v/>
      </c>
      <c r="AD14" s="9">
        <f t="shared" si="8"/>
        <v>0</v>
      </c>
      <c r="AE14" s="19">
        <f>SUM(AD$3:AD14)</f>
        <v>0</v>
      </c>
      <c r="AL14" s="18" t="str">
        <f>IF(COUNTIF($A$2:A13, A13) = 1, A13, "")</f>
        <v/>
      </c>
    </row>
    <row r="15" spans="1:38" x14ac:dyDescent="0.2">
      <c r="F15" t="str">
        <f t="shared" si="9"/>
        <v/>
      </c>
      <c r="L15" s="7" t="str">
        <f t="shared" si="10"/>
        <v/>
      </c>
      <c r="N15" s="7" t="str">
        <f t="shared" si="11"/>
        <v/>
      </c>
      <c r="O15" t="str">
        <f t="shared" si="12"/>
        <v/>
      </c>
      <c r="P15" t="str">
        <f t="shared" si="13"/>
        <v/>
      </c>
      <c r="Q15" t="str">
        <f t="shared" si="14"/>
        <v/>
      </c>
      <c r="S15" t="str">
        <f>""</f>
        <v/>
      </c>
      <c r="T15" s="101" t="s">
        <v>28</v>
      </c>
      <c r="U15" s="102"/>
      <c r="V15" s="51" t="e">
        <f>1-(V14/V13)</f>
        <v>#DIV/0!</v>
      </c>
      <c r="X15" s="47" t="s">
        <v>26</v>
      </c>
      <c r="Y15" s="43">
        <f t="shared" si="15"/>
        <v>0</v>
      </c>
      <c r="Z15" s="34">
        <f t="shared" si="16"/>
        <v>0</v>
      </c>
      <c r="AA15" s="41">
        <f t="shared" si="17"/>
        <v>0</v>
      </c>
      <c r="AC15" s="17" t="str" cm="1">
        <f t="array" ref="AC15">IFERROR(INDEX($AL$2:$AL$300, MATCH(0, COUNTIF($AC$2:AC14, $AL$2:$AL$300) + IF($AL$2:$AL$300="", 1, 0), 0)), "")</f>
        <v/>
      </c>
      <c r="AD15" s="9">
        <f t="shared" si="8"/>
        <v>0</v>
      </c>
      <c r="AE15" s="20">
        <f>SUM(AD$3:AD15)</f>
        <v>0</v>
      </c>
      <c r="AL15" s="18" t="str">
        <f>IF(COUNTIF($A$2:A14, A14) = 1, A14, "")</f>
        <v/>
      </c>
    </row>
    <row r="16" spans="1:38" ht="17" thickBot="1" x14ac:dyDescent="0.25">
      <c r="F16" t="str">
        <f t="shared" si="9"/>
        <v/>
      </c>
      <c r="L16" s="7" t="str">
        <f t="shared" si="10"/>
        <v/>
      </c>
      <c r="N16" s="7" t="str">
        <f t="shared" si="11"/>
        <v/>
      </c>
      <c r="O16" t="str">
        <f t="shared" si="12"/>
        <v/>
      </c>
      <c r="P16" t="str">
        <f t="shared" si="13"/>
        <v/>
      </c>
      <c r="Q16" t="str">
        <f t="shared" si="14"/>
        <v/>
      </c>
      <c r="S16" t="str">
        <f>""</f>
        <v/>
      </c>
      <c r="T16" s="115" t="s">
        <v>9</v>
      </c>
      <c r="U16" s="116"/>
      <c r="V16" s="45" cm="1">
        <f t="array" ref="V16">SUMPRODUCT(--($D$2:$D$998="Straight"), --ISNUMBER(SEARCH(V12, SUBSTITUTE($P$2:$P$998, ",", ""))), $N$2:$N$998)</f>
        <v>0</v>
      </c>
      <c r="X16" s="48" t="s">
        <v>29</v>
      </c>
      <c r="Y16" s="43">
        <f t="shared" si="15"/>
        <v>0</v>
      </c>
      <c r="Z16" s="34">
        <f t="shared" si="16"/>
        <v>0</v>
      </c>
      <c r="AA16" s="41">
        <f t="shared" si="17"/>
        <v>0</v>
      </c>
      <c r="AC16" s="17" t="str" cm="1">
        <f t="array" ref="AC16">IFERROR(INDEX($AL$2:$AL$300, MATCH(0, COUNTIF($AC$2:AC15, $AL$2:$AL$300) + IF($AL$2:$AL$300="", 1, 0), 0)), "")</f>
        <v/>
      </c>
      <c r="AD16" s="9">
        <f t="shared" si="8"/>
        <v>0</v>
      </c>
      <c r="AE16" s="19">
        <f>SUM(AD$3:AD16)</f>
        <v>0</v>
      </c>
      <c r="AL16" s="18" t="str">
        <f>IF(COUNTIF($A$2:A15, A15) = 1, A15, "")</f>
        <v/>
      </c>
    </row>
    <row r="17" spans="6:38" ht="17" thickBot="1" x14ac:dyDescent="0.25">
      <c r="F17" t="str">
        <f t="shared" si="9"/>
        <v/>
      </c>
      <c r="L17" s="7" t="str">
        <f t="shared" si="10"/>
        <v/>
      </c>
      <c r="N17" s="7" t="str">
        <f t="shared" si="11"/>
        <v/>
      </c>
      <c r="O17" t="str">
        <f t="shared" si="12"/>
        <v/>
      </c>
      <c r="P17" t="str">
        <f t="shared" si="13"/>
        <v/>
      </c>
      <c r="Q17" t="str">
        <f t="shared" si="14"/>
        <v/>
      </c>
      <c r="S17" t="str">
        <f>""</f>
        <v/>
      </c>
      <c r="T17" s="117" t="s">
        <v>57</v>
      </c>
      <c r="U17" s="118"/>
      <c r="V17" s="119"/>
      <c r="X17" s="48" t="s">
        <v>30</v>
      </c>
      <c r="Y17" s="43">
        <f t="shared" si="15"/>
        <v>0</v>
      </c>
      <c r="Z17" s="34">
        <f t="shared" si="16"/>
        <v>0</v>
      </c>
      <c r="AA17" s="41">
        <f t="shared" si="17"/>
        <v>0</v>
      </c>
      <c r="AC17" s="17" t="str" cm="1">
        <f t="array" ref="AC17">IFERROR(INDEX($AL$2:$AL$300, MATCH(0, COUNTIF($AC$2:AC16, $AL$2:$AL$300) + IF($AL$2:$AL$300="", 1, 0), 0)), "")</f>
        <v/>
      </c>
      <c r="AD17" s="9">
        <f t="shared" si="8"/>
        <v>0</v>
      </c>
      <c r="AE17" s="19">
        <f>SUM(AD$3:AD17)</f>
        <v>0</v>
      </c>
      <c r="AL17" s="18" t="str">
        <f>IF(COUNTIF($A$2:A16, A16) = 1, A16, "")</f>
        <v/>
      </c>
    </row>
    <row r="18" spans="6:38" ht="17" thickBot="1" x14ac:dyDescent="0.25">
      <c r="F18" t="str">
        <f t="shared" si="9"/>
        <v/>
      </c>
      <c r="L18" s="7" t="str">
        <f t="shared" si="10"/>
        <v/>
      </c>
      <c r="N18" s="7" t="str">
        <f t="shared" si="11"/>
        <v/>
      </c>
      <c r="O18" t="str">
        <f t="shared" si="12"/>
        <v/>
      </c>
      <c r="P18" t="str">
        <f>IF(I18="No", "None", "")</f>
        <v/>
      </c>
      <c r="Q18" t="str">
        <f t="shared" si="14"/>
        <v/>
      </c>
      <c r="S18" t="str">
        <f>""</f>
        <v/>
      </c>
      <c r="X18" s="50" t="s">
        <v>82</v>
      </c>
      <c r="Y18" s="44">
        <f t="shared" si="15"/>
        <v>0</v>
      </c>
      <c r="Z18" s="35">
        <f t="shared" si="16"/>
        <v>0</v>
      </c>
      <c r="AA18" s="52">
        <f t="shared" si="17"/>
        <v>0</v>
      </c>
      <c r="AC18" s="17" t="str" cm="1">
        <f t="array" ref="AC18">IFERROR(INDEX($AL$2:$AL$300, MATCH(0, COUNTIF($AC$2:AC17, $AL$2:$AL$300) + IF($AL$2:$AL$300="", 1, 0), 0)), "")</f>
        <v/>
      </c>
      <c r="AD18" s="9">
        <f t="shared" si="8"/>
        <v>0</v>
      </c>
      <c r="AE18" s="19">
        <f>SUM(AD$3:AD18)</f>
        <v>0</v>
      </c>
      <c r="AL18" s="18" t="str">
        <f>IF(COUNTIF($A$2:A17, A17) = 1, A17, "")</f>
        <v/>
      </c>
    </row>
    <row r="19" spans="6:38" ht="17" thickBot="1" x14ac:dyDescent="0.25">
      <c r="F19" t="str">
        <f t="shared" si="9"/>
        <v/>
      </c>
      <c r="L19" s="7" t="str">
        <f t="shared" si="10"/>
        <v/>
      </c>
      <c r="N19" s="7" t="str">
        <f t="shared" si="11"/>
        <v/>
      </c>
      <c r="O19" t="str">
        <f t="shared" si="12"/>
        <v/>
      </c>
      <c r="P19" t="str">
        <f t="shared" ref="P19:P82" si="18">IF(I19="No", "None", "")</f>
        <v/>
      </c>
      <c r="Q19" t="str">
        <f t="shared" si="14"/>
        <v/>
      </c>
      <c r="S19" t="str">
        <f>""</f>
        <v/>
      </c>
      <c r="T19" s="103" t="s">
        <v>62</v>
      </c>
      <c r="U19" s="104"/>
      <c r="V19" s="13">
        <f>COUNTA(B:B) - 1</f>
        <v>0</v>
      </c>
      <c r="Y19" s="7"/>
      <c r="AC19" s="17" t="str" cm="1">
        <f t="array" ref="AC19">IFERROR(INDEX($AL$2:$AL$300, MATCH(0, COUNTIF($AC$2:AC18, $AL$2:$AL$300) + IF($AL$2:$AL$300="", 1, 0), 0)), "")</f>
        <v/>
      </c>
      <c r="AD19" s="9">
        <f t="shared" si="8"/>
        <v>0</v>
      </c>
      <c r="AE19" s="20">
        <f>SUM(AD$3:AD19)</f>
        <v>0</v>
      </c>
      <c r="AL19" s="18" t="str">
        <f>IF(COUNTIF($A$2:A18, A18) = 1, A18, "")</f>
        <v/>
      </c>
    </row>
    <row r="20" spans="6:38" ht="17" thickBot="1" x14ac:dyDescent="0.25">
      <c r="F20" t="str">
        <f t="shared" si="9"/>
        <v/>
      </c>
      <c r="L20" s="7" t="str">
        <f t="shared" si="10"/>
        <v/>
      </c>
      <c r="N20" s="7" t="str">
        <f t="shared" si="11"/>
        <v/>
      </c>
      <c r="O20" t="str">
        <f t="shared" si="12"/>
        <v/>
      </c>
      <c r="P20" t="str">
        <f t="shared" si="18"/>
        <v/>
      </c>
      <c r="Q20" t="str">
        <f t="shared" si="14"/>
        <v/>
      </c>
      <c r="S20" t="str">
        <f>""</f>
        <v/>
      </c>
      <c r="T20" s="111" t="s">
        <v>64</v>
      </c>
      <c r="U20" s="112"/>
      <c r="V20" s="24">
        <f>COUNTIF(M:M, "Yes")</f>
        <v>0</v>
      </c>
      <c r="X20" s="79" t="s">
        <v>50</v>
      </c>
      <c r="Y20" s="83" t="s">
        <v>9</v>
      </c>
      <c r="Z20" s="81" t="s">
        <v>84</v>
      </c>
      <c r="AA20" s="82" t="s">
        <v>39</v>
      </c>
      <c r="AC20" s="17" t="str" cm="1">
        <f t="array" ref="AC20">IFERROR(INDEX($AL$2:$AL$300, MATCH(0, COUNTIF($AC$2:AC19, $AL$2:$AL$300) + IF($AL$2:$AL$300="", 1, 0), 0)), "")</f>
        <v/>
      </c>
      <c r="AD20" s="9">
        <f t="shared" si="8"/>
        <v>0</v>
      </c>
      <c r="AE20" s="19">
        <f>SUM(AD$3:AD20)</f>
        <v>0</v>
      </c>
      <c r="AL20" s="18" t="str">
        <f>IF(COUNTIF($A$2:A19, A19) = 1, A19, "")</f>
        <v/>
      </c>
    </row>
    <row r="21" spans="6:38" x14ac:dyDescent="0.2">
      <c r="F21" t="str">
        <f t="shared" si="9"/>
        <v/>
      </c>
      <c r="L21" s="7" t="str">
        <f t="shared" si="10"/>
        <v/>
      </c>
      <c r="N21" s="7" t="str">
        <f t="shared" si="11"/>
        <v/>
      </c>
      <c r="O21" t="str">
        <f t="shared" si="12"/>
        <v/>
      </c>
      <c r="P21" t="str">
        <f t="shared" si="18"/>
        <v/>
      </c>
      <c r="Q21" t="str">
        <f t="shared" si="14"/>
        <v/>
      </c>
      <c r="S21" t="str">
        <f>""</f>
        <v/>
      </c>
      <c r="T21" s="111" t="s">
        <v>65</v>
      </c>
      <c r="U21" s="112"/>
      <c r="V21" s="25">
        <f>COUNTIF(M:M, "No")</f>
        <v>0</v>
      </c>
      <c r="X21" s="47" t="s">
        <v>20</v>
      </c>
      <c r="Y21" s="45">
        <f>SUMIF(D:D,X21,N:N)</f>
        <v>0</v>
      </c>
      <c r="Z21" s="40">
        <f>COUNTIF(D:D,X21)</f>
        <v>0</v>
      </c>
      <c r="AA21" s="41">
        <f>IFERROR(COUNTIFS(D:D, X21)/COUNTA($D$2:$D$994),0)</f>
        <v>0</v>
      </c>
      <c r="AC21" s="17" t="str" cm="1">
        <f t="array" ref="AC21">IFERROR(INDEX($AL$2:$AL$300, MATCH(0, COUNTIF($AC$2:AC20, $AL$2:$AL$300) + IF($AL$2:$AL$300="", 1, 0), 0)), "")</f>
        <v/>
      </c>
      <c r="AD21" s="9">
        <f t="shared" si="8"/>
        <v>0</v>
      </c>
      <c r="AE21" s="19">
        <f>SUM(AD$3:AD21)</f>
        <v>0</v>
      </c>
      <c r="AL21" s="18" t="str">
        <f>IF(COUNTIF($A$2:A20, A20) = 1, A20, "")</f>
        <v/>
      </c>
    </row>
    <row r="22" spans="6:38" ht="17" thickBot="1" x14ac:dyDescent="0.25">
      <c r="F22" t="str">
        <f t="shared" si="9"/>
        <v/>
      </c>
      <c r="L22" s="7" t="str">
        <f t="shared" si="10"/>
        <v/>
      </c>
      <c r="N22" s="7" t="str">
        <f t="shared" si="11"/>
        <v/>
      </c>
      <c r="O22" t="str">
        <f t="shared" si="12"/>
        <v/>
      </c>
      <c r="P22" t="str">
        <f t="shared" si="18"/>
        <v/>
      </c>
      <c r="Q22" t="str">
        <f t="shared" si="14"/>
        <v/>
      </c>
      <c r="S22" t="str">
        <f>""</f>
        <v/>
      </c>
      <c r="T22" s="107" t="s">
        <v>76</v>
      </c>
      <c r="U22" s="108"/>
      <c r="V22" s="14">
        <f>V19-V20-V21</f>
        <v>0</v>
      </c>
      <c r="X22" s="48" t="s">
        <v>18</v>
      </c>
      <c r="Y22" s="45">
        <f>SUMIF(D:D,X22,N:N)</f>
        <v>0</v>
      </c>
      <c r="Z22" s="34">
        <f>COUNTIF(D:D,X22)</f>
        <v>0</v>
      </c>
      <c r="AA22" s="41">
        <f>IFERROR(COUNTIFS(D:D, X22)/COUNTA($D$2:$D$994),0)</f>
        <v>0</v>
      </c>
      <c r="AC22" s="17" t="str" cm="1">
        <f t="array" ref="AC22">IFERROR(INDEX($AL$2:$AL$300, MATCH(0, COUNTIF($AC$2:AC21, $AL$2:$AL$300) + IF($AL$2:$AL$300="", 1, 0), 0)), "")</f>
        <v/>
      </c>
      <c r="AD22" s="9">
        <f t="shared" si="8"/>
        <v>0</v>
      </c>
      <c r="AE22" s="19">
        <f>SUM(AD$3:AD22)</f>
        <v>0</v>
      </c>
      <c r="AL22" s="18" t="str">
        <f>IF(COUNTIF($A$2:A21, A21) = 1, A21, "")</f>
        <v/>
      </c>
    </row>
    <row r="23" spans="6:38" ht="17" thickBot="1" x14ac:dyDescent="0.25">
      <c r="F23" t="str">
        <f t="shared" si="9"/>
        <v/>
      </c>
      <c r="L23" s="7" t="str">
        <f t="shared" si="10"/>
        <v/>
      </c>
      <c r="N23" s="7" t="str">
        <f t="shared" si="11"/>
        <v/>
      </c>
      <c r="O23" t="str">
        <f t="shared" si="12"/>
        <v/>
      </c>
      <c r="P23" t="str">
        <f t="shared" si="18"/>
        <v/>
      </c>
      <c r="Q23" t="str">
        <f t="shared" si="14"/>
        <v/>
      </c>
      <c r="S23" t="str">
        <f>""</f>
        <v/>
      </c>
      <c r="X23" s="50" t="s">
        <v>31</v>
      </c>
      <c r="Y23" s="44">
        <f>SUMIF(D:D,X23,N:N)</f>
        <v>0</v>
      </c>
      <c r="Z23" s="35">
        <f>COUNTIF(D:D,X23)</f>
        <v>0</v>
      </c>
      <c r="AA23" s="52">
        <f>IFERROR(COUNTIFS(D:D, X23)/COUNTA($D$2:$D$994),0)</f>
        <v>0</v>
      </c>
      <c r="AC23" s="17" t="str" cm="1">
        <f t="array" ref="AC23">IFERROR(INDEX($AL$2:$AL$300, MATCH(0, COUNTIF($AC$2:AC22, $AL$2:$AL$300) + IF($AL$2:$AL$300="", 1, 0), 0)), "")</f>
        <v/>
      </c>
      <c r="AD23" s="9">
        <f t="shared" si="8"/>
        <v>0</v>
      </c>
      <c r="AE23" s="20">
        <f>SUM(AD$3:AD23)</f>
        <v>0</v>
      </c>
      <c r="AL23" s="18" t="str">
        <f>IF(COUNTIF($A$2:A22, A22) = 1, A22, "")</f>
        <v/>
      </c>
    </row>
    <row r="24" spans="6:38" ht="17" thickBot="1" x14ac:dyDescent="0.25">
      <c r="F24" t="str">
        <f t="shared" si="9"/>
        <v/>
      </c>
      <c r="L24" s="7" t="str">
        <f t="shared" si="10"/>
        <v/>
      </c>
      <c r="N24" s="7" t="str">
        <f t="shared" si="11"/>
        <v/>
      </c>
      <c r="O24" t="str">
        <f t="shared" si="12"/>
        <v/>
      </c>
      <c r="P24" t="str">
        <f t="shared" si="18"/>
        <v/>
      </c>
      <c r="Q24" t="str">
        <f t="shared" si="14"/>
        <v/>
      </c>
      <c r="S24" t="str">
        <f>""</f>
        <v/>
      </c>
      <c r="Y24" s="60"/>
      <c r="AC24" s="17" t="str" cm="1">
        <f t="array" ref="AC24">IFERROR(INDEX($AL$2:$AL$300, MATCH(0, COUNTIF($AC$2:AC23, $AL$2:$AL$300) + IF($AL$2:$AL$300="", 1, 0), 0)), "")</f>
        <v/>
      </c>
      <c r="AD24" s="9">
        <f t="shared" si="8"/>
        <v>0</v>
      </c>
      <c r="AE24" s="19">
        <f>SUM(AD$3:AD24)</f>
        <v>0</v>
      </c>
      <c r="AL24" s="18" t="str">
        <f>IF(COUNTIF($A$2:A23, A23) = 1, A23, "")</f>
        <v/>
      </c>
    </row>
    <row r="25" spans="6:38" ht="17" thickBot="1" x14ac:dyDescent="0.25">
      <c r="F25" t="str">
        <f t="shared" si="9"/>
        <v/>
      </c>
      <c r="L25" s="7" t="str">
        <f t="shared" si="10"/>
        <v/>
      </c>
      <c r="N25" s="7" t="str">
        <f t="shared" si="11"/>
        <v/>
      </c>
      <c r="O25" t="str">
        <f t="shared" si="12"/>
        <v/>
      </c>
      <c r="P25" t="str">
        <f t="shared" si="18"/>
        <v/>
      </c>
      <c r="Q25" t="str">
        <f t="shared" si="14"/>
        <v/>
      </c>
      <c r="S25" t="str">
        <f>""</f>
        <v/>
      </c>
      <c r="X25" s="79" t="s">
        <v>12</v>
      </c>
      <c r="Y25" s="83" t="s">
        <v>9</v>
      </c>
      <c r="Z25" s="81" t="s">
        <v>84</v>
      </c>
      <c r="AA25" s="82" t="s">
        <v>39</v>
      </c>
      <c r="AC25" s="21" t="str" cm="1">
        <f t="array" ref="AC25">IFERROR(INDEX($AL$2:$AL$300, MATCH(0, COUNTIF($AC$2:AC24, $AL$2:$AL$300) + IF($AL$2:$AL$300="", 1, 0), 0)), "")</f>
        <v/>
      </c>
      <c r="AD25" s="22">
        <f t="shared" si="8"/>
        <v>0</v>
      </c>
      <c r="AE25" s="23">
        <f>SUM(AD$3:AD25)</f>
        <v>0</v>
      </c>
      <c r="AL25" s="18" t="str">
        <f>IF(COUNTIF($A$2:A24, A24) = 1, A24, "")</f>
        <v/>
      </c>
    </row>
    <row r="26" spans="6:38" x14ac:dyDescent="0.2">
      <c r="F26" t="str">
        <f t="shared" si="9"/>
        <v/>
      </c>
      <c r="L26" s="7" t="str">
        <f t="shared" si="10"/>
        <v/>
      </c>
      <c r="N26" s="7" t="str">
        <f t="shared" si="11"/>
        <v/>
      </c>
      <c r="O26" t="str">
        <f t="shared" si="12"/>
        <v/>
      </c>
      <c r="P26" t="str">
        <f t="shared" si="18"/>
        <v/>
      </c>
      <c r="Q26" t="str">
        <f t="shared" si="14"/>
        <v/>
      </c>
      <c r="S26" t="str">
        <f>""</f>
        <v/>
      </c>
      <c r="X26" s="47" t="s">
        <v>32</v>
      </c>
      <c r="Y26" s="45">
        <f>SUMIFS(N:N, E:E, "&lt;-150")</f>
        <v>0</v>
      </c>
      <c r="Z26" s="40">
        <f>COUNTIFS(E:E, "&lt; -150")</f>
        <v>0</v>
      </c>
      <c r="AA26" s="41">
        <f>IFERROR(COUNTIFS(E:E, "&lt; -150")/COUNTA($E$2:$E$993),0)</f>
        <v>0</v>
      </c>
      <c r="AC26" s="59"/>
      <c r="AD26" s="7"/>
      <c r="AE26" s="7"/>
      <c r="AL26" s="18" t="str">
        <f>IF(COUNTIF($A$2:A25, A25) = 1, A25, "")</f>
        <v/>
      </c>
    </row>
    <row r="27" spans="6:38" x14ac:dyDescent="0.2">
      <c r="F27" t="str">
        <f t="shared" si="9"/>
        <v/>
      </c>
      <c r="L27" s="7" t="str">
        <f t="shared" si="10"/>
        <v/>
      </c>
      <c r="N27" s="7" t="str">
        <f t="shared" si="11"/>
        <v/>
      </c>
      <c r="O27" t="str">
        <f t="shared" si="12"/>
        <v/>
      </c>
      <c r="P27" t="str">
        <f t="shared" si="18"/>
        <v/>
      </c>
      <c r="Q27" t="str">
        <f t="shared" si="14"/>
        <v/>
      </c>
      <c r="S27" t="str">
        <f>""</f>
        <v/>
      </c>
      <c r="X27" s="48" t="s">
        <v>33</v>
      </c>
      <c r="Y27" s="45">
        <f>SUMIFS(N:N, E:E, "&gt;=-150", E:E, "&lt;100")</f>
        <v>0</v>
      </c>
      <c r="Z27" s="34">
        <f>COUNTIFS(E:E, "&lt; 100", E:E, "&gt;=-150")</f>
        <v>0</v>
      </c>
      <c r="AA27" s="38">
        <f>IFERROR(COUNTIFS(E:E, "&lt; 100", E:E, "&gt;=-150")/COUNTA($E$2:$E$6993),0)</f>
        <v>0</v>
      </c>
      <c r="AC27" s="59"/>
      <c r="AD27" s="7"/>
      <c r="AE27" s="7"/>
      <c r="AL27" s="18" t="str">
        <f>IF(COUNTIF($A$2:A26, A26) = 1, A26, "")</f>
        <v/>
      </c>
    </row>
    <row r="28" spans="6:38" x14ac:dyDescent="0.2">
      <c r="F28" t="str">
        <f t="shared" si="9"/>
        <v/>
      </c>
      <c r="L28" s="7" t="str">
        <f t="shared" si="10"/>
        <v/>
      </c>
      <c r="N28" s="7" t="str">
        <f t="shared" si="11"/>
        <v/>
      </c>
      <c r="O28" t="str">
        <f t="shared" si="12"/>
        <v/>
      </c>
      <c r="P28" t="str">
        <f t="shared" si="18"/>
        <v/>
      </c>
      <c r="Q28" t="str">
        <f t="shared" si="14"/>
        <v/>
      </c>
      <c r="S28" t="str">
        <f>""</f>
        <v/>
      </c>
      <c r="X28" s="48" t="s">
        <v>34</v>
      </c>
      <c r="Y28" s="45">
        <f>SUMIFS(N:N, E:E, "&gt;=100", E:E, "&lt;125")</f>
        <v>0</v>
      </c>
      <c r="Z28" s="34">
        <f>COUNTIFS(E:E, "&lt; 125", E:E, "&gt;=100")</f>
        <v>0</v>
      </c>
      <c r="AA28" s="38">
        <f>IFERROR(COUNTIFS(E:E, "&lt; 125", E:E, "&gt;=100")/COUNTA($E$2:$E$6993),0)</f>
        <v>0</v>
      </c>
      <c r="AC28" s="59"/>
      <c r="AD28" s="7"/>
      <c r="AE28" s="7"/>
      <c r="AL28" s="18" t="str">
        <f>IF(COUNTIF($A$2:A27, A27) = 1, A27, "")</f>
        <v/>
      </c>
    </row>
    <row r="29" spans="6:38" x14ac:dyDescent="0.2">
      <c r="F29" t="str">
        <f t="shared" si="9"/>
        <v/>
      </c>
      <c r="L29" s="7" t="str">
        <f t="shared" si="10"/>
        <v/>
      </c>
      <c r="N29" s="7" t="str">
        <f t="shared" si="11"/>
        <v/>
      </c>
      <c r="O29" t="str">
        <f t="shared" si="12"/>
        <v/>
      </c>
      <c r="P29" t="str">
        <f t="shared" si="18"/>
        <v/>
      </c>
      <c r="Q29" t="str">
        <f t="shared" si="14"/>
        <v/>
      </c>
      <c r="S29" t="str">
        <f>""</f>
        <v/>
      </c>
      <c r="X29" s="47" t="s">
        <v>35</v>
      </c>
      <c r="Y29" s="45">
        <f>SUMIFS(N:N, E:E, "&gt;=125", E:E, "&lt;150")</f>
        <v>0</v>
      </c>
      <c r="Z29" s="40">
        <f>COUNTIFS(E:E, "&lt; 150", E:E, "&gt;=125")</f>
        <v>0</v>
      </c>
      <c r="AA29" s="41">
        <f>IFERROR(COUNTIFS(E:E, "&lt; 150", E:E, "&gt;=125")/COUNTA($E$2:$E$6993),0)</f>
        <v>0</v>
      </c>
      <c r="AC29" s="59"/>
      <c r="AD29" s="7"/>
      <c r="AE29" s="7"/>
      <c r="AL29" s="18" t="str">
        <f>IF(COUNTIF($A$2:A28, A28) = 1, A28, "")</f>
        <v/>
      </c>
    </row>
    <row r="30" spans="6:38" x14ac:dyDescent="0.2">
      <c r="F30" t="str">
        <f t="shared" si="9"/>
        <v/>
      </c>
      <c r="L30" s="7" t="str">
        <f t="shared" si="10"/>
        <v/>
      </c>
      <c r="N30" s="7" t="str">
        <f t="shared" si="11"/>
        <v/>
      </c>
      <c r="O30" t="str">
        <f t="shared" si="12"/>
        <v/>
      </c>
      <c r="P30" t="str">
        <f t="shared" si="18"/>
        <v/>
      </c>
      <c r="Q30" t="str">
        <f t="shared" si="14"/>
        <v/>
      </c>
      <c r="S30" t="str">
        <f>""</f>
        <v/>
      </c>
      <c r="X30" s="48" t="s">
        <v>36</v>
      </c>
      <c r="Y30" s="45">
        <f>SUMIFS(N:N, E:E, "&gt;=150", E:E, "&lt;200")</f>
        <v>0</v>
      </c>
      <c r="Z30" s="34">
        <f>COUNTIFS(E:E, "&lt; 200", E:E, "&gt;=150")</f>
        <v>0</v>
      </c>
      <c r="AA30" s="38">
        <f>IFERROR(COUNTIFS(E:E, "&lt; 200", E:E, "&gt;=150")/COUNTA($E$2:$E$6993),0)</f>
        <v>0</v>
      </c>
      <c r="AC30" s="59"/>
      <c r="AD30" s="7"/>
      <c r="AE30" s="7"/>
      <c r="AL30" s="18" t="str">
        <f>IF(COUNTIF($A$2:A29, A29) = 1, A29, "")</f>
        <v/>
      </c>
    </row>
    <row r="31" spans="6:38" ht="17" thickBot="1" x14ac:dyDescent="0.25">
      <c r="F31" t="str">
        <f t="shared" si="9"/>
        <v/>
      </c>
      <c r="L31" s="7" t="str">
        <f t="shared" si="10"/>
        <v/>
      </c>
      <c r="N31" s="7" t="str">
        <f t="shared" si="11"/>
        <v/>
      </c>
      <c r="O31" t="str">
        <f t="shared" si="12"/>
        <v/>
      </c>
      <c r="P31" t="str">
        <f t="shared" si="18"/>
        <v/>
      </c>
      <c r="Q31" t="str">
        <f t="shared" si="14"/>
        <v/>
      </c>
      <c r="S31" t="str">
        <f>""</f>
        <v/>
      </c>
      <c r="X31" s="49" t="s">
        <v>37</v>
      </c>
      <c r="Y31" s="44">
        <f>SUMIFS(N:N, E:E, "&gt;=200")</f>
        <v>0</v>
      </c>
      <c r="Z31" s="35">
        <f>COUNTIFS(E:E, "&gt;=200")</f>
        <v>0</v>
      </c>
      <c r="AA31" s="39">
        <f>IFERROR(COUNTIFS(E:E, "&gt;=200")/COUNTA($E$2:$E$69993),0)</f>
        <v>0</v>
      </c>
      <c r="AC31" s="59"/>
      <c r="AD31" s="7"/>
      <c r="AE31" s="7"/>
      <c r="AL31" s="18" t="str">
        <f>IF(COUNTIF($A$2:A30, A30) = 1, A30, "")</f>
        <v/>
      </c>
    </row>
    <row r="32" spans="6:38" ht="17" thickBot="1" x14ac:dyDescent="0.25">
      <c r="F32" t="str">
        <f t="shared" si="9"/>
        <v/>
      </c>
      <c r="L32" s="7" t="str">
        <f t="shared" si="10"/>
        <v/>
      </c>
      <c r="N32" s="7" t="str">
        <f t="shared" si="11"/>
        <v/>
      </c>
      <c r="O32" t="str">
        <f t="shared" si="12"/>
        <v/>
      </c>
      <c r="P32" t="str">
        <f t="shared" si="18"/>
        <v/>
      </c>
      <c r="Q32" t="str">
        <f t="shared" si="14"/>
        <v/>
      </c>
      <c r="S32" t="str">
        <f>""</f>
        <v/>
      </c>
      <c r="Y32" s="60"/>
      <c r="AC32" s="59"/>
      <c r="AD32" s="7"/>
      <c r="AE32" s="7"/>
      <c r="AL32" s="18" t="str">
        <f>IF(COUNTIF($A$2:A31, A31) = 1, A31, "")</f>
        <v/>
      </c>
    </row>
    <row r="33" spans="6:38" ht="17" thickBot="1" x14ac:dyDescent="0.25">
      <c r="F33" t="str">
        <f t="shared" si="9"/>
        <v/>
      </c>
      <c r="L33" s="7" t="str">
        <f t="shared" si="10"/>
        <v/>
      </c>
      <c r="N33" s="7" t="str">
        <f t="shared" si="11"/>
        <v/>
      </c>
      <c r="O33" t="str">
        <f t="shared" si="12"/>
        <v/>
      </c>
      <c r="P33" t="str">
        <f t="shared" si="18"/>
        <v/>
      </c>
      <c r="Q33" t="str">
        <f t="shared" si="14"/>
        <v/>
      </c>
      <c r="S33" t="str">
        <f>""</f>
        <v/>
      </c>
      <c r="X33" s="79" t="s">
        <v>3</v>
      </c>
      <c r="Y33" s="83" t="s">
        <v>9</v>
      </c>
      <c r="Z33" s="81" t="s">
        <v>84</v>
      </c>
      <c r="AA33" s="82" t="s">
        <v>39</v>
      </c>
      <c r="AC33" s="59"/>
      <c r="AD33" s="7"/>
      <c r="AE33" s="7"/>
      <c r="AL33" s="18" t="str">
        <f>IF(COUNTIF($A$2:A32, A32) = 1, A32, "")</f>
        <v/>
      </c>
    </row>
    <row r="34" spans="6:38" x14ac:dyDescent="0.2">
      <c r="F34" t="str">
        <f t="shared" si="9"/>
        <v/>
      </c>
      <c r="L34" s="7" t="str">
        <f t="shared" si="10"/>
        <v/>
      </c>
      <c r="N34" s="7" t="str">
        <f t="shared" si="11"/>
        <v/>
      </c>
      <c r="O34" t="str">
        <f t="shared" si="12"/>
        <v/>
      </c>
      <c r="P34" t="str">
        <f t="shared" si="18"/>
        <v/>
      </c>
      <c r="Q34" t="str">
        <f t="shared" si="14"/>
        <v/>
      </c>
      <c r="S34" t="str">
        <f>""</f>
        <v/>
      </c>
      <c r="X34" s="47">
        <v>1</v>
      </c>
      <c r="Y34" s="45">
        <f>SUMIFS(N:N, F:F, X34)</f>
        <v>0</v>
      </c>
      <c r="Z34" s="40">
        <f>COUNTIF(F:F,X34)</f>
        <v>0</v>
      </c>
      <c r="AA34" s="41">
        <f>IFERROR(COUNTIFS(F:F, X34)/COUNTA($E$2:$E$993),0)</f>
        <v>0</v>
      </c>
      <c r="AC34" s="59"/>
      <c r="AD34" s="7"/>
      <c r="AE34" s="7"/>
      <c r="AL34" s="18" t="str">
        <f>IF(COUNTIF($A$2:A33, A33) = 1, A33, "")</f>
        <v/>
      </c>
    </row>
    <row r="35" spans="6:38" x14ac:dyDescent="0.2">
      <c r="F35" t="str">
        <f t="shared" si="9"/>
        <v/>
      </c>
      <c r="L35" s="7" t="str">
        <f t="shared" si="10"/>
        <v/>
      </c>
      <c r="N35" s="7" t="str">
        <f t="shared" si="11"/>
        <v/>
      </c>
      <c r="O35" t="str">
        <f t="shared" si="12"/>
        <v/>
      </c>
      <c r="P35" t="str">
        <f t="shared" si="18"/>
        <v/>
      </c>
      <c r="Q35" t="str">
        <f t="shared" si="14"/>
        <v/>
      </c>
      <c r="S35" t="str">
        <f>""</f>
        <v/>
      </c>
      <c r="X35" s="48">
        <v>2</v>
      </c>
      <c r="Y35" s="45">
        <f>SUMIFS(N:N, F:F, X35)</f>
        <v>0</v>
      </c>
      <c r="Z35" s="34">
        <f>COUNTIF(F:F,X35)</f>
        <v>0</v>
      </c>
      <c r="AA35" s="41">
        <f>IFERROR(COUNTIFS(F:F, X35)/COUNTA($E$2:$E$993),0)</f>
        <v>0</v>
      </c>
      <c r="AC35" s="59"/>
      <c r="AD35" s="7"/>
      <c r="AE35" s="7"/>
      <c r="AL35" s="18" t="str">
        <f>IF(COUNTIF($A$2:A34, A34) = 1, A34, "")</f>
        <v/>
      </c>
    </row>
    <row r="36" spans="6:38" x14ac:dyDescent="0.2">
      <c r="F36" t="str">
        <f t="shared" si="9"/>
        <v/>
      </c>
      <c r="L36" s="7" t="str">
        <f t="shared" si="10"/>
        <v/>
      </c>
      <c r="N36" s="7" t="str">
        <f t="shared" si="11"/>
        <v/>
      </c>
      <c r="O36" t="str">
        <f t="shared" si="12"/>
        <v/>
      </c>
      <c r="P36" t="str">
        <f t="shared" si="18"/>
        <v/>
      </c>
      <c r="Q36" t="str">
        <f t="shared" si="14"/>
        <v/>
      </c>
      <c r="S36" t="str">
        <f>""</f>
        <v/>
      </c>
      <c r="X36" s="48">
        <v>3</v>
      </c>
      <c r="Y36" s="45">
        <f>SUMIFS(N:N, F:F, X36)</f>
        <v>0</v>
      </c>
      <c r="Z36" s="34">
        <f>COUNTIF(F:F,X36)</f>
        <v>0</v>
      </c>
      <c r="AA36" s="41">
        <f>IFERROR(COUNTIFS(F:F, X36)/COUNTA($E$2:$E$993),0)</f>
        <v>0</v>
      </c>
      <c r="AD36" s="7"/>
      <c r="AE36" s="7"/>
      <c r="AL36" s="18" t="str">
        <f>IF(COUNTIF($A$2:A35, A35) = 1, A35, "")</f>
        <v/>
      </c>
    </row>
    <row r="37" spans="6:38" x14ac:dyDescent="0.2">
      <c r="F37" t="str">
        <f t="shared" si="9"/>
        <v/>
      </c>
      <c r="L37" s="7" t="str">
        <f t="shared" si="10"/>
        <v/>
      </c>
      <c r="N37" s="7" t="str">
        <f t="shared" si="11"/>
        <v/>
      </c>
      <c r="O37" t="str">
        <f t="shared" si="12"/>
        <v/>
      </c>
      <c r="P37" t="str">
        <f t="shared" si="18"/>
        <v/>
      </c>
      <c r="Q37" t="str">
        <f t="shared" si="14"/>
        <v/>
      </c>
      <c r="S37" t="str">
        <f>""</f>
        <v/>
      </c>
      <c r="X37" s="47">
        <v>4</v>
      </c>
      <c r="Y37" s="45">
        <f>SUMIFS(N:N, F:F, X37)</f>
        <v>0</v>
      </c>
      <c r="Z37" s="34">
        <f>COUNTIF(F:F,X37)</f>
        <v>0</v>
      </c>
      <c r="AA37" s="41">
        <f>IFERROR(COUNTIFS(F:F, X37)/COUNTA($E$2:$E$993),0)</f>
        <v>0</v>
      </c>
      <c r="AD37" s="7"/>
      <c r="AE37" s="7"/>
      <c r="AL37" s="18" t="str">
        <f>IF(COUNTIF($A$2:A36, A36) = 1, A36, "")</f>
        <v/>
      </c>
    </row>
    <row r="38" spans="6:38" ht="17" thickBot="1" x14ac:dyDescent="0.25">
      <c r="F38" t="str">
        <f t="shared" si="9"/>
        <v/>
      </c>
      <c r="L38" s="7" t="str">
        <f t="shared" si="10"/>
        <v/>
      </c>
      <c r="N38" s="7" t="str">
        <f t="shared" si="11"/>
        <v/>
      </c>
      <c r="O38" t="str">
        <f t="shared" si="12"/>
        <v/>
      </c>
      <c r="P38" t="str">
        <f t="shared" si="18"/>
        <v/>
      </c>
      <c r="Q38" t="str">
        <f t="shared" si="14"/>
        <v/>
      </c>
      <c r="S38" t="str">
        <f>""</f>
        <v/>
      </c>
      <c r="X38" s="49" t="s">
        <v>88</v>
      </c>
      <c r="Y38" s="44">
        <f>SUMIFS(N:N, F:F, "&gt;4")</f>
        <v>0</v>
      </c>
      <c r="Z38" s="35">
        <f>COUNTIF(F:F,"&gt;4")</f>
        <v>0</v>
      </c>
      <c r="AA38" s="52">
        <f>IFERROR(COUNTIFS(F:F, X38)/COUNTA($E$2:$E$993),0)</f>
        <v>0</v>
      </c>
      <c r="AD38" s="7"/>
      <c r="AE38" s="7"/>
      <c r="AL38" s="18" t="str">
        <f>IF(COUNTIF($A$2:A37, A37) = 1, A37, "")</f>
        <v/>
      </c>
    </row>
    <row r="39" spans="6:38" ht="17" thickBot="1" x14ac:dyDescent="0.25">
      <c r="F39" t="str">
        <f t="shared" si="9"/>
        <v/>
      </c>
      <c r="L39" s="7" t="str">
        <f t="shared" si="10"/>
        <v/>
      </c>
      <c r="N39" s="7" t="str">
        <f t="shared" si="11"/>
        <v/>
      </c>
      <c r="O39" t="str">
        <f t="shared" si="12"/>
        <v/>
      </c>
      <c r="P39" t="str">
        <f t="shared" si="18"/>
        <v/>
      </c>
      <c r="Q39" t="str">
        <f t="shared" si="14"/>
        <v/>
      </c>
      <c r="S39" t="str">
        <f>""</f>
        <v/>
      </c>
      <c r="Y39" s="60"/>
      <c r="AD39" s="7"/>
      <c r="AE39" s="7"/>
      <c r="AL39" s="18" t="str">
        <f>IF(COUNTIF($A$2:A38, A38) = 1, A38, "")</f>
        <v/>
      </c>
    </row>
    <row r="40" spans="6:38" ht="17" thickBot="1" x14ac:dyDescent="0.25">
      <c r="F40" t="str">
        <f t="shared" si="9"/>
        <v/>
      </c>
      <c r="L40" s="7" t="str">
        <f t="shared" si="10"/>
        <v/>
      </c>
      <c r="N40" s="7" t="str">
        <f t="shared" si="11"/>
        <v/>
      </c>
      <c r="O40" t="str">
        <f t="shared" si="12"/>
        <v/>
      </c>
      <c r="P40" t="str">
        <f t="shared" si="18"/>
        <v/>
      </c>
      <c r="Q40" t="str">
        <f t="shared" si="14"/>
        <v/>
      </c>
      <c r="S40" t="str">
        <f>""</f>
        <v/>
      </c>
      <c r="X40" s="79" t="s">
        <v>38</v>
      </c>
      <c r="Y40" s="83" t="s">
        <v>9</v>
      </c>
      <c r="Z40" s="81" t="s">
        <v>84</v>
      </c>
      <c r="AA40" s="82" t="s">
        <v>39</v>
      </c>
      <c r="AD40" s="7"/>
      <c r="AE40" s="7"/>
      <c r="AL40" s="18" t="str">
        <f>IF(COUNTIF($A$2:A39, A39) = 1, A39, "")</f>
        <v/>
      </c>
    </row>
    <row r="41" spans="6:38" x14ac:dyDescent="0.2">
      <c r="F41" t="str">
        <f t="shared" si="9"/>
        <v/>
      </c>
      <c r="L41" s="7" t="str">
        <f t="shared" si="10"/>
        <v/>
      </c>
      <c r="N41" s="7" t="str">
        <f t="shared" si="11"/>
        <v/>
      </c>
      <c r="O41" t="str">
        <f t="shared" si="12"/>
        <v/>
      </c>
      <c r="P41" t="str">
        <f t="shared" si="18"/>
        <v/>
      </c>
      <c r="Q41" t="str">
        <f t="shared" si="14"/>
        <v/>
      </c>
      <c r="S41" t="str">
        <f>""</f>
        <v/>
      </c>
      <c r="X41" s="47" t="s">
        <v>4</v>
      </c>
      <c r="Y41" s="45">
        <f>SUMIFS(N:N,G:G, "Yes")</f>
        <v>0</v>
      </c>
      <c r="Z41" s="40">
        <f>COUNTIF(G:G,"Yes")</f>
        <v>0</v>
      </c>
      <c r="AA41" s="41">
        <f>IFERROR(COUNTIFS(G:G, "Yes")/COUNTA($G$2:$G$994),0)</f>
        <v>0</v>
      </c>
      <c r="AD41" s="7"/>
      <c r="AE41" s="7"/>
      <c r="AL41" s="18" t="str">
        <f>IF(COUNTIF($A$2:A40, A40) = 1, A40, "")</f>
        <v/>
      </c>
    </row>
    <row r="42" spans="6:38" x14ac:dyDescent="0.2">
      <c r="F42" t="str">
        <f t="shared" si="9"/>
        <v/>
      </c>
      <c r="L42" s="7" t="str">
        <f t="shared" si="10"/>
        <v/>
      </c>
      <c r="N42" s="7" t="str">
        <f t="shared" si="11"/>
        <v/>
      </c>
      <c r="O42" t="str">
        <f t="shared" si="12"/>
        <v/>
      </c>
      <c r="P42" t="str">
        <f t="shared" si="18"/>
        <v/>
      </c>
      <c r="Q42" t="str">
        <f t="shared" si="14"/>
        <v/>
      </c>
      <c r="S42" t="str">
        <f>""</f>
        <v/>
      </c>
      <c r="X42" s="48" t="s">
        <v>5</v>
      </c>
      <c r="Y42" s="45">
        <f>SUMIFS(N:N,H:H, "Yes")</f>
        <v>0</v>
      </c>
      <c r="Z42" s="34">
        <f>COUNTIF(H:H,"Yes")</f>
        <v>0</v>
      </c>
      <c r="AA42" s="38">
        <f>IFERROR(COUNTIFS(H:H, "Yes")/COUNTA($G$2:$G$994),0)</f>
        <v>0</v>
      </c>
      <c r="AD42" s="7"/>
      <c r="AE42" s="7"/>
      <c r="AL42" s="18" t="str">
        <f>IF(COUNTIF($A$2:A41, A41) = 1, A41, "")</f>
        <v/>
      </c>
    </row>
    <row r="43" spans="6:38" ht="17" thickBot="1" x14ac:dyDescent="0.25">
      <c r="F43" t="str">
        <f t="shared" si="9"/>
        <v/>
      </c>
      <c r="L43" s="7" t="str">
        <f t="shared" si="10"/>
        <v/>
      </c>
      <c r="N43" s="7" t="str">
        <f t="shared" si="11"/>
        <v/>
      </c>
      <c r="O43" t="str">
        <f t="shared" si="12"/>
        <v/>
      </c>
      <c r="P43" t="str">
        <f t="shared" si="18"/>
        <v/>
      </c>
      <c r="Q43" t="str">
        <f t="shared" si="14"/>
        <v/>
      </c>
      <c r="S43" t="str">
        <f>""</f>
        <v/>
      </c>
      <c r="X43" s="50" t="s">
        <v>6</v>
      </c>
      <c r="Y43" s="45">
        <f>SUMIFS(N:N,I:I, "Yes")</f>
        <v>0</v>
      </c>
      <c r="Z43" s="42">
        <f>COUNTIF(I:I,"Yes")</f>
        <v>0</v>
      </c>
      <c r="AA43" s="39">
        <f>IFERROR(COUNTIFS(I:I, "Yes")/COUNTA($G$2:$G$994),0)</f>
        <v>0</v>
      </c>
      <c r="AD43" s="7"/>
      <c r="AE43" s="7"/>
      <c r="AL43" s="18" t="str">
        <f>IF(COUNTIF($A$2:A42, A42) = 1, A42, "")</f>
        <v/>
      </c>
    </row>
    <row r="44" spans="6:38" ht="17" thickBot="1" x14ac:dyDescent="0.25">
      <c r="F44" t="str">
        <f t="shared" si="9"/>
        <v/>
      </c>
      <c r="L44" s="7" t="str">
        <f t="shared" si="10"/>
        <v/>
      </c>
      <c r="N44" s="7" t="str">
        <f t="shared" si="11"/>
        <v/>
      </c>
      <c r="O44" t="str">
        <f t="shared" si="12"/>
        <v/>
      </c>
      <c r="P44" t="str">
        <f t="shared" si="18"/>
        <v/>
      </c>
      <c r="Q44" t="str">
        <f t="shared" si="14"/>
        <v/>
      </c>
      <c r="S44" t="str">
        <f>""</f>
        <v/>
      </c>
      <c r="Y44" s="60"/>
      <c r="AD44" s="7"/>
      <c r="AE44" s="7"/>
      <c r="AL44" s="18" t="str">
        <f>IF(COUNTIF($A$2:A43, A43) = 1, A43, "")</f>
        <v/>
      </c>
    </row>
    <row r="45" spans="6:38" ht="17" thickBot="1" x14ac:dyDescent="0.25">
      <c r="F45" t="str">
        <f t="shared" si="9"/>
        <v/>
      </c>
      <c r="L45" s="7" t="str">
        <f t="shared" si="10"/>
        <v/>
      </c>
      <c r="N45" s="7" t="str">
        <f t="shared" si="11"/>
        <v/>
      </c>
      <c r="O45" t="str">
        <f t="shared" si="12"/>
        <v/>
      </c>
      <c r="P45" t="str">
        <f t="shared" si="18"/>
        <v/>
      </c>
      <c r="Q45" t="str">
        <f t="shared" si="14"/>
        <v/>
      </c>
      <c r="S45" t="str">
        <f>""</f>
        <v/>
      </c>
      <c r="X45" s="79" t="s">
        <v>74</v>
      </c>
      <c r="Y45" s="83" t="s">
        <v>9</v>
      </c>
      <c r="Z45" s="81" t="s">
        <v>84</v>
      </c>
      <c r="AA45" s="82" t="s">
        <v>39</v>
      </c>
      <c r="AD45" s="7"/>
      <c r="AE45" s="7"/>
      <c r="AL45" s="18" t="str">
        <f>IF(COUNTIF($A$2:A44, A44) = 1, A44, "")</f>
        <v/>
      </c>
    </row>
    <row r="46" spans="6:38" x14ac:dyDescent="0.2">
      <c r="F46" t="str">
        <f t="shared" si="9"/>
        <v/>
      </c>
      <c r="L46" s="7" t="str">
        <f t="shared" si="10"/>
        <v/>
      </c>
      <c r="N46" s="7" t="str">
        <f t="shared" si="11"/>
        <v/>
      </c>
      <c r="O46" t="str">
        <f t="shared" si="12"/>
        <v/>
      </c>
      <c r="P46" t="str">
        <f t="shared" si="18"/>
        <v/>
      </c>
      <c r="Q46" t="str">
        <f t="shared" si="14"/>
        <v/>
      </c>
      <c r="S46" t="str">
        <f>""</f>
        <v/>
      </c>
      <c r="X46" s="47" t="s">
        <v>75</v>
      </c>
      <c r="Y46" s="45">
        <f>SUMIFS(N:N,J:J,"No")</f>
        <v>0</v>
      </c>
      <c r="Z46" s="40">
        <f>COUNTIF(J:J,"No")</f>
        <v>0</v>
      </c>
      <c r="AA46" s="46">
        <f>IFERROR(COUNTIFS($J$2:$J$1048576, "No")/COUNTA($G$2:$G$994), 0)</f>
        <v>0</v>
      </c>
      <c r="AD46" s="7"/>
      <c r="AE46" s="7"/>
      <c r="AL46" s="18" t="str">
        <f>IF(COUNTIF($A$2:A45, A45) = 1, A45, "")</f>
        <v/>
      </c>
    </row>
    <row r="47" spans="6:38" ht="17" thickBot="1" x14ac:dyDescent="0.25">
      <c r="F47" t="str">
        <f t="shared" si="9"/>
        <v/>
      </c>
      <c r="L47" s="7" t="str">
        <f t="shared" si="10"/>
        <v/>
      </c>
      <c r="N47" s="7" t="str">
        <f t="shared" si="11"/>
        <v/>
      </c>
      <c r="O47" t="str">
        <f t="shared" si="12"/>
        <v/>
      </c>
      <c r="P47" t="str">
        <f t="shared" si="18"/>
        <v/>
      </c>
      <c r="Q47" t="str">
        <f t="shared" si="14"/>
        <v/>
      </c>
      <c r="S47" t="str">
        <f>""</f>
        <v/>
      </c>
      <c r="X47" s="49" t="s">
        <v>69</v>
      </c>
      <c r="Y47" s="44">
        <f>SUMIFS(N:N,J:J,"Yes")</f>
        <v>0</v>
      </c>
      <c r="Z47" s="35">
        <f>COUNTIF(J:J,"Yes")</f>
        <v>0</v>
      </c>
      <c r="AA47" s="53">
        <f>IFERROR(COUNTIFS($J$2:$J$1048576, "Yes")/COUNTA($G$2:$G$994), 0)</f>
        <v>0</v>
      </c>
      <c r="AD47" s="7"/>
      <c r="AE47" s="7"/>
      <c r="AL47" s="18" t="str">
        <f>IF(COUNTIF($A$2:A46, A46) = 1, A46, "")</f>
        <v/>
      </c>
    </row>
    <row r="48" spans="6:38" ht="17" thickBot="1" x14ac:dyDescent="0.25">
      <c r="F48" t="str">
        <f t="shared" si="9"/>
        <v/>
      </c>
      <c r="L48" s="7" t="str">
        <f t="shared" si="10"/>
        <v/>
      </c>
      <c r="N48" s="7" t="str">
        <f t="shared" si="11"/>
        <v/>
      </c>
      <c r="O48" t="str">
        <f t="shared" si="12"/>
        <v/>
      </c>
      <c r="P48" t="str">
        <f t="shared" si="18"/>
        <v/>
      </c>
      <c r="Q48" t="str">
        <f t="shared" si="14"/>
        <v/>
      </c>
      <c r="S48" t="str">
        <f>""</f>
        <v/>
      </c>
      <c r="AD48" s="7"/>
      <c r="AE48" s="7"/>
      <c r="AL48" s="18" t="str">
        <f>IF(COUNTIF($A$2:A47, A47) = 1, A47, "")</f>
        <v/>
      </c>
    </row>
    <row r="49" spans="6:38" ht="17" thickBot="1" x14ac:dyDescent="0.25">
      <c r="F49" t="str">
        <f t="shared" si="9"/>
        <v/>
      </c>
      <c r="L49" s="7" t="str">
        <f t="shared" si="10"/>
        <v/>
      </c>
      <c r="N49" s="7" t="str">
        <f t="shared" si="11"/>
        <v/>
      </c>
      <c r="O49" t="str">
        <f t="shared" si="12"/>
        <v/>
      </c>
      <c r="P49" t="str">
        <f t="shared" si="18"/>
        <v/>
      </c>
      <c r="Q49" t="str">
        <f t="shared" si="14"/>
        <v/>
      </c>
      <c r="S49" t="str">
        <f>""</f>
        <v/>
      </c>
      <c r="X49" s="92" t="s">
        <v>89</v>
      </c>
      <c r="Y49" s="83" t="s">
        <v>9</v>
      </c>
      <c r="Z49" s="81" t="s">
        <v>84</v>
      </c>
      <c r="AA49" s="82" t="s">
        <v>39</v>
      </c>
      <c r="AD49" s="7"/>
      <c r="AE49" s="7"/>
      <c r="AL49" s="18" t="str">
        <f>IF(COUNTIF($A$2:A48, A48) = 1, A48, "")</f>
        <v/>
      </c>
    </row>
    <row r="50" spans="6:38" x14ac:dyDescent="0.2">
      <c r="F50" t="str">
        <f t="shared" si="9"/>
        <v/>
      </c>
      <c r="L50" s="7" t="str">
        <f t="shared" si="10"/>
        <v/>
      </c>
      <c r="N50" s="7" t="str">
        <f t="shared" si="11"/>
        <v/>
      </c>
      <c r="O50" t="str">
        <f t="shared" si="12"/>
        <v/>
      </c>
      <c r="P50" t="str">
        <f t="shared" si="18"/>
        <v/>
      </c>
      <c r="Q50" t="str">
        <f t="shared" si="14"/>
        <v/>
      </c>
      <c r="S50" t="str">
        <f>""</f>
        <v/>
      </c>
      <c r="X50" s="48" t="str">
        <f>Master!F50</f>
        <v>Source 1</v>
      </c>
      <c r="Y50" s="62">
        <f>SUMIFS(N:N,R:R,X50)</f>
        <v>0</v>
      </c>
      <c r="Z50" s="63">
        <f t="shared" ref="Z50:Z58" si="19">COUNTIF(R:R,X50)</f>
        <v>0</v>
      </c>
      <c r="AA50" s="54">
        <f>IFERROR(COUNTIFS(R:R, X50)/COUNTA($R$2:$R$994), 0)</f>
        <v>0</v>
      </c>
      <c r="AD50" s="7"/>
      <c r="AE50" s="7"/>
      <c r="AL50" s="18" t="str">
        <f>IF(COUNTIF($A$2:A49, A49) = 1, A49, "")</f>
        <v/>
      </c>
    </row>
    <row r="51" spans="6:38" x14ac:dyDescent="0.2">
      <c r="F51" t="str">
        <f t="shared" si="9"/>
        <v/>
      </c>
      <c r="L51" s="7" t="str">
        <f t="shared" si="10"/>
        <v/>
      </c>
      <c r="N51" s="7" t="str">
        <f t="shared" si="11"/>
        <v/>
      </c>
      <c r="O51" t="str">
        <f t="shared" si="12"/>
        <v/>
      </c>
      <c r="P51" t="str">
        <f t="shared" si="18"/>
        <v/>
      </c>
      <c r="Q51" t="str">
        <f t="shared" si="14"/>
        <v/>
      </c>
      <c r="S51" t="str">
        <f>""</f>
        <v/>
      </c>
      <c r="X51" s="48" t="str">
        <f>Master!F51</f>
        <v>Source 2</v>
      </c>
      <c r="Y51" s="45">
        <f t="shared" ref="Y51:Y58" si="20">SUMIFS(N:N,R:R,X51)</f>
        <v>0</v>
      </c>
      <c r="Z51" s="64">
        <f t="shared" si="19"/>
        <v>0</v>
      </c>
      <c r="AA51" s="46">
        <f t="shared" ref="AA51:AA56" si="21">IFERROR(COUNTIFS(R:R, X51)/COUNTA($R$2:$R$994), 0)</f>
        <v>0</v>
      </c>
      <c r="AD51" s="7"/>
      <c r="AE51" s="7"/>
      <c r="AL51" s="18" t="str">
        <f>IF(COUNTIF($A$2:A50, A50) = 1, A50, "")</f>
        <v/>
      </c>
    </row>
    <row r="52" spans="6:38" x14ac:dyDescent="0.2">
      <c r="F52" t="str">
        <f t="shared" si="9"/>
        <v/>
      </c>
      <c r="L52" s="7" t="str">
        <f t="shared" si="10"/>
        <v/>
      </c>
      <c r="N52" s="7" t="str">
        <f t="shared" si="11"/>
        <v/>
      </c>
      <c r="O52" t="str">
        <f t="shared" si="12"/>
        <v/>
      </c>
      <c r="P52" t="str">
        <f t="shared" si="18"/>
        <v/>
      </c>
      <c r="Q52" t="str">
        <f t="shared" si="14"/>
        <v/>
      </c>
      <c r="S52" t="str">
        <f>""</f>
        <v/>
      </c>
      <c r="X52" s="48" t="str">
        <f>Master!F52</f>
        <v>Source 3</v>
      </c>
      <c r="Y52" s="45">
        <f t="shared" si="20"/>
        <v>0</v>
      </c>
      <c r="Z52" s="64">
        <f t="shared" si="19"/>
        <v>0</v>
      </c>
      <c r="AA52" s="46">
        <f t="shared" si="21"/>
        <v>0</v>
      </c>
      <c r="AD52" s="7"/>
      <c r="AE52" s="7"/>
      <c r="AL52" s="18" t="str">
        <f>IF(COUNTIF($A$2:A51, A51) = 1, A51, "")</f>
        <v/>
      </c>
    </row>
    <row r="53" spans="6:38" x14ac:dyDescent="0.2">
      <c r="F53" t="str">
        <f t="shared" si="9"/>
        <v/>
      </c>
      <c r="L53" s="7" t="str">
        <f t="shared" si="10"/>
        <v/>
      </c>
      <c r="N53" s="7" t="str">
        <f t="shared" si="11"/>
        <v/>
      </c>
      <c r="O53" t="str">
        <f t="shared" si="12"/>
        <v/>
      </c>
      <c r="P53" t="str">
        <f t="shared" si="18"/>
        <v/>
      </c>
      <c r="Q53" t="str">
        <f t="shared" si="14"/>
        <v/>
      </c>
      <c r="S53" t="str">
        <f>""</f>
        <v/>
      </c>
      <c r="X53" s="48" t="str">
        <f>Master!F53</f>
        <v>Source 4</v>
      </c>
      <c r="Y53" s="45">
        <f t="shared" si="20"/>
        <v>0</v>
      </c>
      <c r="Z53" s="64">
        <f t="shared" si="19"/>
        <v>0</v>
      </c>
      <c r="AA53" s="46">
        <f t="shared" si="21"/>
        <v>0</v>
      </c>
      <c r="AD53" s="7"/>
      <c r="AE53" s="7"/>
      <c r="AL53" s="18" t="str">
        <f>IF(COUNTIF($A$2:A52, A52) = 1, A52, "")</f>
        <v/>
      </c>
    </row>
    <row r="54" spans="6:38" x14ac:dyDescent="0.2">
      <c r="F54" t="str">
        <f t="shared" si="9"/>
        <v/>
      </c>
      <c r="L54" s="7" t="str">
        <f t="shared" si="10"/>
        <v/>
      </c>
      <c r="N54" s="7" t="str">
        <f t="shared" si="11"/>
        <v/>
      </c>
      <c r="O54" t="str">
        <f t="shared" si="12"/>
        <v/>
      </c>
      <c r="P54" t="str">
        <f t="shared" si="18"/>
        <v/>
      </c>
      <c r="Q54" t="str">
        <f t="shared" si="14"/>
        <v/>
      </c>
      <c r="S54" t="str">
        <f>""</f>
        <v/>
      </c>
      <c r="X54" s="48" t="str">
        <f>Master!F54</f>
        <v>Source 5</v>
      </c>
      <c r="Y54" s="45">
        <f t="shared" si="20"/>
        <v>0</v>
      </c>
      <c r="Z54" s="64">
        <f t="shared" si="19"/>
        <v>0</v>
      </c>
      <c r="AA54" s="46">
        <f t="shared" si="21"/>
        <v>0</v>
      </c>
      <c r="AD54" s="7"/>
      <c r="AE54" s="7"/>
      <c r="AL54" s="18" t="str">
        <f>IF(COUNTIF($A$2:A53, A53) = 1, A53, "")</f>
        <v/>
      </c>
    </row>
    <row r="55" spans="6:38" x14ac:dyDescent="0.2">
      <c r="F55" t="str">
        <f t="shared" si="9"/>
        <v/>
      </c>
      <c r="L55" s="7" t="str">
        <f t="shared" si="10"/>
        <v/>
      </c>
      <c r="N55" s="7" t="str">
        <f t="shared" si="11"/>
        <v/>
      </c>
      <c r="O55" t="str">
        <f t="shared" si="12"/>
        <v/>
      </c>
      <c r="P55" t="str">
        <f t="shared" si="18"/>
        <v/>
      </c>
      <c r="Q55" t="str">
        <f t="shared" si="14"/>
        <v/>
      </c>
      <c r="S55" t="str">
        <f>""</f>
        <v/>
      </c>
      <c r="X55" s="48" t="str">
        <f>Master!F55</f>
        <v>Source 6</v>
      </c>
      <c r="Y55" s="45">
        <f t="shared" si="20"/>
        <v>0</v>
      </c>
      <c r="Z55" s="64">
        <f t="shared" si="19"/>
        <v>0</v>
      </c>
      <c r="AA55" s="46">
        <f>IFERROR(COUNTIFS(R:R, X55)/COUNTA($R$2:$R$994), 0)</f>
        <v>0</v>
      </c>
      <c r="AD55" s="7"/>
      <c r="AE55" s="7"/>
      <c r="AL55" s="18" t="str">
        <f>IF(COUNTIF($A$2:A54, A54) = 1, A54, "")</f>
        <v/>
      </c>
    </row>
    <row r="56" spans="6:38" x14ac:dyDescent="0.2">
      <c r="F56" t="str">
        <f t="shared" si="9"/>
        <v/>
      </c>
      <c r="L56" s="7" t="str">
        <f t="shared" si="10"/>
        <v/>
      </c>
      <c r="N56" s="7" t="str">
        <f t="shared" si="11"/>
        <v/>
      </c>
      <c r="O56" t="str">
        <f t="shared" si="12"/>
        <v/>
      </c>
      <c r="P56" t="str">
        <f t="shared" si="18"/>
        <v/>
      </c>
      <c r="Q56" t="str">
        <f t="shared" si="14"/>
        <v/>
      </c>
      <c r="S56" t="str">
        <f>""</f>
        <v/>
      </c>
      <c r="X56" s="48" t="str">
        <f>Master!F56</f>
        <v>Source 7</v>
      </c>
      <c r="Y56" s="45">
        <f t="shared" si="20"/>
        <v>0</v>
      </c>
      <c r="Z56" s="64">
        <f t="shared" si="19"/>
        <v>0</v>
      </c>
      <c r="AA56" s="46">
        <f t="shared" si="21"/>
        <v>0</v>
      </c>
      <c r="AD56" s="7"/>
      <c r="AE56" s="7"/>
      <c r="AL56" s="18" t="str">
        <f>IF(COUNTIF($A$2:A55, A55) = 1, A55, "")</f>
        <v/>
      </c>
    </row>
    <row r="57" spans="6:38" x14ac:dyDescent="0.2">
      <c r="F57" t="str">
        <f t="shared" si="9"/>
        <v/>
      </c>
      <c r="L57" s="7" t="str">
        <f t="shared" si="10"/>
        <v/>
      </c>
      <c r="N57" s="7" t="str">
        <f t="shared" si="11"/>
        <v/>
      </c>
      <c r="O57" t="str">
        <f t="shared" si="12"/>
        <v/>
      </c>
      <c r="P57" t="str">
        <f t="shared" si="18"/>
        <v/>
      </c>
      <c r="Q57" t="str">
        <f t="shared" si="14"/>
        <v/>
      </c>
      <c r="S57" t="str">
        <f>""</f>
        <v/>
      </c>
      <c r="X57" s="48" t="str">
        <f>Master!F57</f>
        <v>Source 8</v>
      </c>
      <c r="Y57" s="45">
        <f t="shared" si="20"/>
        <v>0</v>
      </c>
      <c r="Z57" s="64">
        <f t="shared" si="19"/>
        <v>0</v>
      </c>
      <c r="AA57" s="46">
        <f>IFERROR(COUNTIFS(R:R, X57)/COUNTA($R$2:$R$994), 0)</f>
        <v>0</v>
      </c>
      <c r="AD57" s="7"/>
      <c r="AE57" s="7"/>
      <c r="AL57" s="18" t="str">
        <f>IF(COUNTIF($A$2:A56, A56) = 1, A56, "")</f>
        <v/>
      </c>
    </row>
    <row r="58" spans="6:38" ht="17" thickBot="1" x14ac:dyDescent="0.25">
      <c r="F58" t="str">
        <f t="shared" si="9"/>
        <v/>
      </c>
      <c r="L58" s="7" t="str">
        <f t="shared" si="10"/>
        <v/>
      </c>
      <c r="N58" s="7" t="str">
        <f t="shared" si="11"/>
        <v/>
      </c>
      <c r="O58" t="str">
        <f t="shared" si="12"/>
        <v/>
      </c>
      <c r="P58" t="str">
        <f t="shared" si="18"/>
        <v/>
      </c>
      <c r="Q58" t="str">
        <f t="shared" si="14"/>
        <v/>
      </c>
      <c r="S58" t="str">
        <f>""</f>
        <v/>
      </c>
      <c r="X58" s="49" t="s">
        <v>90</v>
      </c>
      <c r="Y58" s="44">
        <f t="shared" si="20"/>
        <v>0</v>
      </c>
      <c r="Z58" s="65">
        <f t="shared" si="19"/>
        <v>0</v>
      </c>
      <c r="AA58" s="53">
        <f>IFERROR(COUNTIFS(R:R, X58)/COUNTA($R$2:$R$994), 0)</f>
        <v>0</v>
      </c>
      <c r="AD58" s="7"/>
      <c r="AE58" s="7"/>
      <c r="AL58" s="18" t="str">
        <f>IF(COUNTIF($A$2:A57, A57) = 1, A57, "")</f>
        <v/>
      </c>
    </row>
    <row r="59" spans="6:38" x14ac:dyDescent="0.2">
      <c r="F59" t="str">
        <f t="shared" si="9"/>
        <v/>
      </c>
      <c r="L59" s="7" t="str">
        <f t="shared" si="10"/>
        <v/>
      </c>
      <c r="N59" s="7" t="str">
        <f t="shared" si="11"/>
        <v/>
      </c>
      <c r="O59" t="str">
        <f t="shared" si="12"/>
        <v/>
      </c>
      <c r="P59" t="str">
        <f t="shared" si="18"/>
        <v/>
      </c>
      <c r="Q59" t="str">
        <f t="shared" si="14"/>
        <v/>
      </c>
      <c r="S59" t="str">
        <f>""</f>
        <v/>
      </c>
      <c r="AL59" s="18" t="str">
        <f>IF(COUNTIF($A$2:A58, A58) = 1, A58, "")</f>
        <v/>
      </c>
    </row>
    <row r="60" spans="6:38" x14ac:dyDescent="0.2">
      <c r="F60" t="str">
        <f t="shared" si="9"/>
        <v/>
      </c>
      <c r="L60" s="7" t="str">
        <f t="shared" si="10"/>
        <v/>
      </c>
      <c r="N60" s="7" t="str">
        <f t="shared" si="11"/>
        <v/>
      </c>
      <c r="O60" t="str">
        <f t="shared" si="12"/>
        <v/>
      </c>
      <c r="P60" t="str">
        <f t="shared" si="18"/>
        <v/>
      </c>
      <c r="Q60" t="str">
        <f t="shared" si="14"/>
        <v/>
      </c>
      <c r="S60" t="str">
        <f>""</f>
        <v/>
      </c>
      <c r="AL60" s="18" t="str">
        <f>IF(COUNTIF($A$2:A59, A59) = 1, A59, "")</f>
        <v/>
      </c>
    </row>
    <row r="61" spans="6:38" x14ac:dyDescent="0.2">
      <c r="F61" t="str">
        <f t="shared" si="9"/>
        <v/>
      </c>
      <c r="L61" s="7" t="str">
        <f t="shared" si="10"/>
        <v/>
      </c>
      <c r="N61" s="7" t="str">
        <f t="shared" si="11"/>
        <v/>
      </c>
      <c r="O61" t="str">
        <f t="shared" si="12"/>
        <v/>
      </c>
      <c r="P61" t="str">
        <f t="shared" si="18"/>
        <v/>
      </c>
      <c r="Q61" t="str">
        <f t="shared" si="14"/>
        <v/>
      </c>
      <c r="S61" t="str">
        <f>""</f>
        <v/>
      </c>
      <c r="AL61" s="18" t="str">
        <f>IF(COUNTIF($A$2:A60, A60) = 1, A60, "")</f>
        <v/>
      </c>
    </row>
    <row r="62" spans="6:38" x14ac:dyDescent="0.2">
      <c r="F62" t="str">
        <f t="shared" si="9"/>
        <v/>
      </c>
      <c r="L62" s="7" t="str">
        <f t="shared" si="10"/>
        <v/>
      </c>
      <c r="N62" s="7" t="str">
        <f t="shared" si="11"/>
        <v/>
      </c>
      <c r="O62" t="str">
        <f t="shared" si="12"/>
        <v/>
      </c>
      <c r="P62" t="str">
        <f t="shared" si="18"/>
        <v/>
      </c>
      <c r="Q62" t="str">
        <f t="shared" si="14"/>
        <v/>
      </c>
      <c r="S62" t="str">
        <f>""</f>
        <v/>
      </c>
      <c r="AL62" s="18" t="str">
        <f>IF(COUNTIF($A$2:A61, A61) = 1, A61, "")</f>
        <v/>
      </c>
    </row>
    <row r="63" spans="6:38" x14ac:dyDescent="0.2">
      <c r="F63" t="str">
        <f t="shared" si="9"/>
        <v/>
      </c>
      <c r="L63" s="7" t="str">
        <f t="shared" si="10"/>
        <v/>
      </c>
      <c r="N63" s="7" t="str">
        <f t="shared" si="11"/>
        <v/>
      </c>
      <c r="O63" t="str">
        <f t="shared" si="12"/>
        <v/>
      </c>
      <c r="P63" t="str">
        <f t="shared" si="18"/>
        <v/>
      </c>
      <c r="Q63" t="str">
        <f t="shared" si="14"/>
        <v/>
      </c>
      <c r="S63" t="str">
        <f>""</f>
        <v/>
      </c>
      <c r="AL63" s="18" t="str">
        <f>IF(COUNTIF($A$2:A62, A62) = 1, A62, "")</f>
        <v/>
      </c>
    </row>
    <row r="64" spans="6:38" x14ac:dyDescent="0.2">
      <c r="F64" t="str">
        <f t="shared" si="9"/>
        <v/>
      </c>
      <c r="L64" s="7" t="str">
        <f t="shared" si="10"/>
        <v/>
      </c>
      <c r="N64" s="7" t="str">
        <f t="shared" si="11"/>
        <v/>
      </c>
      <c r="O64" t="str">
        <f t="shared" si="12"/>
        <v/>
      </c>
      <c r="P64" t="str">
        <f t="shared" si="18"/>
        <v/>
      </c>
      <c r="Q64" t="str">
        <f t="shared" si="14"/>
        <v/>
      </c>
      <c r="S64" t="str">
        <f>""</f>
        <v/>
      </c>
      <c r="AL64" s="18" t="str">
        <f>IF(COUNTIF($A$2:A63, A63) = 1, A63, "")</f>
        <v/>
      </c>
    </row>
    <row r="65" spans="6:38" x14ac:dyDescent="0.2">
      <c r="F65" t="str">
        <f t="shared" si="9"/>
        <v/>
      </c>
      <c r="L65" s="7" t="str">
        <f t="shared" si="10"/>
        <v/>
      </c>
      <c r="N65" s="7" t="str">
        <f t="shared" si="11"/>
        <v/>
      </c>
      <c r="O65" t="str">
        <f t="shared" si="12"/>
        <v/>
      </c>
      <c r="P65" t="str">
        <f t="shared" si="18"/>
        <v/>
      </c>
      <c r="Q65" t="str">
        <f t="shared" si="14"/>
        <v/>
      </c>
      <c r="S65" t="str">
        <f>""</f>
        <v/>
      </c>
      <c r="AL65" s="18" t="str">
        <f>IF(COUNTIF($A$2:A64, A64) = 1, A64, "")</f>
        <v/>
      </c>
    </row>
    <row r="66" spans="6:38" x14ac:dyDescent="0.2">
      <c r="F66" t="str">
        <f t="shared" ref="F66:F129" si="22">IF(OR(O66="", P66=""), "", SUM(IF((O66&lt;&gt;"None")*(O66&lt;&gt;""),LEN(O66)-LEN(SUBSTITUTE(O66,",",""))+1,0)) + SUM(IF((P66&lt;&gt;"None")*(P66&lt;&gt;""),LEN(P66)-LEN(SUBSTITUTE(P66,",",""))+1,0)))</f>
        <v/>
      </c>
      <c r="L66" s="7" t="str">
        <f t="shared" ref="L66:L129" si="23">IF(LEN(E66)=0, "", IFERROR(IF(E66&gt;=0, K66 * (1 + E66/100) - K66, K66 / (ABS(E66)/100))+K66, ""))</f>
        <v/>
      </c>
      <c r="N66" s="7" t="str">
        <f t="shared" ref="N66:N129" si="24">IF(M66="Yes",L66-K66,IF(M66="No",-K66,""))</f>
        <v/>
      </c>
      <c r="O66" t="str">
        <f t="shared" ref="O66:O129" si="25">IF(AND(G66="No",H66="No"), "None", "")</f>
        <v/>
      </c>
      <c r="P66" t="str">
        <f t="shared" si="18"/>
        <v/>
      </c>
      <c r="Q66" t="str">
        <f t="shared" ref="Q66:Q129" si="26">IF(AND(D66="Straight", M66 = "No"),IF(O66="None",P66,IF(P66="None",O66) ),"")</f>
        <v/>
      </c>
      <c r="S66" t="str">
        <f>""</f>
        <v/>
      </c>
      <c r="AL66" s="18" t="str">
        <f>IF(COUNTIF($A$2:A65, A65) = 1, A65, "")</f>
        <v/>
      </c>
    </row>
    <row r="67" spans="6:38" x14ac:dyDescent="0.2">
      <c r="F67" t="str">
        <f t="shared" si="22"/>
        <v/>
      </c>
      <c r="L67" s="7" t="str">
        <f t="shared" si="23"/>
        <v/>
      </c>
      <c r="N67" s="7" t="str">
        <f t="shared" si="24"/>
        <v/>
      </c>
      <c r="O67" t="str">
        <f t="shared" si="25"/>
        <v/>
      </c>
      <c r="P67" t="str">
        <f t="shared" si="18"/>
        <v/>
      </c>
      <c r="Q67" t="str">
        <f t="shared" si="26"/>
        <v/>
      </c>
      <c r="S67" t="str">
        <f>""</f>
        <v/>
      </c>
      <c r="AL67" s="18" t="str">
        <f>IF(COUNTIF($A$2:A66, A66) = 1, A66, "")</f>
        <v/>
      </c>
    </row>
    <row r="68" spans="6:38" x14ac:dyDescent="0.2">
      <c r="F68" t="str">
        <f t="shared" si="22"/>
        <v/>
      </c>
      <c r="L68" s="7" t="str">
        <f t="shared" si="23"/>
        <v/>
      </c>
      <c r="N68" s="7" t="str">
        <f t="shared" si="24"/>
        <v/>
      </c>
      <c r="O68" t="str">
        <f t="shared" si="25"/>
        <v/>
      </c>
      <c r="P68" t="str">
        <f t="shared" si="18"/>
        <v/>
      </c>
      <c r="Q68" t="str">
        <f t="shared" si="26"/>
        <v/>
      </c>
      <c r="S68" t="str">
        <f>""</f>
        <v/>
      </c>
      <c r="AL68" s="18" t="str">
        <f>IF(COUNTIF($A$2:A67, A67) = 1, A67, "")</f>
        <v/>
      </c>
    </row>
    <row r="69" spans="6:38" x14ac:dyDescent="0.2">
      <c r="F69" t="str">
        <f t="shared" si="22"/>
        <v/>
      </c>
      <c r="L69" s="7" t="str">
        <f t="shared" si="23"/>
        <v/>
      </c>
      <c r="N69" s="7" t="str">
        <f t="shared" si="24"/>
        <v/>
      </c>
      <c r="O69" t="str">
        <f t="shared" si="25"/>
        <v/>
      </c>
      <c r="P69" t="str">
        <f t="shared" si="18"/>
        <v/>
      </c>
      <c r="Q69" t="str">
        <f t="shared" si="26"/>
        <v/>
      </c>
      <c r="S69" t="str">
        <f>""</f>
        <v/>
      </c>
      <c r="AL69" s="18" t="str">
        <f>IF(COUNTIF($A$2:A68, A68) = 1, A68, "")</f>
        <v/>
      </c>
    </row>
    <row r="70" spans="6:38" x14ac:dyDescent="0.2">
      <c r="F70" t="str">
        <f t="shared" si="22"/>
        <v/>
      </c>
      <c r="L70" s="7" t="str">
        <f t="shared" si="23"/>
        <v/>
      </c>
      <c r="N70" s="7" t="str">
        <f t="shared" si="24"/>
        <v/>
      </c>
      <c r="O70" t="str">
        <f t="shared" si="25"/>
        <v/>
      </c>
      <c r="P70" t="str">
        <f t="shared" si="18"/>
        <v/>
      </c>
      <c r="Q70" t="str">
        <f t="shared" si="26"/>
        <v/>
      </c>
      <c r="S70" t="str">
        <f>""</f>
        <v/>
      </c>
      <c r="AL70" s="18" t="str">
        <f>IF(COUNTIF($A$2:A69, A69) = 1, A69, "")</f>
        <v/>
      </c>
    </row>
    <row r="71" spans="6:38" x14ac:dyDescent="0.2">
      <c r="F71" t="str">
        <f t="shared" si="22"/>
        <v/>
      </c>
      <c r="L71" s="7" t="str">
        <f t="shared" si="23"/>
        <v/>
      </c>
      <c r="N71" s="7" t="str">
        <f t="shared" si="24"/>
        <v/>
      </c>
      <c r="O71" t="str">
        <f t="shared" si="25"/>
        <v/>
      </c>
      <c r="P71" t="str">
        <f t="shared" si="18"/>
        <v/>
      </c>
      <c r="Q71" t="str">
        <f t="shared" si="26"/>
        <v/>
      </c>
      <c r="S71" t="str">
        <f>""</f>
        <v/>
      </c>
      <c r="AL71" s="18" t="str">
        <f>IF(COUNTIF($A$2:A70, A70) = 1, A70, "")</f>
        <v/>
      </c>
    </row>
    <row r="72" spans="6:38" x14ac:dyDescent="0.2">
      <c r="F72" t="str">
        <f t="shared" si="22"/>
        <v/>
      </c>
      <c r="L72" s="7" t="str">
        <f t="shared" si="23"/>
        <v/>
      </c>
      <c r="N72" s="7" t="str">
        <f t="shared" si="24"/>
        <v/>
      </c>
      <c r="O72" t="str">
        <f t="shared" si="25"/>
        <v/>
      </c>
      <c r="P72" t="str">
        <f t="shared" si="18"/>
        <v/>
      </c>
      <c r="Q72" t="str">
        <f t="shared" si="26"/>
        <v/>
      </c>
      <c r="S72" t="str">
        <f>""</f>
        <v/>
      </c>
      <c r="AL72" s="18" t="str">
        <f>IF(COUNTIF($A$2:A71, A71) = 1, A71, "")</f>
        <v/>
      </c>
    </row>
    <row r="73" spans="6:38" x14ac:dyDescent="0.2">
      <c r="F73" t="str">
        <f t="shared" si="22"/>
        <v/>
      </c>
      <c r="L73" s="7" t="str">
        <f t="shared" si="23"/>
        <v/>
      </c>
      <c r="N73" s="7" t="str">
        <f t="shared" si="24"/>
        <v/>
      </c>
      <c r="O73" t="str">
        <f t="shared" si="25"/>
        <v/>
      </c>
      <c r="P73" t="str">
        <f t="shared" si="18"/>
        <v/>
      </c>
      <c r="Q73" t="str">
        <f t="shared" si="26"/>
        <v/>
      </c>
      <c r="S73" t="str">
        <f>""</f>
        <v/>
      </c>
      <c r="AL73" s="18" t="str">
        <f>IF(COUNTIF($A$2:A72, A72) = 1, A72, "")</f>
        <v/>
      </c>
    </row>
    <row r="74" spans="6:38" x14ac:dyDescent="0.2">
      <c r="F74" t="str">
        <f t="shared" si="22"/>
        <v/>
      </c>
      <c r="L74" s="7" t="str">
        <f t="shared" si="23"/>
        <v/>
      </c>
      <c r="N74" s="7" t="str">
        <f t="shared" si="24"/>
        <v/>
      </c>
      <c r="O74" t="str">
        <f t="shared" si="25"/>
        <v/>
      </c>
      <c r="P74" t="str">
        <f t="shared" si="18"/>
        <v/>
      </c>
      <c r="Q74" t="str">
        <f t="shared" si="26"/>
        <v/>
      </c>
      <c r="S74" t="str">
        <f>""</f>
        <v/>
      </c>
      <c r="AL74" s="18" t="str">
        <f>IF(COUNTIF($A$2:A73, A73) = 1, A73, "")</f>
        <v/>
      </c>
    </row>
    <row r="75" spans="6:38" x14ac:dyDescent="0.2">
      <c r="F75" t="str">
        <f t="shared" si="22"/>
        <v/>
      </c>
      <c r="L75" s="7" t="str">
        <f t="shared" si="23"/>
        <v/>
      </c>
      <c r="N75" s="7" t="str">
        <f t="shared" si="24"/>
        <v/>
      </c>
      <c r="O75" t="str">
        <f t="shared" si="25"/>
        <v/>
      </c>
      <c r="P75" t="str">
        <f t="shared" si="18"/>
        <v/>
      </c>
      <c r="Q75" t="str">
        <f t="shared" si="26"/>
        <v/>
      </c>
      <c r="S75" t="str">
        <f>""</f>
        <v/>
      </c>
      <c r="AL75" s="18" t="str">
        <f>IF(COUNTIF($A$2:A74, A74) = 1, A74, "")</f>
        <v/>
      </c>
    </row>
    <row r="76" spans="6:38" x14ac:dyDescent="0.2">
      <c r="F76" t="str">
        <f t="shared" si="22"/>
        <v/>
      </c>
      <c r="L76" s="7" t="str">
        <f t="shared" si="23"/>
        <v/>
      </c>
      <c r="N76" s="7" t="str">
        <f t="shared" si="24"/>
        <v/>
      </c>
      <c r="O76" t="str">
        <f t="shared" si="25"/>
        <v/>
      </c>
      <c r="P76" t="str">
        <f t="shared" si="18"/>
        <v/>
      </c>
      <c r="Q76" t="str">
        <f t="shared" si="26"/>
        <v/>
      </c>
      <c r="S76" t="str">
        <f>""</f>
        <v/>
      </c>
      <c r="AL76" s="18" t="str">
        <f>IF(COUNTIF($A$2:A75, A75) = 1, A75, "")</f>
        <v/>
      </c>
    </row>
    <row r="77" spans="6:38" x14ac:dyDescent="0.2">
      <c r="F77" t="str">
        <f t="shared" si="22"/>
        <v/>
      </c>
      <c r="L77" s="7" t="str">
        <f t="shared" si="23"/>
        <v/>
      </c>
      <c r="N77" s="7" t="str">
        <f t="shared" si="24"/>
        <v/>
      </c>
      <c r="O77" t="str">
        <f t="shared" si="25"/>
        <v/>
      </c>
      <c r="P77" t="str">
        <f t="shared" si="18"/>
        <v/>
      </c>
      <c r="Q77" t="str">
        <f t="shared" si="26"/>
        <v/>
      </c>
      <c r="S77" t="str">
        <f>""</f>
        <v/>
      </c>
      <c r="AL77" s="18" t="str">
        <f>IF(COUNTIF($A$2:A76, A76) = 1, A76, "")</f>
        <v/>
      </c>
    </row>
    <row r="78" spans="6:38" x14ac:dyDescent="0.2">
      <c r="F78" t="str">
        <f t="shared" si="22"/>
        <v/>
      </c>
      <c r="L78" s="7" t="str">
        <f t="shared" si="23"/>
        <v/>
      </c>
      <c r="N78" s="7" t="str">
        <f t="shared" si="24"/>
        <v/>
      </c>
      <c r="O78" t="str">
        <f t="shared" si="25"/>
        <v/>
      </c>
      <c r="P78" t="str">
        <f t="shared" si="18"/>
        <v/>
      </c>
      <c r="Q78" t="str">
        <f t="shared" si="26"/>
        <v/>
      </c>
      <c r="S78" t="str">
        <f>""</f>
        <v/>
      </c>
      <c r="AL78" s="18" t="str">
        <f>IF(COUNTIF($A$2:A77, A77) = 1, A77, "")</f>
        <v/>
      </c>
    </row>
    <row r="79" spans="6:38" x14ac:dyDescent="0.2">
      <c r="F79" t="str">
        <f t="shared" si="22"/>
        <v/>
      </c>
      <c r="L79" s="7" t="str">
        <f t="shared" si="23"/>
        <v/>
      </c>
      <c r="N79" s="7" t="str">
        <f t="shared" si="24"/>
        <v/>
      </c>
      <c r="O79" t="str">
        <f t="shared" si="25"/>
        <v/>
      </c>
      <c r="P79" t="str">
        <f t="shared" si="18"/>
        <v/>
      </c>
      <c r="Q79" t="str">
        <f t="shared" si="26"/>
        <v/>
      </c>
      <c r="S79" t="str">
        <f>""</f>
        <v/>
      </c>
      <c r="AL79" s="18" t="str">
        <f>IF(COUNTIF($A$2:A78, A78) = 1, A78, "")</f>
        <v/>
      </c>
    </row>
    <row r="80" spans="6:38" x14ac:dyDescent="0.2">
      <c r="F80" t="str">
        <f t="shared" si="22"/>
        <v/>
      </c>
      <c r="L80" s="7" t="str">
        <f t="shared" si="23"/>
        <v/>
      </c>
      <c r="N80" s="7" t="str">
        <f t="shared" si="24"/>
        <v/>
      </c>
      <c r="O80" t="str">
        <f t="shared" si="25"/>
        <v/>
      </c>
      <c r="P80" t="str">
        <f t="shared" si="18"/>
        <v/>
      </c>
      <c r="Q80" t="str">
        <f t="shared" si="26"/>
        <v/>
      </c>
      <c r="S80" t="str">
        <f>""</f>
        <v/>
      </c>
      <c r="AL80" s="18" t="str">
        <f>IF(COUNTIF($A$2:A79, A79) = 1, A79, "")</f>
        <v/>
      </c>
    </row>
    <row r="81" spans="6:38" x14ac:dyDescent="0.2">
      <c r="F81" t="str">
        <f t="shared" si="22"/>
        <v/>
      </c>
      <c r="L81" s="7" t="str">
        <f t="shared" si="23"/>
        <v/>
      </c>
      <c r="N81" s="7" t="str">
        <f t="shared" si="24"/>
        <v/>
      </c>
      <c r="O81" t="str">
        <f t="shared" si="25"/>
        <v/>
      </c>
      <c r="P81" t="str">
        <f t="shared" si="18"/>
        <v/>
      </c>
      <c r="Q81" t="str">
        <f t="shared" si="26"/>
        <v/>
      </c>
      <c r="S81" t="str">
        <f>""</f>
        <v/>
      </c>
      <c r="AL81" s="18" t="str">
        <f>IF(COUNTIF($A$2:A80, A80) = 1, A80, "")</f>
        <v/>
      </c>
    </row>
    <row r="82" spans="6:38" x14ac:dyDescent="0.2">
      <c r="F82" t="str">
        <f t="shared" si="22"/>
        <v/>
      </c>
      <c r="L82" s="7" t="str">
        <f t="shared" si="23"/>
        <v/>
      </c>
      <c r="N82" s="7" t="str">
        <f t="shared" si="24"/>
        <v/>
      </c>
      <c r="O82" t="str">
        <f t="shared" si="25"/>
        <v/>
      </c>
      <c r="P82" t="str">
        <f t="shared" si="18"/>
        <v/>
      </c>
      <c r="Q82" t="str">
        <f t="shared" si="26"/>
        <v/>
      </c>
      <c r="S82" t="str">
        <f>""</f>
        <v/>
      </c>
      <c r="AL82" s="18" t="str">
        <f>IF(COUNTIF($A$2:A81, A81) = 1, A81, "")</f>
        <v/>
      </c>
    </row>
    <row r="83" spans="6:38" x14ac:dyDescent="0.2">
      <c r="F83" t="str">
        <f t="shared" si="22"/>
        <v/>
      </c>
      <c r="L83" s="7" t="str">
        <f t="shared" si="23"/>
        <v/>
      </c>
      <c r="N83" s="7" t="str">
        <f t="shared" si="24"/>
        <v/>
      </c>
      <c r="O83" t="str">
        <f t="shared" si="25"/>
        <v/>
      </c>
      <c r="P83" t="str">
        <f t="shared" ref="P83:P143" si="27">IF(I83="No", "None", "")</f>
        <v/>
      </c>
      <c r="Q83" t="str">
        <f t="shared" si="26"/>
        <v/>
      </c>
      <c r="S83" t="str">
        <f>""</f>
        <v/>
      </c>
      <c r="AL83" s="18" t="str">
        <f>IF(COUNTIF($A$2:A82, A82) = 1, A82, "")</f>
        <v/>
      </c>
    </row>
    <row r="84" spans="6:38" x14ac:dyDescent="0.2">
      <c r="F84" t="str">
        <f t="shared" si="22"/>
        <v/>
      </c>
      <c r="L84" s="7" t="str">
        <f t="shared" si="23"/>
        <v/>
      </c>
      <c r="N84" s="7" t="str">
        <f t="shared" si="24"/>
        <v/>
      </c>
      <c r="O84" t="str">
        <f t="shared" si="25"/>
        <v/>
      </c>
      <c r="P84" t="str">
        <f t="shared" si="27"/>
        <v/>
      </c>
      <c r="Q84" t="str">
        <f t="shared" si="26"/>
        <v/>
      </c>
      <c r="S84" t="str">
        <f>""</f>
        <v/>
      </c>
      <c r="AL84" s="18" t="str">
        <f>IF(COUNTIF($A$2:A83, A83) = 1, A83, "")</f>
        <v/>
      </c>
    </row>
    <row r="85" spans="6:38" x14ac:dyDescent="0.2">
      <c r="F85" t="str">
        <f t="shared" si="22"/>
        <v/>
      </c>
      <c r="L85" s="7" t="str">
        <f t="shared" si="23"/>
        <v/>
      </c>
      <c r="N85" s="7" t="str">
        <f t="shared" si="24"/>
        <v/>
      </c>
      <c r="O85" t="str">
        <f t="shared" si="25"/>
        <v/>
      </c>
      <c r="P85" t="str">
        <f t="shared" si="27"/>
        <v/>
      </c>
      <c r="Q85" t="str">
        <f t="shared" si="26"/>
        <v/>
      </c>
      <c r="S85" t="str">
        <f>""</f>
        <v/>
      </c>
      <c r="AL85" s="18" t="str">
        <f>IF(COUNTIF($A$2:A84, A84) = 1, A84, "")</f>
        <v/>
      </c>
    </row>
    <row r="86" spans="6:38" x14ac:dyDescent="0.2">
      <c r="F86" t="str">
        <f t="shared" si="22"/>
        <v/>
      </c>
      <c r="L86" s="7" t="str">
        <f t="shared" si="23"/>
        <v/>
      </c>
      <c r="N86" s="7" t="str">
        <f t="shared" si="24"/>
        <v/>
      </c>
      <c r="O86" t="str">
        <f t="shared" si="25"/>
        <v/>
      </c>
      <c r="P86" t="str">
        <f t="shared" si="27"/>
        <v/>
      </c>
      <c r="Q86" t="str">
        <f t="shared" si="26"/>
        <v/>
      </c>
      <c r="S86" t="str">
        <f>""</f>
        <v/>
      </c>
      <c r="AL86" s="18" t="str">
        <f>IF(COUNTIF($A$2:A85, A85) = 1, A85, "")</f>
        <v/>
      </c>
    </row>
    <row r="87" spans="6:38" x14ac:dyDescent="0.2">
      <c r="F87" t="str">
        <f t="shared" si="22"/>
        <v/>
      </c>
      <c r="L87" s="7" t="str">
        <f t="shared" si="23"/>
        <v/>
      </c>
      <c r="N87" s="7" t="str">
        <f t="shared" si="24"/>
        <v/>
      </c>
      <c r="O87" t="str">
        <f t="shared" si="25"/>
        <v/>
      </c>
      <c r="P87" t="str">
        <f t="shared" si="27"/>
        <v/>
      </c>
      <c r="Q87" t="str">
        <f t="shared" si="26"/>
        <v/>
      </c>
      <c r="S87" t="str">
        <f>""</f>
        <v/>
      </c>
      <c r="AL87" s="18" t="str">
        <f>IF(COUNTIF($A$2:A86, A86) = 1, A86, "")</f>
        <v/>
      </c>
    </row>
    <row r="88" spans="6:38" x14ac:dyDescent="0.2">
      <c r="F88" t="str">
        <f t="shared" si="22"/>
        <v/>
      </c>
      <c r="L88" s="7" t="str">
        <f t="shared" si="23"/>
        <v/>
      </c>
      <c r="N88" s="7" t="str">
        <f t="shared" si="24"/>
        <v/>
      </c>
      <c r="O88" t="str">
        <f t="shared" si="25"/>
        <v/>
      </c>
      <c r="P88" t="str">
        <f t="shared" si="27"/>
        <v/>
      </c>
      <c r="Q88" t="str">
        <f t="shared" si="26"/>
        <v/>
      </c>
      <c r="S88" t="str">
        <f>""</f>
        <v/>
      </c>
      <c r="AL88" s="18" t="str">
        <f>IF(COUNTIF($A$2:A87, A87) = 1, A87, "")</f>
        <v/>
      </c>
    </row>
    <row r="89" spans="6:38" x14ac:dyDescent="0.2">
      <c r="F89" t="str">
        <f t="shared" si="22"/>
        <v/>
      </c>
      <c r="L89" s="7" t="str">
        <f t="shared" si="23"/>
        <v/>
      </c>
      <c r="N89" s="7" t="str">
        <f t="shared" si="24"/>
        <v/>
      </c>
      <c r="O89" t="str">
        <f t="shared" si="25"/>
        <v/>
      </c>
      <c r="P89" t="str">
        <f t="shared" si="27"/>
        <v/>
      </c>
      <c r="Q89" t="str">
        <f t="shared" si="26"/>
        <v/>
      </c>
      <c r="S89" t="str">
        <f>""</f>
        <v/>
      </c>
      <c r="AL89" s="18" t="str">
        <f>IF(COUNTIF($A$2:A88, A88) = 1, A88, "")</f>
        <v/>
      </c>
    </row>
    <row r="90" spans="6:38" x14ac:dyDescent="0.2">
      <c r="F90" t="str">
        <f t="shared" si="22"/>
        <v/>
      </c>
      <c r="L90" s="7" t="str">
        <f t="shared" si="23"/>
        <v/>
      </c>
      <c r="N90" s="7" t="str">
        <f t="shared" si="24"/>
        <v/>
      </c>
      <c r="O90" t="str">
        <f t="shared" si="25"/>
        <v/>
      </c>
      <c r="P90" t="str">
        <f t="shared" si="27"/>
        <v/>
      </c>
      <c r="Q90" t="str">
        <f t="shared" si="26"/>
        <v/>
      </c>
      <c r="S90" t="str">
        <f>""</f>
        <v/>
      </c>
      <c r="AL90" s="18" t="str">
        <f>IF(COUNTIF($A$2:A89, A89) = 1, A89, "")</f>
        <v/>
      </c>
    </row>
    <row r="91" spans="6:38" x14ac:dyDescent="0.2">
      <c r="F91" t="str">
        <f t="shared" si="22"/>
        <v/>
      </c>
      <c r="L91" s="7" t="str">
        <f t="shared" si="23"/>
        <v/>
      </c>
      <c r="N91" s="7" t="str">
        <f t="shared" si="24"/>
        <v/>
      </c>
      <c r="O91" t="str">
        <f t="shared" si="25"/>
        <v/>
      </c>
      <c r="P91" t="str">
        <f t="shared" si="27"/>
        <v/>
      </c>
      <c r="Q91" t="str">
        <f t="shared" si="26"/>
        <v/>
      </c>
      <c r="S91" t="str">
        <f>""</f>
        <v/>
      </c>
      <c r="AL91" s="18" t="str">
        <f>IF(COUNTIF($A$2:A90, A90) = 1, A90, "")</f>
        <v/>
      </c>
    </row>
    <row r="92" spans="6:38" x14ac:dyDescent="0.2">
      <c r="F92" t="str">
        <f t="shared" si="22"/>
        <v/>
      </c>
      <c r="L92" s="7" t="str">
        <f t="shared" si="23"/>
        <v/>
      </c>
      <c r="N92" s="7" t="str">
        <f t="shared" si="24"/>
        <v/>
      </c>
      <c r="O92" t="str">
        <f t="shared" si="25"/>
        <v/>
      </c>
      <c r="P92" t="str">
        <f t="shared" si="27"/>
        <v/>
      </c>
      <c r="Q92" t="str">
        <f t="shared" si="26"/>
        <v/>
      </c>
      <c r="S92" t="str">
        <f>""</f>
        <v/>
      </c>
      <c r="AL92" s="18" t="str">
        <f>IF(COUNTIF($A$2:A91, A91) = 1, A91, "")</f>
        <v/>
      </c>
    </row>
    <row r="93" spans="6:38" x14ac:dyDescent="0.2">
      <c r="F93" t="str">
        <f t="shared" si="22"/>
        <v/>
      </c>
      <c r="L93" s="7" t="str">
        <f t="shared" si="23"/>
        <v/>
      </c>
      <c r="N93" s="7" t="str">
        <f t="shared" si="24"/>
        <v/>
      </c>
      <c r="O93" t="str">
        <f t="shared" si="25"/>
        <v/>
      </c>
      <c r="P93" t="str">
        <f t="shared" si="27"/>
        <v/>
      </c>
      <c r="Q93" t="str">
        <f t="shared" si="26"/>
        <v/>
      </c>
      <c r="S93" t="str">
        <f>""</f>
        <v/>
      </c>
      <c r="AL93" s="18" t="str">
        <f>IF(COUNTIF($A$2:A92, A92) = 1, A92, "")</f>
        <v/>
      </c>
    </row>
    <row r="94" spans="6:38" x14ac:dyDescent="0.2">
      <c r="F94" t="str">
        <f t="shared" si="22"/>
        <v/>
      </c>
      <c r="L94" s="7" t="str">
        <f t="shared" si="23"/>
        <v/>
      </c>
      <c r="N94" s="7" t="str">
        <f t="shared" si="24"/>
        <v/>
      </c>
      <c r="O94" t="str">
        <f t="shared" si="25"/>
        <v/>
      </c>
      <c r="P94" t="str">
        <f t="shared" si="27"/>
        <v/>
      </c>
      <c r="Q94" t="str">
        <f t="shared" si="26"/>
        <v/>
      </c>
      <c r="S94" t="str">
        <f>""</f>
        <v/>
      </c>
      <c r="AL94" s="18" t="str">
        <f>IF(COUNTIF($A$2:A93, A93) = 1, A93, "")</f>
        <v/>
      </c>
    </row>
    <row r="95" spans="6:38" x14ac:dyDescent="0.2">
      <c r="F95" t="str">
        <f t="shared" si="22"/>
        <v/>
      </c>
      <c r="L95" s="7" t="str">
        <f t="shared" si="23"/>
        <v/>
      </c>
      <c r="N95" s="7" t="str">
        <f t="shared" si="24"/>
        <v/>
      </c>
      <c r="O95" t="str">
        <f t="shared" si="25"/>
        <v/>
      </c>
      <c r="P95" t="str">
        <f t="shared" si="27"/>
        <v/>
      </c>
      <c r="Q95" t="str">
        <f t="shared" si="26"/>
        <v/>
      </c>
      <c r="S95" t="str">
        <f>""</f>
        <v/>
      </c>
      <c r="AL95" s="18" t="str">
        <f>IF(COUNTIF($A$2:A94, A94) = 1, A94, "")</f>
        <v/>
      </c>
    </row>
    <row r="96" spans="6:38" x14ac:dyDescent="0.2">
      <c r="F96" t="str">
        <f t="shared" si="22"/>
        <v/>
      </c>
      <c r="L96" s="7" t="str">
        <f t="shared" si="23"/>
        <v/>
      </c>
      <c r="N96" s="7" t="str">
        <f t="shared" si="24"/>
        <v/>
      </c>
      <c r="O96" t="str">
        <f t="shared" si="25"/>
        <v/>
      </c>
      <c r="P96" t="str">
        <f t="shared" si="27"/>
        <v/>
      </c>
      <c r="Q96" t="str">
        <f t="shared" si="26"/>
        <v/>
      </c>
      <c r="S96" t="str">
        <f>""</f>
        <v/>
      </c>
      <c r="AL96" s="18" t="str">
        <f>IF(COUNTIF($A$2:A95, A95) = 1, A95, "")</f>
        <v/>
      </c>
    </row>
    <row r="97" spans="6:38" x14ac:dyDescent="0.2">
      <c r="F97" t="str">
        <f t="shared" si="22"/>
        <v/>
      </c>
      <c r="L97" s="7" t="str">
        <f t="shared" si="23"/>
        <v/>
      </c>
      <c r="N97" s="7" t="str">
        <f t="shared" si="24"/>
        <v/>
      </c>
      <c r="O97" t="str">
        <f t="shared" si="25"/>
        <v/>
      </c>
      <c r="P97" t="str">
        <f t="shared" si="27"/>
        <v/>
      </c>
      <c r="Q97" t="str">
        <f t="shared" si="26"/>
        <v/>
      </c>
      <c r="S97" t="str">
        <f>""</f>
        <v/>
      </c>
      <c r="AL97" s="18" t="str">
        <f>IF(COUNTIF($A$2:A96, A96) = 1, A96, "")</f>
        <v/>
      </c>
    </row>
    <row r="98" spans="6:38" x14ac:dyDescent="0.2">
      <c r="F98" t="str">
        <f t="shared" si="22"/>
        <v/>
      </c>
      <c r="L98" s="7" t="str">
        <f t="shared" si="23"/>
        <v/>
      </c>
      <c r="N98" s="7" t="str">
        <f t="shared" si="24"/>
        <v/>
      </c>
      <c r="O98" t="str">
        <f t="shared" si="25"/>
        <v/>
      </c>
      <c r="P98" t="str">
        <f t="shared" si="27"/>
        <v/>
      </c>
      <c r="Q98" t="str">
        <f t="shared" si="26"/>
        <v/>
      </c>
      <c r="S98" t="str">
        <f>""</f>
        <v/>
      </c>
      <c r="AL98" s="18" t="str">
        <f>IF(COUNTIF($A$2:A97, A97) = 1, A97, "")</f>
        <v/>
      </c>
    </row>
    <row r="99" spans="6:38" x14ac:dyDescent="0.2">
      <c r="F99" t="str">
        <f t="shared" si="22"/>
        <v/>
      </c>
      <c r="L99" s="7" t="str">
        <f t="shared" si="23"/>
        <v/>
      </c>
      <c r="N99" s="7" t="str">
        <f t="shared" si="24"/>
        <v/>
      </c>
      <c r="O99" t="str">
        <f t="shared" si="25"/>
        <v/>
      </c>
      <c r="P99" t="str">
        <f t="shared" si="27"/>
        <v/>
      </c>
      <c r="Q99" t="str">
        <f t="shared" si="26"/>
        <v/>
      </c>
      <c r="S99" t="str">
        <f>""</f>
        <v/>
      </c>
      <c r="AL99" s="18" t="str">
        <f>IF(COUNTIF($A$2:A98, A98) = 1, A98, "")</f>
        <v/>
      </c>
    </row>
    <row r="100" spans="6:38" x14ac:dyDescent="0.2">
      <c r="F100" t="str">
        <f t="shared" si="22"/>
        <v/>
      </c>
      <c r="L100" s="7" t="str">
        <f t="shared" si="23"/>
        <v/>
      </c>
      <c r="N100" s="7" t="str">
        <f t="shared" si="24"/>
        <v/>
      </c>
      <c r="O100" t="str">
        <f t="shared" si="25"/>
        <v/>
      </c>
      <c r="P100" t="str">
        <f t="shared" si="27"/>
        <v/>
      </c>
      <c r="Q100" t="str">
        <f t="shared" si="26"/>
        <v/>
      </c>
      <c r="S100" t="str">
        <f>""</f>
        <v/>
      </c>
      <c r="AL100" s="18" t="str">
        <f>IF(COUNTIF($A$2:A99, A99) = 1, A99, "")</f>
        <v/>
      </c>
    </row>
    <row r="101" spans="6:38" x14ac:dyDescent="0.2">
      <c r="F101" t="str">
        <f t="shared" si="22"/>
        <v/>
      </c>
      <c r="L101" s="7" t="str">
        <f t="shared" si="23"/>
        <v/>
      </c>
      <c r="N101" s="7" t="str">
        <f t="shared" si="24"/>
        <v/>
      </c>
      <c r="O101" t="str">
        <f t="shared" si="25"/>
        <v/>
      </c>
      <c r="P101" t="str">
        <f t="shared" si="27"/>
        <v/>
      </c>
      <c r="Q101" t="str">
        <f t="shared" si="26"/>
        <v/>
      </c>
      <c r="S101" t="str">
        <f>""</f>
        <v/>
      </c>
      <c r="AL101" s="18" t="str">
        <f>IF(COUNTIF($A$2:A100, A100) = 1, A100, "")</f>
        <v/>
      </c>
    </row>
    <row r="102" spans="6:38" x14ac:dyDescent="0.2">
      <c r="F102" t="str">
        <f t="shared" si="22"/>
        <v/>
      </c>
      <c r="L102" s="7" t="str">
        <f t="shared" si="23"/>
        <v/>
      </c>
      <c r="N102" s="7" t="str">
        <f t="shared" si="24"/>
        <v/>
      </c>
      <c r="O102" t="str">
        <f t="shared" si="25"/>
        <v/>
      </c>
      <c r="P102" t="str">
        <f t="shared" si="27"/>
        <v/>
      </c>
      <c r="Q102" t="str">
        <f t="shared" si="26"/>
        <v/>
      </c>
      <c r="S102" t="str">
        <f>""</f>
        <v/>
      </c>
      <c r="AL102" s="18" t="str">
        <f>IF(COUNTIF($A$2:A101, A101) = 1, A101, "")</f>
        <v/>
      </c>
    </row>
    <row r="103" spans="6:38" x14ac:dyDescent="0.2">
      <c r="F103" t="str">
        <f t="shared" si="22"/>
        <v/>
      </c>
      <c r="L103" s="7" t="str">
        <f t="shared" si="23"/>
        <v/>
      </c>
      <c r="N103" s="7" t="str">
        <f t="shared" si="24"/>
        <v/>
      </c>
      <c r="O103" t="str">
        <f t="shared" si="25"/>
        <v/>
      </c>
      <c r="P103" t="str">
        <f t="shared" si="27"/>
        <v/>
      </c>
      <c r="Q103" t="str">
        <f t="shared" si="26"/>
        <v/>
      </c>
      <c r="S103" t="str">
        <f>""</f>
        <v/>
      </c>
      <c r="AL103" s="18" t="str">
        <f>IF(COUNTIF($A$2:A102, A102) = 1, A102, "")</f>
        <v/>
      </c>
    </row>
    <row r="104" spans="6:38" x14ac:dyDescent="0.2">
      <c r="F104" t="str">
        <f t="shared" si="22"/>
        <v/>
      </c>
      <c r="L104" s="7" t="str">
        <f t="shared" si="23"/>
        <v/>
      </c>
      <c r="N104" s="7" t="str">
        <f t="shared" si="24"/>
        <v/>
      </c>
      <c r="O104" t="str">
        <f t="shared" si="25"/>
        <v/>
      </c>
      <c r="P104" t="str">
        <f t="shared" si="27"/>
        <v/>
      </c>
      <c r="Q104" t="str">
        <f t="shared" si="26"/>
        <v/>
      </c>
      <c r="S104" t="str">
        <f>""</f>
        <v/>
      </c>
      <c r="AL104" s="18" t="str">
        <f>IF(COUNTIF($A$2:A103, A103) = 1, A103, "")</f>
        <v/>
      </c>
    </row>
    <row r="105" spans="6:38" x14ac:dyDescent="0.2">
      <c r="F105" t="str">
        <f t="shared" si="22"/>
        <v/>
      </c>
      <c r="L105" s="7" t="str">
        <f t="shared" si="23"/>
        <v/>
      </c>
      <c r="N105" s="7" t="str">
        <f t="shared" si="24"/>
        <v/>
      </c>
      <c r="O105" t="str">
        <f t="shared" si="25"/>
        <v/>
      </c>
      <c r="P105" t="str">
        <f t="shared" si="27"/>
        <v/>
      </c>
      <c r="Q105" t="str">
        <f t="shared" si="26"/>
        <v/>
      </c>
      <c r="S105" t="str">
        <f>""</f>
        <v/>
      </c>
      <c r="AL105" s="18" t="str">
        <f>IF(COUNTIF($A$2:A104, A104) = 1, A104, "")</f>
        <v/>
      </c>
    </row>
    <row r="106" spans="6:38" x14ac:dyDescent="0.2">
      <c r="F106" t="str">
        <f t="shared" si="22"/>
        <v/>
      </c>
      <c r="L106" s="7" t="str">
        <f t="shared" si="23"/>
        <v/>
      </c>
      <c r="N106" s="7" t="str">
        <f t="shared" si="24"/>
        <v/>
      </c>
      <c r="O106" t="str">
        <f t="shared" si="25"/>
        <v/>
      </c>
      <c r="P106" t="str">
        <f t="shared" si="27"/>
        <v/>
      </c>
      <c r="Q106" t="str">
        <f t="shared" si="26"/>
        <v/>
      </c>
      <c r="S106" t="str">
        <f>""</f>
        <v/>
      </c>
      <c r="AL106" s="18" t="str">
        <f>IF(COUNTIF($A$2:A105, A105) = 1, A105, "")</f>
        <v/>
      </c>
    </row>
    <row r="107" spans="6:38" x14ac:dyDescent="0.2">
      <c r="F107" t="str">
        <f t="shared" si="22"/>
        <v/>
      </c>
      <c r="L107" s="7" t="str">
        <f t="shared" si="23"/>
        <v/>
      </c>
      <c r="N107" s="7" t="str">
        <f t="shared" si="24"/>
        <v/>
      </c>
      <c r="O107" t="str">
        <f t="shared" si="25"/>
        <v/>
      </c>
      <c r="P107" t="str">
        <f t="shared" si="27"/>
        <v/>
      </c>
      <c r="Q107" t="str">
        <f t="shared" si="26"/>
        <v/>
      </c>
      <c r="S107" t="str">
        <f>""</f>
        <v/>
      </c>
      <c r="AL107" s="18" t="str">
        <f>IF(COUNTIF($A$2:A106, A106) = 1, A106, "")</f>
        <v/>
      </c>
    </row>
    <row r="108" spans="6:38" x14ac:dyDescent="0.2">
      <c r="F108" t="str">
        <f t="shared" si="22"/>
        <v/>
      </c>
      <c r="L108" s="7" t="str">
        <f t="shared" si="23"/>
        <v/>
      </c>
      <c r="N108" s="7" t="str">
        <f t="shared" si="24"/>
        <v/>
      </c>
      <c r="O108" t="str">
        <f t="shared" si="25"/>
        <v/>
      </c>
      <c r="P108" t="str">
        <f t="shared" si="27"/>
        <v/>
      </c>
      <c r="Q108" t="str">
        <f t="shared" si="26"/>
        <v/>
      </c>
      <c r="S108" t="str">
        <f>""</f>
        <v/>
      </c>
      <c r="AL108" s="18" t="str">
        <f>IF(COUNTIF($A$2:A107, A107) = 1, A107, "")</f>
        <v/>
      </c>
    </row>
    <row r="109" spans="6:38" x14ac:dyDescent="0.2">
      <c r="F109" t="str">
        <f t="shared" si="22"/>
        <v/>
      </c>
      <c r="L109" s="7" t="str">
        <f t="shared" si="23"/>
        <v/>
      </c>
      <c r="N109" s="7" t="str">
        <f t="shared" si="24"/>
        <v/>
      </c>
      <c r="O109" t="str">
        <f t="shared" si="25"/>
        <v/>
      </c>
      <c r="P109" t="str">
        <f t="shared" si="27"/>
        <v/>
      </c>
      <c r="Q109" t="str">
        <f t="shared" si="26"/>
        <v/>
      </c>
      <c r="S109" t="str">
        <f>""</f>
        <v/>
      </c>
      <c r="AL109" s="18" t="str">
        <f>IF(COUNTIF($A$2:A108, A108) = 1, A108, "")</f>
        <v/>
      </c>
    </row>
    <row r="110" spans="6:38" x14ac:dyDescent="0.2">
      <c r="F110" t="str">
        <f t="shared" si="22"/>
        <v/>
      </c>
      <c r="L110" s="7" t="str">
        <f t="shared" si="23"/>
        <v/>
      </c>
      <c r="N110" s="7" t="str">
        <f t="shared" si="24"/>
        <v/>
      </c>
      <c r="O110" t="str">
        <f t="shared" si="25"/>
        <v/>
      </c>
      <c r="P110" t="str">
        <f t="shared" si="27"/>
        <v/>
      </c>
      <c r="Q110" t="str">
        <f t="shared" si="26"/>
        <v/>
      </c>
      <c r="S110" t="str">
        <f>""</f>
        <v/>
      </c>
      <c r="AL110" s="18" t="str">
        <f>IF(COUNTIF($A$2:A109, A109) = 1, A109, "")</f>
        <v/>
      </c>
    </row>
    <row r="111" spans="6:38" x14ac:dyDescent="0.2">
      <c r="F111" t="str">
        <f t="shared" si="22"/>
        <v/>
      </c>
      <c r="L111" s="7" t="str">
        <f t="shared" si="23"/>
        <v/>
      </c>
      <c r="N111" s="7" t="str">
        <f t="shared" si="24"/>
        <v/>
      </c>
      <c r="O111" t="str">
        <f t="shared" si="25"/>
        <v/>
      </c>
      <c r="P111" t="str">
        <f t="shared" si="27"/>
        <v/>
      </c>
      <c r="Q111" t="str">
        <f t="shared" si="26"/>
        <v/>
      </c>
      <c r="S111" t="str">
        <f>""</f>
        <v/>
      </c>
      <c r="AL111" s="18" t="str">
        <f>IF(COUNTIF($A$2:A110, A110) = 1, A110, "")</f>
        <v/>
      </c>
    </row>
    <row r="112" spans="6:38" x14ac:dyDescent="0.2">
      <c r="F112" t="str">
        <f t="shared" si="22"/>
        <v/>
      </c>
      <c r="L112" s="7" t="str">
        <f t="shared" si="23"/>
        <v/>
      </c>
      <c r="N112" s="7" t="str">
        <f t="shared" si="24"/>
        <v/>
      </c>
      <c r="O112" t="str">
        <f t="shared" si="25"/>
        <v/>
      </c>
      <c r="P112" t="str">
        <f t="shared" si="27"/>
        <v/>
      </c>
      <c r="Q112" t="str">
        <f t="shared" si="26"/>
        <v/>
      </c>
      <c r="S112" t="str">
        <f>""</f>
        <v/>
      </c>
      <c r="AL112" s="18" t="str">
        <f>IF(COUNTIF($A$2:A111, A111) = 1, A111, "")</f>
        <v/>
      </c>
    </row>
    <row r="113" spans="6:38" x14ac:dyDescent="0.2">
      <c r="F113" t="str">
        <f t="shared" si="22"/>
        <v/>
      </c>
      <c r="L113" s="7" t="str">
        <f t="shared" si="23"/>
        <v/>
      </c>
      <c r="N113" s="7" t="str">
        <f t="shared" si="24"/>
        <v/>
      </c>
      <c r="O113" t="str">
        <f t="shared" si="25"/>
        <v/>
      </c>
      <c r="P113" t="str">
        <f t="shared" si="27"/>
        <v/>
      </c>
      <c r="Q113" t="str">
        <f t="shared" si="26"/>
        <v/>
      </c>
      <c r="S113" t="str">
        <f>""</f>
        <v/>
      </c>
      <c r="AL113" s="18" t="str">
        <f>IF(COUNTIF($A$2:A112, A112) = 1, A112, "")</f>
        <v/>
      </c>
    </row>
    <row r="114" spans="6:38" x14ac:dyDescent="0.2">
      <c r="F114" t="str">
        <f t="shared" si="22"/>
        <v/>
      </c>
      <c r="L114" s="7" t="str">
        <f t="shared" si="23"/>
        <v/>
      </c>
      <c r="N114" s="7" t="str">
        <f t="shared" si="24"/>
        <v/>
      </c>
      <c r="O114" t="str">
        <f t="shared" si="25"/>
        <v/>
      </c>
      <c r="P114" t="str">
        <f t="shared" si="27"/>
        <v/>
      </c>
      <c r="Q114" t="str">
        <f t="shared" si="26"/>
        <v/>
      </c>
      <c r="S114" t="str">
        <f>""</f>
        <v/>
      </c>
      <c r="AL114" s="18" t="str">
        <f>IF(COUNTIF($A$2:A113, A113) = 1, A113, "")</f>
        <v/>
      </c>
    </row>
    <row r="115" spans="6:38" x14ac:dyDescent="0.2">
      <c r="F115" t="str">
        <f t="shared" si="22"/>
        <v/>
      </c>
      <c r="L115" s="7" t="str">
        <f t="shared" si="23"/>
        <v/>
      </c>
      <c r="N115" s="7" t="str">
        <f t="shared" si="24"/>
        <v/>
      </c>
      <c r="O115" t="str">
        <f t="shared" si="25"/>
        <v/>
      </c>
      <c r="P115" t="str">
        <f t="shared" si="27"/>
        <v/>
      </c>
      <c r="Q115" t="str">
        <f t="shared" si="26"/>
        <v/>
      </c>
      <c r="S115" t="str">
        <f>""</f>
        <v/>
      </c>
      <c r="AL115" s="18" t="str">
        <f>IF(COUNTIF($A$2:A114, A114) = 1, A114, "")</f>
        <v/>
      </c>
    </row>
    <row r="116" spans="6:38" x14ac:dyDescent="0.2">
      <c r="F116" t="str">
        <f t="shared" si="22"/>
        <v/>
      </c>
      <c r="L116" s="7" t="str">
        <f t="shared" si="23"/>
        <v/>
      </c>
      <c r="N116" s="7" t="str">
        <f t="shared" si="24"/>
        <v/>
      </c>
      <c r="O116" t="str">
        <f t="shared" si="25"/>
        <v/>
      </c>
      <c r="P116" t="str">
        <f t="shared" si="27"/>
        <v/>
      </c>
      <c r="Q116" t="str">
        <f t="shared" si="26"/>
        <v/>
      </c>
      <c r="S116" t="str">
        <f>""</f>
        <v/>
      </c>
      <c r="AL116" s="18" t="str">
        <f>IF(COUNTIF($A$2:A115, A115) = 1, A115, "")</f>
        <v/>
      </c>
    </row>
    <row r="117" spans="6:38" x14ac:dyDescent="0.2">
      <c r="F117" t="str">
        <f t="shared" si="22"/>
        <v/>
      </c>
      <c r="L117" s="7" t="str">
        <f t="shared" si="23"/>
        <v/>
      </c>
      <c r="N117" s="7" t="str">
        <f t="shared" si="24"/>
        <v/>
      </c>
      <c r="O117" t="str">
        <f t="shared" si="25"/>
        <v/>
      </c>
      <c r="P117" t="str">
        <f t="shared" si="27"/>
        <v/>
      </c>
      <c r="Q117" t="str">
        <f t="shared" si="26"/>
        <v/>
      </c>
      <c r="S117" t="str">
        <f>""</f>
        <v/>
      </c>
      <c r="AL117" s="18" t="str">
        <f>IF(COUNTIF($A$2:A116, A116) = 1, A116, "")</f>
        <v/>
      </c>
    </row>
    <row r="118" spans="6:38" x14ac:dyDescent="0.2">
      <c r="F118" t="str">
        <f t="shared" si="22"/>
        <v/>
      </c>
      <c r="L118" s="7" t="str">
        <f t="shared" si="23"/>
        <v/>
      </c>
      <c r="N118" s="7" t="str">
        <f t="shared" si="24"/>
        <v/>
      </c>
      <c r="O118" t="str">
        <f t="shared" si="25"/>
        <v/>
      </c>
      <c r="P118" t="str">
        <f t="shared" si="27"/>
        <v/>
      </c>
      <c r="Q118" t="str">
        <f t="shared" si="26"/>
        <v/>
      </c>
      <c r="S118" t="str">
        <f>""</f>
        <v/>
      </c>
      <c r="AL118" s="18" t="str">
        <f>IF(COUNTIF($A$2:A117, A117) = 1, A117, "")</f>
        <v/>
      </c>
    </row>
    <row r="119" spans="6:38" x14ac:dyDescent="0.2">
      <c r="F119" t="str">
        <f t="shared" si="22"/>
        <v/>
      </c>
      <c r="L119" s="7" t="str">
        <f t="shared" si="23"/>
        <v/>
      </c>
      <c r="N119" s="7" t="str">
        <f t="shared" si="24"/>
        <v/>
      </c>
      <c r="O119" t="str">
        <f t="shared" si="25"/>
        <v/>
      </c>
      <c r="P119" t="str">
        <f t="shared" si="27"/>
        <v/>
      </c>
      <c r="Q119" t="str">
        <f t="shared" si="26"/>
        <v/>
      </c>
      <c r="S119" t="str">
        <f>""</f>
        <v/>
      </c>
      <c r="AL119" s="18" t="str">
        <f>IF(COUNTIF($A$2:A118, A118) = 1, A118, "")</f>
        <v/>
      </c>
    </row>
    <row r="120" spans="6:38" x14ac:dyDescent="0.2">
      <c r="F120" t="str">
        <f t="shared" si="22"/>
        <v/>
      </c>
      <c r="L120" s="7" t="str">
        <f t="shared" si="23"/>
        <v/>
      </c>
      <c r="N120" s="7" t="str">
        <f t="shared" si="24"/>
        <v/>
      </c>
      <c r="O120" t="str">
        <f t="shared" si="25"/>
        <v/>
      </c>
      <c r="P120" t="str">
        <f t="shared" si="27"/>
        <v/>
      </c>
      <c r="Q120" t="str">
        <f t="shared" si="26"/>
        <v/>
      </c>
      <c r="S120" t="str">
        <f>""</f>
        <v/>
      </c>
      <c r="AL120" s="18" t="str">
        <f>IF(COUNTIF($A$2:A119, A119) = 1, A119, "")</f>
        <v/>
      </c>
    </row>
    <row r="121" spans="6:38" x14ac:dyDescent="0.2">
      <c r="F121" t="str">
        <f t="shared" si="22"/>
        <v/>
      </c>
      <c r="L121" s="7" t="str">
        <f t="shared" si="23"/>
        <v/>
      </c>
      <c r="N121" s="7" t="str">
        <f t="shared" si="24"/>
        <v/>
      </c>
      <c r="O121" t="str">
        <f t="shared" si="25"/>
        <v/>
      </c>
      <c r="P121" t="str">
        <f t="shared" si="27"/>
        <v/>
      </c>
      <c r="Q121" t="str">
        <f t="shared" si="26"/>
        <v/>
      </c>
      <c r="S121" t="str">
        <f>""</f>
        <v/>
      </c>
      <c r="AL121" s="18" t="str">
        <f>IF(COUNTIF($A$2:A120, A120) = 1, A120, "")</f>
        <v/>
      </c>
    </row>
    <row r="122" spans="6:38" x14ac:dyDescent="0.2">
      <c r="F122" t="str">
        <f t="shared" si="22"/>
        <v/>
      </c>
      <c r="L122" s="7" t="str">
        <f t="shared" si="23"/>
        <v/>
      </c>
      <c r="N122" s="7" t="str">
        <f t="shared" si="24"/>
        <v/>
      </c>
      <c r="O122" t="str">
        <f t="shared" si="25"/>
        <v/>
      </c>
      <c r="P122" t="str">
        <f t="shared" si="27"/>
        <v/>
      </c>
      <c r="Q122" t="str">
        <f t="shared" si="26"/>
        <v/>
      </c>
      <c r="S122" t="str">
        <f>""</f>
        <v/>
      </c>
      <c r="AL122" s="18" t="str">
        <f>IF(COUNTIF($A$2:A121, A121) = 1, A121, "")</f>
        <v/>
      </c>
    </row>
    <row r="123" spans="6:38" x14ac:dyDescent="0.2">
      <c r="F123" t="str">
        <f t="shared" si="22"/>
        <v/>
      </c>
      <c r="L123" s="7" t="str">
        <f t="shared" si="23"/>
        <v/>
      </c>
      <c r="N123" s="7" t="str">
        <f t="shared" si="24"/>
        <v/>
      </c>
      <c r="O123" t="str">
        <f t="shared" si="25"/>
        <v/>
      </c>
      <c r="P123" t="str">
        <f t="shared" si="27"/>
        <v/>
      </c>
      <c r="Q123" t="str">
        <f t="shared" si="26"/>
        <v/>
      </c>
      <c r="S123" t="str">
        <f>""</f>
        <v/>
      </c>
      <c r="AL123" s="18" t="str">
        <f>IF(COUNTIF($A$2:A122, A122) = 1, A122, "")</f>
        <v/>
      </c>
    </row>
    <row r="124" spans="6:38" x14ac:dyDescent="0.2">
      <c r="F124" t="str">
        <f t="shared" si="22"/>
        <v/>
      </c>
      <c r="L124" s="7" t="str">
        <f t="shared" si="23"/>
        <v/>
      </c>
      <c r="N124" s="7" t="str">
        <f t="shared" si="24"/>
        <v/>
      </c>
      <c r="O124" t="str">
        <f t="shared" si="25"/>
        <v/>
      </c>
      <c r="P124" t="str">
        <f t="shared" si="27"/>
        <v/>
      </c>
      <c r="Q124" t="str">
        <f t="shared" si="26"/>
        <v/>
      </c>
      <c r="S124" t="str">
        <f>""</f>
        <v/>
      </c>
      <c r="AL124" s="18" t="str">
        <f>IF(COUNTIF($A$2:A123, A123) = 1, A123, "")</f>
        <v/>
      </c>
    </row>
    <row r="125" spans="6:38" x14ac:dyDescent="0.2">
      <c r="F125" t="str">
        <f t="shared" si="22"/>
        <v/>
      </c>
      <c r="L125" s="7" t="str">
        <f t="shared" si="23"/>
        <v/>
      </c>
      <c r="N125" s="7" t="str">
        <f t="shared" si="24"/>
        <v/>
      </c>
      <c r="O125" t="str">
        <f t="shared" si="25"/>
        <v/>
      </c>
      <c r="P125" t="str">
        <f t="shared" si="27"/>
        <v/>
      </c>
      <c r="Q125" t="str">
        <f t="shared" si="26"/>
        <v/>
      </c>
      <c r="S125" t="str">
        <f>""</f>
        <v/>
      </c>
      <c r="AL125" s="18" t="str">
        <f>IF(COUNTIF($A$2:A124, A124) = 1, A124, "")</f>
        <v/>
      </c>
    </row>
    <row r="126" spans="6:38" x14ac:dyDescent="0.2">
      <c r="F126" t="str">
        <f t="shared" si="22"/>
        <v/>
      </c>
      <c r="L126" s="7" t="str">
        <f t="shared" si="23"/>
        <v/>
      </c>
      <c r="N126" s="7" t="str">
        <f t="shared" si="24"/>
        <v/>
      </c>
      <c r="O126" t="str">
        <f t="shared" si="25"/>
        <v/>
      </c>
      <c r="P126" t="str">
        <f t="shared" si="27"/>
        <v/>
      </c>
      <c r="Q126" t="str">
        <f t="shared" si="26"/>
        <v/>
      </c>
      <c r="S126" t="str">
        <f>""</f>
        <v/>
      </c>
      <c r="AL126" s="18" t="str">
        <f>IF(COUNTIF($A$2:A125, A125) = 1, A125, "")</f>
        <v/>
      </c>
    </row>
    <row r="127" spans="6:38" x14ac:dyDescent="0.2">
      <c r="F127" t="str">
        <f t="shared" si="22"/>
        <v/>
      </c>
      <c r="L127" s="7" t="str">
        <f t="shared" si="23"/>
        <v/>
      </c>
      <c r="N127" s="7" t="str">
        <f t="shared" si="24"/>
        <v/>
      </c>
      <c r="O127" t="str">
        <f t="shared" si="25"/>
        <v/>
      </c>
      <c r="P127" t="str">
        <f t="shared" si="27"/>
        <v/>
      </c>
      <c r="Q127" t="str">
        <f t="shared" si="26"/>
        <v/>
      </c>
      <c r="S127" t="str">
        <f>""</f>
        <v/>
      </c>
      <c r="AL127" s="18" t="str">
        <f>IF(COUNTIF($A$2:A126, A126) = 1, A126, "")</f>
        <v/>
      </c>
    </row>
    <row r="128" spans="6:38" x14ac:dyDescent="0.2">
      <c r="F128" t="str">
        <f t="shared" si="22"/>
        <v/>
      </c>
      <c r="L128" s="7" t="str">
        <f t="shared" si="23"/>
        <v/>
      </c>
      <c r="N128" s="7" t="str">
        <f t="shared" si="24"/>
        <v/>
      </c>
      <c r="O128" t="str">
        <f t="shared" si="25"/>
        <v/>
      </c>
      <c r="P128" t="str">
        <f t="shared" si="27"/>
        <v/>
      </c>
      <c r="Q128" t="str">
        <f t="shared" si="26"/>
        <v/>
      </c>
      <c r="S128" t="str">
        <f>""</f>
        <v/>
      </c>
      <c r="AL128" s="18" t="str">
        <f>IF(COUNTIF($A$2:A127, A127) = 1, A127, "")</f>
        <v/>
      </c>
    </row>
    <row r="129" spans="6:38" x14ac:dyDescent="0.2">
      <c r="F129" t="str">
        <f t="shared" si="22"/>
        <v/>
      </c>
      <c r="L129" s="7" t="str">
        <f t="shared" si="23"/>
        <v/>
      </c>
      <c r="N129" s="7" t="str">
        <f t="shared" si="24"/>
        <v/>
      </c>
      <c r="O129" t="str">
        <f t="shared" si="25"/>
        <v/>
      </c>
      <c r="P129" t="str">
        <f t="shared" si="27"/>
        <v/>
      </c>
      <c r="Q129" t="str">
        <f t="shared" si="26"/>
        <v/>
      </c>
      <c r="S129" t="str">
        <f>""</f>
        <v/>
      </c>
      <c r="AL129" s="18" t="str">
        <f>IF(COUNTIF($A$2:A128, A128) = 1, A128, "")</f>
        <v/>
      </c>
    </row>
    <row r="130" spans="6:38" x14ac:dyDescent="0.2">
      <c r="F130" t="str">
        <f t="shared" ref="F130:F143" si="28">IF(OR(O130="", P130=""), "", SUM(IF((O130&lt;&gt;"None")*(O130&lt;&gt;""),LEN(O130)-LEN(SUBSTITUTE(O130,",",""))+1,0)) + SUM(IF((P130&lt;&gt;"None")*(P130&lt;&gt;""),LEN(P130)-LEN(SUBSTITUTE(P130,",",""))+1,0)))</f>
        <v/>
      </c>
      <c r="L130" s="7" t="str">
        <f t="shared" ref="L130:L143" si="29">IF(LEN(E130)=0, "", IFERROR(IF(E130&gt;=0, K130 * (1 + E130/100) - K130, K130 / (ABS(E130)/100))+K130, ""))</f>
        <v/>
      </c>
      <c r="N130" s="7" t="str">
        <f t="shared" ref="N130:N143" si="30">IF(M130="Yes",L130-K130,IF(M130="No",-K130,""))</f>
        <v/>
      </c>
      <c r="O130" t="str">
        <f t="shared" ref="O130:O143" si="31">IF(AND(G130="No",H130="No"), "None", "")</f>
        <v/>
      </c>
      <c r="P130" t="str">
        <f t="shared" si="27"/>
        <v/>
      </c>
      <c r="Q130" t="str">
        <f t="shared" ref="Q130:Q143" si="32">IF(AND(D130="Straight", M130 = "No"),IF(O130="None",P130,IF(P130="None",O130) ),"")</f>
        <v/>
      </c>
      <c r="S130" t="str">
        <f>""</f>
        <v/>
      </c>
      <c r="AL130" s="18" t="str">
        <f>IF(COUNTIF($A$2:A129, A129) = 1, A129, "")</f>
        <v/>
      </c>
    </row>
    <row r="131" spans="6:38" x14ac:dyDescent="0.2">
      <c r="F131" t="str">
        <f t="shared" si="28"/>
        <v/>
      </c>
      <c r="L131" s="7" t="str">
        <f t="shared" si="29"/>
        <v/>
      </c>
      <c r="N131" s="7" t="str">
        <f t="shared" si="30"/>
        <v/>
      </c>
      <c r="O131" t="str">
        <f t="shared" si="31"/>
        <v/>
      </c>
      <c r="P131" t="str">
        <f t="shared" si="27"/>
        <v/>
      </c>
      <c r="Q131" t="str">
        <f t="shared" si="32"/>
        <v/>
      </c>
      <c r="S131" t="str">
        <f>""</f>
        <v/>
      </c>
      <c r="AL131" s="18" t="str">
        <f>IF(COUNTIF($A$2:A130, A130) = 1, A130, "")</f>
        <v/>
      </c>
    </row>
    <row r="132" spans="6:38" x14ac:dyDescent="0.2">
      <c r="F132" t="str">
        <f t="shared" si="28"/>
        <v/>
      </c>
      <c r="L132" s="7" t="str">
        <f t="shared" si="29"/>
        <v/>
      </c>
      <c r="N132" s="7" t="str">
        <f t="shared" si="30"/>
        <v/>
      </c>
      <c r="O132" t="str">
        <f t="shared" si="31"/>
        <v/>
      </c>
      <c r="P132" t="str">
        <f t="shared" si="27"/>
        <v/>
      </c>
      <c r="Q132" t="str">
        <f t="shared" si="32"/>
        <v/>
      </c>
      <c r="S132" t="str">
        <f>""</f>
        <v/>
      </c>
      <c r="AL132" s="18" t="str">
        <f>IF(COUNTIF($A$2:A131, A131) = 1, A131, "")</f>
        <v/>
      </c>
    </row>
    <row r="133" spans="6:38" x14ac:dyDescent="0.2">
      <c r="F133" t="str">
        <f t="shared" si="28"/>
        <v/>
      </c>
      <c r="L133" s="7" t="str">
        <f t="shared" si="29"/>
        <v/>
      </c>
      <c r="N133" s="7" t="str">
        <f t="shared" si="30"/>
        <v/>
      </c>
      <c r="O133" t="str">
        <f t="shared" si="31"/>
        <v/>
      </c>
      <c r="P133" t="str">
        <f t="shared" si="27"/>
        <v/>
      </c>
      <c r="Q133" t="str">
        <f t="shared" si="32"/>
        <v/>
      </c>
      <c r="S133" t="str">
        <f>""</f>
        <v/>
      </c>
      <c r="AL133" s="18" t="str">
        <f>IF(COUNTIF($A$2:A132, A132) = 1, A132, "")</f>
        <v/>
      </c>
    </row>
    <row r="134" spans="6:38" x14ac:dyDescent="0.2">
      <c r="F134" t="str">
        <f t="shared" si="28"/>
        <v/>
      </c>
      <c r="L134" s="7" t="str">
        <f t="shared" si="29"/>
        <v/>
      </c>
      <c r="N134" s="7" t="str">
        <f t="shared" si="30"/>
        <v/>
      </c>
      <c r="O134" t="str">
        <f t="shared" si="31"/>
        <v/>
      </c>
      <c r="P134" t="str">
        <f t="shared" si="27"/>
        <v/>
      </c>
      <c r="Q134" t="str">
        <f t="shared" si="32"/>
        <v/>
      </c>
      <c r="S134" t="str">
        <f>""</f>
        <v/>
      </c>
      <c r="AL134" s="18" t="str">
        <f>IF(COUNTIF($A$2:A133, A133) = 1, A133, "")</f>
        <v/>
      </c>
    </row>
    <row r="135" spans="6:38" x14ac:dyDescent="0.2">
      <c r="F135" t="str">
        <f t="shared" si="28"/>
        <v/>
      </c>
      <c r="L135" s="7" t="str">
        <f t="shared" si="29"/>
        <v/>
      </c>
      <c r="N135" s="7" t="str">
        <f t="shared" si="30"/>
        <v/>
      </c>
      <c r="O135" t="str">
        <f t="shared" si="31"/>
        <v/>
      </c>
      <c r="P135" t="str">
        <f t="shared" si="27"/>
        <v/>
      </c>
      <c r="Q135" t="str">
        <f t="shared" si="32"/>
        <v/>
      </c>
      <c r="S135" t="str">
        <f>""</f>
        <v/>
      </c>
      <c r="AL135" s="18" t="str">
        <f>IF(COUNTIF($A$2:A134, A134) = 1, A134, "")</f>
        <v/>
      </c>
    </row>
    <row r="136" spans="6:38" x14ac:dyDescent="0.2">
      <c r="F136" t="str">
        <f t="shared" si="28"/>
        <v/>
      </c>
      <c r="L136" s="7" t="str">
        <f t="shared" si="29"/>
        <v/>
      </c>
      <c r="N136" s="7" t="str">
        <f t="shared" si="30"/>
        <v/>
      </c>
      <c r="O136" t="str">
        <f t="shared" si="31"/>
        <v/>
      </c>
      <c r="P136" t="str">
        <f t="shared" si="27"/>
        <v/>
      </c>
      <c r="Q136" t="str">
        <f t="shared" si="32"/>
        <v/>
      </c>
      <c r="S136" t="str">
        <f>""</f>
        <v/>
      </c>
      <c r="AL136" s="18" t="str">
        <f>IF(COUNTIF($A$2:A135, A135) = 1, A135, "")</f>
        <v/>
      </c>
    </row>
    <row r="137" spans="6:38" x14ac:dyDescent="0.2">
      <c r="F137" t="str">
        <f t="shared" si="28"/>
        <v/>
      </c>
      <c r="L137" s="7" t="str">
        <f t="shared" si="29"/>
        <v/>
      </c>
      <c r="N137" s="7" t="str">
        <f t="shared" si="30"/>
        <v/>
      </c>
      <c r="O137" t="str">
        <f t="shared" si="31"/>
        <v/>
      </c>
      <c r="P137" t="str">
        <f t="shared" si="27"/>
        <v/>
      </c>
      <c r="Q137" t="str">
        <f t="shared" si="32"/>
        <v/>
      </c>
      <c r="S137" t="str">
        <f>""</f>
        <v/>
      </c>
      <c r="AL137" s="18" t="str">
        <f>IF(COUNTIF($A$2:A136, A136) = 1, A136, "")</f>
        <v/>
      </c>
    </row>
    <row r="138" spans="6:38" x14ac:dyDescent="0.2">
      <c r="F138" t="str">
        <f t="shared" si="28"/>
        <v/>
      </c>
      <c r="L138" s="7" t="str">
        <f t="shared" si="29"/>
        <v/>
      </c>
      <c r="N138" s="7" t="str">
        <f t="shared" si="30"/>
        <v/>
      </c>
      <c r="O138" t="str">
        <f t="shared" si="31"/>
        <v/>
      </c>
      <c r="P138" t="str">
        <f t="shared" si="27"/>
        <v/>
      </c>
      <c r="Q138" t="str">
        <f t="shared" si="32"/>
        <v/>
      </c>
      <c r="S138" t="str">
        <f>""</f>
        <v/>
      </c>
      <c r="AL138" s="18" t="str">
        <f>IF(COUNTIF($A$2:A137, A137) = 1, A137, "")</f>
        <v/>
      </c>
    </row>
    <row r="139" spans="6:38" x14ac:dyDescent="0.2">
      <c r="F139" t="str">
        <f t="shared" si="28"/>
        <v/>
      </c>
      <c r="L139" s="7" t="str">
        <f t="shared" si="29"/>
        <v/>
      </c>
      <c r="N139" s="7" t="str">
        <f t="shared" si="30"/>
        <v/>
      </c>
      <c r="O139" t="str">
        <f t="shared" si="31"/>
        <v/>
      </c>
      <c r="P139" t="str">
        <f t="shared" si="27"/>
        <v/>
      </c>
      <c r="Q139" t="str">
        <f t="shared" si="32"/>
        <v/>
      </c>
      <c r="S139" t="str">
        <f>""</f>
        <v/>
      </c>
      <c r="AL139" s="18" t="str">
        <f>IF(COUNTIF($A$2:A138, A138) = 1, A138, "")</f>
        <v/>
      </c>
    </row>
    <row r="140" spans="6:38" x14ac:dyDescent="0.2">
      <c r="F140" t="str">
        <f t="shared" si="28"/>
        <v/>
      </c>
      <c r="L140" s="7" t="str">
        <f t="shared" si="29"/>
        <v/>
      </c>
      <c r="N140" s="7" t="str">
        <f t="shared" si="30"/>
        <v/>
      </c>
      <c r="O140" t="str">
        <f t="shared" si="31"/>
        <v/>
      </c>
      <c r="P140" t="str">
        <f t="shared" si="27"/>
        <v/>
      </c>
      <c r="Q140" t="str">
        <f t="shared" si="32"/>
        <v/>
      </c>
      <c r="S140" t="str">
        <f>""</f>
        <v/>
      </c>
      <c r="AL140" s="18" t="str">
        <f>IF(COUNTIF($A$2:A139, A139) = 1, A139, "")</f>
        <v/>
      </c>
    </row>
    <row r="141" spans="6:38" x14ac:dyDescent="0.2">
      <c r="F141" t="str">
        <f t="shared" si="28"/>
        <v/>
      </c>
      <c r="L141" s="7" t="str">
        <f t="shared" si="29"/>
        <v/>
      </c>
      <c r="N141" s="7" t="str">
        <f t="shared" si="30"/>
        <v/>
      </c>
      <c r="O141" t="str">
        <f t="shared" si="31"/>
        <v/>
      </c>
      <c r="P141" t="str">
        <f t="shared" si="27"/>
        <v/>
      </c>
      <c r="Q141" t="str">
        <f t="shared" si="32"/>
        <v/>
      </c>
      <c r="S141" t="str">
        <f>""</f>
        <v/>
      </c>
      <c r="AL141" s="18" t="str">
        <f>IF(COUNTIF($A$2:A140, A140) = 1, A140, "")</f>
        <v/>
      </c>
    </row>
    <row r="142" spans="6:38" x14ac:dyDescent="0.2">
      <c r="F142" t="str">
        <f t="shared" si="28"/>
        <v/>
      </c>
      <c r="L142" s="7" t="str">
        <f t="shared" si="29"/>
        <v/>
      </c>
      <c r="N142" s="7" t="str">
        <f t="shared" si="30"/>
        <v/>
      </c>
      <c r="O142" t="str">
        <f t="shared" si="31"/>
        <v/>
      </c>
      <c r="P142" t="str">
        <f t="shared" si="27"/>
        <v/>
      </c>
      <c r="Q142" t="str">
        <f t="shared" si="32"/>
        <v/>
      </c>
      <c r="S142" t="str">
        <f>""</f>
        <v/>
      </c>
      <c r="AL142" s="18" t="str">
        <f>IF(COUNTIF($A$2:A141, A141) = 1, A141, "")</f>
        <v/>
      </c>
    </row>
    <row r="143" spans="6:38" x14ac:dyDescent="0.2">
      <c r="F143" t="str">
        <f t="shared" si="28"/>
        <v/>
      </c>
      <c r="L143" s="7" t="str">
        <f t="shared" si="29"/>
        <v/>
      </c>
      <c r="N143" s="7" t="str">
        <f t="shared" si="30"/>
        <v/>
      </c>
      <c r="O143" t="str">
        <f t="shared" si="31"/>
        <v/>
      </c>
      <c r="P143" t="str">
        <f t="shared" si="27"/>
        <v/>
      </c>
      <c r="Q143" t="str">
        <f t="shared" si="32"/>
        <v/>
      </c>
      <c r="S143" t="str">
        <f>""</f>
        <v/>
      </c>
      <c r="AL143" s="18" t="str">
        <f>IF(COUNTIF($A$2:A142, A142) = 1, A142, "")</f>
        <v/>
      </c>
    </row>
    <row r="144" spans="6:38" x14ac:dyDescent="0.2">
      <c r="F144" t="str">
        <f t="shared" ref="F144:F207" si="33">IF(OR(O144="", P144=""), "", SUM(IF((O144&lt;&gt;"None")*(O144&lt;&gt;""),LEN(O144)-LEN(SUBSTITUTE(O144,",",""))+1,0)) + SUM(IF((P144&lt;&gt;"None")*(P144&lt;&gt;""),LEN(P144)-LEN(SUBSTITUTE(P144,",",""))+1,0)))</f>
        <v/>
      </c>
      <c r="L144" s="7" t="str">
        <f t="shared" ref="L144:L207" si="34">IF(LEN(E144)=0, "", IFERROR(IF(E144&gt;=0, K144 * (1 + E144/100) - K144, K144 / (ABS(E144)/100))+K144, ""))</f>
        <v/>
      </c>
      <c r="N144" s="7" t="str">
        <f t="shared" ref="N144:N207" si="35">IF(M144="Yes",L144-K144,IF(M144="No",-K144,""))</f>
        <v/>
      </c>
      <c r="O144" t="str">
        <f t="shared" ref="O144:O207" si="36">IF(AND(G144="No",H144="No"), "None", "")</f>
        <v/>
      </c>
      <c r="P144" t="str">
        <f t="shared" ref="P144:P207" si="37">IF(I144="No", "None", "")</f>
        <v/>
      </c>
      <c r="Q144" t="str">
        <f t="shared" ref="Q144:Q207" si="38">IF(AND(D144="Straight", M144 = "No"),IF(O144="None",P144,IF(P144="None",O144) ),"")</f>
        <v/>
      </c>
      <c r="S144" t="str">
        <f>""</f>
        <v/>
      </c>
      <c r="AL144" s="18" t="str">
        <f>IF(COUNTIF($A$2:A143, A143) = 1, A143, "")</f>
        <v/>
      </c>
    </row>
    <row r="145" spans="6:38" x14ac:dyDescent="0.2">
      <c r="F145" t="str">
        <f t="shared" si="33"/>
        <v/>
      </c>
      <c r="L145" s="7" t="str">
        <f t="shared" si="34"/>
        <v/>
      </c>
      <c r="N145" s="7" t="str">
        <f t="shared" si="35"/>
        <v/>
      </c>
      <c r="O145" t="str">
        <f t="shared" si="36"/>
        <v/>
      </c>
      <c r="P145" t="str">
        <f t="shared" si="37"/>
        <v/>
      </c>
      <c r="Q145" t="str">
        <f t="shared" si="38"/>
        <v/>
      </c>
      <c r="S145" t="str">
        <f>""</f>
        <v/>
      </c>
      <c r="AL145" s="18" t="str">
        <f>IF(COUNTIF($A$2:A144, A144) = 1, A144, "")</f>
        <v/>
      </c>
    </row>
    <row r="146" spans="6:38" x14ac:dyDescent="0.2">
      <c r="F146" t="str">
        <f t="shared" si="33"/>
        <v/>
      </c>
      <c r="L146" s="7" t="str">
        <f t="shared" si="34"/>
        <v/>
      </c>
      <c r="N146" s="7" t="str">
        <f t="shared" si="35"/>
        <v/>
      </c>
      <c r="O146" t="str">
        <f t="shared" si="36"/>
        <v/>
      </c>
      <c r="P146" t="str">
        <f t="shared" si="37"/>
        <v/>
      </c>
      <c r="Q146" t="str">
        <f t="shared" si="38"/>
        <v/>
      </c>
      <c r="S146" t="str">
        <f>""</f>
        <v/>
      </c>
      <c r="AL146" s="18" t="str">
        <f>IF(COUNTIF($A$2:A145, A145) = 1, A145, "")</f>
        <v/>
      </c>
    </row>
    <row r="147" spans="6:38" x14ac:dyDescent="0.2">
      <c r="F147" t="str">
        <f t="shared" si="33"/>
        <v/>
      </c>
      <c r="L147" s="7" t="str">
        <f t="shared" si="34"/>
        <v/>
      </c>
      <c r="N147" s="7" t="str">
        <f t="shared" si="35"/>
        <v/>
      </c>
      <c r="O147" t="str">
        <f t="shared" si="36"/>
        <v/>
      </c>
      <c r="P147" t="str">
        <f t="shared" si="37"/>
        <v/>
      </c>
      <c r="Q147" t="str">
        <f t="shared" si="38"/>
        <v/>
      </c>
      <c r="S147" t="str">
        <f>""</f>
        <v/>
      </c>
      <c r="AL147" s="18" t="str">
        <f>IF(COUNTIF($A$2:A146, A146) = 1, A146, "")</f>
        <v/>
      </c>
    </row>
    <row r="148" spans="6:38" x14ac:dyDescent="0.2">
      <c r="F148" t="str">
        <f t="shared" si="33"/>
        <v/>
      </c>
      <c r="L148" s="7" t="str">
        <f t="shared" si="34"/>
        <v/>
      </c>
      <c r="N148" s="7" t="str">
        <f t="shared" si="35"/>
        <v/>
      </c>
      <c r="O148" t="str">
        <f t="shared" si="36"/>
        <v/>
      </c>
      <c r="P148" t="str">
        <f t="shared" si="37"/>
        <v/>
      </c>
      <c r="Q148" t="str">
        <f t="shared" si="38"/>
        <v/>
      </c>
      <c r="S148" t="str">
        <f>""</f>
        <v/>
      </c>
      <c r="AL148" s="18" t="str">
        <f>IF(COUNTIF($A$2:A147, A147) = 1, A147, "")</f>
        <v/>
      </c>
    </row>
    <row r="149" spans="6:38" x14ac:dyDescent="0.2">
      <c r="F149" t="str">
        <f t="shared" si="33"/>
        <v/>
      </c>
      <c r="L149" s="7" t="str">
        <f t="shared" si="34"/>
        <v/>
      </c>
      <c r="N149" s="7" t="str">
        <f t="shared" si="35"/>
        <v/>
      </c>
      <c r="O149" t="str">
        <f t="shared" si="36"/>
        <v/>
      </c>
      <c r="P149" t="str">
        <f t="shared" si="37"/>
        <v/>
      </c>
      <c r="Q149" t="str">
        <f t="shared" si="38"/>
        <v/>
      </c>
      <c r="S149" t="str">
        <f>""</f>
        <v/>
      </c>
      <c r="AL149" s="18" t="str">
        <f>IF(COUNTIF($A$2:A148, A148) = 1, A148, "")</f>
        <v/>
      </c>
    </row>
    <row r="150" spans="6:38" x14ac:dyDescent="0.2">
      <c r="F150" t="str">
        <f t="shared" si="33"/>
        <v/>
      </c>
      <c r="L150" s="7" t="str">
        <f t="shared" si="34"/>
        <v/>
      </c>
      <c r="N150" s="7" t="str">
        <f t="shared" si="35"/>
        <v/>
      </c>
      <c r="O150" t="str">
        <f t="shared" si="36"/>
        <v/>
      </c>
      <c r="P150" t="str">
        <f t="shared" si="37"/>
        <v/>
      </c>
      <c r="Q150" t="str">
        <f t="shared" si="38"/>
        <v/>
      </c>
      <c r="S150" t="str">
        <f>""</f>
        <v/>
      </c>
      <c r="AL150" s="18" t="str">
        <f>IF(COUNTIF($A$2:A149, A149) = 1, A149, "")</f>
        <v/>
      </c>
    </row>
    <row r="151" spans="6:38" x14ac:dyDescent="0.2">
      <c r="F151" t="str">
        <f t="shared" si="33"/>
        <v/>
      </c>
      <c r="L151" s="7" t="str">
        <f t="shared" si="34"/>
        <v/>
      </c>
      <c r="N151" s="7" t="str">
        <f t="shared" si="35"/>
        <v/>
      </c>
      <c r="O151" t="str">
        <f t="shared" si="36"/>
        <v/>
      </c>
      <c r="P151" t="str">
        <f t="shared" si="37"/>
        <v/>
      </c>
      <c r="Q151" t="str">
        <f t="shared" si="38"/>
        <v/>
      </c>
      <c r="S151" t="str">
        <f>""</f>
        <v/>
      </c>
      <c r="AL151" s="18" t="str">
        <f>IF(COUNTIF($A$2:A150, A150) = 1, A150, "")</f>
        <v/>
      </c>
    </row>
    <row r="152" spans="6:38" x14ac:dyDescent="0.2">
      <c r="F152" t="str">
        <f t="shared" si="33"/>
        <v/>
      </c>
      <c r="L152" s="7" t="str">
        <f t="shared" si="34"/>
        <v/>
      </c>
      <c r="N152" s="7" t="str">
        <f t="shared" si="35"/>
        <v/>
      </c>
      <c r="O152" t="str">
        <f t="shared" si="36"/>
        <v/>
      </c>
      <c r="P152" t="str">
        <f t="shared" si="37"/>
        <v/>
      </c>
      <c r="Q152" t="str">
        <f t="shared" si="38"/>
        <v/>
      </c>
      <c r="S152" t="str">
        <f>""</f>
        <v/>
      </c>
      <c r="AL152" s="18" t="str">
        <f>IF(COUNTIF($A$2:A151, A151) = 1, A151, "")</f>
        <v/>
      </c>
    </row>
    <row r="153" spans="6:38" x14ac:dyDescent="0.2">
      <c r="F153" t="str">
        <f t="shared" si="33"/>
        <v/>
      </c>
      <c r="L153" s="7" t="str">
        <f t="shared" si="34"/>
        <v/>
      </c>
      <c r="N153" s="7" t="str">
        <f t="shared" si="35"/>
        <v/>
      </c>
      <c r="O153" t="str">
        <f t="shared" si="36"/>
        <v/>
      </c>
      <c r="P153" t="str">
        <f t="shared" si="37"/>
        <v/>
      </c>
      <c r="Q153" t="str">
        <f t="shared" si="38"/>
        <v/>
      </c>
      <c r="S153" t="str">
        <f>""</f>
        <v/>
      </c>
      <c r="AL153" s="18" t="str">
        <f>IF(COUNTIF($A$2:A152, A152) = 1, A152, "")</f>
        <v/>
      </c>
    </row>
    <row r="154" spans="6:38" x14ac:dyDescent="0.2">
      <c r="F154" t="str">
        <f t="shared" si="33"/>
        <v/>
      </c>
      <c r="L154" s="7" t="str">
        <f t="shared" si="34"/>
        <v/>
      </c>
      <c r="N154" s="7" t="str">
        <f t="shared" si="35"/>
        <v/>
      </c>
      <c r="O154" t="str">
        <f t="shared" si="36"/>
        <v/>
      </c>
      <c r="P154" t="str">
        <f t="shared" si="37"/>
        <v/>
      </c>
      <c r="Q154" t="str">
        <f t="shared" si="38"/>
        <v/>
      </c>
      <c r="S154" t="str">
        <f>""</f>
        <v/>
      </c>
      <c r="AL154" s="18" t="str">
        <f>IF(COUNTIF($A$2:A153, A153) = 1, A153, "")</f>
        <v/>
      </c>
    </row>
    <row r="155" spans="6:38" x14ac:dyDescent="0.2">
      <c r="F155" t="str">
        <f t="shared" si="33"/>
        <v/>
      </c>
      <c r="L155" s="7" t="str">
        <f t="shared" si="34"/>
        <v/>
      </c>
      <c r="N155" s="7" t="str">
        <f t="shared" si="35"/>
        <v/>
      </c>
      <c r="O155" t="str">
        <f t="shared" si="36"/>
        <v/>
      </c>
      <c r="P155" t="str">
        <f t="shared" si="37"/>
        <v/>
      </c>
      <c r="Q155" t="str">
        <f t="shared" si="38"/>
        <v/>
      </c>
      <c r="S155" t="str">
        <f>""</f>
        <v/>
      </c>
      <c r="AL155" s="18" t="str">
        <f>IF(COUNTIF($A$2:A154, A154) = 1, A154, "")</f>
        <v/>
      </c>
    </row>
    <row r="156" spans="6:38" x14ac:dyDescent="0.2">
      <c r="F156" t="str">
        <f t="shared" si="33"/>
        <v/>
      </c>
      <c r="L156" s="7" t="str">
        <f t="shared" si="34"/>
        <v/>
      </c>
      <c r="N156" s="7" t="str">
        <f t="shared" si="35"/>
        <v/>
      </c>
      <c r="O156" t="str">
        <f t="shared" si="36"/>
        <v/>
      </c>
      <c r="P156" t="str">
        <f t="shared" si="37"/>
        <v/>
      </c>
      <c r="Q156" t="str">
        <f t="shared" si="38"/>
        <v/>
      </c>
      <c r="S156" t="str">
        <f>""</f>
        <v/>
      </c>
      <c r="AL156" s="18" t="str">
        <f>IF(COUNTIF($A$2:A155, A155) = 1, A155, "")</f>
        <v/>
      </c>
    </row>
    <row r="157" spans="6:38" x14ac:dyDescent="0.2">
      <c r="F157" t="str">
        <f t="shared" si="33"/>
        <v/>
      </c>
      <c r="L157" s="7" t="str">
        <f t="shared" si="34"/>
        <v/>
      </c>
      <c r="N157" s="7" t="str">
        <f t="shared" si="35"/>
        <v/>
      </c>
      <c r="O157" t="str">
        <f t="shared" si="36"/>
        <v/>
      </c>
      <c r="P157" t="str">
        <f t="shared" si="37"/>
        <v/>
      </c>
      <c r="Q157" t="str">
        <f t="shared" si="38"/>
        <v/>
      </c>
      <c r="S157" t="str">
        <f>""</f>
        <v/>
      </c>
      <c r="AL157" s="18" t="str">
        <f>IF(COUNTIF($A$2:A156, A156) = 1, A156, "")</f>
        <v/>
      </c>
    </row>
    <row r="158" spans="6:38" x14ac:dyDescent="0.2">
      <c r="F158" t="str">
        <f t="shared" si="33"/>
        <v/>
      </c>
      <c r="L158" s="7" t="str">
        <f t="shared" si="34"/>
        <v/>
      </c>
      <c r="N158" s="7" t="str">
        <f t="shared" si="35"/>
        <v/>
      </c>
      <c r="O158" t="str">
        <f t="shared" si="36"/>
        <v/>
      </c>
      <c r="P158" t="str">
        <f t="shared" si="37"/>
        <v/>
      </c>
      <c r="Q158" t="str">
        <f t="shared" si="38"/>
        <v/>
      </c>
      <c r="S158" t="str">
        <f>""</f>
        <v/>
      </c>
      <c r="AL158" s="18" t="str">
        <f>IF(COUNTIF($A$2:A157, A157) = 1, A157, "")</f>
        <v/>
      </c>
    </row>
    <row r="159" spans="6:38" x14ac:dyDescent="0.2">
      <c r="F159" t="str">
        <f t="shared" si="33"/>
        <v/>
      </c>
      <c r="L159" s="7" t="str">
        <f t="shared" si="34"/>
        <v/>
      </c>
      <c r="N159" s="7" t="str">
        <f t="shared" si="35"/>
        <v/>
      </c>
      <c r="O159" t="str">
        <f t="shared" si="36"/>
        <v/>
      </c>
      <c r="P159" t="str">
        <f t="shared" si="37"/>
        <v/>
      </c>
      <c r="Q159" t="str">
        <f t="shared" si="38"/>
        <v/>
      </c>
      <c r="S159" t="str">
        <f>""</f>
        <v/>
      </c>
      <c r="AL159" s="18" t="str">
        <f>IF(COUNTIF($A$2:A158, A158) = 1, A158, "")</f>
        <v/>
      </c>
    </row>
    <row r="160" spans="6:38" x14ac:dyDescent="0.2">
      <c r="F160" t="str">
        <f t="shared" si="33"/>
        <v/>
      </c>
      <c r="L160" s="7" t="str">
        <f t="shared" si="34"/>
        <v/>
      </c>
      <c r="N160" s="7" t="str">
        <f t="shared" si="35"/>
        <v/>
      </c>
      <c r="O160" t="str">
        <f t="shared" si="36"/>
        <v/>
      </c>
      <c r="P160" t="str">
        <f t="shared" si="37"/>
        <v/>
      </c>
      <c r="Q160" t="str">
        <f t="shared" si="38"/>
        <v/>
      </c>
      <c r="S160" t="str">
        <f>""</f>
        <v/>
      </c>
      <c r="AL160" s="18" t="str">
        <f>IF(COUNTIF($A$2:A159, A159) = 1, A159, "")</f>
        <v/>
      </c>
    </row>
    <row r="161" spans="6:38" x14ac:dyDescent="0.2">
      <c r="F161" t="str">
        <f t="shared" si="33"/>
        <v/>
      </c>
      <c r="L161" s="7" t="str">
        <f t="shared" si="34"/>
        <v/>
      </c>
      <c r="N161" s="7" t="str">
        <f t="shared" si="35"/>
        <v/>
      </c>
      <c r="O161" t="str">
        <f t="shared" si="36"/>
        <v/>
      </c>
      <c r="P161" t="str">
        <f t="shared" si="37"/>
        <v/>
      </c>
      <c r="Q161" t="str">
        <f t="shared" si="38"/>
        <v/>
      </c>
      <c r="S161" t="str">
        <f>""</f>
        <v/>
      </c>
      <c r="AL161" s="18" t="str">
        <f>IF(COUNTIF($A$2:A160, A160) = 1, A160, "")</f>
        <v/>
      </c>
    </row>
    <row r="162" spans="6:38" x14ac:dyDescent="0.2">
      <c r="F162" t="str">
        <f t="shared" si="33"/>
        <v/>
      </c>
      <c r="L162" s="7" t="str">
        <f t="shared" si="34"/>
        <v/>
      </c>
      <c r="N162" s="7" t="str">
        <f t="shared" si="35"/>
        <v/>
      </c>
      <c r="O162" t="str">
        <f t="shared" si="36"/>
        <v/>
      </c>
      <c r="P162" t="str">
        <f t="shared" si="37"/>
        <v/>
      </c>
      <c r="Q162" t="str">
        <f t="shared" si="38"/>
        <v/>
      </c>
      <c r="S162" t="str">
        <f>""</f>
        <v/>
      </c>
      <c r="AL162" s="18" t="str">
        <f>IF(COUNTIF($A$2:A161, A161) = 1, A161, "")</f>
        <v/>
      </c>
    </row>
    <row r="163" spans="6:38" x14ac:dyDescent="0.2">
      <c r="F163" t="str">
        <f t="shared" si="33"/>
        <v/>
      </c>
      <c r="L163" s="7" t="str">
        <f t="shared" si="34"/>
        <v/>
      </c>
      <c r="N163" s="7" t="str">
        <f t="shared" si="35"/>
        <v/>
      </c>
      <c r="O163" t="str">
        <f t="shared" si="36"/>
        <v/>
      </c>
      <c r="P163" t="str">
        <f t="shared" si="37"/>
        <v/>
      </c>
      <c r="Q163" t="str">
        <f t="shared" si="38"/>
        <v/>
      </c>
      <c r="S163" t="str">
        <f>""</f>
        <v/>
      </c>
      <c r="AL163" s="18" t="str">
        <f>IF(COUNTIF($A$2:A162, A162) = 1, A162, "")</f>
        <v/>
      </c>
    </row>
    <row r="164" spans="6:38" x14ac:dyDescent="0.2">
      <c r="F164" t="str">
        <f t="shared" si="33"/>
        <v/>
      </c>
      <c r="L164" s="7" t="str">
        <f t="shared" si="34"/>
        <v/>
      </c>
      <c r="N164" s="7" t="str">
        <f t="shared" si="35"/>
        <v/>
      </c>
      <c r="O164" t="str">
        <f t="shared" si="36"/>
        <v/>
      </c>
      <c r="P164" t="str">
        <f t="shared" si="37"/>
        <v/>
      </c>
      <c r="Q164" t="str">
        <f t="shared" si="38"/>
        <v/>
      </c>
      <c r="S164" t="str">
        <f>""</f>
        <v/>
      </c>
      <c r="AL164" s="18" t="str">
        <f>IF(COUNTIF($A$2:A163, A163) = 1, A163, "")</f>
        <v/>
      </c>
    </row>
    <row r="165" spans="6:38" x14ac:dyDescent="0.2">
      <c r="F165" t="str">
        <f t="shared" si="33"/>
        <v/>
      </c>
      <c r="L165" s="7" t="str">
        <f t="shared" si="34"/>
        <v/>
      </c>
      <c r="N165" s="7" t="str">
        <f t="shared" si="35"/>
        <v/>
      </c>
      <c r="O165" t="str">
        <f t="shared" si="36"/>
        <v/>
      </c>
      <c r="P165" t="str">
        <f t="shared" si="37"/>
        <v/>
      </c>
      <c r="Q165" t="str">
        <f t="shared" si="38"/>
        <v/>
      </c>
      <c r="S165" t="str">
        <f>""</f>
        <v/>
      </c>
      <c r="AL165" s="18" t="str">
        <f>IF(COUNTIF($A$2:A164, A164) = 1, A164, "")</f>
        <v/>
      </c>
    </row>
    <row r="166" spans="6:38" x14ac:dyDescent="0.2">
      <c r="F166" t="str">
        <f t="shared" si="33"/>
        <v/>
      </c>
      <c r="L166" s="7" t="str">
        <f t="shared" si="34"/>
        <v/>
      </c>
      <c r="N166" s="7" t="str">
        <f t="shared" si="35"/>
        <v/>
      </c>
      <c r="O166" t="str">
        <f t="shared" si="36"/>
        <v/>
      </c>
      <c r="P166" t="str">
        <f t="shared" si="37"/>
        <v/>
      </c>
      <c r="Q166" t="str">
        <f t="shared" si="38"/>
        <v/>
      </c>
      <c r="S166" t="str">
        <f>""</f>
        <v/>
      </c>
      <c r="AL166" s="18" t="str">
        <f>IF(COUNTIF($A$2:A165, A165) = 1, A165, "")</f>
        <v/>
      </c>
    </row>
    <row r="167" spans="6:38" x14ac:dyDescent="0.2">
      <c r="F167" t="str">
        <f t="shared" si="33"/>
        <v/>
      </c>
      <c r="L167" s="7" t="str">
        <f t="shared" si="34"/>
        <v/>
      </c>
      <c r="N167" s="7" t="str">
        <f t="shared" si="35"/>
        <v/>
      </c>
      <c r="O167" t="str">
        <f t="shared" si="36"/>
        <v/>
      </c>
      <c r="P167" t="str">
        <f t="shared" si="37"/>
        <v/>
      </c>
      <c r="Q167" t="str">
        <f t="shared" si="38"/>
        <v/>
      </c>
      <c r="S167" t="str">
        <f>""</f>
        <v/>
      </c>
      <c r="AL167" s="18" t="str">
        <f>IF(COUNTIF($A$2:A166, A166) = 1, A166, "")</f>
        <v/>
      </c>
    </row>
    <row r="168" spans="6:38" x14ac:dyDescent="0.2">
      <c r="F168" t="str">
        <f t="shared" si="33"/>
        <v/>
      </c>
      <c r="L168" s="7" t="str">
        <f t="shared" si="34"/>
        <v/>
      </c>
      <c r="N168" s="7" t="str">
        <f t="shared" si="35"/>
        <v/>
      </c>
      <c r="O168" t="str">
        <f t="shared" si="36"/>
        <v/>
      </c>
      <c r="P168" t="str">
        <f t="shared" si="37"/>
        <v/>
      </c>
      <c r="Q168" t="str">
        <f t="shared" si="38"/>
        <v/>
      </c>
      <c r="S168" t="str">
        <f>""</f>
        <v/>
      </c>
      <c r="AL168" s="18" t="str">
        <f>IF(COUNTIF($A$2:A167, A167) = 1, A167, "")</f>
        <v/>
      </c>
    </row>
    <row r="169" spans="6:38" x14ac:dyDescent="0.2">
      <c r="F169" t="str">
        <f t="shared" si="33"/>
        <v/>
      </c>
      <c r="L169" s="7" t="str">
        <f t="shared" si="34"/>
        <v/>
      </c>
      <c r="N169" s="7" t="str">
        <f t="shared" si="35"/>
        <v/>
      </c>
      <c r="O169" t="str">
        <f t="shared" si="36"/>
        <v/>
      </c>
      <c r="P169" t="str">
        <f t="shared" si="37"/>
        <v/>
      </c>
      <c r="Q169" t="str">
        <f t="shared" si="38"/>
        <v/>
      </c>
      <c r="S169" t="str">
        <f>""</f>
        <v/>
      </c>
      <c r="AL169" s="18" t="str">
        <f>IF(COUNTIF($A$2:A168, A168) = 1, A168, "")</f>
        <v/>
      </c>
    </row>
    <row r="170" spans="6:38" x14ac:dyDescent="0.2">
      <c r="F170" t="str">
        <f t="shared" si="33"/>
        <v/>
      </c>
      <c r="L170" s="7" t="str">
        <f t="shared" si="34"/>
        <v/>
      </c>
      <c r="N170" s="7" t="str">
        <f t="shared" si="35"/>
        <v/>
      </c>
      <c r="O170" t="str">
        <f t="shared" si="36"/>
        <v/>
      </c>
      <c r="P170" t="str">
        <f t="shared" si="37"/>
        <v/>
      </c>
      <c r="Q170" t="str">
        <f t="shared" si="38"/>
        <v/>
      </c>
      <c r="S170" t="str">
        <f>""</f>
        <v/>
      </c>
      <c r="AL170" s="18" t="str">
        <f>IF(COUNTIF($A$2:A169, A169) = 1, A169, "")</f>
        <v/>
      </c>
    </row>
    <row r="171" spans="6:38" x14ac:dyDescent="0.2">
      <c r="F171" t="str">
        <f t="shared" si="33"/>
        <v/>
      </c>
      <c r="L171" s="7" t="str">
        <f t="shared" si="34"/>
        <v/>
      </c>
      <c r="N171" s="7" t="str">
        <f t="shared" si="35"/>
        <v/>
      </c>
      <c r="O171" t="str">
        <f t="shared" si="36"/>
        <v/>
      </c>
      <c r="P171" t="str">
        <f t="shared" si="37"/>
        <v/>
      </c>
      <c r="Q171" t="str">
        <f t="shared" si="38"/>
        <v/>
      </c>
      <c r="S171" t="str">
        <f>""</f>
        <v/>
      </c>
      <c r="AL171" s="18" t="str">
        <f>IF(COUNTIF($A$2:A170, A170) = 1, A170, "")</f>
        <v/>
      </c>
    </row>
    <row r="172" spans="6:38" x14ac:dyDescent="0.2">
      <c r="F172" t="str">
        <f t="shared" si="33"/>
        <v/>
      </c>
      <c r="L172" s="7" t="str">
        <f t="shared" si="34"/>
        <v/>
      </c>
      <c r="N172" s="7" t="str">
        <f t="shared" si="35"/>
        <v/>
      </c>
      <c r="O172" t="str">
        <f t="shared" si="36"/>
        <v/>
      </c>
      <c r="P172" t="str">
        <f t="shared" si="37"/>
        <v/>
      </c>
      <c r="Q172" t="str">
        <f t="shared" si="38"/>
        <v/>
      </c>
      <c r="S172" t="str">
        <f>""</f>
        <v/>
      </c>
      <c r="AL172" s="18" t="str">
        <f>IF(COUNTIF($A$2:A171, A171) = 1, A171, "")</f>
        <v/>
      </c>
    </row>
    <row r="173" spans="6:38" x14ac:dyDescent="0.2">
      <c r="F173" t="str">
        <f t="shared" si="33"/>
        <v/>
      </c>
      <c r="L173" s="7" t="str">
        <f t="shared" si="34"/>
        <v/>
      </c>
      <c r="N173" s="7" t="str">
        <f t="shared" si="35"/>
        <v/>
      </c>
      <c r="O173" t="str">
        <f t="shared" si="36"/>
        <v/>
      </c>
      <c r="P173" t="str">
        <f t="shared" si="37"/>
        <v/>
      </c>
      <c r="Q173" t="str">
        <f t="shared" si="38"/>
        <v/>
      </c>
      <c r="S173" t="str">
        <f>""</f>
        <v/>
      </c>
      <c r="AL173" s="18" t="str">
        <f>IF(COUNTIF($A$2:A172, A172) = 1, A172, "")</f>
        <v/>
      </c>
    </row>
    <row r="174" spans="6:38" x14ac:dyDescent="0.2">
      <c r="F174" t="str">
        <f t="shared" si="33"/>
        <v/>
      </c>
      <c r="L174" s="7" t="str">
        <f t="shared" si="34"/>
        <v/>
      </c>
      <c r="N174" s="7" t="str">
        <f t="shared" si="35"/>
        <v/>
      </c>
      <c r="O174" t="str">
        <f t="shared" si="36"/>
        <v/>
      </c>
      <c r="P174" t="str">
        <f t="shared" si="37"/>
        <v/>
      </c>
      <c r="Q174" t="str">
        <f t="shared" si="38"/>
        <v/>
      </c>
      <c r="S174" t="str">
        <f>""</f>
        <v/>
      </c>
      <c r="AL174" s="18" t="str">
        <f>IF(COUNTIF($A$2:A173, A173) = 1, A173, "")</f>
        <v/>
      </c>
    </row>
    <row r="175" spans="6:38" x14ac:dyDescent="0.2">
      <c r="F175" t="str">
        <f t="shared" si="33"/>
        <v/>
      </c>
      <c r="L175" s="7" t="str">
        <f t="shared" si="34"/>
        <v/>
      </c>
      <c r="N175" s="7" t="str">
        <f t="shared" si="35"/>
        <v/>
      </c>
      <c r="O175" t="str">
        <f t="shared" si="36"/>
        <v/>
      </c>
      <c r="P175" t="str">
        <f t="shared" si="37"/>
        <v/>
      </c>
      <c r="Q175" t="str">
        <f t="shared" si="38"/>
        <v/>
      </c>
      <c r="S175" t="str">
        <f>""</f>
        <v/>
      </c>
      <c r="AL175" s="18" t="str">
        <f>IF(COUNTIF($A$2:A174, A174) = 1, A174, "")</f>
        <v/>
      </c>
    </row>
    <row r="176" spans="6:38" x14ac:dyDescent="0.2">
      <c r="F176" t="str">
        <f t="shared" si="33"/>
        <v/>
      </c>
      <c r="L176" s="7" t="str">
        <f t="shared" si="34"/>
        <v/>
      </c>
      <c r="N176" s="7" t="str">
        <f t="shared" si="35"/>
        <v/>
      </c>
      <c r="O176" t="str">
        <f t="shared" si="36"/>
        <v/>
      </c>
      <c r="P176" t="str">
        <f t="shared" si="37"/>
        <v/>
      </c>
      <c r="Q176" t="str">
        <f t="shared" si="38"/>
        <v/>
      </c>
      <c r="S176" t="str">
        <f>""</f>
        <v/>
      </c>
      <c r="AL176" s="18" t="str">
        <f>IF(COUNTIF($A$2:A175, A175) = 1, A175, "")</f>
        <v/>
      </c>
    </row>
    <row r="177" spans="6:38" x14ac:dyDescent="0.2">
      <c r="F177" t="str">
        <f t="shared" si="33"/>
        <v/>
      </c>
      <c r="L177" s="7" t="str">
        <f t="shared" si="34"/>
        <v/>
      </c>
      <c r="N177" s="7" t="str">
        <f t="shared" si="35"/>
        <v/>
      </c>
      <c r="O177" t="str">
        <f t="shared" si="36"/>
        <v/>
      </c>
      <c r="P177" t="str">
        <f t="shared" si="37"/>
        <v/>
      </c>
      <c r="Q177" t="str">
        <f t="shared" si="38"/>
        <v/>
      </c>
      <c r="S177" t="str">
        <f>""</f>
        <v/>
      </c>
      <c r="AL177" s="18" t="str">
        <f>IF(COUNTIF($A$2:A176, A176) = 1, A176, "")</f>
        <v/>
      </c>
    </row>
    <row r="178" spans="6:38" x14ac:dyDescent="0.2">
      <c r="F178" t="str">
        <f t="shared" si="33"/>
        <v/>
      </c>
      <c r="L178" s="7" t="str">
        <f t="shared" si="34"/>
        <v/>
      </c>
      <c r="N178" s="7" t="str">
        <f t="shared" si="35"/>
        <v/>
      </c>
      <c r="O178" t="str">
        <f t="shared" si="36"/>
        <v/>
      </c>
      <c r="P178" t="str">
        <f t="shared" si="37"/>
        <v/>
      </c>
      <c r="Q178" t="str">
        <f t="shared" si="38"/>
        <v/>
      </c>
      <c r="S178" t="str">
        <f>""</f>
        <v/>
      </c>
      <c r="AL178" s="18" t="str">
        <f>IF(COUNTIF($A$2:A177, A177) = 1, A177, "")</f>
        <v/>
      </c>
    </row>
    <row r="179" spans="6:38" x14ac:dyDescent="0.2">
      <c r="F179" t="str">
        <f t="shared" si="33"/>
        <v/>
      </c>
      <c r="L179" s="7" t="str">
        <f t="shared" si="34"/>
        <v/>
      </c>
      <c r="N179" s="7" t="str">
        <f t="shared" si="35"/>
        <v/>
      </c>
      <c r="O179" t="str">
        <f t="shared" si="36"/>
        <v/>
      </c>
      <c r="P179" t="str">
        <f t="shared" si="37"/>
        <v/>
      </c>
      <c r="Q179" t="str">
        <f t="shared" si="38"/>
        <v/>
      </c>
      <c r="S179" t="str">
        <f>""</f>
        <v/>
      </c>
      <c r="AL179" s="18" t="str">
        <f>IF(COUNTIF($A$2:A178, A178) = 1, A178, "")</f>
        <v/>
      </c>
    </row>
    <row r="180" spans="6:38" x14ac:dyDescent="0.2">
      <c r="F180" t="str">
        <f t="shared" si="33"/>
        <v/>
      </c>
      <c r="L180" s="7" t="str">
        <f t="shared" si="34"/>
        <v/>
      </c>
      <c r="N180" s="7" t="str">
        <f t="shared" si="35"/>
        <v/>
      </c>
      <c r="O180" t="str">
        <f t="shared" si="36"/>
        <v/>
      </c>
      <c r="P180" t="str">
        <f t="shared" si="37"/>
        <v/>
      </c>
      <c r="Q180" t="str">
        <f t="shared" si="38"/>
        <v/>
      </c>
      <c r="S180" t="str">
        <f>""</f>
        <v/>
      </c>
      <c r="AL180" s="18" t="str">
        <f>IF(COUNTIF($A$2:A179, A179) = 1, A179, "")</f>
        <v/>
      </c>
    </row>
    <row r="181" spans="6:38" x14ac:dyDescent="0.2">
      <c r="F181" t="str">
        <f t="shared" si="33"/>
        <v/>
      </c>
      <c r="L181" s="7" t="str">
        <f t="shared" si="34"/>
        <v/>
      </c>
      <c r="N181" s="7" t="str">
        <f t="shared" si="35"/>
        <v/>
      </c>
      <c r="O181" t="str">
        <f t="shared" si="36"/>
        <v/>
      </c>
      <c r="P181" t="str">
        <f t="shared" si="37"/>
        <v/>
      </c>
      <c r="Q181" t="str">
        <f t="shared" si="38"/>
        <v/>
      </c>
      <c r="S181" t="str">
        <f>""</f>
        <v/>
      </c>
      <c r="AL181" s="18" t="str">
        <f>IF(COUNTIF($A$2:A180, A180) = 1, A180, "")</f>
        <v/>
      </c>
    </row>
    <row r="182" spans="6:38" x14ac:dyDescent="0.2">
      <c r="F182" t="str">
        <f t="shared" si="33"/>
        <v/>
      </c>
      <c r="L182" s="7" t="str">
        <f t="shared" si="34"/>
        <v/>
      </c>
      <c r="N182" s="7" t="str">
        <f t="shared" si="35"/>
        <v/>
      </c>
      <c r="O182" t="str">
        <f t="shared" si="36"/>
        <v/>
      </c>
      <c r="P182" t="str">
        <f t="shared" si="37"/>
        <v/>
      </c>
      <c r="Q182" t="str">
        <f t="shared" si="38"/>
        <v/>
      </c>
      <c r="S182" t="str">
        <f>""</f>
        <v/>
      </c>
      <c r="AL182" s="18" t="str">
        <f>IF(COUNTIF($A$2:A181, A181) = 1, A181, "")</f>
        <v/>
      </c>
    </row>
    <row r="183" spans="6:38" x14ac:dyDescent="0.2">
      <c r="F183" t="str">
        <f t="shared" si="33"/>
        <v/>
      </c>
      <c r="L183" s="7" t="str">
        <f t="shared" si="34"/>
        <v/>
      </c>
      <c r="N183" s="7" t="str">
        <f t="shared" si="35"/>
        <v/>
      </c>
      <c r="O183" t="str">
        <f t="shared" si="36"/>
        <v/>
      </c>
      <c r="P183" t="str">
        <f t="shared" si="37"/>
        <v/>
      </c>
      <c r="Q183" t="str">
        <f t="shared" si="38"/>
        <v/>
      </c>
      <c r="S183" t="str">
        <f>""</f>
        <v/>
      </c>
      <c r="AL183" s="18" t="str">
        <f>IF(COUNTIF($A$2:A182, A182) = 1, A182, "")</f>
        <v/>
      </c>
    </row>
    <row r="184" spans="6:38" x14ac:dyDescent="0.2">
      <c r="F184" t="str">
        <f t="shared" si="33"/>
        <v/>
      </c>
      <c r="L184" s="7" t="str">
        <f t="shared" si="34"/>
        <v/>
      </c>
      <c r="N184" s="7" t="str">
        <f t="shared" si="35"/>
        <v/>
      </c>
      <c r="O184" t="str">
        <f t="shared" si="36"/>
        <v/>
      </c>
      <c r="P184" t="str">
        <f t="shared" si="37"/>
        <v/>
      </c>
      <c r="Q184" t="str">
        <f t="shared" si="38"/>
        <v/>
      </c>
      <c r="S184" t="str">
        <f>""</f>
        <v/>
      </c>
      <c r="AL184" s="18" t="str">
        <f>IF(COUNTIF($A$2:A183, A183) = 1, A183, "")</f>
        <v/>
      </c>
    </row>
    <row r="185" spans="6:38" x14ac:dyDescent="0.2">
      <c r="F185" t="str">
        <f t="shared" si="33"/>
        <v/>
      </c>
      <c r="L185" s="7" t="str">
        <f t="shared" si="34"/>
        <v/>
      </c>
      <c r="N185" s="7" t="str">
        <f t="shared" si="35"/>
        <v/>
      </c>
      <c r="O185" t="str">
        <f t="shared" si="36"/>
        <v/>
      </c>
      <c r="P185" t="str">
        <f t="shared" si="37"/>
        <v/>
      </c>
      <c r="Q185" t="str">
        <f t="shared" si="38"/>
        <v/>
      </c>
      <c r="S185" t="str">
        <f>""</f>
        <v/>
      </c>
      <c r="AL185" s="18" t="str">
        <f>IF(COUNTIF($A$2:A184, A184) = 1, A184, "")</f>
        <v/>
      </c>
    </row>
    <row r="186" spans="6:38" x14ac:dyDescent="0.2">
      <c r="F186" t="str">
        <f t="shared" si="33"/>
        <v/>
      </c>
      <c r="L186" s="7" t="str">
        <f t="shared" si="34"/>
        <v/>
      </c>
      <c r="N186" s="7" t="str">
        <f t="shared" si="35"/>
        <v/>
      </c>
      <c r="O186" t="str">
        <f t="shared" si="36"/>
        <v/>
      </c>
      <c r="P186" t="str">
        <f t="shared" si="37"/>
        <v/>
      </c>
      <c r="Q186" t="str">
        <f t="shared" si="38"/>
        <v/>
      </c>
      <c r="S186" t="str">
        <f>""</f>
        <v/>
      </c>
      <c r="AL186" s="18" t="str">
        <f>IF(COUNTIF($A$2:A185, A185) = 1, A185, "")</f>
        <v/>
      </c>
    </row>
    <row r="187" spans="6:38" x14ac:dyDescent="0.2">
      <c r="F187" t="str">
        <f t="shared" si="33"/>
        <v/>
      </c>
      <c r="L187" s="7" t="str">
        <f t="shared" si="34"/>
        <v/>
      </c>
      <c r="N187" s="7" t="str">
        <f t="shared" si="35"/>
        <v/>
      </c>
      <c r="O187" t="str">
        <f t="shared" si="36"/>
        <v/>
      </c>
      <c r="P187" t="str">
        <f t="shared" si="37"/>
        <v/>
      </c>
      <c r="Q187" t="str">
        <f t="shared" si="38"/>
        <v/>
      </c>
      <c r="S187" t="str">
        <f>""</f>
        <v/>
      </c>
      <c r="AL187" s="18" t="str">
        <f>IF(COUNTIF($A$2:A186, A186) = 1, A186, "")</f>
        <v/>
      </c>
    </row>
    <row r="188" spans="6:38" x14ac:dyDescent="0.2">
      <c r="F188" t="str">
        <f t="shared" si="33"/>
        <v/>
      </c>
      <c r="L188" s="7" t="str">
        <f t="shared" si="34"/>
        <v/>
      </c>
      <c r="N188" s="7" t="str">
        <f t="shared" si="35"/>
        <v/>
      </c>
      <c r="O188" t="str">
        <f t="shared" si="36"/>
        <v/>
      </c>
      <c r="P188" t="str">
        <f t="shared" si="37"/>
        <v/>
      </c>
      <c r="Q188" t="str">
        <f t="shared" si="38"/>
        <v/>
      </c>
      <c r="S188" t="str">
        <f>""</f>
        <v/>
      </c>
      <c r="AL188" s="18" t="str">
        <f>IF(COUNTIF($A$2:A187, A187) = 1, A187, "")</f>
        <v/>
      </c>
    </row>
    <row r="189" spans="6:38" x14ac:dyDescent="0.2">
      <c r="F189" t="str">
        <f t="shared" si="33"/>
        <v/>
      </c>
      <c r="L189" s="7" t="str">
        <f t="shared" si="34"/>
        <v/>
      </c>
      <c r="N189" s="7" t="str">
        <f t="shared" si="35"/>
        <v/>
      </c>
      <c r="O189" t="str">
        <f t="shared" si="36"/>
        <v/>
      </c>
      <c r="P189" t="str">
        <f t="shared" si="37"/>
        <v/>
      </c>
      <c r="Q189" t="str">
        <f t="shared" si="38"/>
        <v/>
      </c>
      <c r="S189" t="str">
        <f>""</f>
        <v/>
      </c>
      <c r="AL189" s="18" t="str">
        <f>IF(COUNTIF($A$2:A188, A188) = 1, A188, "")</f>
        <v/>
      </c>
    </row>
    <row r="190" spans="6:38" x14ac:dyDescent="0.2">
      <c r="F190" t="str">
        <f t="shared" si="33"/>
        <v/>
      </c>
      <c r="L190" s="7" t="str">
        <f t="shared" si="34"/>
        <v/>
      </c>
      <c r="N190" s="7" t="str">
        <f t="shared" si="35"/>
        <v/>
      </c>
      <c r="O190" t="str">
        <f t="shared" si="36"/>
        <v/>
      </c>
      <c r="P190" t="str">
        <f t="shared" si="37"/>
        <v/>
      </c>
      <c r="Q190" t="str">
        <f t="shared" si="38"/>
        <v/>
      </c>
      <c r="S190" t="str">
        <f>""</f>
        <v/>
      </c>
      <c r="AL190" s="18" t="str">
        <f>IF(COUNTIF($A$2:A189, A189) = 1, A189, "")</f>
        <v/>
      </c>
    </row>
    <row r="191" spans="6:38" x14ac:dyDescent="0.2">
      <c r="F191" t="str">
        <f t="shared" si="33"/>
        <v/>
      </c>
      <c r="L191" s="7" t="str">
        <f t="shared" si="34"/>
        <v/>
      </c>
      <c r="N191" s="7" t="str">
        <f t="shared" si="35"/>
        <v/>
      </c>
      <c r="O191" t="str">
        <f t="shared" si="36"/>
        <v/>
      </c>
      <c r="P191" t="str">
        <f t="shared" si="37"/>
        <v/>
      </c>
      <c r="Q191" t="str">
        <f t="shared" si="38"/>
        <v/>
      </c>
      <c r="S191" t="str">
        <f>""</f>
        <v/>
      </c>
      <c r="AL191" s="18" t="str">
        <f>IF(COUNTIF($A$2:A190, A190) = 1, A190, "")</f>
        <v/>
      </c>
    </row>
    <row r="192" spans="6:38" x14ac:dyDescent="0.2">
      <c r="F192" t="str">
        <f t="shared" si="33"/>
        <v/>
      </c>
      <c r="L192" s="7" t="str">
        <f t="shared" si="34"/>
        <v/>
      </c>
      <c r="N192" s="7" t="str">
        <f t="shared" si="35"/>
        <v/>
      </c>
      <c r="O192" t="str">
        <f t="shared" si="36"/>
        <v/>
      </c>
      <c r="P192" t="str">
        <f t="shared" si="37"/>
        <v/>
      </c>
      <c r="Q192" t="str">
        <f t="shared" si="38"/>
        <v/>
      </c>
      <c r="S192" t="str">
        <f>""</f>
        <v/>
      </c>
      <c r="AL192" s="18" t="str">
        <f>IF(COUNTIF($A$2:A191, A191) = 1, A191, "")</f>
        <v/>
      </c>
    </row>
    <row r="193" spans="6:38" x14ac:dyDescent="0.2">
      <c r="F193" t="str">
        <f t="shared" si="33"/>
        <v/>
      </c>
      <c r="L193" s="7" t="str">
        <f t="shared" si="34"/>
        <v/>
      </c>
      <c r="N193" s="7" t="str">
        <f t="shared" si="35"/>
        <v/>
      </c>
      <c r="O193" t="str">
        <f t="shared" si="36"/>
        <v/>
      </c>
      <c r="P193" t="str">
        <f t="shared" si="37"/>
        <v/>
      </c>
      <c r="Q193" t="str">
        <f t="shared" si="38"/>
        <v/>
      </c>
      <c r="S193" t="str">
        <f>""</f>
        <v/>
      </c>
      <c r="AL193" s="18" t="str">
        <f>IF(COUNTIF($A$2:A192, A192) = 1, A192, "")</f>
        <v/>
      </c>
    </row>
    <row r="194" spans="6:38" x14ac:dyDescent="0.2">
      <c r="F194" t="str">
        <f t="shared" si="33"/>
        <v/>
      </c>
      <c r="L194" s="7" t="str">
        <f t="shared" si="34"/>
        <v/>
      </c>
      <c r="N194" s="7" t="str">
        <f t="shared" si="35"/>
        <v/>
      </c>
      <c r="O194" t="str">
        <f t="shared" si="36"/>
        <v/>
      </c>
      <c r="P194" t="str">
        <f t="shared" si="37"/>
        <v/>
      </c>
      <c r="Q194" t="str">
        <f t="shared" si="38"/>
        <v/>
      </c>
      <c r="S194" t="str">
        <f>""</f>
        <v/>
      </c>
      <c r="AL194" s="18" t="str">
        <f>IF(COUNTIF($A$2:A193, A193) = 1, A193, "")</f>
        <v/>
      </c>
    </row>
    <row r="195" spans="6:38" x14ac:dyDescent="0.2">
      <c r="F195" t="str">
        <f t="shared" si="33"/>
        <v/>
      </c>
      <c r="L195" s="7" t="str">
        <f t="shared" si="34"/>
        <v/>
      </c>
      <c r="N195" s="7" t="str">
        <f t="shared" si="35"/>
        <v/>
      </c>
      <c r="O195" t="str">
        <f t="shared" si="36"/>
        <v/>
      </c>
      <c r="P195" t="str">
        <f t="shared" si="37"/>
        <v/>
      </c>
      <c r="Q195" t="str">
        <f t="shared" si="38"/>
        <v/>
      </c>
      <c r="S195" t="str">
        <f>""</f>
        <v/>
      </c>
      <c r="AL195" s="18" t="str">
        <f>IF(COUNTIF($A$2:A194, A194) = 1, A194, "")</f>
        <v/>
      </c>
    </row>
    <row r="196" spans="6:38" x14ac:dyDescent="0.2">
      <c r="F196" t="str">
        <f t="shared" si="33"/>
        <v/>
      </c>
      <c r="L196" s="7" t="str">
        <f t="shared" si="34"/>
        <v/>
      </c>
      <c r="N196" s="7" t="str">
        <f t="shared" si="35"/>
        <v/>
      </c>
      <c r="O196" t="str">
        <f t="shared" si="36"/>
        <v/>
      </c>
      <c r="P196" t="str">
        <f t="shared" si="37"/>
        <v/>
      </c>
      <c r="Q196" t="str">
        <f t="shared" si="38"/>
        <v/>
      </c>
      <c r="S196" t="str">
        <f>""</f>
        <v/>
      </c>
      <c r="AL196" s="18" t="str">
        <f>IF(COUNTIF($A$2:A195, A195) = 1, A195, "")</f>
        <v/>
      </c>
    </row>
    <row r="197" spans="6:38" x14ac:dyDescent="0.2">
      <c r="F197" t="str">
        <f t="shared" si="33"/>
        <v/>
      </c>
      <c r="L197" s="7" t="str">
        <f t="shared" si="34"/>
        <v/>
      </c>
      <c r="N197" s="7" t="str">
        <f t="shared" si="35"/>
        <v/>
      </c>
      <c r="O197" t="str">
        <f t="shared" si="36"/>
        <v/>
      </c>
      <c r="P197" t="str">
        <f t="shared" si="37"/>
        <v/>
      </c>
      <c r="Q197" t="str">
        <f t="shared" si="38"/>
        <v/>
      </c>
      <c r="S197" t="str">
        <f>""</f>
        <v/>
      </c>
      <c r="AL197" s="18" t="str">
        <f>IF(COUNTIF($A$2:A196, A196) = 1, A196, "")</f>
        <v/>
      </c>
    </row>
    <row r="198" spans="6:38" x14ac:dyDescent="0.2">
      <c r="F198" t="str">
        <f t="shared" si="33"/>
        <v/>
      </c>
      <c r="L198" s="7" t="str">
        <f t="shared" si="34"/>
        <v/>
      </c>
      <c r="N198" s="7" t="str">
        <f t="shared" si="35"/>
        <v/>
      </c>
      <c r="O198" t="str">
        <f t="shared" si="36"/>
        <v/>
      </c>
      <c r="P198" t="str">
        <f t="shared" si="37"/>
        <v/>
      </c>
      <c r="Q198" t="str">
        <f t="shared" si="38"/>
        <v/>
      </c>
      <c r="S198" t="str">
        <f>""</f>
        <v/>
      </c>
      <c r="AL198" s="18" t="str">
        <f>IF(COUNTIF($A$2:A197, A197) = 1, A197, "")</f>
        <v/>
      </c>
    </row>
    <row r="199" spans="6:38" x14ac:dyDescent="0.2">
      <c r="F199" t="str">
        <f t="shared" si="33"/>
        <v/>
      </c>
      <c r="L199" s="7" t="str">
        <f t="shared" si="34"/>
        <v/>
      </c>
      <c r="N199" s="7" t="str">
        <f t="shared" si="35"/>
        <v/>
      </c>
      <c r="O199" t="str">
        <f t="shared" si="36"/>
        <v/>
      </c>
      <c r="P199" t="str">
        <f t="shared" si="37"/>
        <v/>
      </c>
      <c r="Q199" t="str">
        <f t="shared" si="38"/>
        <v/>
      </c>
      <c r="S199" t="str">
        <f>""</f>
        <v/>
      </c>
      <c r="AL199" s="18" t="str">
        <f>IF(COUNTIF($A$2:A198, A198) = 1, A198, "")</f>
        <v/>
      </c>
    </row>
    <row r="200" spans="6:38" x14ac:dyDescent="0.2">
      <c r="F200" t="str">
        <f t="shared" si="33"/>
        <v/>
      </c>
      <c r="L200" s="7" t="str">
        <f t="shared" si="34"/>
        <v/>
      </c>
      <c r="N200" s="7" t="str">
        <f t="shared" si="35"/>
        <v/>
      </c>
      <c r="O200" t="str">
        <f t="shared" si="36"/>
        <v/>
      </c>
      <c r="P200" t="str">
        <f t="shared" si="37"/>
        <v/>
      </c>
      <c r="Q200" t="str">
        <f t="shared" si="38"/>
        <v/>
      </c>
      <c r="S200" t="str">
        <f>""</f>
        <v/>
      </c>
      <c r="AL200" s="18" t="str">
        <f>IF(COUNTIF($A$2:A199, A199) = 1, A199, "")</f>
        <v/>
      </c>
    </row>
    <row r="201" spans="6:38" x14ac:dyDescent="0.2">
      <c r="F201" t="str">
        <f t="shared" si="33"/>
        <v/>
      </c>
      <c r="L201" s="7" t="str">
        <f t="shared" si="34"/>
        <v/>
      </c>
      <c r="N201" s="7" t="str">
        <f t="shared" si="35"/>
        <v/>
      </c>
      <c r="O201" t="str">
        <f t="shared" si="36"/>
        <v/>
      </c>
      <c r="P201" t="str">
        <f t="shared" si="37"/>
        <v/>
      </c>
      <c r="Q201" t="str">
        <f t="shared" si="38"/>
        <v/>
      </c>
      <c r="S201" t="str">
        <f>""</f>
        <v/>
      </c>
      <c r="AL201" s="18" t="str">
        <f>IF(COUNTIF($A$2:A200, A200) = 1, A200, "")</f>
        <v/>
      </c>
    </row>
    <row r="202" spans="6:38" x14ac:dyDescent="0.2">
      <c r="F202" t="str">
        <f t="shared" si="33"/>
        <v/>
      </c>
      <c r="L202" s="7" t="str">
        <f t="shared" si="34"/>
        <v/>
      </c>
      <c r="N202" s="7" t="str">
        <f t="shared" si="35"/>
        <v/>
      </c>
      <c r="O202" t="str">
        <f t="shared" si="36"/>
        <v/>
      </c>
      <c r="P202" t="str">
        <f t="shared" si="37"/>
        <v/>
      </c>
      <c r="Q202" t="str">
        <f t="shared" si="38"/>
        <v/>
      </c>
      <c r="S202" t="str">
        <f>""</f>
        <v/>
      </c>
      <c r="AL202" s="18" t="str">
        <f>IF(COUNTIF($A$2:A201, A201) = 1, A201, "")</f>
        <v/>
      </c>
    </row>
    <row r="203" spans="6:38" x14ac:dyDescent="0.2">
      <c r="F203" t="str">
        <f t="shared" si="33"/>
        <v/>
      </c>
      <c r="L203" s="7" t="str">
        <f t="shared" si="34"/>
        <v/>
      </c>
      <c r="N203" s="7" t="str">
        <f t="shared" si="35"/>
        <v/>
      </c>
      <c r="O203" t="str">
        <f t="shared" si="36"/>
        <v/>
      </c>
      <c r="P203" t="str">
        <f t="shared" si="37"/>
        <v/>
      </c>
      <c r="Q203" t="str">
        <f t="shared" si="38"/>
        <v/>
      </c>
      <c r="S203" t="str">
        <f>""</f>
        <v/>
      </c>
      <c r="AL203" s="18" t="str">
        <f>IF(COUNTIF($A$2:A202, A202) = 1, A202, "")</f>
        <v/>
      </c>
    </row>
    <row r="204" spans="6:38" x14ac:dyDescent="0.2">
      <c r="F204" t="str">
        <f t="shared" si="33"/>
        <v/>
      </c>
      <c r="L204" s="7" t="str">
        <f t="shared" si="34"/>
        <v/>
      </c>
      <c r="N204" s="7" t="str">
        <f t="shared" si="35"/>
        <v/>
      </c>
      <c r="O204" t="str">
        <f t="shared" si="36"/>
        <v/>
      </c>
      <c r="P204" t="str">
        <f t="shared" si="37"/>
        <v/>
      </c>
      <c r="Q204" t="str">
        <f t="shared" si="38"/>
        <v/>
      </c>
      <c r="S204" t="str">
        <f>""</f>
        <v/>
      </c>
      <c r="AL204" s="18" t="str">
        <f>IF(COUNTIF($A$2:A203, A203) = 1, A203, "")</f>
        <v/>
      </c>
    </row>
    <row r="205" spans="6:38" x14ac:dyDescent="0.2">
      <c r="F205" t="str">
        <f t="shared" si="33"/>
        <v/>
      </c>
      <c r="L205" s="7" t="str">
        <f t="shared" si="34"/>
        <v/>
      </c>
      <c r="N205" s="7" t="str">
        <f t="shared" si="35"/>
        <v/>
      </c>
      <c r="O205" t="str">
        <f t="shared" si="36"/>
        <v/>
      </c>
      <c r="P205" t="str">
        <f t="shared" si="37"/>
        <v/>
      </c>
      <c r="Q205" t="str">
        <f t="shared" si="38"/>
        <v/>
      </c>
      <c r="S205" t="str">
        <f>""</f>
        <v/>
      </c>
      <c r="AL205" s="18" t="str">
        <f>IF(COUNTIF($A$2:A204, A204) = 1, A204, "")</f>
        <v/>
      </c>
    </row>
    <row r="206" spans="6:38" x14ac:dyDescent="0.2">
      <c r="F206" t="str">
        <f t="shared" si="33"/>
        <v/>
      </c>
      <c r="L206" s="7" t="str">
        <f t="shared" si="34"/>
        <v/>
      </c>
      <c r="N206" s="7" t="str">
        <f t="shared" si="35"/>
        <v/>
      </c>
      <c r="O206" t="str">
        <f t="shared" si="36"/>
        <v/>
      </c>
      <c r="P206" t="str">
        <f t="shared" si="37"/>
        <v/>
      </c>
      <c r="Q206" t="str">
        <f t="shared" si="38"/>
        <v/>
      </c>
      <c r="S206" t="str">
        <f>""</f>
        <v/>
      </c>
      <c r="AL206" s="18" t="str">
        <f>IF(COUNTIF($A$2:A205, A205) = 1, A205, "")</f>
        <v/>
      </c>
    </row>
    <row r="207" spans="6:38" x14ac:dyDescent="0.2">
      <c r="F207" t="str">
        <f t="shared" si="33"/>
        <v/>
      </c>
      <c r="L207" s="7" t="str">
        <f t="shared" si="34"/>
        <v/>
      </c>
      <c r="N207" s="7" t="str">
        <f t="shared" si="35"/>
        <v/>
      </c>
      <c r="O207" t="str">
        <f t="shared" si="36"/>
        <v/>
      </c>
      <c r="P207" t="str">
        <f t="shared" si="37"/>
        <v/>
      </c>
      <c r="Q207" t="str">
        <f t="shared" si="38"/>
        <v/>
      </c>
      <c r="S207" t="str">
        <f>""</f>
        <v/>
      </c>
      <c r="AL207" s="18" t="str">
        <f>IF(COUNTIF($A$2:A206, A206) = 1, A206, "")</f>
        <v/>
      </c>
    </row>
    <row r="208" spans="6:38" x14ac:dyDescent="0.2">
      <c r="F208" t="str">
        <f t="shared" ref="F208:F271" si="39">IF(OR(O208="", P208=""), "", SUM(IF((O208&lt;&gt;"None")*(O208&lt;&gt;""),LEN(O208)-LEN(SUBSTITUTE(O208,",",""))+1,0)) + SUM(IF((P208&lt;&gt;"None")*(P208&lt;&gt;""),LEN(P208)-LEN(SUBSTITUTE(P208,",",""))+1,0)))</f>
        <v/>
      </c>
      <c r="L208" s="7" t="str">
        <f t="shared" ref="L208:L271" si="40">IF(LEN(E208)=0, "", IFERROR(IF(E208&gt;=0, K208 * (1 + E208/100) - K208, K208 / (ABS(E208)/100))+K208, ""))</f>
        <v/>
      </c>
      <c r="N208" s="7" t="str">
        <f t="shared" ref="N208:N271" si="41">IF(M208="Yes",L208-K208,IF(M208="No",-K208,""))</f>
        <v/>
      </c>
      <c r="O208" t="str">
        <f t="shared" ref="O208:O271" si="42">IF(AND(G208="No",H208="No"), "None", "")</f>
        <v/>
      </c>
      <c r="P208" t="str">
        <f t="shared" ref="P208:P271" si="43">IF(I208="No", "None", "")</f>
        <v/>
      </c>
      <c r="Q208" t="str">
        <f t="shared" ref="Q208:Q271" si="44">IF(AND(D208="Straight", M208 = "No"),IF(O208="None",P208,IF(P208="None",O208) ),"")</f>
        <v/>
      </c>
      <c r="S208" t="str">
        <f>""</f>
        <v/>
      </c>
      <c r="AL208" s="18" t="str">
        <f>IF(COUNTIF($A$2:A207, A207) = 1, A207, "")</f>
        <v/>
      </c>
    </row>
    <row r="209" spans="6:38" x14ac:dyDescent="0.2">
      <c r="F209" t="str">
        <f t="shared" si="39"/>
        <v/>
      </c>
      <c r="L209" s="7" t="str">
        <f t="shared" si="40"/>
        <v/>
      </c>
      <c r="N209" s="7" t="str">
        <f t="shared" si="41"/>
        <v/>
      </c>
      <c r="O209" t="str">
        <f t="shared" si="42"/>
        <v/>
      </c>
      <c r="P209" t="str">
        <f t="shared" si="43"/>
        <v/>
      </c>
      <c r="Q209" t="str">
        <f t="shared" si="44"/>
        <v/>
      </c>
      <c r="S209" t="str">
        <f>""</f>
        <v/>
      </c>
      <c r="AL209" s="18" t="str">
        <f>IF(COUNTIF($A$2:A208, A208) = 1, A208, "")</f>
        <v/>
      </c>
    </row>
    <row r="210" spans="6:38" x14ac:dyDescent="0.2">
      <c r="F210" t="str">
        <f t="shared" si="39"/>
        <v/>
      </c>
      <c r="L210" s="7" t="str">
        <f t="shared" si="40"/>
        <v/>
      </c>
      <c r="N210" s="7" t="str">
        <f t="shared" si="41"/>
        <v/>
      </c>
      <c r="O210" t="str">
        <f t="shared" si="42"/>
        <v/>
      </c>
      <c r="P210" t="str">
        <f t="shared" si="43"/>
        <v/>
      </c>
      <c r="Q210" t="str">
        <f t="shared" si="44"/>
        <v/>
      </c>
      <c r="S210" t="str">
        <f>""</f>
        <v/>
      </c>
      <c r="AL210" s="18" t="str">
        <f>IF(COUNTIF($A$2:A209, A209) = 1, A209, "")</f>
        <v/>
      </c>
    </row>
    <row r="211" spans="6:38" x14ac:dyDescent="0.2">
      <c r="F211" t="str">
        <f t="shared" si="39"/>
        <v/>
      </c>
      <c r="L211" s="7" t="str">
        <f t="shared" si="40"/>
        <v/>
      </c>
      <c r="N211" s="7" t="str">
        <f t="shared" si="41"/>
        <v/>
      </c>
      <c r="O211" t="str">
        <f t="shared" si="42"/>
        <v/>
      </c>
      <c r="P211" t="str">
        <f t="shared" si="43"/>
        <v/>
      </c>
      <c r="Q211" t="str">
        <f t="shared" si="44"/>
        <v/>
      </c>
      <c r="S211" t="str">
        <f>""</f>
        <v/>
      </c>
      <c r="AL211" s="18" t="str">
        <f>IF(COUNTIF($A$2:A210, A210) = 1, A210, "")</f>
        <v/>
      </c>
    </row>
    <row r="212" spans="6:38" x14ac:dyDescent="0.2">
      <c r="F212" t="str">
        <f t="shared" si="39"/>
        <v/>
      </c>
      <c r="L212" s="7" t="str">
        <f t="shared" si="40"/>
        <v/>
      </c>
      <c r="N212" s="7" t="str">
        <f t="shared" si="41"/>
        <v/>
      </c>
      <c r="O212" t="str">
        <f t="shared" si="42"/>
        <v/>
      </c>
      <c r="P212" t="str">
        <f t="shared" si="43"/>
        <v/>
      </c>
      <c r="Q212" t="str">
        <f t="shared" si="44"/>
        <v/>
      </c>
      <c r="S212" t="str">
        <f>""</f>
        <v/>
      </c>
      <c r="AL212" s="18" t="str">
        <f>IF(COUNTIF($A$2:A211, A211) = 1, A211, "")</f>
        <v/>
      </c>
    </row>
    <row r="213" spans="6:38" x14ac:dyDescent="0.2">
      <c r="F213" t="str">
        <f t="shared" si="39"/>
        <v/>
      </c>
      <c r="L213" s="7" t="str">
        <f t="shared" si="40"/>
        <v/>
      </c>
      <c r="N213" s="7" t="str">
        <f t="shared" si="41"/>
        <v/>
      </c>
      <c r="O213" t="str">
        <f t="shared" si="42"/>
        <v/>
      </c>
      <c r="P213" t="str">
        <f t="shared" si="43"/>
        <v/>
      </c>
      <c r="Q213" t="str">
        <f t="shared" si="44"/>
        <v/>
      </c>
      <c r="S213" t="str">
        <f>""</f>
        <v/>
      </c>
      <c r="AL213" s="18" t="str">
        <f>IF(COUNTIF($A$2:A212, A212) = 1, A212, "")</f>
        <v/>
      </c>
    </row>
    <row r="214" spans="6:38" x14ac:dyDescent="0.2">
      <c r="F214" t="str">
        <f t="shared" si="39"/>
        <v/>
      </c>
      <c r="L214" s="7" t="str">
        <f t="shared" si="40"/>
        <v/>
      </c>
      <c r="N214" s="7" t="str">
        <f t="shared" si="41"/>
        <v/>
      </c>
      <c r="O214" t="str">
        <f t="shared" si="42"/>
        <v/>
      </c>
      <c r="P214" t="str">
        <f t="shared" si="43"/>
        <v/>
      </c>
      <c r="Q214" t="str">
        <f t="shared" si="44"/>
        <v/>
      </c>
      <c r="S214" t="str">
        <f>""</f>
        <v/>
      </c>
      <c r="AL214" s="18" t="str">
        <f>IF(COUNTIF($A$2:A213, A213) = 1, A213, "")</f>
        <v/>
      </c>
    </row>
    <row r="215" spans="6:38" x14ac:dyDescent="0.2">
      <c r="F215" t="str">
        <f t="shared" si="39"/>
        <v/>
      </c>
      <c r="L215" s="7" t="str">
        <f t="shared" si="40"/>
        <v/>
      </c>
      <c r="N215" s="7" t="str">
        <f t="shared" si="41"/>
        <v/>
      </c>
      <c r="O215" t="str">
        <f t="shared" si="42"/>
        <v/>
      </c>
      <c r="P215" t="str">
        <f t="shared" si="43"/>
        <v/>
      </c>
      <c r="Q215" t="str">
        <f t="shared" si="44"/>
        <v/>
      </c>
      <c r="S215" t="str">
        <f>""</f>
        <v/>
      </c>
      <c r="AL215" s="18" t="str">
        <f>IF(COUNTIF($A$2:A214, A214) = 1, A214, "")</f>
        <v/>
      </c>
    </row>
    <row r="216" spans="6:38" x14ac:dyDescent="0.2">
      <c r="F216" t="str">
        <f t="shared" si="39"/>
        <v/>
      </c>
      <c r="L216" s="7" t="str">
        <f t="shared" si="40"/>
        <v/>
      </c>
      <c r="N216" s="7" t="str">
        <f t="shared" si="41"/>
        <v/>
      </c>
      <c r="O216" t="str">
        <f t="shared" si="42"/>
        <v/>
      </c>
      <c r="P216" t="str">
        <f t="shared" si="43"/>
        <v/>
      </c>
      <c r="Q216" t="str">
        <f t="shared" si="44"/>
        <v/>
      </c>
      <c r="S216" t="str">
        <f>""</f>
        <v/>
      </c>
      <c r="AL216" s="18" t="str">
        <f>IF(COUNTIF($A$2:A215, A215) = 1, A215, "")</f>
        <v/>
      </c>
    </row>
    <row r="217" spans="6:38" x14ac:dyDescent="0.2">
      <c r="F217" t="str">
        <f t="shared" si="39"/>
        <v/>
      </c>
      <c r="L217" s="7" t="str">
        <f t="shared" si="40"/>
        <v/>
      </c>
      <c r="N217" s="7" t="str">
        <f t="shared" si="41"/>
        <v/>
      </c>
      <c r="O217" t="str">
        <f t="shared" si="42"/>
        <v/>
      </c>
      <c r="P217" t="str">
        <f t="shared" si="43"/>
        <v/>
      </c>
      <c r="Q217" t="str">
        <f t="shared" si="44"/>
        <v/>
      </c>
      <c r="S217" t="str">
        <f>""</f>
        <v/>
      </c>
      <c r="AL217" s="18" t="str">
        <f>IF(COUNTIF($A$2:A216, A216) = 1, A216, "")</f>
        <v/>
      </c>
    </row>
    <row r="218" spans="6:38" x14ac:dyDescent="0.2">
      <c r="F218" t="str">
        <f t="shared" si="39"/>
        <v/>
      </c>
      <c r="L218" s="7" t="str">
        <f t="shared" si="40"/>
        <v/>
      </c>
      <c r="N218" s="7" t="str">
        <f t="shared" si="41"/>
        <v/>
      </c>
      <c r="O218" t="str">
        <f t="shared" si="42"/>
        <v/>
      </c>
      <c r="P218" t="str">
        <f t="shared" si="43"/>
        <v/>
      </c>
      <c r="Q218" t="str">
        <f t="shared" si="44"/>
        <v/>
      </c>
      <c r="S218" t="str">
        <f>""</f>
        <v/>
      </c>
      <c r="AL218" s="18" t="str">
        <f>IF(COUNTIF($A$2:A217, A217) = 1, A217, "")</f>
        <v/>
      </c>
    </row>
    <row r="219" spans="6:38" x14ac:dyDescent="0.2">
      <c r="F219" t="str">
        <f t="shared" si="39"/>
        <v/>
      </c>
      <c r="L219" s="7" t="str">
        <f t="shared" si="40"/>
        <v/>
      </c>
      <c r="N219" s="7" t="str">
        <f t="shared" si="41"/>
        <v/>
      </c>
      <c r="O219" t="str">
        <f t="shared" si="42"/>
        <v/>
      </c>
      <c r="P219" t="str">
        <f t="shared" si="43"/>
        <v/>
      </c>
      <c r="Q219" t="str">
        <f t="shared" si="44"/>
        <v/>
      </c>
      <c r="S219" t="str">
        <f>""</f>
        <v/>
      </c>
      <c r="AL219" s="18" t="str">
        <f>IF(COUNTIF($A$2:A218, A218) = 1, A218, "")</f>
        <v/>
      </c>
    </row>
    <row r="220" spans="6:38" x14ac:dyDescent="0.2">
      <c r="F220" t="str">
        <f t="shared" si="39"/>
        <v/>
      </c>
      <c r="L220" s="7" t="str">
        <f t="shared" si="40"/>
        <v/>
      </c>
      <c r="N220" s="7" t="str">
        <f t="shared" si="41"/>
        <v/>
      </c>
      <c r="O220" t="str">
        <f t="shared" si="42"/>
        <v/>
      </c>
      <c r="P220" t="str">
        <f t="shared" si="43"/>
        <v/>
      </c>
      <c r="Q220" t="str">
        <f t="shared" si="44"/>
        <v/>
      </c>
      <c r="S220" t="str">
        <f>""</f>
        <v/>
      </c>
      <c r="AL220" s="18" t="str">
        <f>IF(COUNTIF($A$2:A219, A219) = 1, A219, "")</f>
        <v/>
      </c>
    </row>
    <row r="221" spans="6:38" x14ac:dyDescent="0.2">
      <c r="F221" t="str">
        <f t="shared" si="39"/>
        <v/>
      </c>
      <c r="L221" s="7" t="str">
        <f t="shared" si="40"/>
        <v/>
      </c>
      <c r="N221" s="7" t="str">
        <f t="shared" si="41"/>
        <v/>
      </c>
      <c r="O221" t="str">
        <f t="shared" si="42"/>
        <v/>
      </c>
      <c r="P221" t="str">
        <f t="shared" si="43"/>
        <v/>
      </c>
      <c r="Q221" t="str">
        <f t="shared" si="44"/>
        <v/>
      </c>
      <c r="S221" t="str">
        <f>""</f>
        <v/>
      </c>
      <c r="AL221" s="18" t="str">
        <f>IF(COUNTIF($A$2:A220, A220) = 1, A220, "")</f>
        <v/>
      </c>
    </row>
    <row r="222" spans="6:38" x14ac:dyDescent="0.2">
      <c r="F222" t="str">
        <f t="shared" si="39"/>
        <v/>
      </c>
      <c r="L222" s="7" t="str">
        <f t="shared" si="40"/>
        <v/>
      </c>
      <c r="N222" s="7" t="str">
        <f t="shared" si="41"/>
        <v/>
      </c>
      <c r="O222" t="str">
        <f t="shared" si="42"/>
        <v/>
      </c>
      <c r="P222" t="str">
        <f t="shared" si="43"/>
        <v/>
      </c>
      <c r="Q222" t="str">
        <f t="shared" si="44"/>
        <v/>
      </c>
      <c r="S222" t="str">
        <f>""</f>
        <v/>
      </c>
      <c r="AL222" s="18" t="str">
        <f>IF(COUNTIF($A$2:A221, A221) = 1, A221, "")</f>
        <v/>
      </c>
    </row>
    <row r="223" spans="6:38" x14ac:dyDescent="0.2">
      <c r="F223" t="str">
        <f t="shared" si="39"/>
        <v/>
      </c>
      <c r="L223" s="7" t="str">
        <f t="shared" si="40"/>
        <v/>
      </c>
      <c r="N223" s="7" t="str">
        <f t="shared" si="41"/>
        <v/>
      </c>
      <c r="O223" t="str">
        <f t="shared" si="42"/>
        <v/>
      </c>
      <c r="P223" t="str">
        <f t="shared" si="43"/>
        <v/>
      </c>
      <c r="Q223" t="str">
        <f t="shared" si="44"/>
        <v/>
      </c>
      <c r="S223" t="str">
        <f>""</f>
        <v/>
      </c>
      <c r="AL223" s="18" t="str">
        <f>IF(COUNTIF($A$2:A222, A222) = 1, A222, "")</f>
        <v/>
      </c>
    </row>
    <row r="224" spans="6:38" x14ac:dyDescent="0.2">
      <c r="F224" t="str">
        <f t="shared" si="39"/>
        <v/>
      </c>
      <c r="L224" s="7" t="str">
        <f t="shared" si="40"/>
        <v/>
      </c>
      <c r="N224" s="7" t="str">
        <f t="shared" si="41"/>
        <v/>
      </c>
      <c r="O224" t="str">
        <f t="shared" si="42"/>
        <v/>
      </c>
      <c r="P224" t="str">
        <f t="shared" si="43"/>
        <v/>
      </c>
      <c r="Q224" t="str">
        <f t="shared" si="44"/>
        <v/>
      </c>
      <c r="S224" t="str">
        <f>""</f>
        <v/>
      </c>
      <c r="AL224" s="18" t="str">
        <f>IF(COUNTIF($A$2:A223, A223) = 1, A223, "")</f>
        <v/>
      </c>
    </row>
    <row r="225" spans="6:38" x14ac:dyDescent="0.2">
      <c r="F225" t="str">
        <f t="shared" si="39"/>
        <v/>
      </c>
      <c r="L225" s="7" t="str">
        <f t="shared" si="40"/>
        <v/>
      </c>
      <c r="N225" s="7" t="str">
        <f t="shared" si="41"/>
        <v/>
      </c>
      <c r="O225" t="str">
        <f t="shared" si="42"/>
        <v/>
      </c>
      <c r="P225" t="str">
        <f t="shared" si="43"/>
        <v/>
      </c>
      <c r="Q225" t="str">
        <f t="shared" si="44"/>
        <v/>
      </c>
      <c r="S225" t="str">
        <f>""</f>
        <v/>
      </c>
      <c r="AL225" s="18" t="str">
        <f>IF(COUNTIF($A$2:A224, A224) = 1, A224, "")</f>
        <v/>
      </c>
    </row>
    <row r="226" spans="6:38" x14ac:dyDescent="0.2">
      <c r="F226" t="str">
        <f t="shared" si="39"/>
        <v/>
      </c>
      <c r="L226" s="7" t="str">
        <f t="shared" si="40"/>
        <v/>
      </c>
      <c r="N226" s="7" t="str">
        <f t="shared" si="41"/>
        <v/>
      </c>
      <c r="O226" t="str">
        <f t="shared" si="42"/>
        <v/>
      </c>
      <c r="P226" t="str">
        <f t="shared" si="43"/>
        <v/>
      </c>
      <c r="Q226" t="str">
        <f t="shared" si="44"/>
        <v/>
      </c>
      <c r="S226" t="str">
        <f>""</f>
        <v/>
      </c>
      <c r="AL226" s="18" t="str">
        <f>IF(COUNTIF($A$2:A225, A225) = 1, A225, "")</f>
        <v/>
      </c>
    </row>
    <row r="227" spans="6:38" x14ac:dyDescent="0.2">
      <c r="F227" t="str">
        <f t="shared" si="39"/>
        <v/>
      </c>
      <c r="L227" s="7" t="str">
        <f t="shared" si="40"/>
        <v/>
      </c>
      <c r="N227" s="7" t="str">
        <f t="shared" si="41"/>
        <v/>
      </c>
      <c r="O227" t="str">
        <f t="shared" si="42"/>
        <v/>
      </c>
      <c r="P227" t="str">
        <f t="shared" si="43"/>
        <v/>
      </c>
      <c r="Q227" t="str">
        <f t="shared" si="44"/>
        <v/>
      </c>
      <c r="S227" t="str">
        <f>""</f>
        <v/>
      </c>
      <c r="AL227" s="18" t="str">
        <f>IF(COUNTIF($A$2:A226, A226) = 1, A226, "")</f>
        <v/>
      </c>
    </row>
    <row r="228" spans="6:38" x14ac:dyDescent="0.2">
      <c r="F228" t="str">
        <f t="shared" si="39"/>
        <v/>
      </c>
      <c r="L228" s="7" t="str">
        <f t="shared" si="40"/>
        <v/>
      </c>
      <c r="N228" s="7" t="str">
        <f t="shared" si="41"/>
        <v/>
      </c>
      <c r="O228" t="str">
        <f t="shared" si="42"/>
        <v/>
      </c>
      <c r="P228" t="str">
        <f t="shared" si="43"/>
        <v/>
      </c>
      <c r="Q228" t="str">
        <f t="shared" si="44"/>
        <v/>
      </c>
      <c r="S228" t="str">
        <f>""</f>
        <v/>
      </c>
      <c r="AL228" s="18" t="str">
        <f>IF(COUNTIF($A$2:A227, A227) = 1, A227, "")</f>
        <v/>
      </c>
    </row>
    <row r="229" spans="6:38" x14ac:dyDescent="0.2">
      <c r="F229" t="str">
        <f t="shared" si="39"/>
        <v/>
      </c>
      <c r="L229" s="7" t="str">
        <f t="shared" si="40"/>
        <v/>
      </c>
      <c r="N229" s="7" t="str">
        <f t="shared" si="41"/>
        <v/>
      </c>
      <c r="O229" t="str">
        <f t="shared" si="42"/>
        <v/>
      </c>
      <c r="P229" t="str">
        <f t="shared" si="43"/>
        <v/>
      </c>
      <c r="Q229" t="str">
        <f t="shared" si="44"/>
        <v/>
      </c>
      <c r="S229" t="str">
        <f>""</f>
        <v/>
      </c>
      <c r="AL229" s="18" t="str">
        <f>IF(COUNTIF($A$2:A228, A228) = 1, A228, "")</f>
        <v/>
      </c>
    </row>
    <row r="230" spans="6:38" x14ac:dyDescent="0.2">
      <c r="F230" t="str">
        <f t="shared" si="39"/>
        <v/>
      </c>
      <c r="L230" s="7" t="str">
        <f t="shared" si="40"/>
        <v/>
      </c>
      <c r="N230" s="7" t="str">
        <f t="shared" si="41"/>
        <v/>
      </c>
      <c r="O230" t="str">
        <f t="shared" si="42"/>
        <v/>
      </c>
      <c r="P230" t="str">
        <f t="shared" si="43"/>
        <v/>
      </c>
      <c r="Q230" t="str">
        <f t="shared" si="44"/>
        <v/>
      </c>
      <c r="S230" t="str">
        <f>""</f>
        <v/>
      </c>
      <c r="AL230" s="18" t="str">
        <f>IF(COUNTIF($A$2:A229, A229) = 1, A229, "")</f>
        <v/>
      </c>
    </row>
    <row r="231" spans="6:38" x14ac:dyDescent="0.2">
      <c r="F231" t="str">
        <f t="shared" si="39"/>
        <v/>
      </c>
      <c r="L231" s="7" t="str">
        <f t="shared" si="40"/>
        <v/>
      </c>
      <c r="N231" s="7" t="str">
        <f t="shared" si="41"/>
        <v/>
      </c>
      <c r="O231" t="str">
        <f t="shared" si="42"/>
        <v/>
      </c>
      <c r="P231" t="str">
        <f t="shared" si="43"/>
        <v/>
      </c>
      <c r="Q231" t="str">
        <f t="shared" si="44"/>
        <v/>
      </c>
      <c r="S231" t="str">
        <f>""</f>
        <v/>
      </c>
      <c r="AL231" s="18" t="str">
        <f>IF(COUNTIF($A$2:A230, A230) = 1, A230, "")</f>
        <v/>
      </c>
    </row>
    <row r="232" spans="6:38" x14ac:dyDescent="0.2">
      <c r="F232" t="str">
        <f t="shared" si="39"/>
        <v/>
      </c>
      <c r="L232" s="7" t="str">
        <f t="shared" si="40"/>
        <v/>
      </c>
      <c r="N232" s="7" t="str">
        <f t="shared" si="41"/>
        <v/>
      </c>
      <c r="O232" t="str">
        <f t="shared" si="42"/>
        <v/>
      </c>
      <c r="P232" t="str">
        <f t="shared" si="43"/>
        <v/>
      </c>
      <c r="Q232" t="str">
        <f t="shared" si="44"/>
        <v/>
      </c>
      <c r="S232" t="str">
        <f>""</f>
        <v/>
      </c>
      <c r="AL232" s="18" t="str">
        <f>IF(COUNTIF($A$2:A231, A231) = 1, A231, "")</f>
        <v/>
      </c>
    </row>
    <row r="233" spans="6:38" x14ac:dyDescent="0.2">
      <c r="F233" t="str">
        <f t="shared" si="39"/>
        <v/>
      </c>
      <c r="L233" s="7" t="str">
        <f t="shared" si="40"/>
        <v/>
      </c>
      <c r="N233" s="7" t="str">
        <f t="shared" si="41"/>
        <v/>
      </c>
      <c r="O233" t="str">
        <f t="shared" si="42"/>
        <v/>
      </c>
      <c r="P233" t="str">
        <f t="shared" si="43"/>
        <v/>
      </c>
      <c r="Q233" t="str">
        <f t="shared" si="44"/>
        <v/>
      </c>
      <c r="S233" t="str">
        <f>""</f>
        <v/>
      </c>
      <c r="AL233" s="18" t="str">
        <f>IF(COUNTIF($A$2:A232, A232) = 1, A232, "")</f>
        <v/>
      </c>
    </row>
    <row r="234" spans="6:38" x14ac:dyDescent="0.2">
      <c r="F234" t="str">
        <f t="shared" si="39"/>
        <v/>
      </c>
      <c r="L234" s="7" t="str">
        <f t="shared" si="40"/>
        <v/>
      </c>
      <c r="N234" s="7" t="str">
        <f t="shared" si="41"/>
        <v/>
      </c>
      <c r="O234" t="str">
        <f t="shared" si="42"/>
        <v/>
      </c>
      <c r="P234" t="str">
        <f t="shared" si="43"/>
        <v/>
      </c>
      <c r="Q234" t="str">
        <f t="shared" si="44"/>
        <v/>
      </c>
      <c r="S234" t="str">
        <f>""</f>
        <v/>
      </c>
      <c r="AL234" s="18" t="str">
        <f>IF(COUNTIF($A$2:A233, A233) = 1, A233, "")</f>
        <v/>
      </c>
    </row>
    <row r="235" spans="6:38" x14ac:dyDescent="0.2">
      <c r="F235" t="str">
        <f t="shared" si="39"/>
        <v/>
      </c>
      <c r="L235" s="7" t="str">
        <f t="shared" si="40"/>
        <v/>
      </c>
      <c r="N235" s="7" t="str">
        <f t="shared" si="41"/>
        <v/>
      </c>
      <c r="O235" t="str">
        <f t="shared" si="42"/>
        <v/>
      </c>
      <c r="P235" t="str">
        <f t="shared" si="43"/>
        <v/>
      </c>
      <c r="Q235" t="str">
        <f t="shared" si="44"/>
        <v/>
      </c>
      <c r="S235" t="str">
        <f>""</f>
        <v/>
      </c>
      <c r="AL235" s="18" t="str">
        <f>IF(COUNTIF($A$2:A234, A234) = 1, A234, "")</f>
        <v/>
      </c>
    </row>
    <row r="236" spans="6:38" x14ac:dyDescent="0.2">
      <c r="F236" t="str">
        <f t="shared" si="39"/>
        <v/>
      </c>
      <c r="L236" s="7" t="str">
        <f t="shared" si="40"/>
        <v/>
      </c>
      <c r="N236" s="7" t="str">
        <f t="shared" si="41"/>
        <v/>
      </c>
      <c r="O236" t="str">
        <f t="shared" si="42"/>
        <v/>
      </c>
      <c r="P236" t="str">
        <f t="shared" si="43"/>
        <v/>
      </c>
      <c r="Q236" t="str">
        <f t="shared" si="44"/>
        <v/>
      </c>
      <c r="S236" t="str">
        <f>""</f>
        <v/>
      </c>
      <c r="AL236" s="18" t="str">
        <f>IF(COUNTIF($A$2:A235, A235) = 1, A235, "")</f>
        <v/>
      </c>
    </row>
    <row r="237" spans="6:38" x14ac:dyDescent="0.2">
      <c r="F237" t="str">
        <f t="shared" si="39"/>
        <v/>
      </c>
      <c r="L237" s="7" t="str">
        <f t="shared" si="40"/>
        <v/>
      </c>
      <c r="N237" s="7" t="str">
        <f t="shared" si="41"/>
        <v/>
      </c>
      <c r="O237" t="str">
        <f t="shared" si="42"/>
        <v/>
      </c>
      <c r="P237" t="str">
        <f t="shared" si="43"/>
        <v/>
      </c>
      <c r="Q237" t="str">
        <f t="shared" si="44"/>
        <v/>
      </c>
      <c r="S237" t="str">
        <f>""</f>
        <v/>
      </c>
      <c r="AL237" s="18" t="str">
        <f>IF(COUNTIF($A$2:A236, A236) = 1, A236, "")</f>
        <v/>
      </c>
    </row>
    <row r="238" spans="6:38" x14ac:dyDescent="0.2">
      <c r="F238" t="str">
        <f t="shared" si="39"/>
        <v/>
      </c>
      <c r="L238" s="7" t="str">
        <f t="shared" si="40"/>
        <v/>
      </c>
      <c r="N238" s="7" t="str">
        <f t="shared" si="41"/>
        <v/>
      </c>
      <c r="O238" t="str">
        <f t="shared" si="42"/>
        <v/>
      </c>
      <c r="P238" t="str">
        <f t="shared" si="43"/>
        <v/>
      </c>
      <c r="Q238" t="str">
        <f t="shared" si="44"/>
        <v/>
      </c>
      <c r="S238" t="str">
        <f>""</f>
        <v/>
      </c>
      <c r="AL238" s="18" t="str">
        <f>IF(COUNTIF($A$2:A237, A237) = 1, A237, "")</f>
        <v/>
      </c>
    </row>
    <row r="239" spans="6:38" x14ac:dyDescent="0.2">
      <c r="F239" t="str">
        <f t="shared" si="39"/>
        <v/>
      </c>
      <c r="L239" s="7" t="str">
        <f t="shared" si="40"/>
        <v/>
      </c>
      <c r="N239" s="7" t="str">
        <f t="shared" si="41"/>
        <v/>
      </c>
      <c r="O239" t="str">
        <f t="shared" si="42"/>
        <v/>
      </c>
      <c r="P239" t="str">
        <f t="shared" si="43"/>
        <v/>
      </c>
      <c r="Q239" t="str">
        <f t="shared" si="44"/>
        <v/>
      </c>
      <c r="S239" t="str">
        <f>""</f>
        <v/>
      </c>
      <c r="AL239" s="18" t="str">
        <f>IF(COUNTIF($A$2:A238, A238) = 1, A238, "")</f>
        <v/>
      </c>
    </row>
    <row r="240" spans="6:38" x14ac:dyDescent="0.2">
      <c r="F240" t="str">
        <f t="shared" si="39"/>
        <v/>
      </c>
      <c r="L240" s="7" t="str">
        <f t="shared" si="40"/>
        <v/>
      </c>
      <c r="N240" s="7" t="str">
        <f t="shared" si="41"/>
        <v/>
      </c>
      <c r="O240" t="str">
        <f t="shared" si="42"/>
        <v/>
      </c>
      <c r="P240" t="str">
        <f t="shared" si="43"/>
        <v/>
      </c>
      <c r="Q240" t="str">
        <f t="shared" si="44"/>
        <v/>
      </c>
      <c r="S240" t="str">
        <f>""</f>
        <v/>
      </c>
      <c r="AL240" s="18" t="str">
        <f>IF(COUNTIF($A$2:A239, A239) = 1, A239, "")</f>
        <v/>
      </c>
    </row>
    <row r="241" spans="6:38" x14ac:dyDescent="0.2">
      <c r="F241" t="str">
        <f t="shared" si="39"/>
        <v/>
      </c>
      <c r="L241" s="7" t="str">
        <f t="shared" si="40"/>
        <v/>
      </c>
      <c r="N241" s="7" t="str">
        <f t="shared" si="41"/>
        <v/>
      </c>
      <c r="O241" t="str">
        <f t="shared" si="42"/>
        <v/>
      </c>
      <c r="P241" t="str">
        <f t="shared" si="43"/>
        <v/>
      </c>
      <c r="Q241" t="str">
        <f t="shared" si="44"/>
        <v/>
      </c>
      <c r="S241" t="str">
        <f>""</f>
        <v/>
      </c>
      <c r="AL241" s="18" t="str">
        <f>IF(COUNTIF($A$2:A240, A240) = 1, A240, "")</f>
        <v/>
      </c>
    </row>
    <row r="242" spans="6:38" x14ac:dyDescent="0.2">
      <c r="F242" t="str">
        <f t="shared" si="39"/>
        <v/>
      </c>
      <c r="L242" s="7" t="str">
        <f t="shared" si="40"/>
        <v/>
      </c>
      <c r="N242" s="7" t="str">
        <f t="shared" si="41"/>
        <v/>
      </c>
      <c r="O242" t="str">
        <f t="shared" si="42"/>
        <v/>
      </c>
      <c r="P242" t="str">
        <f t="shared" si="43"/>
        <v/>
      </c>
      <c r="Q242" t="str">
        <f t="shared" si="44"/>
        <v/>
      </c>
      <c r="S242" t="str">
        <f>""</f>
        <v/>
      </c>
      <c r="AL242" s="18" t="str">
        <f>IF(COUNTIF($A$2:A241, A241) = 1, A241, "")</f>
        <v/>
      </c>
    </row>
    <row r="243" spans="6:38" x14ac:dyDescent="0.2">
      <c r="F243" t="str">
        <f t="shared" si="39"/>
        <v/>
      </c>
      <c r="L243" s="7" t="str">
        <f t="shared" si="40"/>
        <v/>
      </c>
      <c r="N243" s="7" t="str">
        <f t="shared" si="41"/>
        <v/>
      </c>
      <c r="O243" t="str">
        <f t="shared" si="42"/>
        <v/>
      </c>
      <c r="P243" t="str">
        <f t="shared" si="43"/>
        <v/>
      </c>
      <c r="Q243" t="str">
        <f t="shared" si="44"/>
        <v/>
      </c>
      <c r="S243" t="str">
        <f>""</f>
        <v/>
      </c>
      <c r="AL243" s="18" t="str">
        <f>IF(COUNTIF($A$2:A242, A242) = 1, A242, "")</f>
        <v/>
      </c>
    </row>
    <row r="244" spans="6:38" x14ac:dyDescent="0.2">
      <c r="F244" t="str">
        <f t="shared" si="39"/>
        <v/>
      </c>
      <c r="L244" s="7" t="str">
        <f t="shared" si="40"/>
        <v/>
      </c>
      <c r="N244" s="7" t="str">
        <f t="shared" si="41"/>
        <v/>
      </c>
      <c r="O244" t="str">
        <f t="shared" si="42"/>
        <v/>
      </c>
      <c r="P244" t="str">
        <f t="shared" si="43"/>
        <v/>
      </c>
      <c r="Q244" t="str">
        <f t="shared" si="44"/>
        <v/>
      </c>
      <c r="S244" t="str">
        <f>""</f>
        <v/>
      </c>
      <c r="AL244" s="18" t="str">
        <f>IF(COUNTIF($A$2:A243, A243) = 1, A243, "")</f>
        <v/>
      </c>
    </row>
    <row r="245" spans="6:38" x14ac:dyDescent="0.2">
      <c r="F245" t="str">
        <f t="shared" si="39"/>
        <v/>
      </c>
      <c r="L245" s="7" t="str">
        <f t="shared" si="40"/>
        <v/>
      </c>
      <c r="N245" s="7" t="str">
        <f t="shared" si="41"/>
        <v/>
      </c>
      <c r="O245" t="str">
        <f t="shared" si="42"/>
        <v/>
      </c>
      <c r="P245" t="str">
        <f t="shared" si="43"/>
        <v/>
      </c>
      <c r="Q245" t="str">
        <f t="shared" si="44"/>
        <v/>
      </c>
      <c r="S245" t="str">
        <f>""</f>
        <v/>
      </c>
      <c r="AL245" s="18" t="str">
        <f>IF(COUNTIF($A$2:A244, A244) = 1, A244, "")</f>
        <v/>
      </c>
    </row>
    <row r="246" spans="6:38" x14ac:dyDescent="0.2">
      <c r="F246" t="str">
        <f t="shared" si="39"/>
        <v/>
      </c>
      <c r="L246" s="7" t="str">
        <f t="shared" si="40"/>
        <v/>
      </c>
      <c r="N246" s="7" t="str">
        <f t="shared" si="41"/>
        <v/>
      </c>
      <c r="O246" t="str">
        <f t="shared" si="42"/>
        <v/>
      </c>
      <c r="P246" t="str">
        <f t="shared" si="43"/>
        <v/>
      </c>
      <c r="Q246" t="str">
        <f t="shared" si="44"/>
        <v/>
      </c>
      <c r="S246" t="str">
        <f>""</f>
        <v/>
      </c>
      <c r="AL246" s="18" t="str">
        <f>IF(COUNTIF($A$2:A245, A245) = 1, A245, "")</f>
        <v/>
      </c>
    </row>
    <row r="247" spans="6:38" x14ac:dyDescent="0.2">
      <c r="F247" t="str">
        <f t="shared" si="39"/>
        <v/>
      </c>
      <c r="L247" s="7" t="str">
        <f t="shared" si="40"/>
        <v/>
      </c>
      <c r="N247" s="7" t="str">
        <f t="shared" si="41"/>
        <v/>
      </c>
      <c r="O247" t="str">
        <f t="shared" si="42"/>
        <v/>
      </c>
      <c r="P247" t="str">
        <f t="shared" si="43"/>
        <v/>
      </c>
      <c r="Q247" t="str">
        <f t="shared" si="44"/>
        <v/>
      </c>
      <c r="S247" t="str">
        <f>""</f>
        <v/>
      </c>
      <c r="AL247" s="18" t="str">
        <f>IF(COUNTIF($A$2:A246, A246) = 1, A246, "")</f>
        <v/>
      </c>
    </row>
    <row r="248" spans="6:38" x14ac:dyDescent="0.2">
      <c r="F248" t="str">
        <f t="shared" si="39"/>
        <v/>
      </c>
      <c r="L248" s="7" t="str">
        <f t="shared" si="40"/>
        <v/>
      </c>
      <c r="N248" s="7" t="str">
        <f t="shared" si="41"/>
        <v/>
      </c>
      <c r="O248" t="str">
        <f t="shared" si="42"/>
        <v/>
      </c>
      <c r="P248" t="str">
        <f t="shared" si="43"/>
        <v/>
      </c>
      <c r="Q248" t="str">
        <f t="shared" si="44"/>
        <v/>
      </c>
      <c r="S248" t="str">
        <f>""</f>
        <v/>
      </c>
      <c r="AL248" s="18" t="str">
        <f>IF(COUNTIF($A$2:A247, A247) = 1, A247, "")</f>
        <v/>
      </c>
    </row>
    <row r="249" spans="6:38" x14ac:dyDescent="0.2">
      <c r="F249" t="str">
        <f t="shared" si="39"/>
        <v/>
      </c>
      <c r="L249" s="7" t="str">
        <f t="shared" si="40"/>
        <v/>
      </c>
      <c r="N249" s="7" t="str">
        <f t="shared" si="41"/>
        <v/>
      </c>
      <c r="O249" t="str">
        <f t="shared" si="42"/>
        <v/>
      </c>
      <c r="P249" t="str">
        <f t="shared" si="43"/>
        <v/>
      </c>
      <c r="Q249" t="str">
        <f t="shared" si="44"/>
        <v/>
      </c>
      <c r="S249" t="str">
        <f>""</f>
        <v/>
      </c>
      <c r="AL249" s="18" t="str">
        <f>IF(COUNTIF($A$2:A248, A248) = 1, A248, "")</f>
        <v/>
      </c>
    </row>
    <row r="250" spans="6:38" x14ac:dyDescent="0.2">
      <c r="F250" t="str">
        <f t="shared" si="39"/>
        <v/>
      </c>
      <c r="L250" s="7" t="str">
        <f t="shared" si="40"/>
        <v/>
      </c>
      <c r="N250" s="7" t="str">
        <f t="shared" si="41"/>
        <v/>
      </c>
      <c r="O250" t="str">
        <f t="shared" si="42"/>
        <v/>
      </c>
      <c r="P250" t="str">
        <f t="shared" si="43"/>
        <v/>
      </c>
      <c r="Q250" t="str">
        <f t="shared" si="44"/>
        <v/>
      </c>
      <c r="S250" t="str">
        <f>""</f>
        <v/>
      </c>
      <c r="AL250" s="18" t="str">
        <f>IF(COUNTIF($A$2:A249, A249) = 1, A249, "")</f>
        <v/>
      </c>
    </row>
    <row r="251" spans="6:38" x14ac:dyDescent="0.2">
      <c r="F251" t="str">
        <f t="shared" si="39"/>
        <v/>
      </c>
      <c r="L251" s="7" t="str">
        <f t="shared" si="40"/>
        <v/>
      </c>
      <c r="N251" s="7" t="str">
        <f t="shared" si="41"/>
        <v/>
      </c>
      <c r="O251" t="str">
        <f t="shared" si="42"/>
        <v/>
      </c>
      <c r="P251" t="str">
        <f t="shared" si="43"/>
        <v/>
      </c>
      <c r="Q251" t="str">
        <f t="shared" si="44"/>
        <v/>
      </c>
      <c r="S251" t="str">
        <f>""</f>
        <v/>
      </c>
      <c r="AL251" s="18" t="str">
        <f>IF(COUNTIF($A$2:A250, A250) = 1, A250, "")</f>
        <v/>
      </c>
    </row>
    <row r="252" spans="6:38" x14ac:dyDescent="0.2">
      <c r="F252" t="str">
        <f t="shared" si="39"/>
        <v/>
      </c>
      <c r="L252" s="7" t="str">
        <f t="shared" si="40"/>
        <v/>
      </c>
      <c r="N252" s="7" t="str">
        <f t="shared" si="41"/>
        <v/>
      </c>
      <c r="O252" t="str">
        <f t="shared" si="42"/>
        <v/>
      </c>
      <c r="P252" t="str">
        <f t="shared" si="43"/>
        <v/>
      </c>
      <c r="Q252" t="str">
        <f t="shared" si="44"/>
        <v/>
      </c>
      <c r="S252" t="str">
        <f>""</f>
        <v/>
      </c>
      <c r="AL252" s="18" t="str">
        <f>IF(COUNTIF($A$2:A251, A251) = 1, A251, "")</f>
        <v/>
      </c>
    </row>
    <row r="253" spans="6:38" x14ac:dyDescent="0.2">
      <c r="F253" t="str">
        <f t="shared" si="39"/>
        <v/>
      </c>
      <c r="L253" s="7" t="str">
        <f t="shared" si="40"/>
        <v/>
      </c>
      <c r="N253" s="7" t="str">
        <f t="shared" si="41"/>
        <v/>
      </c>
      <c r="O253" t="str">
        <f t="shared" si="42"/>
        <v/>
      </c>
      <c r="P253" t="str">
        <f t="shared" si="43"/>
        <v/>
      </c>
      <c r="Q253" t="str">
        <f t="shared" si="44"/>
        <v/>
      </c>
      <c r="S253" t="str">
        <f>""</f>
        <v/>
      </c>
      <c r="AL253" s="18" t="str">
        <f>IF(COUNTIF($A$2:A252, A252) = 1, A252, "")</f>
        <v/>
      </c>
    </row>
    <row r="254" spans="6:38" x14ac:dyDescent="0.2">
      <c r="F254" t="str">
        <f t="shared" si="39"/>
        <v/>
      </c>
      <c r="L254" s="7" t="str">
        <f t="shared" si="40"/>
        <v/>
      </c>
      <c r="N254" s="7" t="str">
        <f t="shared" si="41"/>
        <v/>
      </c>
      <c r="O254" t="str">
        <f t="shared" si="42"/>
        <v/>
      </c>
      <c r="P254" t="str">
        <f t="shared" si="43"/>
        <v/>
      </c>
      <c r="Q254" t="str">
        <f t="shared" si="44"/>
        <v/>
      </c>
      <c r="S254" t="str">
        <f>""</f>
        <v/>
      </c>
      <c r="AL254" s="18" t="str">
        <f>IF(COUNTIF($A$2:A253, A253) = 1, A253, "")</f>
        <v/>
      </c>
    </row>
    <row r="255" spans="6:38" x14ac:dyDescent="0.2">
      <c r="F255" t="str">
        <f t="shared" si="39"/>
        <v/>
      </c>
      <c r="L255" s="7" t="str">
        <f t="shared" si="40"/>
        <v/>
      </c>
      <c r="N255" s="7" t="str">
        <f t="shared" si="41"/>
        <v/>
      </c>
      <c r="O255" t="str">
        <f t="shared" si="42"/>
        <v/>
      </c>
      <c r="P255" t="str">
        <f t="shared" si="43"/>
        <v/>
      </c>
      <c r="Q255" t="str">
        <f t="shared" si="44"/>
        <v/>
      </c>
      <c r="S255" t="str">
        <f>""</f>
        <v/>
      </c>
      <c r="AL255" s="18" t="str">
        <f>IF(COUNTIF($A$2:A254, A254) = 1, A254, "")</f>
        <v/>
      </c>
    </row>
    <row r="256" spans="6:38" x14ac:dyDescent="0.2">
      <c r="F256" t="str">
        <f t="shared" si="39"/>
        <v/>
      </c>
      <c r="L256" s="7" t="str">
        <f t="shared" si="40"/>
        <v/>
      </c>
      <c r="N256" s="7" t="str">
        <f t="shared" si="41"/>
        <v/>
      </c>
      <c r="O256" t="str">
        <f t="shared" si="42"/>
        <v/>
      </c>
      <c r="P256" t="str">
        <f t="shared" si="43"/>
        <v/>
      </c>
      <c r="Q256" t="str">
        <f t="shared" si="44"/>
        <v/>
      </c>
      <c r="S256" t="str">
        <f>""</f>
        <v/>
      </c>
      <c r="AL256" s="18" t="str">
        <f>IF(COUNTIF($A$2:A255, A255) = 1, A255, "")</f>
        <v/>
      </c>
    </row>
    <row r="257" spans="6:38" x14ac:dyDescent="0.2">
      <c r="F257" t="str">
        <f t="shared" si="39"/>
        <v/>
      </c>
      <c r="L257" s="7" t="str">
        <f t="shared" si="40"/>
        <v/>
      </c>
      <c r="N257" s="7" t="str">
        <f t="shared" si="41"/>
        <v/>
      </c>
      <c r="O257" t="str">
        <f t="shared" si="42"/>
        <v/>
      </c>
      <c r="P257" t="str">
        <f t="shared" si="43"/>
        <v/>
      </c>
      <c r="Q257" t="str">
        <f t="shared" si="44"/>
        <v/>
      </c>
      <c r="S257" t="str">
        <f>""</f>
        <v/>
      </c>
      <c r="AL257" s="18" t="str">
        <f>IF(COUNTIF($A$2:A256, A256) = 1, A256, "")</f>
        <v/>
      </c>
    </row>
    <row r="258" spans="6:38" x14ac:dyDescent="0.2">
      <c r="F258" t="str">
        <f t="shared" si="39"/>
        <v/>
      </c>
      <c r="L258" s="7" t="str">
        <f t="shared" si="40"/>
        <v/>
      </c>
      <c r="N258" s="7" t="str">
        <f t="shared" si="41"/>
        <v/>
      </c>
      <c r="O258" t="str">
        <f t="shared" si="42"/>
        <v/>
      </c>
      <c r="P258" t="str">
        <f t="shared" si="43"/>
        <v/>
      </c>
      <c r="Q258" t="str">
        <f t="shared" si="44"/>
        <v/>
      </c>
      <c r="S258" t="str">
        <f>""</f>
        <v/>
      </c>
      <c r="AL258" s="18" t="str">
        <f>IF(COUNTIF($A$2:A257, A257) = 1, A257, "")</f>
        <v/>
      </c>
    </row>
    <row r="259" spans="6:38" x14ac:dyDescent="0.2">
      <c r="F259" t="str">
        <f t="shared" si="39"/>
        <v/>
      </c>
      <c r="L259" s="7" t="str">
        <f t="shared" si="40"/>
        <v/>
      </c>
      <c r="N259" s="7" t="str">
        <f t="shared" si="41"/>
        <v/>
      </c>
      <c r="O259" t="str">
        <f t="shared" si="42"/>
        <v/>
      </c>
      <c r="P259" t="str">
        <f t="shared" si="43"/>
        <v/>
      </c>
      <c r="Q259" t="str">
        <f t="shared" si="44"/>
        <v/>
      </c>
      <c r="S259" t="str">
        <f>""</f>
        <v/>
      </c>
      <c r="AL259" s="18" t="str">
        <f>IF(COUNTIF($A$2:A258, A258) = 1, A258, "")</f>
        <v/>
      </c>
    </row>
    <row r="260" spans="6:38" x14ac:dyDescent="0.2">
      <c r="F260" t="str">
        <f t="shared" si="39"/>
        <v/>
      </c>
      <c r="L260" s="7" t="str">
        <f t="shared" si="40"/>
        <v/>
      </c>
      <c r="N260" s="7" t="str">
        <f t="shared" si="41"/>
        <v/>
      </c>
      <c r="O260" t="str">
        <f t="shared" si="42"/>
        <v/>
      </c>
      <c r="P260" t="str">
        <f t="shared" si="43"/>
        <v/>
      </c>
      <c r="Q260" t="str">
        <f t="shared" si="44"/>
        <v/>
      </c>
      <c r="S260" t="str">
        <f>""</f>
        <v/>
      </c>
      <c r="AL260" s="18" t="str">
        <f>IF(COUNTIF($A$2:A259, A259) = 1, A259, "")</f>
        <v/>
      </c>
    </row>
    <row r="261" spans="6:38" x14ac:dyDescent="0.2">
      <c r="F261" t="str">
        <f t="shared" si="39"/>
        <v/>
      </c>
      <c r="L261" s="7" t="str">
        <f t="shared" si="40"/>
        <v/>
      </c>
      <c r="N261" s="7" t="str">
        <f t="shared" si="41"/>
        <v/>
      </c>
      <c r="O261" t="str">
        <f t="shared" si="42"/>
        <v/>
      </c>
      <c r="P261" t="str">
        <f t="shared" si="43"/>
        <v/>
      </c>
      <c r="Q261" t="str">
        <f t="shared" si="44"/>
        <v/>
      </c>
      <c r="S261" t="str">
        <f>""</f>
        <v/>
      </c>
      <c r="AL261" s="18" t="str">
        <f>IF(COUNTIF($A$2:A260, A260) = 1, A260, "")</f>
        <v/>
      </c>
    </row>
    <row r="262" spans="6:38" x14ac:dyDescent="0.2">
      <c r="F262" t="str">
        <f t="shared" si="39"/>
        <v/>
      </c>
      <c r="L262" s="7" t="str">
        <f t="shared" si="40"/>
        <v/>
      </c>
      <c r="N262" s="7" t="str">
        <f t="shared" si="41"/>
        <v/>
      </c>
      <c r="O262" t="str">
        <f t="shared" si="42"/>
        <v/>
      </c>
      <c r="P262" t="str">
        <f t="shared" si="43"/>
        <v/>
      </c>
      <c r="Q262" t="str">
        <f t="shared" si="44"/>
        <v/>
      </c>
      <c r="S262" t="str">
        <f>""</f>
        <v/>
      </c>
      <c r="AL262" s="18" t="str">
        <f>IF(COUNTIF($A$2:A261, A261) = 1, A261, "")</f>
        <v/>
      </c>
    </row>
    <row r="263" spans="6:38" x14ac:dyDescent="0.2">
      <c r="F263" t="str">
        <f t="shared" si="39"/>
        <v/>
      </c>
      <c r="L263" s="7" t="str">
        <f t="shared" si="40"/>
        <v/>
      </c>
      <c r="N263" s="7" t="str">
        <f t="shared" si="41"/>
        <v/>
      </c>
      <c r="O263" t="str">
        <f t="shared" si="42"/>
        <v/>
      </c>
      <c r="P263" t="str">
        <f t="shared" si="43"/>
        <v/>
      </c>
      <c r="Q263" t="str">
        <f t="shared" si="44"/>
        <v/>
      </c>
      <c r="S263" t="str">
        <f>""</f>
        <v/>
      </c>
      <c r="AL263" s="18" t="str">
        <f>IF(COUNTIF($A$2:A262, A262) = 1, A262, "")</f>
        <v/>
      </c>
    </row>
    <row r="264" spans="6:38" x14ac:dyDescent="0.2">
      <c r="F264" t="str">
        <f t="shared" si="39"/>
        <v/>
      </c>
      <c r="L264" s="7" t="str">
        <f t="shared" si="40"/>
        <v/>
      </c>
      <c r="N264" s="7" t="str">
        <f t="shared" si="41"/>
        <v/>
      </c>
      <c r="O264" t="str">
        <f t="shared" si="42"/>
        <v/>
      </c>
      <c r="P264" t="str">
        <f t="shared" si="43"/>
        <v/>
      </c>
      <c r="Q264" t="str">
        <f t="shared" si="44"/>
        <v/>
      </c>
      <c r="S264" t="str">
        <f>""</f>
        <v/>
      </c>
      <c r="AL264" s="18" t="str">
        <f>IF(COUNTIF($A$2:A263, A263) = 1, A263, "")</f>
        <v/>
      </c>
    </row>
    <row r="265" spans="6:38" x14ac:dyDescent="0.2">
      <c r="F265" t="str">
        <f t="shared" si="39"/>
        <v/>
      </c>
      <c r="L265" s="7" t="str">
        <f t="shared" si="40"/>
        <v/>
      </c>
      <c r="N265" s="7" t="str">
        <f t="shared" si="41"/>
        <v/>
      </c>
      <c r="O265" t="str">
        <f t="shared" si="42"/>
        <v/>
      </c>
      <c r="P265" t="str">
        <f t="shared" si="43"/>
        <v/>
      </c>
      <c r="Q265" t="str">
        <f t="shared" si="44"/>
        <v/>
      </c>
      <c r="S265" t="str">
        <f>""</f>
        <v/>
      </c>
      <c r="AL265" s="18" t="str">
        <f>IF(COUNTIF($A$2:A264, A264) = 1, A264, "")</f>
        <v/>
      </c>
    </row>
    <row r="266" spans="6:38" x14ac:dyDescent="0.2">
      <c r="F266" t="str">
        <f t="shared" si="39"/>
        <v/>
      </c>
      <c r="L266" s="7" t="str">
        <f t="shared" si="40"/>
        <v/>
      </c>
      <c r="N266" s="7" t="str">
        <f t="shared" si="41"/>
        <v/>
      </c>
      <c r="O266" t="str">
        <f t="shared" si="42"/>
        <v/>
      </c>
      <c r="P266" t="str">
        <f t="shared" si="43"/>
        <v/>
      </c>
      <c r="Q266" t="str">
        <f t="shared" si="44"/>
        <v/>
      </c>
      <c r="S266" t="str">
        <f>""</f>
        <v/>
      </c>
      <c r="AL266" s="18" t="str">
        <f>IF(COUNTIF($A$2:A265, A265) = 1, A265, "")</f>
        <v/>
      </c>
    </row>
    <row r="267" spans="6:38" x14ac:dyDescent="0.2">
      <c r="F267" t="str">
        <f t="shared" si="39"/>
        <v/>
      </c>
      <c r="L267" s="7" t="str">
        <f t="shared" si="40"/>
        <v/>
      </c>
      <c r="N267" s="7" t="str">
        <f t="shared" si="41"/>
        <v/>
      </c>
      <c r="O267" t="str">
        <f t="shared" si="42"/>
        <v/>
      </c>
      <c r="P267" t="str">
        <f t="shared" si="43"/>
        <v/>
      </c>
      <c r="Q267" t="str">
        <f t="shared" si="44"/>
        <v/>
      </c>
      <c r="S267" t="str">
        <f>""</f>
        <v/>
      </c>
      <c r="AL267" s="18" t="str">
        <f>IF(COUNTIF($A$2:A266, A266) = 1, A266, "")</f>
        <v/>
      </c>
    </row>
    <row r="268" spans="6:38" x14ac:dyDescent="0.2">
      <c r="F268" t="str">
        <f t="shared" si="39"/>
        <v/>
      </c>
      <c r="L268" s="7" t="str">
        <f t="shared" si="40"/>
        <v/>
      </c>
      <c r="N268" s="7" t="str">
        <f t="shared" si="41"/>
        <v/>
      </c>
      <c r="O268" t="str">
        <f t="shared" si="42"/>
        <v/>
      </c>
      <c r="P268" t="str">
        <f t="shared" si="43"/>
        <v/>
      </c>
      <c r="Q268" t="str">
        <f t="shared" si="44"/>
        <v/>
      </c>
      <c r="S268" t="str">
        <f>""</f>
        <v/>
      </c>
      <c r="AL268" s="18" t="str">
        <f>IF(COUNTIF($A$2:A267, A267) = 1, A267, "")</f>
        <v/>
      </c>
    </row>
    <row r="269" spans="6:38" x14ac:dyDescent="0.2">
      <c r="F269" t="str">
        <f t="shared" si="39"/>
        <v/>
      </c>
      <c r="L269" s="7" t="str">
        <f t="shared" si="40"/>
        <v/>
      </c>
      <c r="N269" s="7" t="str">
        <f t="shared" si="41"/>
        <v/>
      </c>
      <c r="O269" t="str">
        <f t="shared" si="42"/>
        <v/>
      </c>
      <c r="P269" t="str">
        <f t="shared" si="43"/>
        <v/>
      </c>
      <c r="Q269" t="str">
        <f t="shared" si="44"/>
        <v/>
      </c>
      <c r="S269" t="str">
        <f>""</f>
        <v/>
      </c>
      <c r="AL269" s="18" t="str">
        <f>IF(COUNTIF($A$2:A268, A268) = 1, A268, "")</f>
        <v/>
      </c>
    </row>
    <row r="270" spans="6:38" x14ac:dyDescent="0.2">
      <c r="F270" t="str">
        <f t="shared" si="39"/>
        <v/>
      </c>
      <c r="L270" s="7" t="str">
        <f t="shared" si="40"/>
        <v/>
      </c>
      <c r="N270" s="7" t="str">
        <f t="shared" si="41"/>
        <v/>
      </c>
      <c r="O270" t="str">
        <f t="shared" si="42"/>
        <v/>
      </c>
      <c r="P270" t="str">
        <f t="shared" si="43"/>
        <v/>
      </c>
      <c r="Q270" t="str">
        <f t="shared" si="44"/>
        <v/>
      </c>
      <c r="S270" t="str">
        <f>""</f>
        <v/>
      </c>
      <c r="AL270" s="18" t="str">
        <f>IF(COUNTIF($A$2:A269, A269) = 1, A269, "")</f>
        <v/>
      </c>
    </row>
    <row r="271" spans="6:38" x14ac:dyDescent="0.2">
      <c r="F271" t="str">
        <f t="shared" si="39"/>
        <v/>
      </c>
      <c r="L271" s="7" t="str">
        <f t="shared" si="40"/>
        <v/>
      </c>
      <c r="N271" s="7" t="str">
        <f t="shared" si="41"/>
        <v/>
      </c>
      <c r="O271" t="str">
        <f t="shared" si="42"/>
        <v/>
      </c>
      <c r="P271" t="str">
        <f t="shared" si="43"/>
        <v/>
      </c>
      <c r="Q271" t="str">
        <f t="shared" si="44"/>
        <v/>
      </c>
      <c r="S271" t="str">
        <f>""</f>
        <v/>
      </c>
      <c r="AL271" s="18" t="str">
        <f>IF(COUNTIF($A$2:A270, A270) = 1, A270, "")</f>
        <v/>
      </c>
    </row>
    <row r="272" spans="6:38" x14ac:dyDescent="0.2">
      <c r="F272" t="str">
        <f t="shared" ref="F272:F335" si="45">IF(OR(O272="", P272=""), "", SUM(IF((O272&lt;&gt;"None")*(O272&lt;&gt;""),LEN(O272)-LEN(SUBSTITUTE(O272,",",""))+1,0)) + SUM(IF((P272&lt;&gt;"None")*(P272&lt;&gt;""),LEN(P272)-LEN(SUBSTITUTE(P272,",",""))+1,0)))</f>
        <v/>
      </c>
      <c r="L272" s="7" t="str">
        <f t="shared" ref="L272:L335" si="46">IF(LEN(E272)=0, "", IFERROR(IF(E272&gt;=0, K272 * (1 + E272/100) - K272, K272 / (ABS(E272)/100))+K272, ""))</f>
        <v/>
      </c>
      <c r="N272" s="7" t="str">
        <f t="shared" ref="N272:N335" si="47">IF(M272="Yes",L272-K272,IF(M272="No",-K272,""))</f>
        <v/>
      </c>
      <c r="O272" t="str">
        <f t="shared" ref="O272:O335" si="48">IF(AND(G272="No",H272="No"), "None", "")</f>
        <v/>
      </c>
      <c r="P272" t="str">
        <f t="shared" ref="P272:P335" si="49">IF(I272="No", "None", "")</f>
        <v/>
      </c>
      <c r="Q272" t="str">
        <f t="shared" ref="Q272:Q335" si="50">IF(AND(D272="Straight", M272 = "No"),IF(O272="None",P272,IF(P272="None",O272) ),"")</f>
        <v/>
      </c>
      <c r="S272" t="str">
        <f>""</f>
        <v/>
      </c>
      <c r="AL272" s="18" t="str">
        <f>IF(COUNTIF($A$2:A271, A271) = 1, A271, "")</f>
        <v/>
      </c>
    </row>
    <row r="273" spans="6:38" x14ac:dyDescent="0.2">
      <c r="F273" t="str">
        <f t="shared" si="45"/>
        <v/>
      </c>
      <c r="L273" s="7" t="str">
        <f t="shared" si="46"/>
        <v/>
      </c>
      <c r="N273" s="7" t="str">
        <f t="shared" si="47"/>
        <v/>
      </c>
      <c r="O273" t="str">
        <f t="shared" si="48"/>
        <v/>
      </c>
      <c r="P273" t="str">
        <f t="shared" si="49"/>
        <v/>
      </c>
      <c r="Q273" t="str">
        <f t="shared" si="50"/>
        <v/>
      </c>
      <c r="S273" t="str">
        <f>""</f>
        <v/>
      </c>
      <c r="AL273" s="18" t="str">
        <f>IF(COUNTIF($A$2:A272, A272) = 1, A272, "")</f>
        <v/>
      </c>
    </row>
    <row r="274" spans="6:38" x14ac:dyDescent="0.2">
      <c r="F274" t="str">
        <f t="shared" si="45"/>
        <v/>
      </c>
      <c r="L274" s="7" t="str">
        <f t="shared" si="46"/>
        <v/>
      </c>
      <c r="N274" s="7" t="str">
        <f t="shared" si="47"/>
        <v/>
      </c>
      <c r="O274" t="str">
        <f t="shared" si="48"/>
        <v/>
      </c>
      <c r="P274" t="str">
        <f t="shared" si="49"/>
        <v/>
      </c>
      <c r="Q274" t="str">
        <f t="shared" si="50"/>
        <v/>
      </c>
      <c r="S274" t="str">
        <f>""</f>
        <v/>
      </c>
      <c r="AL274" s="18" t="str">
        <f>IF(COUNTIF($A$2:A273, A273) = 1, A273, "")</f>
        <v/>
      </c>
    </row>
    <row r="275" spans="6:38" x14ac:dyDescent="0.2">
      <c r="F275" t="str">
        <f t="shared" si="45"/>
        <v/>
      </c>
      <c r="L275" s="7" t="str">
        <f t="shared" si="46"/>
        <v/>
      </c>
      <c r="N275" s="7" t="str">
        <f t="shared" si="47"/>
        <v/>
      </c>
      <c r="O275" t="str">
        <f t="shared" si="48"/>
        <v/>
      </c>
      <c r="P275" t="str">
        <f t="shared" si="49"/>
        <v/>
      </c>
      <c r="Q275" t="str">
        <f t="shared" si="50"/>
        <v/>
      </c>
      <c r="S275" t="str">
        <f>""</f>
        <v/>
      </c>
      <c r="AL275" s="18" t="str">
        <f>IF(COUNTIF($A$2:A274, A274) = 1, A274, "")</f>
        <v/>
      </c>
    </row>
    <row r="276" spans="6:38" x14ac:dyDescent="0.2">
      <c r="F276" t="str">
        <f t="shared" si="45"/>
        <v/>
      </c>
      <c r="L276" s="7" t="str">
        <f t="shared" si="46"/>
        <v/>
      </c>
      <c r="N276" s="7" t="str">
        <f t="shared" si="47"/>
        <v/>
      </c>
      <c r="O276" t="str">
        <f t="shared" si="48"/>
        <v/>
      </c>
      <c r="P276" t="str">
        <f t="shared" si="49"/>
        <v/>
      </c>
      <c r="Q276" t="str">
        <f t="shared" si="50"/>
        <v/>
      </c>
      <c r="S276" t="str">
        <f>""</f>
        <v/>
      </c>
      <c r="AL276" s="18" t="str">
        <f>IF(COUNTIF($A$2:A275, A275) = 1, A275, "")</f>
        <v/>
      </c>
    </row>
    <row r="277" spans="6:38" x14ac:dyDescent="0.2">
      <c r="F277" t="str">
        <f t="shared" si="45"/>
        <v/>
      </c>
      <c r="L277" s="7" t="str">
        <f t="shared" si="46"/>
        <v/>
      </c>
      <c r="N277" s="7" t="str">
        <f t="shared" si="47"/>
        <v/>
      </c>
      <c r="O277" t="str">
        <f t="shared" si="48"/>
        <v/>
      </c>
      <c r="P277" t="str">
        <f t="shared" si="49"/>
        <v/>
      </c>
      <c r="Q277" t="str">
        <f t="shared" si="50"/>
        <v/>
      </c>
      <c r="S277" t="str">
        <f>""</f>
        <v/>
      </c>
      <c r="AL277" s="18" t="str">
        <f>IF(COUNTIF($A$2:A276, A276) = 1, A276, "")</f>
        <v/>
      </c>
    </row>
    <row r="278" spans="6:38" x14ac:dyDescent="0.2">
      <c r="F278" t="str">
        <f t="shared" si="45"/>
        <v/>
      </c>
      <c r="L278" s="7" t="str">
        <f t="shared" si="46"/>
        <v/>
      </c>
      <c r="N278" s="7" t="str">
        <f t="shared" si="47"/>
        <v/>
      </c>
      <c r="O278" t="str">
        <f t="shared" si="48"/>
        <v/>
      </c>
      <c r="P278" t="str">
        <f t="shared" si="49"/>
        <v/>
      </c>
      <c r="Q278" t="str">
        <f t="shared" si="50"/>
        <v/>
      </c>
      <c r="S278" t="str">
        <f>""</f>
        <v/>
      </c>
      <c r="AL278" s="18" t="str">
        <f>IF(COUNTIF($A$2:A277, A277) = 1, A277, "")</f>
        <v/>
      </c>
    </row>
    <row r="279" spans="6:38" x14ac:dyDescent="0.2">
      <c r="F279" t="str">
        <f t="shared" si="45"/>
        <v/>
      </c>
      <c r="L279" s="7" t="str">
        <f t="shared" si="46"/>
        <v/>
      </c>
      <c r="N279" s="7" t="str">
        <f t="shared" si="47"/>
        <v/>
      </c>
      <c r="O279" t="str">
        <f t="shared" si="48"/>
        <v/>
      </c>
      <c r="P279" t="str">
        <f t="shared" si="49"/>
        <v/>
      </c>
      <c r="Q279" t="str">
        <f t="shared" si="50"/>
        <v/>
      </c>
      <c r="S279" t="str">
        <f>""</f>
        <v/>
      </c>
      <c r="AL279" s="18" t="str">
        <f>IF(COUNTIF($A$2:A278, A278) = 1, A278, "")</f>
        <v/>
      </c>
    </row>
    <row r="280" spans="6:38" x14ac:dyDescent="0.2">
      <c r="F280" t="str">
        <f t="shared" si="45"/>
        <v/>
      </c>
      <c r="L280" s="7" t="str">
        <f t="shared" si="46"/>
        <v/>
      </c>
      <c r="N280" s="7" t="str">
        <f t="shared" si="47"/>
        <v/>
      </c>
      <c r="O280" t="str">
        <f t="shared" si="48"/>
        <v/>
      </c>
      <c r="P280" t="str">
        <f t="shared" si="49"/>
        <v/>
      </c>
      <c r="Q280" t="str">
        <f t="shared" si="50"/>
        <v/>
      </c>
      <c r="S280" t="str">
        <f>""</f>
        <v/>
      </c>
      <c r="AL280" s="18" t="str">
        <f>IF(COUNTIF($A$2:A279, A279) = 1, A279, "")</f>
        <v/>
      </c>
    </row>
    <row r="281" spans="6:38" x14ac:dyDescent="0.2">
      <c r="F281" t="str">
        <f t="shared" si="45"/>
        <v/>
      </c>
      <c r="L281" s="7" t="str">
        <f t="shared" si="46"/>
        <v/>
      </c>
      <c r="N281" s="7" t="str">
        <f t="shared" si="47"/>
        <v/>
      </c>
      <c r="O281" t="str">
        <f t="shared" si="48"/>
        <v/>
      </c>
      <c r="P281" t="str">
        <f t="shared" si="49"/>
        <v/>
      </c>
      <c r="Q281" t="str">
        <f t="shared" si="50"/>
        <v/>
      </c>
      <c r="S281" t="str">
        <f>""</f>
        <v/>
      </c>
      <c r="AL281" s="18" t="str">
        <f>IF(COUNTIF($A$2:A280, A280) = 1, A280, "")</f>
        <v/>
      </c>
    </row>
    <row r="282" spans="6:38" x14ac:dyDescent="0.2">
      <c r="F282" t="str">
        <f t="shared" si="45"/>
        <v/>
      </c>
      <c r="L282" s="7" t="str">
        <f t="shared" si="46"/>
        <v/>
      </c>
      <c r="N282" s="7" t="str">
        <f t="shared" si="47"/>
        <v/>
      </c>
      <c r="O282" t="str">
        <f t="shared" si="48"/>
        <v/>
      </c>
      <c r="P282" t="str">
        <f t="shared" si="49"/>
        <v/>
      </c>
      <c r="Q282" t="str">
        <f t="shared" si="50"/>
        <v/>
      </c>
      <c r="S282" t="str">
        <f>""</f>
        <v/>
      </c>
      <c r="AL282" s="18" t="str">
        <f>IF(COUNTIF($A$2:A281, A281) = 1, A281, "")</f>
        <v/>
      </c>
    </row>
    <row r="283" spans="6:38" x14ac:dyDescent="0.2">
      <c r="F283" t="str">
        <f t="shared" si="45"/>
        <v/>
      </c>
      <c r="L283" s="7" t="str">
        <f t="shared" si="46"/>
        <v/>
      </c>
      <c r="N283" s="7" t="str">
        <f t="shared" si="47"/>
        <v/>
      </c>
      <c r="O283" t="str">
        <f t="shared" si="48"/>
        <v/>
      </c>
      <c r="P283" t="str">
        <f t="shared" si="49"/>
        <v/>
      </c>
      <c r="Q283" t="str">
        <f t="shared" si="50"/>
        <v/>
      </c>
      <c r="S283" t="str">
        <f>""</f>
        <v/>
      </c>
      <c r="AL283" s="18" t="str">
        <f>IF(COUNTIF($A$2:A282, A282) = 1, A282, "")</f>
        <v/>
      </c>
    </row>
    <row r="284" spans="6:38" x14ac:dyDescent="0.2">
      <c r="F284" t="str">
        <f t="shared" si="45"/>
        <v/>
      </c>
      <c r="L284" s="7" t="str">
        <f t="shared" si="46"/>
        <v/>
      </c>
      <c r="N284" s="7" t="str">
        <f t="shared" si="47"/>
        <v/>
      </c>
      <c r="O284" t="str">
        <f t="shared" si="48"/>
        <v/>
      </c>
      <c r="P284" t="str">
        <f t="shared" si="49"/>
        <v/>
      </c>
      <c r="Q284" t="str">
        <f t="shared" si="50"/>
        <v/>
      </c>
      <c r="S284" t="str">
        <f>""</f>
        <v/>
      </c>
      <c r="AL284" s="18" t="str">
        <f>IF(COUNTIF($A$2:A283, A283) = 1, A283, "")</f>
        <v/>
      </c>
    </row>
    <row r="285" spans="6:38" x14ac:dyDescent="0.2">
      <c r="F285" t="str">
        <f t="shared" si="45"/>
        <v/>
      </c>
      <c r="L285" s="7" t="str">
        <f t="shared" si="46"/>
        <v/>
      </c>
      <c r="N285" s="7" t="str">
        <f t="shared" si="47"/>
        <v/>
      </c>
      <c r="O285" t="str">
        <f t="shared" si="48"/>
        <v/>
      </c>
      <c r="P285" t="str">
        <f t="shared" si="49"/>
        <v/>
      </c>
      <c r="Q285" t="str">
        <f t="shared" si="50"/>
        <v/>
      </c>
      <c r="S285" t="str">
        <f>""</f>
        <v/>
      </c>
      <c r="AL285" s="18" t="str">
        <f>IF(COUNTIF($A$2:A284, A284) = 1, A284, "")</f>
        <v/>
      </c>
    </row>
    <row r="286" spans="6:38" x14ac:dyDescent="0.2">
      <c r="F286" t="str">
        <f t="shared" si="45"/>
        <v/>
      </c>
      <c r="L286" s="7" t="str">
        <f t="shared" si="46"/>
        <v/>
      </c>
      <c r="N286" s="7" t="str">
        <f t="shared" si="47"/>
        <v/>
      </c>
      <c r="O286" t="str">
        <f t="shared" si="48"/>
        <v/>
      </c>
      <c r="P286" t="str">
        <f t="shared" si="49"/>
        <v/>
      </c>
      <c r="Q286" t="str">
        <f t="shared" si="50"/>
        <v/>
      </c>
      <c r="S286" t="str">
        <f>""</f>
        <v/>
      </c>
      <c r="AL286" s="18" t="str">
        <f>IF(COUNTIF($A$2:A285, A285) = 1, A285, "")</f>
        <v/>
      </c>
    </row>
    <row r="287" spans="6:38" x14ac:dyDescent="0.2">
      <c r="F287" t="str">
        <f t="shared" si="45"/>
        <v/>
      </c>
      <c r="L287" s="7" t="str">
        <f t="shared" si="46"/>
        <v/>
      </c>
      <c r="N287" s="7" t="str">
        <f t="shared" si="47"/>
        <v/>
      </c>
      <c r="O287" t="str">
        <f t="shared" si="48"/>
        <v/>
      </c>
      <c r="P287" t="str">
        <f t="shared" si="49"/>
        <v/>
      </c>
      <c r="Q287" t="str">
        <f t="shared" si="50"/>
        <v/>
      </c>
      <c r="S287" t="str">
        <f>""</f>
        <v/>
      </c>
      <c r="AL287" s="18" t="str">
        <f>IF(COUNTIF($A$2:A286, A286) = 1, A286, "")</f>
        <v/>
      </c>
    </row>
    <row r="288" spans="6:38" x14ac:dyDescent="0.2">
      <c r="F288" t="str">
        <f t="shared" si="45"/>
        <v/>
      </c>
      <c r="L288" s="7" t="str">
        <f t="shared" si="46"/>
        <v/>
      </c>
      <c r="N288" s="7" t="str">
        <f t="shared" si="47"/>
        <v/>
      </c>
      <c r="O288" t="str">
        <f t="shared" si="48"/>
        <v/>
      </c>
      <c r="P288" t="str">
        <f t="shared" si="49"/>
        <v/>
      </c>
      <c r="Q288" t="str">
        <f t="shared" si="50"/>
        <v/>
      </c>
      <c r="S288" t="str">
        <f>""</f>
        <v/>
      </c>
      <c r="AL288" s="18" t="str">
        <f>IF(COUNTIF($A$2:A287, A287) = 1, A287, "")</f>
        <v/>
      </c>
    </row>
    <row r="289" spans="6:38" x14ac:dyDescent="0.2">
      <c r="F289" t="str">
        <f t="shared" si="45"/>
        <v/>
      </c>
      <c r="L289" s="7" t="str">
        <f t="shared" si="46"/>
        <v/>
      </c>
      <c r="N289" s="7" t="str">
        <f t="shared" si="47"/>
        <v/>
      </c>
      <c r="O289" t="str">
        <f t="shared" si="48"/>
        <v/>
      </c>
      <c r="P289" t="str">
        <f t="shared" si="49"/>
        <v/>
      </c>
      <c r="Q289" t="str">
        <f t="shared" si="50"/>
        <v/>
      </c>
      <c r="S289" t="str">
        <f>""</f>
        <v/>
      </c>
      <c r="AL289" s="18" t="str">
        <f>IF(COUNTIF($A$2:A288, A288) = 1, A288, "")</f>
        <v/>
      </c>
    </row>
    <row r="290" spans="6:38" x14ac:dyDescent="0.2">
      <c r="F290" t="str">
        <f t="shared" si="45"/>
        <v/>
      </c>
      <c r="L290" s="7" t="str">
        <f t="shared" si="46"/>
        <v/>
      </c>
      <c r="N290" s="7" t="str">
        <f t="shared" si="47"/>
        <v/>
      </c>
      <c r="O290" t="str">
        <f t="shared" si="48"/>
        <v/>
      </c>
      <c r="P290" t="str">
        <f t="shared" si="49"/>
        <v/>
      </c>
      <c r="Q290" t="str">
        <f t="shared" si="50"/>
        <v/>
      </c>
      <c r="S290" t="str">
        <f>""</f>
        <v/>
      </c>
      <c r="AL290" s="18" t="str">
        <f>IF(COUNTIF($A$2:A289, A289) = 1, A289, "")</f>
        <v/>
      </c>
    </row>
    <row r="291" spans="6:38" x14ac:dyDescent="0.2">
      <c r="F291" t="str">
        <f t="shared" si="45"/>
        <v/>
      </c>
      <c r="L291" s="7" t="str">
        <f t="shared" si="46"/>
        <v/>
      </c>
      <c r="N291" s="7" t="str">
        <f t="shared" si="47"/>
        <v/>
      </c>
      <c r="O291" t="str">
        <f t="shared" si="48"/>
        <v/>
      </c>
      <c r="P291" t="str">
        <f t="shared" si="49"/>
        <v/>
      </c>
      <c r="Q291" t="str">
        <f t="shared" si="50"/>
        <v/>
      </c>
      <c r="S291" t="str">
        <f>""</f>
        <v/>
      </c>
      <c r="AL291" s="18" t="str">
        <f>IF(COUNTIF($A$2:A290, A290) = 1, A290, "")</f>
        <v/>
      </c>
    </row>
    <row r="292" spans="6:38" x14ac:dyDescent="0.2">
      <c r="F292" t="str">
        <f t="shared" si="45"/>
        <v/>
      </c>
      <c r="L292" s="7" t="str">
        <f t="shared" si="46"/>
        <v/>
      </c>
      <c r="N292" s="7" t="str">
        <f t="shared" si="47"/>
        <v/>
      </c>
      <c r="O292" t="str">
        <f t="shared" si="48"/>
        <v/>
      </c>
      <c r="P292" t="str">
        <f t="shared" si="49"/>
        <v/>
      </c>
      <c r="Q292" t="str">
        <f t="shared" si="50"/>
        <v/>
      </c>
      <c r="S292" t="str">
        <f>""</f>
        <v/>
      </c>
      <c r="AL292" s="18" t="str">
        <f>IF(COUNTIF($A$2:A291, A291) = 1, A291, "")</f>
        <v/>
      </c>
    </row>
    <row r="293" spans="6:38" x14ac:dyDescent="0.2">
      <c r="F293" t="str">
        <f t="shared" si="45"/>
        <v/>
      </c>
      <c r="L293" s="7" t="str">
        <f t="shared" si="46"/>
        <v/>
      </c>
      <c r="N293" s="7" t="str">
        <f t="shared" si="47"/>
        <v/>
      </c>
      <c r="O293" t="str">
        <f t="shared" si="48"/>
        <v/>
      </c>
      <c r="P293" t="str">
        <f t="shared" si="49"/>
        <v/>
      </c>
      <c r="Q293" t="str">
        <f t="shared" si="50"/>
        <v/>
      </c>
      <c r="S293" t="str">
        <f>""</f>
        <v/>
      </c>
      <c r="AL293" s="18" t="str">
        <f>IF(COUNTIF($A$2:A292, A292) = 1, A292, "")</f>
        <v/>
      </c>
    </row>
    <row r="294" spans="6:38" x14ac:dyDescent="0.2">
      <c r="F294" t="str">
        <f t="shared" si="45"/>
        <v/>
      </c>
      <c r="L294" s="7" t="str">
        <f t="shared" si="46"/>
        <v/>
      </c>
      <c r="N294" s="7" t="str">
        <f t="shared" si="47"/>
        <v/>
      </c>
      <c r="O294" t="str">
        <f t="shared" si="48"/>
        <v/>
      </c>
      <c r="P294" t="str">
        <f t="shared" si="49"/>
        <v/>
      </c>
      <c r="Q294" t="str">
        <f t="shared" si="50"/>
        <v/>
      </c>
      <c r="S294" t="str">
        <f>""</f>
        <v/>
      </c>
      <c r="AL294" s="18" t="str">
        <f>IF(COUNTIF($A$2:A293, A293) = 1, A293, "")</f>
        <v/>
      </c>
    </row>
    <row r="295" spans="6:38" x14ac:dyDescent="0.2">
      <c r="F295" t="str">
        <f t="shared" si="45"/>
        <v/>
      </c>
      <c r="L295" s="7" t="str">
        <f t="shared" si="46"/>
        <v/>
      </c>
      <c r="N295" s="7" t="str">
        <f t="shared" si="47"/>
        <v/>
      </c>
      <c r="O295" t="str">
        <f t="shared" si="48"/>
        <v/>
      </c>
      <c r="P295" t="str">
        <f t="shared" si="49"/>
        <v/>
      </c>
      <c r="Q295" t="str">
        <f t="shared" si="50"/>
        <v/>
      </c>
      <c r="S295" t="str">
        <f>""</f>
        <v/>
      </c>
      <c r="AL295" s="18" t="str">
        <f>IF(COUNTIF($A$2:A294, A294) = 1, A294, "")</f>
        <v/>
      </c>
    </row>
    <row r="296" spans="6:38" x14ac:dyDescent="0.2">
      <c r="F296" t="str">
        <f t="shared" si="45"/>
        <v/>
      </c>
      <c r="L296" s="7" t="str">
        <f t="shared" si="46"/>
        <v/>
      </c>
      <c r="N296" s="7" t="str">
        <f t="shared" si="47"/>
        <v/>
      </c>
      <c r="O296" t="str">
        <f t="shared" si="48"/>
        <v/>
      </c>
      <c r="P296" t="str">
        <f t="shared" si="49"/>
        <v/>
      </c>
      <c r="Q296" t="str">
        <f t="shared" si="50"/>
        <v/>
      </c>
      <c r="S296" t="str">
        <f>""</f>
        <v/>
      </c>
      <c r="AL296" s="18" t="str">
        <f>IF(COUNTIF($A$2:A295, A295) = 1, A295, "")</f>
        <v/>
      </c>
    </row>
    <row r="297" spans="6:38" x14ac:dyDescent="0.2">
      <c r="F297" t="str">
        <f t="shared" si="45"/>
        <v/>
      </c>
      <c r="L297" s="7" t="str">
        <f t="shared" si="46"/>
        <v/>
      </c>
      <c r="N297" s="7" t="str">
        <f t="shared" si="47"/>
        <v/>
      </c>
      <c r="O297" t="str">
        <f t="shared" si="48"/>
        <v/>
      </c>
      <c r="P297" t="str">
        <f t="shared" si="49"/>
        <v/>
      </c>
      <c r="Q297" t="str">
        <f t="shared" si="50"/>
        <v/>
      </c>
      <c r="S297" t="str">
        <f>""</f>
        <v/>
      </c>
      <c r="AL297" s="18" t="str">
        <f>IF(COUNTIF($A$2:A296, A296) = 1, A296, "")</f>
        <v/>
      </c>
    </row>
    <row r="298" spans="6:38" x14ac:dyDescent="0.2">
      <c r="F298" t="str">
        <f t="shared" si="45"/>
        <v/>
      </c>
      <c r="L298" s="7" t="str">
        <f t="shared" si="46"/>
        <v/>
      </c>
      <c r="N298" s="7" t="str">
        <f t="shared" si="47"/>
        <v/>
      </c>
      <c r="O298" t="str">
        <f t="shared" si="48"/>
        <v/>
      </c>
      <c r="P298" t="str">
        <f t="shared" si="49"/>
        <v/>
      </c>
      <c r="Q298" t="str">
        <f t="shared" si="50"/>
        <v/>
      </c>
      <c r="S298" t="str">
        <f>""</f>
        <v/>
      </c>
      <c r="AL298" s="18" t="str">
        <f>IF(COUNTIF($A$2:A297, A297) = 1, A297, "")</f>
        <v/>
      </c>
    </row>
    <row r="299" spans="6:38" x14ac:dyDescent="0.2">
      <c r="F299" t="str">
        <f t="shared" si="45"/>
        <v/>
      </c>
      <c r="L299" s="7" t="str">
        <f t="shared" si="46"/>
        <v/>
      </c>
      <c r="N299" s="7" t="str">
        <f t="shared" si="47"/>
        <v/>
      </c>
      <c r="O299" t="str">
        <f t="shared" si="48"/>
        <v/>
      </c>
      <c r="P299" t="str">
        <f t="shared" si="49"/>
        <v/>
      </c>
      <c r="Q299" t="str">
        <f t="shared" si="50"/>
        <v/>
      </c>
      <c r="S299" t="str">
        <f>""</f>
        <v/>
      </c>
      <c r="AL299" s="18" t="str">
        <f>IF(COUNTIF($A$2:A298, A298) = 1, A298, "")</f>
        <v/>
      </c>
    </row>
    <row r="300" spans="6:38" x14ac:dyDescent="0.2">
      <c r="F300" t="str">
        <f t="shared" si="45"/>
        <v/>
      </c>
      <c r="L300" s="7" t="str">
        <f t="shared" si="46"/>
        <v/>
      </c>
      <c r="N300" s="7" t="str">
        <f t="shared" si="47"/>
        <v/>
      </c>
      <c r="O300" t="str">
        <f t="shared" si="48"/>
        <v/>
      </c>
      <c r="P300" t="str">
        <f t="shared" si="49"/>
        <v/>
      </c>
      <c r="Q300" t="str">
        <f t="shared" si="50"/>
        <v/>
      </c>
      <c r="S300" t="str">
        <f>""</f>
        <v/>
      </c>
      <c r="AL300" s="18" t="str">
        <f>IF(COUNTIF($A$2:A299, A299) = 1, A299, "")</f>
        <v/>
      </c>
    </row>
    <row r="301" spans="6:38" x14ac:dyDescent="0.2">
      <c r="F301" t="str">
        <f t="shared" si="45"/>
        <v/>
      </c>
      <c r="L301" s="7" t="str">
        <f t="shared" si="46"/>
        <v/>
      </c>
      <c r="N301" s="7" t="str">
        <f t="shared" si="47"/>
        <v/>
      </c>
      <c r="O301" t="str">
        <f t="shared" si="48"/>
        <v/>
      </c>
      <c r="P301" t="str">
        <f t="shared" si="49"/>
        <v/>
      </c>
      <c r="Q301" t="str">
        <f t="shared" si="50"/>
        <v/>
      </c>
      <c r="S301" t="str">
        <f>""</f>
        <v/>
      </c>
      <c r="AL301" s="18" t="str">
        <f>IF(COUNTIF($A$2:A300, A300) = 1, A300, "")</f>
        <v/>
      </c>
    </row>
    <row r="302" spans="6:38" x14ac:dyDescent="0.2">
      <c r="F302" t="str">
        <f t="shared" si="45"/>
        <v/>
      </c>
      <c r="L302" s="7" t="str">
        <f t="shared" si="46"/>
        <v/>
      </c>
      <c r="N302" s="7" t="str">
        <f t="shared" si="47"/>
        <v/>
      </c>
      <c r="O302" t="str">
        <f t="shared" si="48"/>
        <v/>
      </c>
      <c r="P302" t="str">
        <f t="shared" si="49"/>
        <v/>
      </c>
      <c r="Q302" t="str">
        <f t="shared" si="50"/>
        <v/>
      </c>
      <c r="S302" t="str">
        <f>""</f>
        <v/>
      </c>
      <c r="AL302" s="18" t="str">
        <f>IF(COUNTIF($A$2:A301, A301) = 1, A301, "")</f>
        <v/>
      </c>
    </row>
    <row r="303" spans="6:38" x14ac:dyDescent="0.2">
      <c r="F303" t="str">
        <f t="shared" si="45"/>
        <v/>
      </c>
      <c r="L303" s="7" t="str">
        <f t="shared" si="46"/>
        <v/>
      </c>
      <c r="N303" s="7" t="str">
        <f t="shared" si="47"/>
        <v/>
      </c>
      <c r="O303" t="str">
        <f t="shared" si="48"/>
        <v/>
      </c>
      <c r="P303" t="str">
        <f t="shared" si="49"/>
        <v/>
      </c>
      <c r="Q303" t="str">
        <f t="shared" si="50"/>
        <v/>
      </c>
      <c r="S303" t="str">
        <f>""</f>
        <v/>
      </c>
      <c r="AL303" s="18" t="str">
        <f>IF(COUNTIF($A$2:A302, A302) = 1, A302, "")</f>
        <v/>
      </c>
    </row>
    <row r="304" spans="6:38" x14ac:dyDescent="0.2">
      <c r="F304" t="str">
        <f t="shared" si="45"/>
        <v/>
      </c>
      <c r="L304" s="7" t="str">
        <f t="shared" si="46"/>
        <v/>
      </c>
      <c r="N304" s="7" t="str">
        <f t="shared" si="47"/>
        <v/>
      </c>
      <c r="O304" t="str">
        <f t="shared" si="48"/>
        <v/>
      </c>
      <c r="P304" t="str">
        <f t="shared" si="49"/>
        <v/>
      </c>
      <c r="Q304" t="str">
        <f t="shared" si="50"/>
        <v/>
      </c>
      <c r="S304" t="str">
        <f>""</f>
        <v/>
      </c>
      <c r="AL304" s="18" t="str">
        <f>IF(COUNTIF($A$2:A303, A303) = 1, A303, "")</f>
        <v/>
      </c>
    </row>
    <row r="305" spans="6:38" x14ac:dyDescent="0.2">
      <c r="F305" t="str">
        <f t="shared" si="45"/>
        <v/>
      </c>
      <c r="L305" s="7" t="str">
        <f t="shared" si="46"/>
        <v/>
      </c>
      <c r="N305" s="7" t="str">
        <f t="shared" si="47"/>
        <v/>
      </c>
      <c r="O305" t="str">
        <f t="shared" si="48"/>
        <v/>
      </c>
      <c r="P305" t="str">
        <f t="shared" si="49"/>
        <v/>
      </c>
      <c r="Q305" t="str">
        <f t="shared" si="50"/>
        <v/>
      </c>
      <c r="S305" t="str">
        <f>""</f>
        <v/>
      </c>
      <c r="AL305" s="18" t="str">
        <f>IF(COUNTIF($A$2:A304, A304) = 1, A304, "")</f>
        <v/>
      </c>
    </row>
    <row r="306" spans="6:38" x14ac:dyDescent="0.2">
      <c r="F306" t="str">
        <f t="shared" si="45"/>
        <v/>
      </c>
      <c r="L306" s="7" t="str">
        <f t="shared" si="46"/>
        <v/>
      </c>
      <c r="N306" s="7" t="str">
        <f t="shared" si="47"/>
        <v/>
      </c>
      <c r="O306" t="str">
        <f t="shared" si="48"/>
        <v/>
      </c>
      <c r="P306" t="str">
        <f t="shared" si="49"/>
        <v/>
      </c>
      <c r="Q306" t="str">
        <f t="shared" si="50"/>
        <v/>
      </c>
      <c r="S306" t="str">
        <f>""</f>
        <v/>
      </c>
      <c r="AL306" s="18" t="str">
        <f>IF(COUNTIF($A$2:A305, A305) = 1, A305, "")</f>
        <v/>
      </c>
    </row>
    <row r="307" spans="6:38" x14ac:dyDescent="0.2">
      <c r="F307" t="str">
        <f t="shared" si="45"/>
        <v/>
      </c>
      <c r="L307" s="7" t="str">
        <f t="shared" si="46"/>
        <v/>
      </c>
      <c r="N307" s="7" t="str">
        <f t="shared" si="47"/>
        <v/>
      </c>
      <c r="O307" t="str">
        <f t="shared" si="48"/>
        <v/>
      </c>
      <c r="P307" t="str">
        <f t="shared" si="49"/>
        <v/>
      </c>
      <c r="Q307" t="str">
        <f t="shared" si="50"/>
        <v/>
      </c>
      <c r="S307" t="str">
        <f>""</f>
        <v/>
      </c>
      <c r="AL307" s="18" t="str">
        <f>IF(COUNTIF($A$2:A306, A306) = 1, A306, "")</f>
        <v/>
      </c>
    </row>
    <row r="308" spans="6:38" x14ac:dyDescent="0.2">
      <c r="F308" t="str">
        <f t="shared" si="45"/>
        <v/>
      </c>
      <c r="L308" s="7" t="str">
        <f t="shared" si="46"/>
        <v/>
      </c>
      <c r="N308" s="7" t="str">
        <f t="shared" si="47"/>
        <v/>
      </c>
      <c r="O308" t="str">
        <f t="shared" si="48"/>
        <v/>
      </c>
      <c r="P308" t="str">
        <f t="shared" si="49"/>
        <v/>
      </c>
      <c r="Q308" t="str">
        <f t="shared" si="50"/>
        <v/>
      </c>
      <c r="S308" t="str">
        <f>""</f>
        <v/>
      </c>
      <c r="AL308" s="18" t="str">
        <f>IF(COUNTIF($A$2:A307, A307) = 1, A307, "")</f>
        <v/>
      </c>
    </row>
    <row r="309" spans="6:38" x14ac:dyDescent="0.2">
      <c r="F309" t="str">
        <f t="shared" si="45"/>
        <v/>
      </c>
      <c r="L309" s="7" t="str">
        <f t="shared" si="46"/>
        <v/>
      </c>
      <c r="N309" s="7" t="str">
        <f t="shared" si="47"/>
        <v/>
      </c>
      <c r="O309" t="str">
        <f t="shared" si="48"/>
        <v/>
      </c>
      <c r="P309" t="str">
        <f t="shared" si="49"/>
        <v/>
      </c>
      <c r="Q309" t="str">
        <f t="shared" si="50"/>
        <v/>
      </c>
      <c r="S309" t="str">
        <f>""</f>
        <v/>
      </c>
      <c r="AL309" s="18" t="str">
        <f>IF(COUNTIF($A$2:A308, A308) = 1, A308, "")</f>
        <v/>
      </c>
    </row>
    <row r="310" spans="6:38" x14ac:dyDescent="0.2">
      <c r="F310" t="str">
        <f t="shared" si="45"/>
        <v/>
      </c>
      <c r="L310" s="7" t="str">
        <f t="shared" si="46"/>
        <v/>
      </c>
      <c r="N310" s="7" t="str">
        <f t="shared" si="47"/>
        <v/>
      </c>
      <c r="O310" t="str">
        <f t="shared" si="48"/>
        <v/>
      </c>
      <c r="P310" t="str">
        <f t="shared" si="49"/>
        <v/>
      </c>
      <c r="Q310" t="str">
        <f t="shared" si="50"/>
        <v/>
      </c>
      <c r="S310" t="str">
        <f>""</f>
        <v/>
      </c>
      <c r="AL310" s="18" t="str">
        <f>IF(COUNTIF($A$2:A309, A309) = 1, A309, "")</f>
        <v/>
      </c>
    </row>
    <row r="311" spans="6:38" x14ac:dyDescent="0.2">
      <c r="F311" t="str">
        <f t="shared" si="45"/>
        <v/>
      </c>
      <c r="L311" s="7" t="str">
        <f t="shared" si="46"/>
        <v/>
      </c>
      <c r="N311" s="7" t="str">
        <f t="shared" si="47"/>
        <v/>
      </c>
      <c r="O311" t="str">
        <f t="shared" si="48"/>
        <v/>
      </c>
      <c r="P311" t="str">
        <f t="shared" si="49"/>
        <v/>
      </c>
      <c r="Q311" t="str">
        <f t="shared" si="50"/>
        <v/>
      </c>
      <c r="S311" t="str">
        <f>""</f>
        <v/>
      </c>
      <c r="AL311" s="18" t="str">
        <f>IF(COUNTIF($A$2:A310, A310) = 1, A310, "")</f>
        <v/>
      </c>
    </row>
    <row r="312" spans="6:38" x14ac:dyDescent="0.2">
      <c r="F312" t="str">
        <f t="shared" si="45"/>
        <v/>
      </c>
      <c r="L312" s="7" t="str">
        <f t="shared" si="46"/>
        <v/>
      </c>
      <c r="N312" s="7" t="str">
        <f t="shared" si="47"/>
        <v/>
      </c>
      <c r="O312" t="str">
        <f t="shared" si="48"/>
        <v/>
      </c>
      <c r="P312" t="str">
        <f t="shared" si="49"/>
        <v/>
      </c>
      <c r="Q312" t="str">
        <f t="shared" si="50"/>
        <v/>
      </c>
      <c r="S312" t="str">
        <f>""</f>
        <v/>
      </c>
      <c r="AL312" s="18" t="str">
        <f>IF(COUNTIF($A$2:A311, A311) = 1, A311, "")</f>
        <v/>
      </c>
    </row>
    <row r="313" spans="6:38" x14ac:dyDescent="0.2">
      <c r="F313" t="str">
        <f t="shared" si="45"/>
        <v/>
      </c>
      <c r="L313" s="7" t="str">
        <f t="shared" si="46"/>
        <v/>
      </c>
      <c r="N313" s="7" t="str">
        <f t="shared" si="47"/>
        <v/>
      </c>
      <c r="O313" t="str">
        <f t="shared" si="48"/>
        <v/>
      </c>
      <c r="P313" t="str">
        <f t="shared" si="49"/>
        <v/>
      </c>
      <c r="Q313" t="str">
        <f t="shared" si="50"/>
        <v/>
      </c>
      <c r="S313" t="str">
        <f>""</f>
        <v/>
      </c>
      <c r="AL313" s="18" t="str">
        <f>IF(COUNTIF($A$2:A312, A312) = 1, A312, "")</f>
        <v/>
      </c>
    </row>
    <row r="314" spans="6:38" x14ac:dyDescent="0.2">
      <c r="F314" t="str">
        <f t="shared" si="45"/>
        <v/>
      </c>
      <c r="L314" s="7" t="str">
        <f t="shared" si="46"/>
        <v/>
      </c>
      <c r="N314" s="7" t="str">
        <f t="shared" si="47"/>
        <v/>
      </c>
      <c r="O314" t="str">
        <f t="shared" si="48"/>
        <v/>
      </c>
      <c r="P314" t="str">
        <f t="shared" si="49"/>
        <v/>
      </c>
      <c r="Q314" t="str">
        <f t="shared" si="50"/>
        <v/>
      </c>
      <c r="S314" t="str">
        <f>""</f>
        <v/>
      </c>
      <c r="AL314" s="18" t="str">
        <f>IF(COUNTIF($A$2:A313, A313) = 1, A313, "")</f>
        <v/>
      </c>
    </row>
    <row r="315" spans="6:38" x14ac:dyDescent="0.2">
      <c r="F315" t="str">
        <f t="shared" si="45"/>
        <v/>
      </c>
      <c r="L315" s="7" t="str">
        <f t="shared" si="46"/>
        <v/>
      </c>
      <c r="N315" s="7" t="str">
        <f t="shared" si="47"/>
        <v/>
      </c>
      <c r="O315" t="str">
        <f t="shared" si="48"/>
        <v/>
      </c>
      <c r="P315" t="str">
        <f t="shared" si="49"/>
        <v/>
      </c>
      <c r="Q315" t="str">
        <f t="shared" si="50"/>
        <v/>
      </c>
      <c r="S315" t="str">
        <f>""</f>
        <v/>
      </c>
      <c r="AL315" s="18" t="str">
        <f>IF(COUNTIF($A$2:A314, A314) = 1, A314, "")</f>
        <v/>
      </c>
    </row>
    <row r="316" spans="6:38" x14ac:dyDescent="0.2">
      <c r="F316" t="str">
        <f t="shared" si="45"/>
        <v/>
      </c>
      <c r="L316" s="7" t="str">
        <f t="shared" si="46"/>
        <v/>
      </c>
      <c r="N316" s="7" t="str">
        <f t="shared" si="47"/>
        <v/>
      </c>
      <c r="O316" t="str">
        <f t="shared" si="48"/>
        <v/>
      </c>
      <c r="P316" t="str">
        <f t="shared" si="49"/>
        <v/>
      </c>
      <c r="Q316" t="str">
        <f t="shared" si="50"/>
        <v/>
      </c>
      <c r="S316" t="str">
        <f>""</f>
        <v/>
      </c>
      <c r="AL316" s="18" t="str">
        <f>IF(COUNTIF($A$2:A315, A315) = 1, A315, "")</f>
        <v/>
      </c>
    </row>
    <row r="317" spans="6:38" x14ac:dyDescent="0.2">
      <c r="F317" t="str">
        <f t="shared" si="45"/>
        <v/>
      </c>
      <c r="L317" s="7" t="str">
        <f t="shared" si="46"/>
        <v/>
      </c>
      <c r="N317" s="7" t="str">
        <f t="shared" si="47"/>
        <v/>
      </c>
      <c r="O317" t="str">
        <f t="shared" si="48"/>
        <v/>
      </c>
      <c r="P317" t="str">
        <f t="shared" si="49"/>
        <v/>
      </c>
      <c r="Q317" t="str">
        <f t="shared" si="50"/>
        <v/>
      </c>
      <c r="S317" t="str">
        <f>""</f>
        <v/>
      </c>
      <c r="AL317" s="18" t="str">
        <f>IF(COUNTIF($A$2:A316, A316) = 1, A316, "")</f>
        <v/>
      </c>
    </row>
    <row r="318" spans="6:38" x14ac:dyDescent="0.2">
      <c r="F318" t="str">
        <f t="shared" si="45"/>
        <v/>
      </c>
      <c r="L318" s="7" t="str">
        <f t="shared" si="46"/>
        <v/>
      </c>
      <c r="N318" s="7" t="str">
        <f t="shared" si="47"/>
        <v/>
      </c>
      <c r="O318" t="str">
        <f t="shared" si="48"/>
        <v/>
      </c>
      <c r="P318" t="str">
        <f t="shared" si="49"/>
        <v/>
      </c>
      <c r="Q318" t="str">
        <f t="shared" si="50"/>
        <v/>
      </c>
      <c r="S318" t="str">
        <f>""</f>
        <v/>
      </c>
      <c r="AL318" s="18" t="str">
        <f>IF(COUNTIF($A$2:A317, A317) = 1, A317, "")</f>
        <v/>
      </c>
    </row>
    <row r="319" spans="6:38" x14ac:dyDescent="0.2">
      <c r="F319" t="str">
        <f t="shared" si="45"/>
        <v/>
      </c>
      <c r="L319" s="7" t="str">
        <f t="shared" si="46"/>
        <v/>
      </c>
      <c r="N319" s="7" t="str">
        <f t="shared" si="47"/>
        <v/>
      </c>
      <c r="O319" t="str">
        <f t="shared" si="48"/>
        <v/>
      </c>
      <c r="P319" t="str">
        <f t="shared" si="49"/>
        <v/>
      </c>
      <c r="Q319" t="str">
        <f t="shared" si="50"/>
        <v/>
      </c>
      <c r="S319" t="str">
        <f>""</f>
        <v/>
      </c>
      <c r="AL319" s="18" t="str">
        <f>IF(COUNTIF($A$2:A318, A318) = 1, A318, "")</f>
        <v/>
      </c>
    </row>
    <row r="320" spans="6:38" x14ac:dyDescent="0.2">
      <c r="F320" t="str">
        <f t="shared" si="45"/>
        <v/>
      </c>
      <c r="L320" s="7" t="str">
        <f t="shared" si="46"/>
        <v/>
      </c>
      <c r="N320" s="7" t="str">
        <f t="shared" si="47"/>
        <v/>
      </c>
      <c r="O320" t="str">
        <f t="shared" si="48"/>
        <v/>
      </c>
      <c r="P320" t="str">
        <f t="shared" si="49"/>
        <v/>
      </c>
      <c r="Q320" t="str">
        <f t="shared" si="50"/>
        <v/>
      </c>
      <c r="S320" t="str">
        <f>""</f>
        <v/>
      </c>
      <c r="AL320" s="18" t="str">
        <f>IF(COUNTIF($A$2:A319, A319) = 1, A319, "")</f>
        <v/>
      </c>
    </row>
    <row r="321" spans="6:38" x14ac:dyDescent="0.2">
      <c r="F321" t="str">
        <f t="shared" si="45"/>
        <v/>
      </c>
      <c r="L321" s="7" t="str">
        <f t="shared" si="46"/>
        <v/>
      </c>
      <c r="N321" s="7" t="str">
        <f t="shared" si="47"/>
        <v/>
      </c>
      <c r="O321" t="str">
        <f t="shared" si="48"/>
        <v/>
      </c>
      <c r="P321" t="str">
        <f t="shared" si="49"/>
        <v/>
      </c>
      <c r="Q321" t="str">
        <f t="shared" si="50"/>
        <v/>
      </c>
      <c r="S321" t="str">
        <f>""</f>
        <v/>
      </c>
      <c r="AL321" s="18" t="str">
        <f>IF(COUNTIF($A$2:A320, A320) = 1, A320, "")</f>
        <v/>
      </c>
    </row>
    <row r="322" spans="6:38" x14ac:dyDescent="0.2">
      <c r="F322" t="str">
        <f t="shared" si="45"/>
        <v/>
      </c>
      <c r="L322" s="7" t="str">
        <f t="shared" si="46"/>
        <v/>
      </c>
      <c r="N322" s="7" t="str">
        <f t="shared" si="47"/>
        <v/>
      </c>
      <c r="O322" t="str">
        <f t="shared" si="48"/>
        <v/>
      </c>
      <c r="P322" t="str">
        <f t="shared" si="49"/>
        <v/>
      </c>
      <c r="Q322" t="str">
        <f t="shared" si="50"/>
        <v/>
      </c>
      <c r="S322" t="str">
        <f>""</f>
        <v/>
      </c>
      <c r="AL322" s="18" t="str">
        <f>IF(COUNTIF($A$2:A321, A321) = 1, A321, "")</f>
        <v/>
      </c>
    </row>
    <row r="323" spans="6:38" x14ac:dyDescent="0.2">
      <c r="F323" t="str">
        <f t="shared" si="45"/>
        <v/>
      </c>
      <c r="L323" s="7" t="str">
        <f t="shared" si="46"/>
        <v/>
      </c>
      <c r="N323" s="7" t="str">
        <f t="shared" si="47"/>
        <v/>
      </c>
      <c r="O323" t="str">
        <f t="shared" si="48"/>
        <v/>
      </c>
      <c r="P323" t="str">
        <f t="shared" si="49"/>
        <v/>
      </c>
      <c r="Q323" t="str">
        <f t="shared" si="50"/>
        <v/>
      </c>
      <c r="S323" t="str">
        <f>""</f>
        <v/>
      </c>
      <c r="AL323" s="18" t="str">
        <f>IF(COUNTIF($A$2:A322, A322) = 1, A322, "")</f>
        <v/>
      </c>
    </row>
    <row r="324" spans="6:38" x14ac:dyDescent="0.2">
      <c r="F324" t="str">
        <f t="shared" si="45"/>
        <v/>
      </c>
      <c r="L324" s="7" t="str">
        <f t="shared" si="46"/>
        <v/>
      </c>
      <c r="N324" s="7" t="str">
        <f t="shared" si="47"/>
        <v/>
      </c>
      <c r="O324" t="str">
        <f t="shared" si="48"/>
        <v/>
      </c>
      <c r="P324" t="str">
        <f t="shared" si="49"/>
        <v/>
      </c>
      <c r="Q324" t="str">
        <f t="shared" si="50"/>
        <v/>
      </c>
      <c r="S324" t="str">
        <f>""</f>
        <v/>
      </c>
      <c r="AL324" s="18" t="str">
        <f>IF(COUNTIF($A$2:A323, A323) = 1, A323, "")</f>
        <v/>
      </c>
    </row>
    <row r="325" spans="6:38" x14ac:dyDescent="0.2">
      <c r="F325" t="str">
        <f t="shared" si="45"/>
        <v/>
      </c>
      <c r="L325" s="7" t="str">
        <f t="shared" si="46"/>
        <v/>
      </c>
      <c r="N325" s="7" t="str">
        <f t="shared" si="47"/>
        <v/>
      </c>
      <c r="O325" t="str">
        <f t="shared" si="48"/>
        <v/>
      </c>
      <c r="P325" t="str">
        <f t="shared" si="49"/>
        <v/>
      </c>
      <c r="Q325" t="str">
        <f t="shared" si="50"/>
        <v/>
      </c>
      <c r="S325" t="str">
        <f>""</f>
        <v/>
      </c>
      <c r="AL325" s="18" t="str">
        <f>IF(COUNTIF($A$2:A324, A324) = 1, A324, "")</f>
        <v/>
      </c>
    </row>
    <row r="326" spans="6:38" x14ac:dyDescent="0.2">
      <c r="F326" t="str">
        <f t="shared" si="45"/>
        <v/>
      </c>
      <c r="L326" s="7" t="str">
        <f t="shared" si="46"/>
        <v/>
      </c>
      <c r="N326" s="7" t="str">
        <f t="shared" si="47"/>
        <v/>
      </c>
      <c r="O326" t="str">
        <f t="shared" si="48"/>
        <v/>
      </c>
      <c r="P326" t="str">
        <f t="shared" si="49"/>
        <v/>
      </c>
      <c r="Q326" t="str">
        <f t="shared" si="50"/>
        <v/>
      </c>
      <c r="S326" t="str">
        <f>""</f>
        <v/>
      </c>
      <c r="AL326" s="18" t="str">
        <f>IF(COUNTIF($A$2:A325, A325) = 1, A325, "")</f>
        <v/>
      </c>
    </row>
    <row r="327" spans="6:38" x14ac:dyDescent="0.2">
      <c r="F327" t="str">
        <f t="shared" si="45"/>
        <v/>
      </c>
      <c r="L327" s="7" t="str">
        <f t="shared" si="46"/>
        <v/>
      </c>
      <c r="N327" s="7" t="str">
        <f t="shared" si="47"/>
        <v/>
      </c>
      <c r="O327" t="str">
        <f t="shared" si="48"/>
        <v/>
      </c>
      <c r="P327" t="str">
        <f t="shared" si="49"/>
        <v/>
      </c>
      <c r="Q327" t="str">
        <f t="shared" si="50"/>
        <v/>
      </c>
      <c r="S327" t="str">
        <f>""</f>
        <v/>
      </c>
      <c r="AL327" s="18" t="str">
        <f>IF(COUNTIF($A$2:A326, A326) = 1, A326, "")</f>
        <v/>
      </c>
    </row>
    <row r="328" spans="6:38" x14ac:dyDescent="0.2">
      <c r="F328" t="str">
        <f t="shared" si="45"/>
        <v/>
      </c>
      <c r="L328" s="7" t="str">
        <f t="shared" si="46"/>
        <v/>
      </c>
      <c r="N328" s="7" t="str">
        <f t="shared" si="47"/>
        <v/>
      </c>
      <c r="O328" t="str">
        <f t="shared" si="48"/>
        <v/>
      </c>
      <c r="P328" t="str">
        <f t="shared" si="49"/>
        <v/>
      </c>
      <c r="Q328" t="str">
        <f t="shared" si="50"/>
        <v/>
      </c>
      <c r="S328" t="str">
        <f>""</f>
        <v/>
      </c>
      <c r="AL328" s="18" t="str">
        <f>IF(COUNTIF($A$2:A327, A327) = 1, A327, "")</f>
        <v/>
      </c>
    </row>
    <row r="329" spans="6:38" x14ac:dyDescent="0.2">
      <c r="F329" t="str">
        <f t="shared" si="45"/>
        <v/>
      </c>
      <c r="L329" s="7" t="str">
        <f t="shared" si="46"/>
        <v/>
      </c>
      <c r="N329" s="7" t="str">
        <f t="shared" si="47"/>
        <v/>
      </c>
      <c r="O329" t="str">
        <f t="shared" si="48"/>
        <v/>
      </c>
      <c r="P329" t="str">
        <f t="shared" si="49"/>
        <v/>
      </c>
      <c r="Q329" t="str">
        <f t="shared" si="50"/>
        <v/>
      </c>
      <c r="S329" t="str">
        <f>""</f>
        <v/>
      </c>
      <c r="AL329" s="18" t="str">
        <f>IF(COUNTIF($A$2:A328, A328) = 1, A328, "")</f>
        <v/>
      </c>
    </row>
    <row r="330" spans="6:38" x14ac:dyDescent="0.2">
      <c r="F330" t="str">
        <f t="shared" si="45"/>
        <v/>
      </c>
      <c r="L330" s="7" t="str">
        <f t="shared" si="46"/>
        <v/>
      </c>
      <c r="N330" s="7" t="str">
        <f t="shared" si="47"/>
        <v/>
      </c>
      <c r="O330" t="str">
        <f t="shared" si="48"/>
        <v/>
      </c>
      <c r="P330" t="str">
        <f t="shared" si="49"/>
        <v/>
      </c>
      <c r="Q330" t="str">
        <f t="shared" si="50"/>
        <v/>
      </c>
      <c r="S330" t="str">
        <f>""</f>
        <v/>
      </c>
      <c r="AL330" s="18" t="str">
        <f>IF(COUNTIF($A$2:A329, A329) = 1, A329, "")</f>
        <v/>
      </c>
    </row>
    <row r="331" spans="6:38" x14ac:dyDescent="0.2">
      <c r="F331" t="str">
        <f t="shared" si="45"/>
        <v/>
      </c>
      <c r="L331" s="7" t="str">
        <f t="shared" si="46"/>
        <v/>
      </c>
      <c r="N331" s="7" t="str">
        <f t="shared" si="47"/>
        <v/>
      </c>
      <c r="O331" t="str">
        <f t="shared" si="48"/>
        <v/>
      </c>
      <c r="P331" t="str">
        <f t="shared" si="49"/>
        <v/>
      </c>
      <c r="Q331" t="str">
        <f t="shared" si="50"/>
        <v/>
      </c>
      <c r="S331" t="str">
        <f>""</f>
        <v/>
      </c>
      <c r="AL331" s="18" t="str">
        <f>IF(COUNTIF($A$2:A330, A330) = 1, A330, "")</f>
        <v/>
      </c>
    </row>
    <row r="332" spans="6:38" x14ac:dyDescent="0.2">
      <c r="F332" t="str">
        <f t="shared" si="45"/>
        <v/>
      </c>
      <c r="L332" s="7" t="str">
        <f t="shared" si="46"/>
        <v/>
      </c>
      <c r="N332" s="7" t="str">
        <f t="shared" si="47"/>
        <v/>
      </c>
      <c r="O332" t="str">
        <f t="shared" si="48"/>
        <v/>
      </c>
      <c r="P332" t="str">
        <f t="shared" si="49"/>
        <v/>
      </c>
      <c r="Q332" t="str">
        <f t="shared" si="50"/>
        <v/>
      </c>
      <c r="S332" t="str">
        <f>""</f>
        <v/>
      </c>
      <c r="AL332" s="18" t="str">
        <f>IF(COUNTIF($A$2:A331, A331) = 1, A331, "")</f>
        <v/>
      </c>
    </row>
    <row r="333" spans="6:38" x14ac:dyDescent="0.2">
      <c r="F333" t="str">
        <f t="shared" si="45"/>
        <v/>
      </c>
      <c r="L333" s="7" t="str">
        <f t="shared" si="46"/>
        <v/>
      </c>
      <c r="N333" s="7" t="str">
        <f t="shared" si="47"/>
        <v/>
      </c>
      <c r="O333" t="str">
        <f t="shared" si="48"/>
        <v/>
      </c>
      <c r="P333" t="str">
        <f t="shared" si="49"/>
        <v/>
      </c>
      <c r="Q333" t="str">
        <f t="shared" si="50"/>
        <v/>
      </c>
      <c r="S333" t="str">
        <f>""</f>
        <v/>
      </c>
      <c r="AL333" s="18" t="str">
        <f>IF(COUNTIF($A$2:A332, A332) = 1, A332, "")</f>
        <v/>
      </c>
    </row>
    <row r="334" spans="6:38" x14ac:dyDescent="0.2">
      <c r="F334" t="str">
        <f t="shared" si="45"/>
        <v/>
      </c>
      <c r="L334" s="7" t="str">
        <f t="shared" si="46"/>
        <v/>
      </c>
      <c r="N334" s="7" t="str">
        <f t="shared" si="47"/>
        <v/>
      </c>
      <c r="O334" t="str">
        <f t="shared" si="48"/>
        <v/>
      </c>
      <c r="P334" t="str">
        <f t="shared" si="49"/>
        <v/>
      </c>
      <c r="Q334" t="str">
        <f t="shared" si="50"/>
        <v/>
      </c>
      <c r="S334" t="str">
        <f>""</f>
        <v/>
      </c>
      <c r="AL334" s="18" t="str">
        <f>IF(COUNTIF($A$2:A333, A333) = 1, A333, "")</f>
        <v/>
      </c>
    </row>
    <row r="335" spans="6:38" x14ac:dyDescent="0.2">
      <c r="F335" t="str">
        <f t="shared" si="45"/>
        <v/>
      </c>
      <c r="L335" s="7" t="str">
        <f t="shared" si="46"/>
        <v/>
      </c>
      <c r="N335" s="7" t="str">
        <f t="shared" si="47"/>
        <v/>
      </c>
      <c r="O335" t="str">
        <f t="shared" si="48"/>
        <v/>
      </c>
      <c r="P335" t="str">
        <f t="shared" si="49"/>
        <v/>
      </c>
      <c r="Q335" t="str">
        <f t="shared" si="50"/>
        <v/>
      </c>
      <c r="S335" t="str">
        <f>""</f>
        <v/>
      </c>
      <c r="AL335" s="18" t="str">
        <f>IF(COUNTIF($A$2:A334, A334) = 1, A334, "")</f>
        <v/>
      </c>
    </row>
    <row r="336" spans="6:38" x14ac:dyDescent="0.2">
      <c r="F336" t="str">
        <f t="shared" ref="F336:F399" si="51">IF(OR(O336="", P336=""), "", SUM(IF((O336&lt;&gt;"None")*(O336&lt;&gt;""),LEN(O336)-LEN(SUBSTITUTE(O336,",",""))+1,0)) + SUM(IF((P336&lt;&gt;"None")*(P336&lt;&gt;""),LEN(P336)-LEN(SUBSTITUTE(P336,",",""))+1,0)))</f>
        <v/>
      </c>
      <c r="L336" s="7" t="str">
        <f t="shared" ref="L336:L399" si="52">IF(LEN(E336)=0, "", IFERROR(IF(E336&gt;=0, K336 * (1 + E336/100) - K336, K336 / (ABS(E336)/100))+K336, ""))</f>
        <v/>
      </c>
      <c r="N336" s="7" t="str">
        <f t="shared" ref="N336:N399" si="53">IF(M336="Yes",L336-K336,IF(M336="No",-K336,""))</f>
        <v/>
      </c>
      <c r="O336" t="str">
        <f t="shared" ref="O336:O399" si="54">IF(AND(G336="No",H336="No"), "None", "")</f>
        <v/>
      </c>
      <c r="P336" t="str">
        <f t="shared" ref="P336:P399" si="55">IF(I336="No", "None", "")</f>
        <v/>
      </c>
      <c r="Q336" t="str">
        <f t="shared" ref="Q336:Q399" si="56">IF(AND(D336="Straight", M336 = "No"),IF(O336="None",P336,IF(P336="None",O336) ),"")</f>
        <v/>
      </c>
      <c r="S336" t="str">
        <f>""</f>
        <v/>
      </c>
      <c r="AL336" s="18" t="str">
        <f>IF(COUNTIF($A$2:A335, A335) = 1, A335, "")</f>
        <v/>
      </c>
    </row>
    <row r="337" spans="6:38" x14ac:dyDescent="0.2">
      <c r="F337" t="str">
        <f t="shared" si="51"/>
        <v/>
      </c>
      <c r="L337" s="7" t="str">
        <f t="shared" si="52"/>
        <v/>
      </c>
      <c r="N337" s="7" t="str">
        <f t="shared" si="53"/>
        <v/>
      </c>
      <c r="O337" t="str">
        <f t="shared" si="54"/>
        <v/>
      </c>
      <c r="P337" t="str">
        <f t="shared" si="55"/>
        <v/>
      </c>
      <c r="Q337" t="str">
        <f t="shared" si="56"/>
        <v/>
      </c>
      <c r="S337" t="str">
        <f>""</f>
        <v/>
      </c>
      <c r="AL337" s="18" t="str">
        <f>IF(COUNTIF($A$2:A336, A336) = 1, A336, "")</f>
        <v/>
      </c>
    </row>
    <row r="338" spans="6:38" x14ac:dyDescent="0.2">
      <c r="F338" t="str">
        <f t="shared" si="51"/>
        <v/>
      </c>
      <c r="L338" s="7" t="str">
        <f t="shared" si="52"/>
        <v/>
      </c>
      <c r="N338" s="7" t="str">
        <f t="shared" si="53"/>
        <v/>
      </c>
      <c r="O338" t="str">
        <f t="shared" si="54"/>
        <v/>
      </c>
      <c r="P338" t="str">
        <f t="shared" si="55"/>
        <v/>
      </c>
      <c r="Q338" t="str">
        <f t="shared" si="56"/>
        <v/>
      </c>
      <c r="S338" t="str">
        <f>""</f>
        <v/>
      </c>
      <c r="AL338" s="18" t="str">
        <f>IF(COUNTIF($A$2:A337, A337) = 1, A337, "")</f>
        <v/>
      </c>
    </row>
    <row r="339" spans="6:38" x14ac:dyDescent="0.2">
      <c r="F339" t="str">
        <f t="shared" si="51"/>
        <v/>
      </c>
      <c r="L339" s="7" t="str">
        <f t="shared" si="52"/>
        <v/>
      </c>
      <c r="N339" s="7" t="str">
        <f t="shared" si="53"/>
        <v/>
      </c>
      <c r="O339" t="str">
        <f t="shared" si="54"/>
        <v/>
      </c>
      <c r="P339" t="str">
        <f t="shared" si="55"/>
        <v/>
      </c>
      <c r="Q339" t="str">
        <f t="shared" si="56"/>
        <v/>
      </c>
      <c r="S339" t="str">
        <f>""</f>
        <v/>
      </c>
      <c r="AL339" s="18" t="str">
        <f>IF(COUNTIF($A$2:A338, A338) = 1, A338, "")</f>
        <v/>
      </c>
    </row>
    <row r="340" spans="6:38" x14ac:dyDescent="0.2">
      <c r="F340" t="str">
        <f t="shared" si="51"/>
        <v/>
      </c>
      <c r="L340" s="7" t="str">
        <f t="shared" si="52"/>
        <v/>
      </c>
      <c r="N340" s="7" t="str">
        <f t="shared" si="53"/>
        <v/>
      </c>
      <c r="O340" t="str">
        <f t="shared" si="54"/>
        <v/>
      </c>
      <c r="P340" t="str">
        <f t="shared" si="55"/>
        <v/>
      </c>
      <c r="Q340" t="str">
        <f t="shared" si="56"/>
        <v/>
      </c>
      <c r="S340" t="str">
        <f>""</f>
        <v/>
      </c>
      <c r="AL340" s="18" t="str">
        <f>IF(COUNTIF($A$2:A339, A339) = 1, A339, "")</f>
        <v/>
      </c>
    </row>
    <row r="341" spans="6:38" x14ac:dyDescent="0.2">
      <c r="F341" t="str">
        <f t="shared" si="51"/>
        <v/>
      </c>
      <c r="L341" s="7" t="str">
        <f t="shared" si="52"/>
        <v/>
      </c>
      <c r="N341" s="7" t="str">
        <f t="shared" si="53"/>
        <v/>
      </c>
      <c r="O341" t="str">
        <f t="shared" si="54"/>
        <v/>
      </c>
      <c r="P341" t="str">
        <f t="shared" si="55"/>
        <v/>
      </c>
      <c r="Q341" t="str">
        <f t="shared" si="56"/>
        <v/>
      </c>
      <c r="S341" t="str">
        <f>""</f>
        <v/>
      </c>
      <c r="AL341" s="18" t="str">
        <f>IF(COUNTIF($A$2:A340, A340) = 1, A340, "")</f>
        <v/>
      </c>
    </row>
    <row r="342" spans="6:38" x14ac:dyDescent="0.2">
      <c r="F342" t="str">
        <f t="shared" si="51"/>
        <v/>
      </c>
      <c r="L342" s="7" t="str">
        <f t="shared" si="52"/>
        <v/>
      </c>
      <c r="N342" s="7" t="str">
        <f t="shared" si="53"/>
        <v/>
      </c>
      <c r="O342" t="str">
        <f t="shared" si="54"/>
        <v/>
      </c>
      <c r="P342" t="str">
        <f t="shared" si="55"/>
        <v/>
      </c>
      <c r="Q342" t="str">
        <f t="shared" si="56"/>
        <v/>
      </c>
      <c r="S342" t="str">
        <f>""</f>
        <v/>
      </c>
      <c r="AL342" s="18" t="str">
        <f>IF(COUNTIF($A$2:A341, A341) = 1, A341, "")</f>
        <v/>
      </c>
    </row>
    <row r="343" spans="6:38" x14ac:dyDescent="0.2">
      <c r="F343" t="str">
        <f t="shared" si="51"/>
        <v/>
      </c>
      <c r="L343" s="7" t="str">
        <f t="shared" si="52"/>
        <v/>
      </c>
      <c r="N343" s="7" t="str">
        <f t="shared" si="53"/>
        <v/>
      </c>
      <c r="O343" t="str">
        <f t="shared" si="54"/>
        <v/>
      </c>
      <c r="P343" t="str">
        <f t="shared" si="55"/>
        <v/>
      </c>
      <c r="Q343" t="str">
        <f t="shared" si="56"/>
        <v/>
      </c>
      <c r="S343" t="str">
        <f>""</f>
        <v/>
      </c>
      <c r="AL343" s="18" t="str">
        <f>IF(COUNTIF($A$2:A342, A342) = 1, A342, "")</f>
        <v/>
      </c>
    </row>
    <row r="344" spans="6:38" x14ac:dyDescent="0.2">
      <c r="F344" t="str">
        <f t="shared" si="51"/>
        <v/>
      </c>
      <c r="L344" s="7" t="str">
        <f t="shared" si="52"/>
        <v/>
      </c>
      <c r="N344" s="7" t="str">
        <f t="shared" si="53"/>
        <v/>
      </c>
      <c r="O344" t="str">
        <f t="shared" si="54"/>
        <v/>
      </c>
      <c r="P344" t="str">
        <f t="shared" si="55"/>
        <v/>
      </c>
      <c r="Q344" t="str">
        <f t="shared" si="56"/>
        <v/>
      </c>
      <c r="S344" t="str">
        <f>""</f>
        <v/>
      </c>
      <c r="AL344" s="18" t="str">
        <f>IF(COUNTIF($A$2:A343, A343) = 1, A343, "")</f>
        <v/>
      </c>
    </row>
    <row r="345" spans="6:38" x14ac:dyDescent="0.2">
      <c r="F345" t="str">
        <f t="shared" si="51"/>
        <v/>
      </c>
      <c r="L345" s="7" t="str">
        <f t="shared" si="52"/>
        <v/>
      </c>
      <c r="N345" s="7" t="str">
        <f t="shared" si="53"/>
        <v/>
      </c>
      <c r="O345" t="str">
        <f t="shared" si="54"/>
        <v/>
      </c>
      <c r="P345" t="str">
        <f t="shared" si="55"/>
        <v/>
      </c>
      <c r="Q345" t="str">
        <f t="shared" si="56"/>
        <v/>
      </c>
      <c r="S345" t="str">
        <f>""</f>
        <v/>
      </c>
      <c r="AL345" s="18" t="str">
        <f>IF(COUNTIF($A$2:A344, A344) = 1, A344, "")</f>
        <v/>
      </c>
    </row>
    <row r="346" spans="6:38" x14ac:dyDescent="0.2">
      <c r="F346" t="str">
        <f t="shared" si="51"/>
        <v/>
      </c>
      <c r="L346" s="7" t="str">
        <f t="shared" si="52"/>
        <v/>
      </c>
      <c r="N346" s="7" t="str">
        <f t="shared" si="53"/>
        <v/>
      </c>
      <c r="O346" t="str">
        <f t="shared" si="54"/>
        <v/>
      </c>
      <c r="P346" t="str">
        <f t="shared" si="55"/>
        <v/>
      </c>
      <c r="Q346" t="str">
        <f t="shared" si="56"/>
        <v/>
      </c>
      <c r="S346" t="str">
        <f>""</f>
        <v/>
      </c>
      <c r="AL346" s="18" t="str">
        <f>IF(COUNTIF($A$2:A345, A345) = 1, A345, "")</f>
        <v/>
      </c>
    </row>
    <row r="347" spans="6:38" x14ac:dyDescent="0.2">
      <c r="F347" t="str">
        <f t="shared" si="51"/>
        <v/>
      </c>
      <c r="L347" s="7" t="str">
        <f t="shared" si="52"/>
        <v/>
      </c>
      <c r="N347" s="7" t="str">
        <f t="shared" si="53"/>
        <v/>
      </c>
      <c r="O347" t="str">
        <f t="shared" si="54"/>
        <v/>
      </c>
      <c r="P347" t="str">
        <f t="shared" si="55"/>
        <v/>
      </c>
      <c r="Q347" t="str">
        <f t="shared" si="56"/>
        <v/>
      </c>
      <c r="S347" t="str">
        <f>""</f>
        <v/>
      </c>
      <c r="AL347" s="18" t="str">
        <f>IF(COUNTIF($A$2:A346, A346) = 1, A346, "")</f>
        <v/>
      </c>
    </row>
    <row r="348" spans="6:38" x14ac:dyDescent="0.2">
      <c r="F348" t="str">
        <f t="shared" si="51"/>
        <v/>
      </c>
      <c r="L348" s="7" t="str">
        <f t="shared" si="52"/>
        <v/>
      </c>
      <c r="N348" s="7" t="str">
        <f t="shared" si="53"/>
        <v/>
      </c>
      <c r="O348" t="str">
        <f t="shared" si="54"/>
        <v/>
      </c>
      <c r="P348" t="str">
        <f t="shared" si="55"/>
        <v/>
      </c>
      <c r="Q348" t="str">
        <f t="shared" si="56"/>
        <v/>
      </c>
      <c r="S348" t="str">
        <f>""</f>
        <v/>
      </c>
      <c r="AL348" s="18" t="str">
        <f>IF(COUNTIF($A$2:A347, A347) = 1, A347, "")</f>
        <v/>
      </c>
    </row>
    <row r="349" spans="6:38" x14ac:dyDescent="0.2">
      <c r="F349" t="str">
        <f t="shared" si="51"/>
        <v/>
      </c>
      <c r="L349" s="7" t="str">
        <f t="shared" si="52"/>
        <v/>
      </c>
      <c r="N349" s="7" t="str">
        <f t="shared" si="53"/>
        <v/>
      </c>
      <c r="O349" t="str">
        <f t="shared" si="54"/>
        <v/>
      </c>
      <c r="P349" t="str">
        <f t="shared" si="55"/>
        <v/>
      </c>
      <c r="Q349" t="str">
        <f t="shared" si="56"/>
        <v/>
      </c>
      <c r="S349" t="str">
        <f>""</f>
        <v/>
      </c>
      <c r="AL349" s="18" t="str">
        <f>IF(COUNTIF($A$2:A348, A348) = 1, A348, "")</f>
        <v/>
      </c>
    </row>
    <row r="350" spans="6:38" x14ac:dyDescent="0.2">
      <c r="F350" t="str">
        <f t="shared" si="51"/>
        <v/>
      </c>
      <c r="L350" s="7" t="str">
        <f t="shared" si="52"/>
        <v/>
      </c>
      <c r="N350" s="7" t="str">
        <f t="shared" si="53"/>
        <v/>
      </c>
      <c r="O350" t="str">
        <f t="shared" si="54"/>
        <v/>
      </c>
      <c r="P350" t="str">
        <f t="shared" si="55"/>
        <v/>
      </c>
      <c r="Q350" t="str">
        <f t="shared" si="56"/>
        <v/>
      </c>
      <c r="S350" t="str">
        <f>""</f>
        <v/>
      </c>
      <c r="AL350" s="18" t="str">
        <f>IF(COUNTIF($A$2:A349, A349) = 1, A349, "")</f>
        <v/>
      </c>
    </row>
    <row r="351" spans="6:38" x14ac:dyDescent="0.2">
      <c r="F351" t="str">
        <f t="shared" si="51"/>
        <v/>
      </c>
      <c r="L351" s="7" t="str">
        <f t="shared" si="52"/>
        <v/>
      </c>
      <c r="N351" s="7" t="str">
        <f t="shared" si="53"/>
        <v/>
      </c>
      <c r="O351" t="str">
        <f t="shared" si="54"/>
        <v/>
      </c>
      <c r="P351" t="str">
        <f t="shared" si="55"/>
        <v/>
      </c>
      <c r="Q351" t="str">
        <f t="shared" si="56"/>
        <v/>
      </c>
      <c r="S351" t="str">
        <f>""</f>
        <v/>
      </c>
      <c r="AL351" s="18" t="str">
        <f>IF(COUNTIF($A$2:A350, A350) = 1, A350, "")</f>
        <v/>
      </c>
    </row>
    <row r="352" spans="6:38" x14ac:dyDescent="0.2">
      <c r="F352" t="str">
        <f t="shared" si="51"/>
        <v/>
      </c>
      <c r="L352" s="7" t="str">
        <f t="shared" si="52"/>
        <v/>
      </c>
      <c r="N352" s="7" t="str">
        <f t="shared" si="53"/>
        <v/>
      </c>
      <c r="O352" t="str">
        <f t="shared" si="54"/>
        <v/>
      </c>
      <c r="P352" t="str">
        <f t="shared" si="55"/>
        <v/>
      </c>
      <c r="Q352" t="str">
        <f t="shared" si="56"/>
        <v/>
      </c>
      <c r="S352" t="str">
        <f>""</f>
        <v/>
      </c>
      <c r="AL352" s="18" t="str">
        <f>IF(COUNTIF($A$2:A351, A351) = 1, A351, "")</f>
        <v/>
      </c>
    </row>
    <row r="353" spans="6:38" x14ac:dyDescent="0.2">
      <c r="F353" t="str">
        <f t="shared" si="51"/>
        <v/>
      </c>
      <c r="L353" s="7" t="str">
        <f t="shared" si="52"/>
        <v/>
      </c>
      <c r="N353" s="7" t="str">
        <f t="shared" si="53"/>
        <v/>
      </c>
      <c r="O353" t="str">
        <f t="shared" si="54"/>
        <v/>
      </c>
      <c r="P353" t="str">
        <f t="shared" si="55"/>
        <v/>
      </c>
      <c r="Q353" t="str">
        <f t="shared" si="56"/>
        <v/>
      </c>
      <c r="S353" t="str">
        <f>""</f>
        <v/>
      </c>
      <c r="AL353" s="18" t="str">
        <f>IF(COUNTIF($A$2:A352, A352) = 1, A352, "")</f>
        <v/>
      </c>
    </row>
    <row r="354" spans="6:38" x14ac:dyDescent="0.2">
      <c r="F354" t="str">
        <f t="shared" si="51"/>
        <v/>
      </c>
      <c r="L354" s="7" t="str">
        <f t="shared" si="52"/>
        <v/>
      </c>
      <c r="N354" s="7" t="str">
        <f t="shared" si="53"/>
        <v/>
      </c>
      <c r="O354" t="str">
        <f t="shared" si="54"/>
        <v/>
      </c>
      <c r="P354" t="str">
        <f t="shared" si="55"/>
        <v/>
      </c>
      <c r="Q354" t="str">
        <f t="shared" si="56"/>
        <v/>
      </c>
      <c r="S354" t="str">
        <f>""</f>
        <v/>
      </c>
      <c r="AL354" s="18" t="str">
        <f>IF(COUNTIF($A$2:A353, A353) = 1, A353, "")</f>
        <v/>
      </c>
    </row>
    <row r="355" spans="6:38" x14ac:dyDescent="0.2">
      <c r="F355" t="str">
        <f t="shared" si="51"/>
        <v/>
      </c>
      <c r="L355" s="7" t="str">
        <f t="shared" si="52"/>
        <v/>
      </c>
      <c r="N355" s="7" t="str">
        <f t="shared" si="53"/>
        <v/>
      </c>
      <c r="O355" t="str">
        <f t="shared" si="54"/>
        <v/>
      </c>
      <c r="P355" t="str">
        <f t="shared" si="55"/>
        <v/>
      </c>
      <c r="Q355" t="str">
        <f t="shared" si="56"/>
        <v/>
      </c>
      <c r="S355" t="str">
        <f>""</f>
        <v/>
      </c>
      <c r="AL355" s="18" t="str">
        <f>IF(COUNTIF($A$2:A354, A354) = 1, A354, "")</f>
        <v/>
      </c>
    </row>
    <row r="356" spans="6:38" x14ac:dyDescent="0.2">
      <c r="F356" t="str">
        <f t="shared" si="51"/>
        <v/>
      </c>
      <c r="L356" s="7" t="str">
        <f t="shared" si="52"/>
        <v/>
      </c>
      <c r="N356" s="7" t="str">
        <f t="shared" si="53"/>
        <v/>
      </c>
      <c r="O356" t="str">
        <f t="shared" si="54"/>
        <v/>
      </c>
      <c r="P356" t="str">
        <f t="shared" si="55"/>
        <v/>
      </c>
      <c r="Q356" t="str">
        <f t="shared" si="56"/>
        <v/>
      </c>
      <c r="S356" t="str">
        <f>""</f>
        <v/>
      </c>
      <c r="AL356" s="18" t="str">
        <f>IF(COUNTIF($A$2:A355, A355) = 1, A355, "")</f>
        <v/>
      </c>
    </row>
    <row r="357" spans="6:38" x14ac:dyDescent="0.2">
      <c r="F357" t="str">
        <f t="shared" si="51"/>
        <v/>
      </c>
      <c r="L357" s="7" t="str">
        <f t="shared" si="52"/>
        <v/>
      </c>
      <c r="N357" s="7" t="str">
        <f t="shared" si="53"/>
        <v/>
      </c>
      <c r="O357" t="str">
        <f t="shared" si="54"/>
        <v/>
      </c>
      <c r="P357" t="str">
        <f t="shared" si="55"/>
        <v/>
      </c>
      <c r="Q357" t="str">
        <f t="shared" si="56"/>
        <v/>
      </c>
      <c r="S357" t="str">
        <f>""</f>
        <v/>
      </c>
      <c r="AL357" s="18" t="str">
        <f>IF(COUNTIF($A$2:A356, A356) = 1, A356, "")</f>
        <v/>
      </c>
    </row>
    <row r="358" spans="6:38" x14ac:dyDescent="0.2">
      <c r="F358" t="str">
        <f t="shared" si="51"/>
        <v/>
      </c>
      <c r="L358" s="7" t="str">
        <f t="shared" si="52"/>
        <v/>
      </c>
      <c r="N358" s="7" t="str">
        <f t="shared" si="53"/>
        <v/>
      </c>
      <c r="O358" t="str">
        <f t="shared" si="54"/>
        <v/>
      </c>
      <c r="P358" t="str">
        <f t="shared" si="55"/>
        <v/>
      </c>
      <c r="Q358" t="str">
        <f t="shared" si="56"/>
        <v/>
      </c>
      <c r="S358" t="str">
        <f>""</f>
        <v/>
      </c>
      <c r="AL358" s="18" t="str">
        <f>IF(COUNTIF($A$2:A357, A357) = 1, A357, "")</f>
        <v/>
      </c>
    </row>
    <row r="359" spans="6:38" x14ac:dyDescent="0.2">
      <c r="F359" t="str">
        <f t="shared" si="51"/>
        <v/>
      </c>
      <c r="L359" s="7" t="str">
        <f t="shared" si="52"/>
        <v/>
      </c>
      <c r="N359" s="7" t="str">
        <f t="shared" si="53"/>
        <v/>
      </c>
      <c r="O359" t="str">
        <f t="shared" si="54"/>
        <v/>
      </c>
      <c r="P359" t="str">
        <f t="shared" si="55"/>
        <v/>
      </c>
      <c r="Q359" t="str">
        <f t="shared" si="56"/>
        <v/>
      </c>
      <c r="S359" t="str">
        <f>""</f>
        <v/>
      </c>
      <c r="AL359" s="18" t="str">
        <f>IF(COUNTIF($A$2:A358, A358) = 1, A358, "")</f>
        <v/>
      </c>
    </row>
    <row r="360" spans="6:38" x14ac:dyDescent="0.2">
      <c r="F360" t="str">
        <f t="shared" si="51"/>
        <v/>
      </c>
      <c r="L360" s="7" t="str">
        <f t="shared" si="52"/>
        <v/>
      </c>
      <c r="N360" s="7" t="str">
        <f t="shared" si="53"/>
        <v/>
      </c>
      <c r="O360" t="str">
        <f t="shared" si="54"/>
        <v/>
      </c>
      <c r="P360" t="str">
        <f t="shared" si="55"/>
        <v/>
      </c>
      <c r="Q360" t="str">
        <f t="shared" si="56"/>
        <v/>
      </c>
      <c r="S360" t="str">
        <f>""</f>
        <v/>
      </c>
      <c r="AL360" s="18" t="str">
        <f>IF(COUNTIF($A$2:A359, A359) = 1, A359, "")</f>
        <v/>
      </c>
    </row>
    <row r="361" spans="6:38" x14ac:dyDescent="0.2">
      <c r="F361" t="str">
        <f t="shared" si="51"/>
        <v/>
      </c>
      <c r="L361" s="7" t="str">
        <f t="shared" si="52"/>
        <v/>
      </c>
      <c r="N361" s="7" t="str">
        <f t="shared" si="53"/>
        <v/>
      </c>
      <c r="O361" t="str">
        <f t="shared" si="54"/>
        <v/>
      </c>
      <c r="P361" t="str">
        <f t="shared" si="55"/>
        <v/>
      </c>
      <c r="Q361" t="str">
        <f t="shared" si="56"/>
        <v/>
      </c>
      <c r="S361" t="str">
        <f>""</f>
        <v/>
      </c>
      <c r="AL361" s="18" t="str">
        <f>IF(COUNTIF($A$2:A360, A360) = 1, A360, "")</f>
        <v/>
      </c>
    </row>
    <row r="362" spans="6:38" x14ac:dyDescent="0.2">
      <c r="F362" t="str">
        <f t="shared" si="51"/>
        <v/>
      </c>
      <c r="L362" s="7" t="str">
        <f t="shared" si="52"/>
        <v/>
      </c>
      <c r="N362" s="7" t="str">
        <f t="shared" si="53"/>
        <v/>
      </c>
      <c r="O362" t="str">
        <f t="shared" si="54"/>
        <v/>
      </c>
      <c r="P362" t="str">
        <f t="shared" si="55"/>
        <v/>
      </c>
      <c r="Q362" t="str">
        <f t="shared" si="56"/>
        <v/>
      </c>
      <c r="S362" t="str">
        <f>""</f>
        <v/>
      </c>
      <c r="AL362" s="18" t="str">
        <f>IF(COUNTIF($A$2:A361, A361) = 1, A361, "")</f>
        <v/>
      </c>
    </row>
    <row r="363" spans="6:38" x14ac:dyDescent="0.2">
      <c r="F363" t="str">
        <f t="shared" si="51"/>
        <v/>
      </c>
      <c r="L363" s="7" t="str">
        <f t="shared" si="52"/>
        <v/>
      </c>
      <c r="N363" s="7" t="str">
        <f t="shared" si="53"/>
        <v/>
      </c>
      <c r="O363" t="str">
        <f t="shared" si="54"/>
        <v/>
      </c>
      <c r="P363" t="str">
        <f t="shared" si="55"/>
        <v/>
      </c>
      <c r="Q363" t="str">
        <f t="shared" si="56"/>
        <v/>
      </c>
      <c r="S363" t="str">
        <f>""</f>
        <v/>
      </c>
      <c r="AL363" s="18" t="str">
        <f>IF(COUNTIF($A$2:A362, A362) = 1, A362, "")</f>
        <v/>
      </c>
    </row>
    <row r="364" spans="6:38" x14ac:dyDescent="0.2">
      <c r="F364" t="str">
        <f t="shared" si="51"/>
        <v/>
      </c>
      <c r="L364" s="7" t="str">
        <f t="shared" si="52"/>
        <v/>
      </c>
      <c r="N364" s="7" t="str">
        <f t="shared" si="53"/>
        <v/>
      </c>
      <c r="O364" t="str">
        <f t="shared" si="54"/>
        <v/>
      </c>
      <c r="P364" t="str">
        <f t="shared" si="55"/>
        <v/>
      </c>
      <c r="Q364" t="str">
        <f t="shared" si="56"/>
        <v/>
      </c>
      <c r="S364" t="str">
        <f>""</f>
        <v/>
      </c>
      <c r="AL364" s="18" t="str">
        <f>IF(COUNTIF($A$2:A363, A363) = 1, A363, "")</f>
        <v/>
      </c>
    </row>
    <row r="365" spans="6:38" x14ac:dyDescent="0.2">
      <c r="F365" t="str">
        <f t="shared" si="51"/>
        <v/>
      </c>
      <c r="L365" s="7" t="str">
        <f t="shared" si="52"/>
        <v/>
      </c>
      <c r="N365" s="7" t="str">
        <f t="shared" si="53"/>
        <v/>
      </c>
      <c r="O365" t="str">
        <f t="shared" si="54"/>
        <v/>
      </c>
      <c r="P365" t="str">
        <f t="shared" si="55"/>
        <v/>
      </c>
      <c r="Q365" t="str">
        <f t="shared" si="56"/>
        <v/>
      </c>
      <c r="S365" t="str">
        <f>""</f>
        <v/>
      </c>
      <c r="AL365" s="18" t="str">
        <f>IF(COUNTIF($A$2:A364, A364) = 1, A364, "")</f>
        <v/>
      </c>
    </row>
    <row r="366" spans="6:38" x14ac:dyDescent="0.2">
      <c r="F366" t="str">
        <f t="shared" si="51"/>
        <v/>
      </c>
      <c r="L366" s="7" t="str">
        <f t="shared" si="52"/>
        <v/>
      </c>
      <c r="N366" s="7" t="str">
        <f t="shared" si="53"/>
        <v/>
      </c>
      <c r="O366" t="str">
        <f t="shared" si="54"/>
        <v/>
      </c>
      <c r="P366" t="str">
        <f t="shared" si="55"/>
        <v/>
      </c>
      <c r="Q366" t="str">
        <f t="shared" si="56"/>
        <v/>
      </c>
      <c r="S366" t="str">
        <f>""</f>
        <v/>
      </c>
      <c r="AL366" s="18" t="str">
        <f>IF(COUNTIF($A$2:A365, A365) = 1, A365, "")</f>
        <v/>
      </c>
    </row>
    <row r="367" spans="6:38" x14ac:dyDescent="0.2">
      <c r="F367" t="str">
        <f t="shared" si="51"/>
        <v/>
      </c>
      <c r="L367" s="7" t="str">
        <f t="shared" si="52"/>
        <v/>
      </c>
      <c r="N367" s="7" t="str">
        <f t="shared" si="53"/>
        <v/>
      </c>
      <c r="O367" t="str">
        <f t="shared" si="54"/>
        <v/>
      </c>
      <c r="P367" t="str">
        <f t="shared" si="55"/>
        <v/>
      </c>
      <c r="Q367" t="str">
        <f t="shared" si="56"/>
        <v/>
      </c>
      <c r="S367" t="str">
        <f>""</f>
        <v/>
      </c>
      <c r="AL367" s="18" t="str">
        <f>IF(COUNTIF($A$2:A366, A366) = 1, A366, "")</f>
        <v/>
      </c>
    </row>
    <row r="368" spans="6:38" x14ac:dyDescent="0.2">
      <c r="F368" t="str">
        <f t="shared" si="51"/>
        <v/>
      </c>
      <c r="L368" s="7" t="str">
        <f t="shared" si="52"/>
        <v/>
      </c>
      <c r="N368" s="7" t="str">
        <f t="shared" si="53"/>
        <v/>
      </c>
      <c r="O368" t="str">
        <f t="shared" si="54"/>
        <v/>
      </c>
      <c r="P368" t="str">
        <f t="shared" si="55"/>
        <v/>
      </c>
      <c r="Q368" t="str">
        <f t="shared" si="56"/>
        <v/>
      </c>
      <c r="S368" t="str">
        <f>""</f>
        <v/>
      </c>
      <c r="AL368" s="18" t="str">
        <f>IF(COUNTIF($A$2:A367, A367) = 1, A367, "")</f>
        <v/>
      </c>
    </row>
    <row r="369" spans="6:38" x14ac:dyDescent="0.2">
      <c r="F369" t="str">
        <f t="shared" si="51"/>
        <v/>
      </c>
      <c r="L369" s="7" t="str">
        <f t="shared" si="52"/>
        <v/>
      </c>
      <c r="N369" s="7" t="str">
        <f t="shared" si="53"/>
        <v/>
      </c>
      <c r="O369" t="str">
        <f t="shared" si="54"/>
        <v/>
      </c>
      <c r="P369" t="str">
        <f t="shared" si="55"/>
        <v/>
      </c>
      <c r="Q369" t="str">
        <f t="shared" si="56"/>
        <v/>
      </c>
      <c r="S369" t="str">
        <f>""</f>
        <v/>
      </c>
      <c r="AL369" s="18" t="str">
        <f>IF(COUNTIF($A$2:A368, A368) = 1, A368, "")</f>
        <v/>
      </c>
    </row>
    <row r="370" spans="6:38" x14ac:dyDescent="0.2">
      <c r="F370" t="str">
        <f t="shared" si="51"/>
        <v/>
      </c>
      <c r="L370" s="7" t="str">
        <f t="shared" si="52"/>
        <v/>
      </c>
      <c r="N370" s="7" t="str">
        <f t="shared" si="53"/>
        <v/>
      </c>
      <c r="O370" t="str">
        <f t="shared" si="54"/>
        <v/>
      </c>
      <c r="P370" t="str">
        <f t="shared" si="55"/>
        <v/>
      </c>
      <c r="Q370" t="str">
        <f t="shared" si="56"/>
        <v/>
      </c>
      <c r="S370" t="str">
        <f>""</f>
        <v/>
      </c>
      <c r="AL370" s="18" t="str">
        <f>IF(COUNTIF($A$2:A369, A369) = 1, A369, "")</f>
        <v/>
      </c>
    </row>
    <row r="371" spans="6:38" x14ac:dyDescent="0.2">
      <c r="F371" t="str">
        <f t="shared" si="51"/>
        <v/>
      </c>
      <c r="L371" s="7" t="str">
        <f t="shared" si="52"/>
        <v/>
      </c>
      <c r="N371" s="7" t="str">
        <f t="shared" si="53"/>
        <v/>
      </c>
      <c r="O371" t="str">
        <f t="shared" si="54"/>
        <v/>
      </c>
      <c r="P371" t="str">
        <f t="shared" si="55"/>
        <v/>
      </c>
      <c r="Q371" t="str">
        <f t="shared" si="56"/>
        <v/>
      </c>
      <c r="S371" t="str">
        <f>""</f>
        <v/>
      </c>
      <c r="AL371" s="18" t="str">
        <f>IF(COUNTIF($A$2:A370, A370) = 1, A370, "")</f>
        <v/>
      </c>
    </row>
    <row r="372" spans="6:38" x14ac:dyDescent="0.2">
      <c r="F372" t="str">
        <f t="shared" si="51"/>
        <v/>
      </c>
      <c r="L372" s="7" t="str">
        <f t="shared" si="52"/>
        <v/>
      </c>
      <c r="N372" s="7" t="str">
        <f t="shared" si="53"/>
        <v/>
      </c>
      <c r="O372" t="str">
        <f t="shared" si="54"/>
        <v/>
      </c>
      <c r="P372" t="str">
        <f t="shared" si="55"/>
        <v/>
      </c>
      <c r="Q372" t="str">
        <f t="shared" si="56"/>
        <v/>
      </c>
      <c r="S372" t="str">
        <f>""</f>
        <v/>
      </c>
      <c r="AL372" s="18" t="str">
        <f>IF(COUNTIF($A$2:A371, A371) = 1, A371, "")</f>
        <v/>
      </c>
    </row>
    <row r="373" spans="6:38" x14ac:dyDescent="0.2">
      <c r="F373" t="str">
        <f t="shared" si="51"/>
        <v/>
      </c>
      <c r="L373" s="7" t="str">
        <f t="shared" si="52"/>
        <v/>
      </c>
      <c r="N373" s="7" t="str">
        <f t="shared" si="53"/>
        <v/>
      </c>
      <c r="O373" t="str">
        <f t="shared" si="54"/>
        <v/>
      </c>
      <c r="P373" t="str">
        <f t="shared" si="55"/>
        <v/>
      </c>
      <c r="Q373" t="str">
        <f t="shared" si="56"/>
        <v/>
      </c>
      <c r="S373" t="str">
        <f>""</f>
        <v/>
      </c>
      <c r="AL373" s="18" t="str">
        <f>IF(COUNTIF($A$2:A372, A372) = 1, A372, "")</f>
        <v/>
      </c>
    </row>
    <row r="374" spans="6:38" x14ac:dyDescent="0.2">
      <c r="F374" t="str">
        <f t="shared" si="51"/>
        <v/>
      </c>
      <c r="L374" s="7" t="str">
        <f t="shared" si="52"/>
        <v/>
      </c>
      <c r="N374" s="7" t="str">
        <f t="shared" si="53"/>
        <v/>
      </c>
      <c r="O374" t="str">
        <f t="shared" si="54"/>
        <v/>
      </c>
      <c r="P374" t="str">
        <f t="shared" si="55"/>
        <v/>
      </c>
      <c r="Q374" t="str">
        <f t="shared" si="56"/>
        <v/>
      </c>
      <c r="S374" t="str">
        <f>""</f>
        <v/>
      </c>
      <c r="AL374" s="18" t="str">
        <f>IF(COUNTIF($A$2:A373, A373) = 1, A373, "")</f>
        <v/>
      </c>
    </row>
    <row r="375" spans="6:38" x14ac:dyDescent="0.2">
      <c r="F375" t="str">
        <f t="shared" si="51"/>
        <v/>
      </c>
      <c r="L375" s="7" t="str">
        <f t="shared" si="52"/>
        <v/>
      </c>
      <c r="N375" s="7" t="str">
        <f t="shared" si="53"/>
        <v/>
      </c>
      <c r="O375" t="str">
        <f t="shared" si="54"/>
        <v/>
      </c>
      <c r="P375" t="str">
        <f t="shared" si="55"/>
        <v/>
      </c>
      <c r="Q375" t="str">
        <f t="shared" si="56"/>
        <v/>
      </c>
      <c r="S375" t="str">
        <f>""</f>
        <v/>
      </c>
      <c r="AL375" s="18" t="str">
        <f>IF(COUNTIF($A$2:A374, A374) = 1, A374, "")</f>
        <v/>
      </c>
    </row>
    <row r="376" spans="6:38" x14ac:dyDescent="0.2">
      <c r="F376" t="str">
        <f t="shared" si="51"/>
        <v/>
      </c>
      <c r="L376" s="7" t="str">
        <f t="shared" si="52"/>
        <v/>
      </c>
      <c r="N376" s="7" t="str">
        <f t="shared" si="53"/>
        <v/>
      </c>
      <c r="O376" t="str">
        <f t="shared" si="54"/>
        <v/>
      </c>
      <c r="P376" t="str">
        <f t="shared" si="55"/>
        <v/>
      </c>
      <c r="Q376" t="str">
        <f t="shared" si="56"/>
        <v/>
      </c>
      <c r="S376" t="str">
        <f>""</f>
        <v/>
      </c>
      <c r="AL376" s="18" t="str">
        <f>IF(COUNTIF($A$2:A375, A375) = 1, A375, "")</f>
        <v/>
      </c>
    </row>
    <row r="377" spans="6:38" x14ac:dyDescent="0.2">
      <c r="F377" t="str">
        <f t="shared" si="51"/>
        <v/>
      </c>
      <c r="L377" s="7" t="str">
        <f t="shared" si="52"/>
        <v/>
      </c>
      <c r="N377" s="7" t="str">
        <f t="shared" si="53"/>
        <v/>
      </c>
      <c r="O377" t="str">
        <f t="shared" si="54"/>
        <v/>
      </c>
      <c r="P377" t="str">
        <f t="shared" si="55"/>
        <v/>
      </c>
      <c r="Q377" t="str">
        <f t="shared" si="56"/>
        <v/>
      </c>
      <c r="S377" t="str">
        <f>""</f>
        <v/>
      </c>
      <c r="AL377" s="18" t="str">
        <f>IF(COUNTIF($A$2:A376, A376) = 1, A376, "")</f>
        <v/>
      </c>
    </row>
    <row r="378" spans="6:38" x14ac:dyDescent="0.2">
      <c r="F378" t="str">
        <f t="shared" si="51"/>
        <v/>
      </c>
      <c r="L378" s="7" t="str">
        <f t="shared" si="52"/>
        <v/>
      </c>
      <c r="N378" s="7" t="str">
        <f t="shared" si="53"/>
        <v/>
      </c>
      <c r="O378" t="str">
        <f t="shared" si="54"/>
        <v/>
      </c>
      <c r="P378" t="str">
        <f t="shared" si="55"/>
        <v/>
      </c>
      <c r="Q378" t="str">
        <f t="shared" si="56"/>
        <v/>
      </c>
      <c r="S378" t="str">
        <f>""</f>
        <v/>
      </c>
      <c r="AL378" s="18" t="str">
        <f>IF(COUNTIF($A$2:A377, A377) = 1, A377, "")</f>
        <v/>
      </c>
    </row>
    <row r="379" spans="6:38" x14ac:dyDescent="0.2">
      <c r="F379" t="str">
        <f t="shared" si="51"/>
        <v/>
      </c>
      <c r="L379" s="7" t="str">
        <f t="shared" si="52"/>
        <v/>
      </c>
      <c r="N379" s="7" t="str">
        <f t="shared" si="53"/>
        <v/>
      </c>
      <c r="O379" t="str">
        <f t="shared" si="54"/>
        <v/>
      </c>
      <c r="P379" t="str">
        <f t="shared" si="55"/>
        <v/>
      </c>
      <c r="Q379" t="str">
        <f t="shared" si="56"/>
        <v/>
      </c>
      <c r="S379" t="str">
        <f>""</f>
        <v/>
      </c>
      <c r="AL379" s="18" t="str">
        <f>IF(COUNTIF($A$2:A378, A378) = 1, A378, "")</f>
        <v/>
      </c>
    </row>
    <row r="380" spans="6:38" x14ac:dyDescent="0.2">
      <c r="F380" t="str">
        <f t="shared" si="51"/>
        <v/>
      </c>
      <c r="L380" s="7" t="str">
        <f t="shared" si="52"/>
        <v/>
      </c>
      <c r="N380" s="7" t="str">
        <f t="shared" si="53"/>
        <v/>
      </c>
      <c r="O380" t="str">
        <f t="shared" si="54"/>
        <v/>
      </c>
      <c r="P380" t="str">
        <f t="shared" si="55"/>
        <v/>
      </c>
      <c r="Q380" t="str">
        <f t="shared" si="56"/>
        <v/>
      </c>
      <c r="S380" t="str">
        <f>""</f>
        <v/>
      </c>
      <c r="AL380" s="18" t="str">
        <f>IF(COUNTIF($A$2:A379, A379) = 1, A379, "")</f>
        <v/>
      </c>
    </row>
    <row r="381" spans="6:38" x14ac:dyDescent="0.2">
      <c r="F381" t="str">
        <f t="shared" si="51"/>
        <v/>
      </c>
      <c r="L381" s="7" t="str">
        <f t="shared" si="52"/>
        <v/>
      </c>
      <c r="N381" s="7" t="str">
        <f t="shared" si="53"/>
        <v/>
      </c>
      <c r="O381" t="str">
        <f t="shared" si="54"/>
        <v/>
      </c>
      <c r="P381" t="str">
        <f t="shared" si="55"/>
        <v/>
      </c>
      <c r="Q381" t="str">
        <f t="shared" si="56"/>
        <v/>
      </c>
      <c r="S381" t="str">
        <f>""</f>
        <v/>
      </c>
      <c r="AL381" s="18" t="str">
        <f>IF(COUNTIF($A$2:A380, A380) = 1, A380, "")</f>
        <v/>
      </c>
    </row>
    <row r="382" spans="6:38" x14ac:dyDescent="0.2">
      <c r="F382" t="str">
        <f t="shared" si="51"/>
        <v/>
      </c>
      <c r="L382" s="7" t="str">
        <f t="shared" si="52"/>
        <v/>
      </c>
      <c r="N382" s="7" t="str">
        <f t="shared" si="53"/>
        <v/>
      </c>
      <c r="O382" t="str">
        <f t="shared" si="54"/>
        <v/>
      </c>
      <c r="P382" t="str">
        <f t="shared" si="55"/>
        <v/>
      </c>
      <c r="Q382" t="str">
        <f t="shared" si="56"/>
        <v/>
      </c>
      <c r="S382" t="str">
        <f>""</f>
        <v/>
      </c>
      <c r="AL382" s="18" t="str">
        <f>IF(COUNTIF($A$2:A381, A381) = 1, A381, "")</f>
        <v/>
      </c>
    </row>
    <row r="383" spans="6:38" x14ac:dyDescent="0.2">
      <c r="F383" t="str">
        <f t="shared" si="51"/>
        <v/>
      </c>
      <c r="L383" s="7" t="str">
        <f t="shared" si="52"/>
        <v/>
      </c>
      <c r="N383" s="7" t="str">
        <f t="shared" si="53"/>
        <v/>
      </c>
      <c r="O383" t="str">
        <f t="shared" si="54"/>
        <v/>
      </c>
      <c r="P383" t="str">
        <f t="shared" si="55"/>
        <v/>
      </c>
      <c r="Q383" t="str">
        <f t="shared" si="56"/>
        <v/>
      </c>
      <c r="S383" t="str">
        <f>""</f>
        <v/>
      </c>
      <c r="AL383" s="18" t="str">
        <f>IF(COUNTIF($A$2:A382, A382) = 1, A382, "")</f>
        <v/>
      </c>
    </row>
    <row r="384" spans="6:38" x14ac:dyDescent="0.2">
      <c r="F384" t="str">
        <f t="shared" si="51"/>
        <v/>
      </c>
      <c r="L384" s="7" t="str">
        <f t="shared" si="52"/>
        <v/>
      </c>
      <c r="N384" s="7" t="str">
        <f t="shared" si="53"/>
        <v/>
      </c>
      <c r="O384" t="str">
        <f t="shared" si="54"/>
        <v/>
      </c>
      <c r="P384" t="str">
        <f t="shared" si="55"/>
        <v/>
      </c>
      <c r="Q384" t="str">
        <f t="shared" si="56"/>
        <v/>
      </c>
      <c r="S384" t="str">
        <f>""</f>
        <v/>
      </c>
      <c r="AL384" s="18" t="str">
        <f>IF(COUNTIF($A$2:A383, A383) = 1, A383, "")</f>
        <v/>
      </c>
    </row>
    <row r="385" spans="6:38" x14ac:dyDescent="0.2">
      <c r="F385" t="str">
        <f t="shared" si="51"/>
        <v/>
      </c>
      <c r="L385" s="7" t="str">
        <f t="shared" si="52"/>
        <v/>
      </c>
      <c r="N385" s="7" t="str">
        <f t="shared" si="53"/>
        <v/>
      </c>
      <c r="O385" t="str">
        <f t="shared" si="54"/>
        <v/>
      </c>
      <c r="P385" t="str">
        <f t="shared" si="55"/>
        <v/>
      </c>
      <c r="Q385" t="str">
        <f t="shared" si="56"/>
        <v/>
      </c>
      <c r="S385" t="str">
        <f>""</f>
        <v/>
      </c>
      <c r="AL385" s="18" t="str">
        <f>IF(COUNTIF($A$2:A384, A384) = 1, A384, "")</f>
        <v/>
      </c>
    </row>
    <row r="386" spans="6:38" x14ac:dyDescent="0.2">
      <c r="F386" t="str">
        <f t="shared" si="51"/>
        <v/>
      </c>
      <c r="L386" s="7" t="str">
        <f t="shared" si="52"/>
        <v/>
      </c>
      <c r="N386" s="7" t="str">
        <f t="shared" si="53"/>
        <v/>
      </c>
      <c r="O386" t="str">
        <f t="shared" si="54"/>
        <v/>
      </c>
      <c r="P386" t="str">
        <f t="shared" si="55"/>
        <v/>
      </c>
      <c r="Q386" t="str">
        <f t="shared" si="56"/>
        <v/>
      </c>
      <c r="S386" t="str">
        <f>""</f>
        <v/>
      </c>
      <c r="AL386" s="18" t="str">
        <f>IF(COUNTIF($A$2:A385, A385) = 1, A385, "")</f>
        <v/>
      </c>
    </row>
    <row r="387" spans="6:38" x14ac:dyDescent="0.2">
      <c r="F387" t="str">
        <f t="shared" si="51"/>
        <v/>
      </c>
      <c r="L387" s="7" t="str">
        <f t="shared" si="52"/>
        <v/>
      </c>
      <c r="N387" s="7" t="str">
        <f t="shared" si="53"/>
        <v/>
      </c>
      <c r="O387" t="str">
        <f t="shared" si="54"/>
        <v/>
      </c>
      <c r="P387" t="str">
        <f t="shared" si="55"/>
        <v/>
      </c>
      <c r="Q387" t="str">
        <f t="shared" si="56"/>
        <v/>
      </c>
      <c r="S387" t="str">
        <f>""</f>
        <v/>
      </c>
      <c r="AL387" s="18" t="str">
        <f>IF(COUNTIF($A$2:A386, A386) = 1, A386, "")</f>
        <v/>
      </c>
    </row>
    <row r="388" spans="6:38" x14ac:dyDescent="0.2">
      <c r="F388" t="str">
        <f t="shared" si="51"/>
        <v/>
      </c>
      <c r="L388" s="7" t="str">
        <f t="shared" si="52"/>
        <v/>
      </c>
      <c r="N388" s="7" t="str">
        <f t="shared" si="53"/>
        <v/>
      </c>
      <c r="O388" t="str">
        <f t="shared" si="54"/>
        <v/>
      </c>
      <c r="P388" t="str">
        <f t="shared" si="55"/>
        <v/>
      </c>
      <c r="Q388" t="str">
        <f t="shared" si="56"/>
        <v/>
      </c>
      <c r="S388" t="str">
        <f>""</f>
        <v/>
      </c>
      <c r="AL388" s="18" t="str">
        <f>IF(COUNTIF($A$2:A387, A387) = 1, A387, "")</f>
        <v/>
      </c>
    </row>
    <row r="389" spans="6:38" x14ac:dyDescent="0.2">
      <c r="F389" t="str">
        <f t="shared" si="51"/>
        <v/>
      </c>
      <c r="L389" s="7" t="str">
        <f t="shared" si="52"/>
        <v/>
      </c>
      <c r="N389" s="7" t="str">
        <f t="shared" si="53"/>
        <v/>
      </c>
      <c r="O389" t="str">
        <f t="shared" si="54"/>
        <v/>
      </c>
      <c r="P389" t="str">
        <f t="shared" si="55"/>
        <v/>
      </c>
      <c r="Q389" t="str">
        <f t="shared" si="56"/>
        <v/>
      </c>
      <c r="S389" t="str">
        <f>""</f>
        <v/>
      </c>
      <c r="AL389" s="18" t="str">
        <f>IF(COUNTIF($A$2:A388, A388) = 1, A388, "")</f>
        <v/>
      </c>
    </row>
    <row r="390" spans="6:38" x14ac:dyDescent="0.2">
      <c r="F390" t="str">
        <f t="shared" si="51"/>
        <v/>
      </c>
      <c r="L390" s="7" t="str">
        <f t="shared" si="52"/>
        <v/>
      </c>
      <c r="N390" s="7" t="str">
        <f t="shared" si="53"/>
        <v/>
      </c>
      <c r="O390" t="str">
        <f t="shared" si="54"/>
        <v/>
      </c>
      <c r="P390" t="str">
        <f t="shared" si="55"/>
        <v/>
      </c>
      <c r="Q390" t="str">
        <f t="shared" si="56"/>
        <v/>
      </c>
      <c r="S390" t="str">
        <f>""</f>
        <v/>
      </c>
      <c r="AL390" s="18" t="str">
        <f>IF(COUNTIF($A$2:A389, A389) = 1, A389, "")</f>
        <v/>
      </c>
    </row>
    <row r="391" spans="6:38" x14ac:dyDescent="0.2">
      <c r="F391" t="str">
        <f t="shared" si="51"/>
        <v/>
      </c>
      <c r="L391" s="7" t="str">
        <f t="shared" si="52"/>
        <v/>
      </c>
      <c r="N391" s="7" t="str">
        <f t="shared" si="53"/>
        <v/>
      </c>
      <c r="O391" t="str">
        <f t="shared" si="54"/>
        <v/>
      </c>
      <c r="P391" t="str">
        <f t="shared" si="55"/>
        <v/>
      </c>
      <c r="Q391" t="str">
        <f t="shared" si="56"/>
        <v/>
      </c>
      <c r="S391" t="str">
        <f>""</f>
        <v/>
      </c>
      <c r="AL391" s="18" t="str">
        <f>IF(COUNTIF($A$2:A390, A390) = 1, A390, "")</f>
        <v/>
      </c>
    </row>
    <row r="392" spans="6:38" x14ac:dyDescent="0.2">
      <c r="F392" t="str">
        <f t="shared" si="51"/>
        <v/>
      </c>
      <c r="L392" s="7" t="str">
        <f t="shared" si="52"/>
        <v/>
      </c>
      <c r="N392" s="7" t="str">
        <f t="shared" si="53"/>
        <v/>
      </c>
      <c r="O392" t="str">
        <f t="shared" si="54"/>
        <v/>
      </c>
      <c r="P392" t="str">
        <f t="shared" si="55"/>
        <v/>
      </c>
      <c r="Q392" t="str">
        <f t="shared" si="56"/>
        <v/>
      </c>
      <c r="S392" t="str">
        <f>""</f>
        <v/>
      </c>
      <c r="AL392" s="18" t="str">
        <f>IF(COUNTIF($A$2:A391, A391) = 1, A391, "")</f>
        <v/>
      </c>
    </row>
    <row r="393" spans="6:38" x14ac:dyDescent="0.2">
      <c r="F393" t="str">
        <f t="shared" si="51"/>
        <v/>
      </c>
      <c r="L393" s="7" t="str">
        <f t="shared" si="52"/>
        <v/>
      </c>
      <c r="N393" s="7" t="str">
        <f t="shared" si="53"/>
        <v/>
      </c>
      <c r="O393" t="str">
        <f t="shared" si="54"/>
        <v/>
      </c>
      <c r="P393" t="str">
        <f t="shared" si="55"/>
        <v/>
      </c>
      <c r="Q393" t="str">
        <f t="shared" si="56"/>
        <v/>
      </c>
      <c r="S393" t="str">
        <f>""</f>
        <v/>
      </c>
      <c r="AL393" s="18" t="str">
        <f>IF(COUNTIF($A$2:A392, A392) = 1, A392, "")</f>
        <v/>
      </c>
    </row>
    <row r="394" spans="6:38" x14ac:dyDescent="0.2">
      <c r="F394" t="str">
        <f t="shared" si="51"/>
        <v/>
      </c>
      <c r="L394" s="7" t="str">
        <f t="shared" si="52"/>
        <v/>
      </c>
      <c r="N394" s="7" t="str">
        <f t="shared" si="53"/>
        <v/>
      </c>
      <c r="O394" t="str">
        <f t="shared" si="54"/>
        <v/>
      </c>
      <c r="P394" t="str">
        <f t="shared" si="55"/>
        <v/>
      </c>
      <c r="Q394" t="str">
        <f t="shared" si="56"/>
        <v/>
      </c>
      <c r="S394" t="str">
        <f>""</f>
        <v/>
      </c>
      <c r="AL394" s="18" t="str">
        <f>IF(COUNTIF($A$2:A393, A393) = 1, A393, "")</f>
        <v/>
      </c>
    </row>
    <row r="395" spans="6:38" x14ac:dyDescent="0.2">
      <c r="F395" t="str">
        <f t="shared" si="51"/>
        <v/>
      </c>
      <c r="L395" s="7" t="str">
        <f t="shared" si="52"/>
        <v/>
      </c>
      <c r="N395" s="7" t="str">
        <f t="shared" si="53"/>
        <v/>
      </c>
      <c r="O395" t="str">
        <f t="shared" si="54"/>
        <v/>
      </c>
      <c r="P395" t="str">
        <f t="shared" si="55"/>
        <v/>
      </c>
      <c r="Q395" t="str">
        <f t="shared" si="56"/>
        <v/>
      </c>
      <c r="S395" t="str">
        <f>""</f>
        <v/>
      </c>
      <c r="AL395" s="18" t="str">
        <f>IF(COUNTIF($A$2:A394, A394) = 1, A394, "")</f>
        <v/>
      </c>
    </row>
    <row r="396" spans="6:38" x14ac:dyDescent="0.2">
      <c r="F396" t="str">
        <f t="shared" si="51"/>
        <v/>
      </c>
      <c r="L396" s="7" t="str">
        <f t="shared" si="52"/>
        <v/>
      </c>
      <c r="N396" s="7" t="str">
        <f t="shared" si="53"/>
        <v/>
      </c>
      <c r="O396" t="str">
        <f t="shared" si="54"/>
        <v/>
      </c>
      <c r="P396" t="str">
        <f t="shared" si="55"/>
        <v/>
      </c>
      <c r="Q396" t="str">
        <f t="shared" si="56"/>
        <v/>
      </c>
      <c r="S396" t="str">
        <f>""</f>
        <v/>
      </c>
      <c r="AL396" s="18" t="str">
        <f>IF(COUNTIF($A$2:A395, A395) = 1, A395, "")</f>
        <v/>
      </c>
    </row>
    <row r="397" spans="6:38" x14ac:dyDescent="0.2">
      <c r="F397" t="str">
        <f t="shared" si="51"/>
        <v/>
      </c>
      <c r="L397" s="7" t="str">
        <f t="shared" si="52"/>
        <v/>
      </c>
      <c r="N397" s="7" t="str">
        <f t="shared" si="53"/>
        <v/>
      </c>
      <c r="O397" t="str">
        <f t="shared" si="54"/>
        <v/>
      </c>
      <c r="P397" t="str">
        <f t="shared" si="55"/>
        <v/>
      </c>
      <c r="Q397" t="str">
        <f t="shared" si="56"/>
        <v/>
      </c>
      <c r="S397" t="str">
        <f>""</f>
        <v/>
      </c>
      <c r="AL397" s="18" t="str">
        <f>IF(COUNTIF($A$2:A396, A396) = 1, A396, "")</f>
        <v/>
      </c>
    </row>
    <row r="398" spans="6:38" x14ac:dyDescent="0.2">
      <c r="F398" t="str">
        <f t="shared" si="51"/>
        <v/>
      </c>
      <c r="L398" s="7" t="str">
        <f t="shared" si="52"/>
        <v/>
      </c>
      <c r="N398" s="7" t="str">
        <f t="shared" si="53"/>
        <v/>
      </c>
      <c r="O398" t="str">
        <f t="shared" si="54"/>
        <v/>
      </c>
      <c r="P398" t="str">
        <f t="shared" si="55"/>
        <v/>
      </c>
      <c r="Q398" t="str">
        <f t="shared" si="56"/>
        <v/>
      </c>
      <c r="S398" t="str">
        <f>""</f>
        <v/>
      </c>
      <c r="AL398" s="18" t="str">
        <f>IF(COUNTIF($A$2:A397, A397) = 1, A397, "")</f>
        <v/>
      </c>
    </row>
    <row r="399" spans="6:38" x14ac:dyDescent="0.2">
      <c r="F399" t="str">
        <f t="shared" si="51"/>
        <v/>
      </c>
      <c r="L399" s="7" t="str">
        <f t="shared" si="52"/>
        <v/>
      </c>
      <c r="N399" s="7" t="str">
        <f t="shared" si="53"/>
        <v/>
      </c>
      <c r="O399" t="str">
        <f t="shared" si="54"/>
        <v/>
      </c>
      <c r="P399" t="str">
        <f t="shared" si="55"/>
        <v/>
      </c>
      <c r="Q399" t="str">
        <f t="shared" si="56"/>
        <v/>
      </c>
      <c r="S399" t="str">
        <f>""</f>
        <v/>
      </c>
      <c r="AL399" s="18" t="str">
        <f>IF(COUNTIF($A$2:A398, A398) = 1, A398, "")</f>
        <v/>
      </c>
    </row>
    <row r="400" spans="6:38" x14ac:dyDescent="0.2">
      <c r="F400" t="str">
        <f t="shared" ref="F400:F463" si="57">IF(OR(O400="", P400=""), "", SUM(IF((O400&lt;&gt;"None")*(O400&lt;&gt;""),LEN(O400)-LEN(SUBSTITUTE(O400,",",""))+1,0)) + SUM(IF((P400&lt;&gt;"None")*(P400&lt;&gt;""),LEN(P400)-LEN(SUBSTITUTE(P400,",",""))+1,0)))</f>
        <v/>
      </c>
      <c r="L400" s="7" t="str">
        <f t="shared" ref="L400:L463" si="58">IF(LEN(E400)=0, "", IFERROR(IF(E400&gt;=0, K400 * (1 + E400/100) - K400, K400 / (ABS(E400)/100))+K400, ""))</f>
        <v/>
      </c>
      <c r="N400" s="7" t="str">
        <f t="shared" ref="N400:N463" si="59">IF(M400="Yes",L400-K400,IF(M400="No",-K400,""))</f>
        <v/>
      </c>
      <c r="O400" t="str">
        <f t="shared" ref="O400:O463" si="60">IF(AND(G400="No",H400="No"), "None", "")</f>
        <v/>
      </c>
      <c r="P400" t="str">
        <f t="shared" ref="P400:P463" si="61">IF(I400="No", "None", "")</f>
        <v/>
      </c>
      <c r="Q400" t="str">
        <f t="shared" ref="Q400:Q463" si="62">IF(AND(D400="Straight", M400 = "No"),IF(O400="None",P400,IF(P400="None",O400) ),"")</f>
        <v/>
      </c>
      <c r="S400" t="str">
        <f>""</f>
        <v/>
      </c>
      <c r="AL400" s="18" t="str">
        <f>IF(COUNTIF($A$2:A399, A399) = 1, A399, "")</f>
        <v/>
      </c>
    </row>
    <row r="401" spans="6:38" x14ac:dyDescent="0.2">
      <c r="F401" t="str">
        <f t="shared" si="57"/>
        <v/>
      </c>
      <c r="L401" s="7" t="str">
        <f t="shared" si="58"/>
        <v/>
      </c>
      <c r="N401" s="7" t="str">
        <f t="shared" si="59"/>
        <v/>
      </c>
      <c r="O401" t="str">
        <f t="shared" si="60"/>
        <v/>
      </c>
      <c r="P401" t="str">
        <f t="shared" si="61"/>
        <v/>
      </c>
      <c r="Q401" t="str">
        <f t="shared" si="62"/>
        <v/>
      </c>
      <c r="S401" t="str">
        <f>""</f>
        <v/>
      </c>
      <c r="AL401" s="18" t="str">
        <f>IF(COUNTIF($A$2:A400, A400) = 1, A400, "")</f>
        <v/>
      </c>
    </row>
    <row r="402" spans="6:38" x14ac:dyDescent="0.2">
      <c r="F402" t="str">
        <f t="shared" si="57"/>
        <v/>
      </c>
      <c r="L402" s="7" t="str">
        <f t="shared" si="58"/>
        <v/>
      </c>
      <c r="N402" s="7" t="str">
        <f t="shared" si="59"/>
        <v/>
      </c>
      <c r="O402" t="str">
        <f t="shared" si="60"/>
        <v/>
      </c>
      <c r="P402" t="str">
        <f t="shared" si="61"/>
        <v/>
      </c>
      <c r="Q402" t="str">
        <f t="shared" si="62"/>
        <v/>
      </c>
      <c r="S402" t="str">
        <f>""</f>
        <v/>
      </c>
      <c r="AL402" s="18" t="str">
        <f>IF(COUNTIF($A$2:A401, A401) = 1, A401, "")</f>
        <v/>
      </c>
    </row>
    <row r="403" spans="6:38" x14ac:dyDescent="0.2">
      <c r="F403" t="str">
        <f t="shared" si="57"/>
        <v/>
      </c>
      <c r="L403" s="7" t="str">
        <f t="shared" si="58"/>
        <v/>
      </c>
      <c r="N403" s="7" t="str">
        <f t="shared" si="59"/>
        <v/>
      </c>
      <c r="O403" t="str">
        <f t="shared" si="60"/>
        <v/>
      </c>
      <c r="P403" t="str">
        <f t="shared" si="61"/>
        <v/>
      </c>
      <c r="Q403" t="str">
        <f t="shared" si="62"/>
        <v/>
      </c>
      <c r="S403" t="str">
        <f>""</f>
        <v/>
      </c>
      <c r="AL403" s="18" t="str">
        <f>IF(COUNTIF($A$2:A402, A402) = 1, A402, "")</f>
        <v/>
      </c>
    </row>
    <row r="404" spans="6:38" x14ac:dyDescent="0.2">
      <c r="F404" t="str">
        <f t="shared" si="57"/>
        <v/>
      </c>
      <c r="L404" s="7" t="str">
        <f t="shared" si="58"/>
        <v/>
      </c>
      <c r="N404" s="7" t="str">
        <f t="shared" si="59"/>
        <v/>
      </c>
      <c r="O404" t="str">
        <f t="shared" si="60"/>
        <v/>
      </c>
      <c r="P404" t="str">
        <f t="shared" si="61"/>
        <v/>
      </c>
      <c r="Q404" t="str">
        <f t="shared" si="62"/>
        <v/>
      </c>
      <c r="S404" t="str">
        <f>""</f>
        <v/>
      </c>
      <c r="AL404" s="18" t="str">
        <f>IF(COUNTIF($A$2:A403, A403) = 1, A403, "")</f>
        <v/>
      </c>
    </row>
    <row r="405" spans="6:38" x14ac:dyDescent="0.2">
      <c r="F405" t="str">
        <f t="shared" si="57"/>
        <v/>
      </c>
      <c r="L405" s="7" t="str">
        <f t="shared" si="58"/>
        <v/>
      </c>
      <c r="N405" s="7" t="str">
        <f t="shared" si="59"/>
        <v/>
      </c>
      <c r="O405" t="str">
        <f t="shared" si="60"/>
        <v/>
      </c>
      <c r="P405" t="str">
        <f t="shared" si="61"/>
        <v/>
      </c>
      <c r="Q405" t="str">
        <f t="shared" si="62"/>
        <v/>
      </c>
      <c r="S405" t="str">
        <f>""</f>
        <v/>
      </c>
      <c r="AL405" s="18" t="str">
        <f>IF(COUNTIF($A$2:A404, A404) = 1, A404, "")</f>
        <v/>
      </c>
    </row>
    <row r="406" spans="6:38" x14ac:dyDescent="0.2">
      <c r="F406" t="str">
        <f t="shared" si="57"/>
        <v/>
      </c>
      <c r="L406" s="7" t="str">
        <f t="shared" si="58"/>
        <v/>
      </c>
      <c r="N406" s="7" t="str">
        <f t="shared" si="59"/>
        <v/>
      </c>
      <c r="O406" t="str">
        <f t="shared" si="60"/>
        <v/>
      </c>
      <c r="P406" t="str">
        <f t="shared" si="61"/>
        <v/>
      </c>
      <c r="Q406" t="str">
        <f t="shared" si="62"/>
        <v/>
      </c>
      <c r="S406" t="str">
        <f>""</f>
        <v/>
      </c>
      <c r="AL406" s="18" t="str">
        <f>IF(COUNTIF($A$2:A405, A405) = 1, A405, "")</f>
        <v/>
      </c>
    </row>
    <row r="407" spans="6:38" x14ac:dyDescent="0.2">
      <c r="F407" t="str">
        <f t="shared" si="57"/>
        <v/>
      </c>
      <c r="L407" s="7" t="str">
        <f t="shared" si="58"/>
        <v/>
      </c>
      <c r="N407" s="7" t="str">
        <f t="shared" si="59"/>
        <v/>
      </c>
      <c r="O407" t="str">
        <f t="shared" si="60"/>
        <v/>
      </c>
      <c r="P407" t="str">
        <f t="shared" si="61"/>
        <v/>
      </c>
      <c r="Q407" t="str">
        <f t="shared" si="62"/>
        <v/>
      </c>
      <c r="S407" t="str">
        <f>""</f>
        <v/>
      </c>
      <c r="AL407" s="18" t="str">
        <f>IF(COUNTIF($A$2:A406, A406) = 1, A406, "")</f>
        <v/>
      </c>
    </row>
    <row r="408" spans="6:38" x14ac:dyDescent="0.2">
      <c r="F408" t="str">
        <f t="shared" si="57"/>
        <v/>
      </c>
      <c r="L408" s="7" t="str">
        <f t="shared" si="58"/>
        <v/>
      </c>
      <c r="N408" s="7" t="str">
        <f t="shared" si="59"/>
        <v/>
      </c>
      <c r="O408" t="str">
        <f t="shared" si="60"/>
        <v/>
      </c>
      <c r="P408" t="str">
        <f t="shared" si="61"/>
        <v/>
      </c>
      <c r="Q408" t="str">
        <f t="shared" si="62"/>
        <v/>
      </c>
      <c r="S408" t="str">
        <f>""</f>
        <v/>
      </c>
      <c r="AL408" s="18" t="str">
        <f>IF(COUNTIF($A$2:A407, A407) = 1, A407, "")</f>
        <v/>
      </c>
    </row>
    <row r="409" spans="6:38" x14ac:dyDescent="0.2">
      <c r="F409" t="str">
        <f t="shared" si="57"/>
        <v/>
      </c>
      <c r="L409" s="7" t="str">
        <f t="shared" si="58"/>
        <v/>
      </c>
      <c r="N409" s="7" t="str">
        <f t="shared" si="59"/>
        <v/>
      </c>
      <c r="O409" t="str">
        <f t="shared" si="60"/>
        <v/>
      </c>
      <c r="P409" t="str">
        <f t="shared" si="61"/>
        <v/>
      </c>
      <c r="Q409" t="str">
        <f t="shared" si="62"/>
        <v/>
      </c>
      <c r="S409" t="str">
        <f>""</f>
        <v/>
      </c>
      <c r="AL409" s="18" t="str">
        <f>IF(COUNTIF($A$2:A408, A408) = 1, A408, "")</f>
        <v/>
      </c>
    </row>
    <row r="410" spans="6:38" x14ac:dyDescent="0.2">
      <c r="F410" t="str">
        <f t="shared" si="57"/>
        <v/>
      </c>
      <c r="L410" s="7" t="str">
        <f t="shared" si="58"/>
        <v/>
      </c>
      <c r="N410" s="7" t="str">
        <f t="shared" si="59"/>
        <v/>
      </c>
      <c r="O410" t="str">
        <f t="shared" si="60"/>
        <v/>
      </c>
      <c r="P410" t="str">
        <f t="shared" si="61"/>
        <v/>
      </c>
      <c r="Q410" t="str">
        <f t="shared" si="62"/>
        <v/>
      </c>
      <c r="S410" t="str">
        <f>""</f>
        <v/>
      </c>
      <c r="AL410" s="18" t="str">
        <f>IF(COUNTIF($A$2:A409, A409) = 1, A409, "")</f>
        <v/>
      </c>
    </row>
    <row r="411" spans="6:38" x14ac:dyDescent="0.2">
      <c r="F411" t="str">
        <f t="shared" si="57"/>
        <v/>
      </c>
      <c r="L411" s="7" t="str">
        <f t="shared" si="58"/>
        <v/>
      </c>
      <c r="N411" s="7" t="str">
        <f t="shared" si="59"/>
        <v/>
      </c>
      <c r="O411" t="str">
        <f t="shared" si="60"/>
        <v/>
      </c>
      <c r="P411" t="str">
        <f t="shared" si="61"/>
        <v/>
      </c>
      <c r="Q411" t="str">
        <f t="shared" si="62"/>
        <v/>
      </c>
      <c r="S411" t="str">
        <f>""</f>
        <v/>
      </c>
      <c r="AL411" s="18" t="str">
        <f>IF(COUNTIF($A$2:A410, A410) = 1, A410, "")</f>
        <v/>
      </c>
    </row>
    <row r="412" spans="6:38" x14ac:dyDescent="0.2">
      <c r="F412" t="str">
        <f t="shared" si="57"/>
        <v/>
      </c>
      <c r="L412" s="7" t="str">
        <f t="shared" si="58"/>
        <v/>
      </c>
      <c r="N412" s="7" t="str">
        <f t="shared" si="59"/>
        <v/>
      </c>
      <c r="O412" t="str">
        <f t="shared" si="60"/>
        <v/>
      </c>
      <c r="P412" t="str">
        <f t="shared" si="61"/>
        <v/>
      </c>
      <c r="Q412" t="str">
        <f t="shared" si="62"/>
        <v/>
      </c>
      <c r="S412" t="str">
        <f>""</f>
        <v/>
      </c>
      <c r="AL412" s="18" t="str">
        <f>IF(COUNTIF($A$2:A411, A411) = 1, A411, "")</f>
        <v/>
      </c>
    </row>
    <row r="413" spans="6:38" x14ac:dyDescent="0.2">
      <c r="F413" t="str">
        <f t="shared" si="57"/>
        <v/>
      </c>
      <c r="L413" s="7" t="str">
        <f t="shared" si="58"/>
        <v/>
      </c>
      <c r="N413" s="7" t="str">
        <f t="shared" si="59"/>
        <v/>
      </c>
      <c r="O413" t="str">
        <f t="shared" si="60"/>
        <v/>
      </c>
      <c r="P413" t="str">
        <f t="shared" si="61"/>
        <v/>
      </c>
      <c r="Q413" t="str">
        <f t="shared" si="62"/>
        <v/>
      </c>
      <c r="S413" t="str">
        <f>""</f>
        <v/>
      </c>
      <c r="AL413" s="18" t="str">
        <f>IF(COUNTIF($A$2:A412, A412) = 1, A412, "")</f>
        <v/>
      </c>
    </row>
    <row r="414" spans="6:38" x14ac:dyDescent="0.2">
      <c r="F414" t="str">
        <f t="shared" si="57"/>
        <v/>
      </c>
      <c r="L414" s="7" t="str">
        <f t="shared" si="58"/>
        <v/>
      </c>
      <c r="N414" s="7" t="str">
        <f t="shared" si="59"/>
        <v/>
      </c>
      <c r="O414" t="str">
        <f t="shared" si="60"/>
        <v/>
      </c>
      <c r="P414" t="str">
        <f t="shared" si="61"/>
        <v/>
      </c>
      <c r="Q414" t="str">
        <f t="shared" si="62"/>
        <v/>
      </c>
      <c r="S414" t="str">
        <f>""</f>
        <v/>
      </c>
      <c r="AL414" s="18" t="str">
        <f>IF(COUNTIF($A$2:A413, A413) = 1, A413, "")</f>
        <v/>
      </c>
    </row>
    <row r="415" spans="6:38" x14ac:dyDescent="0.2">
      <c r="F415" t="str">
        <f t="shared" si="57"/>
        <v/>
      </c>
      <c r="L415" s="7" t="str">
        <f t="shared" si="58"/>
        <v/>
      </c>
      <c r="N415" s="7" t="str">
        <f t="shared" si="59"/>
        <v/>
      </c>
      <c r="O415" t="str">
        <f t="shared" si="60"/>
        <v/>
      </c>
      <c r="P415" t="str">
        <f t="shared" si="61"/>
        <v/>
      </c>
      <c r="Q415" t="str">
        <f t="shared" si="62"/>
        <v/>
      </c>
      <c r="S415" t="str">
        <f>""</f>
        <v/>
      </c>
      <c r="AL415" s="18" t="str">
        <f>IF(COUNTIF($A$2:A414, A414) = 1, A414, "")</f>
        <v/>
      </c>
    </row>
    <row r="416" spans="6:38" x14ac:dyDescent="0.2">
      <c r="F416" t="str">
        <f t="shared" si="57"/>
        <v/>
      </c>
      <c r="L416" s="7" t="str">
        <f t="shared" si="58"/>
        <v/>
      </c>
      <c r="N416" s="7" t="str">
        <f t="shared" si="59"/>
        <v/>
      </c>
      <c r="O416" t="str">
        <f t="shared" si="60"/>
        <v/>
      </c>
      <c r="P416" t="str">
        <f t="shared" si="61"/>
        <v/>
      </c>
      <c r="Q416" t="str">
        <f t="shared" si="62"/>
        <v/>
      </c>
      <c r="S416" t="str">
        <f>""</f>
        <v/>
      </c>
      <c r="AL416" s="18" t="str">
        <f>IF(COUNTIF($A$2:A415, A415) = 1, A415, "")</f>
        <v/>
      </c>
    </row>
    <row r="417" spans="6:38" x14ac:dyDescent="0.2">
      <c r="F417" t="str">
        <f t="shared" si="57"/>
        <v/>
      </c>
      <c r="L417" s="7" t="str">
        <f t="shared" si="58"/>
        <v/>
      </c>
      <c r="N417" s="7" t="str">
        <f t="shared" si="59"/>
        <v/>
      </c>
      <c r="O417" t="str">
        <f t="shared" si="60"/>
        <v/>
      </c>
      <c r="P417" t="str">
        <f t="shared" si="61"/>
        <v/>
      </c>
      <c r="Q417" t="str">
        <f t="shared" si="62"/>
        <v/>
      </c>
      <c r="S417" t="str">
        <f>""</f>
        <v/>
      </c>
      <c r="AL417" s="18" t="str">
        <f>IF(COUNTIF($A$2:A416, A416) = 1, A416, "")</f>
        <v/>
      </c>
    </row>
    <row r="418" spans="6:38" x14ac:dyDescent="0.2">
      <c r="F418" t="str">
        <f t="shared" si="57"/>
        <v/>
      </c>
      <c r="L418" s="7" t="str">
        <f t="shared" si="58"/>
        <v/>
      </c>
      <c r="N418" s="7" t="str">
        <f t="shared" si="59"/>
        <v/>
      </c>
      <c r="O418" t="str">
        <f t="shared" si="60"/>
        <v/>
      </c>
      <c r="P418" t="str">
        <f t="shared" si="61"/>
        <v/>
      </c>
      <c r="Q418" t="str">
        <f t="shared" si="62"/>
        <v/>
      </c>
      <c r="S418" t="str">
        <f>""</f>
        <v/>
      </c>
      <c r="AL418" s="18" t="str">
        <f>IF(COUNTIF($A$2:A417, A417) = 1, A417, "")</f>
        <v/>
      </c>
    </row>
    <row r="419" spans="6:38" x14ac:dyDescent="0.2">
      <c r="F419" t="str">
        <f t="shared" si="57"/>
        <v/>
      </c>
      <c r="L419" s="7" t="str">
        <f t="shared" si="58"/>
        <v/>
      </c>
      <c r="N419" s="7" t="str">
        <f t="shared" si="59"/>
        <v/>
      </c>
      <c r="O419" t="str">
        <f t="shared" si="60"/>
        <v/>
      </c>
      <c r="P419" t="str">
        <f t="shared" si="61"/>
        <v/>
      </c>
      <c r="Q419" t="str">
        <f t="shared" si="62"/>
        <v/>
      </c>
      <c r="S419" t="str">
        <f>""</f>
        <v/>
      </c>
      <c r="AL419" s="18" t="str">
        <f>IF(COUNTIF($A$2:A418, A418) = 1, A418, "")</f>
        <v/>
      </c>
    </row>
    <row r="420" spans="6:38" x14ac:dyDescent="0.2">
      <c r="F420" t="str">
        <f t="shared" si="57"/>
        <v/>
      </c>
      <c r="L420" s="7" t="str">
        <f t="shared" si="58"/>
        <v/>
      </c>
      <c r="N420" s="7" t="str">
        <f t="shared" si="59"/>
        <v/>
      </c>
      <c r="O420" t="str">
        <f t="shared" si="60"/>
        <v/>
      </c>
      <c r="P420" t="str">
        <f t="shared" si="61"/>
        <v/>
      </c>
      <c r="Q420" t="str">
        <f t="shared" si="62"/>
        <v/>
      </c>
      <c r="S420" t="str">
        <f>""</f>
        <v/>
      </c>
      <c r="AL420" s="18" t="str">
        <f>IF(COUNTIF($A$2:A419, A419) = 1, A419, "")</f>
        <v/>
      </c>
    </row>
    <row r="421" spans="6:38" x14ac:dyDescent="0.2">
      <c r="F421" t="str">
        <f t="shared" si="57"/>
        <v/>
      </c>
      <c r="L421" s="7" t="str">
        <f t="shared" si="58"/>
        <v/>
      </c>
      <c r="N421" s="7" t="str">
        <f t="shared" si="59"/>
        <v/>
      </c>
      <c r="O421" t="str">
        <f t="shared" si="60"/>
        <v/>
      </c>
      <c r="P421" t="str">
        <f t="shared" si="61"/>
        <v/>
      </c>
      <c r="Q421" t="str">
        <f t="shared" si="62"/>
        <v/>
      </c>
      <c r="S421" t="str">
        <f>""</f>
        <v/>
      </c>
      <c r="AL421" s="18" t="str">
        <f>IF(COUNTIF($A$2:A420, A420) = 1, A420, "")</f>
        <v/>
      </c>
    </row>
    <row r="422" spans="6:38" x14ac:dyDescent="0.2">
      <c r="F422" t="str">
        <f t="shared" si="57"/>
        <v/>
      </c>
      <c r="L422" s="7" t="str">
        <f t="shared" si="58"/>
        <v/>
      </c>
      <c r="N422" s="7" t="str">
        <f t="shared" si="59"/>
        <v/>
      </c>
      <c r="O422" t="str">
        <f t="shared" si="60"/>
        <v/>
      </c>
      <c r="P422" t="str">
        <f t="shared" si="61"/>
        <v/>
      </c>
      <c r="Q422" t="str">
        <f t="shared" si="62"/>
        <v/>
      </c>
      <c r="S422" t="str">
        <f>""</f>
        <v/>
      </c>
      <c r="AL422" s="18" t="str">
        <f>IF(COUNTIF($A$2:A421, A421) = 1, A421, "")</f>
        <v/>
      </c>
    </row>
    <row r="423" spans="6:38" x14ac:dyDescent="0.2">
      <c r="F423" t="str">
        <f t="shared" si="57"/>
        <v/>
      </c>
      <c r="L423" s="7" t="str">
        <f t="shared" si="58"/>
        <v/>
      </c>
      <c r="N423" s="7" t="str">
        <f t="shared" si="59"/>
        <v/>
      </c>
      <c r="O423" t="str">
        <f t="shared" si="60"/>
        <v/>
      </c>
      <c r="P423" t="str">
        <f t="shared" si="61"/>
        <v/>
      </c>
      <c r="Q423" t="str">
        <f t="shared" si="62"/>
        <v/>
      </c>
      <c r="S423" t="str">
        <f>""</f>
        <v/>
      </c>
      <c r="AL423" s="18" t="str">
        <f>IF(COUNTIF($A$2:A422, A422) = 1, A422, "")</f>
        <v/>
      </c>
    </row>
    <row r="424" spans="6:38" x14ac:dyDescent="0.2">
      <c r="F424" t="str">
        <f t="shared" si="57"/>
        <v/>
      </c>
      <c r="L424" s="7" t="str">
        <f t="shared" si="58"/>
        <v/>
      </c>
      <c r="N424" s="7" t="str">
        <f t="shared" si="59"/>
        <v/>
      </c>
      <c r="O424" t="str">
        <f t="shared" si="60"/>
        <v/>
      </c>
      <c r="P424" t="str">
        <f t="shared" si="61"/>
        <v/>
      </c>
      <c r="Q424" t="str">
        <f t="shared" si="62"/>
        <v/>
      </c>
      <c r="S424" t="str">
        <f>""</f>
        <v/>
      </c>
      <c r="AL424" s="18" t="str">
        <f>IF(COUNTIF($A$2:A423, A423) = 1, A423, "")</f>
        <v/>
      </c>
    </row>
    <row r="425" spans="6:38" x14ac:dyDescent="0.2">
      <c r="F425" t="str">
        <f t="shared" si="57"/>
        <v/>
      </c>
      <c r="L425" s="7" t="str">
        <f t="shared" si="58"/>
        <v/>
      </c>
      <c r="N425" s="7" t="str">
        <f t="shared" si="59"/>
        <v/>
      </c>
      <c r="O425" t="str">
        <f t="shared" si="60"/>
        <v/>
      </c>
      <c r="P425" t="str">
        <f t="shared" si="61"/>
        <v/>
      </c>
      <c r="Q425" t="str">
        <f t="shared" si="62"/>
        <v/>
      </c>
      <c r="S425" t="str">
        <f>""</f>
        <v/>
      </c>
      <c r="AL425" s="18" t="str">
        <f>IF(COUNTIF($A$2:A424, A424) = 1, A424, "")</f>
        <v/>
      </c>
    </row>
    <row r="426" spans="6:38" x14ac:dyDescent="0.2">
      <c r="F426" t="str">
        <f t="shared" si="57"/>
        <v/>
      </c>
      <c r="L426" s="7" t="str">
        <f t="shared" si="58"/>
        <v/>
      </c>
      <c r="N426" s="7" t="str">
        <f t="shared" si="59"/>
        <v/>
      </c>
      <c r="O426" t="str">
        <f t="shared" si="60"/>
        <v/>
      </c>
      <c r="P426" t="str">
        <f t="shared" si="61"/>
        <v/>
      </c>
      <c r="Q426" t="str">
        <f t="shared" si="62"/>
        <v/>
      </c>
      <c r="S426" t="str">
        <f>""</f>
        <v/>
      </c>
      <c r="AL426" s="18" t="str">
        <f>IF(COUNTIF($A$2:A425, A425) = 1, A425, "")</f>
        <v/>
      </c>
    </row>
    <row r="427" spans="6:38" x14ac:dyDescent="0.2">
      <c r="F427" t="str">
        <f t="shared" si="57"/>
        <v/>
      </c>
      <c r="L427" s="7" t="str">
        <f t="shared" si="58"/>
        <v/>
      </c>
      <c r="N427" s="7" t="str">
        <f t="shared" si="59"/>
        <v/>
      </c>
      <c r="O427" t="str">
        <f t="shared" si="60"/>
        <v/>
      </c>
      <c r="P427" t="str">
        <f t="shared" si="61"/>
        <v/>
      </c>
      <c r="Q427" t="str">
        <f t="shared" si="62"/>
        <v/>
      </c>
      <c r="S427" t="str">
        <f>""</f>
        <v/>
      </c>
      <c r="AL427" s="18" t="str">
        <f>IF(COUNTIF($A$2:A426, A426) = 1, A426, "")</f>
        <v/>
      </c>
    </row>
    <row r="428" spans="6:38" x14ac:dyDescent="0.2">
      <c r="F428" t="str">
        <f t="shared" si="57"/>
        <v/>
      </c>
      <c r="L428" s="7" t="str">
        <f t="shared" si="58"/>
        <v/>
      </c>
      <c r="N428" s="7" t="str">
        <f t="shared" si="59"/>
        <v/>
      </c>
      <c r="O428" t="str">
        <f t="shared" si="60"/>
        <v/>
      </c>
      <c r="P428" t="str">
        <f t="shared" si="61"/>
        <v/>
      </c>
      <c r="Q428" t="str">
        <f t="shared" si="62"/>
        <v/>
      </c>
      <c r="S428" t="str">
        <f>""</f>
        <v/>
      </c>
      <c r="AL428" s="18" t="str">
        <f>IF(COUNTIF($A$2:A427, A427) = 1, A427, "")</f>
        <v/>
      </c>
    </row>
    <row r="429" spans="6:38" x14ac:dyDescent="0.2">
      <c r="F429" t="str">
        <f t="shared" si="57"/>
        <v/>
      </c>
      <c r="L429" s="7" t="str">
        <f t="shared" si="58"/>
        <v/>
      </c>
      <c r="N429" s="7" t="str">
        <f t="shared" si="59"/>
        <v/>
      </c>
      <c r="O429" t="str">
        <f t="shared" si="60"/>
        <v/>
      </c>
      <c r="P429" t="str">
        <f t="shared" si="61"/>
        <v/>
      </c>
      <c r="Q429" t="str">
        <f t="shared" si="62"/>
        <v/>
      </c>
      <c r="S429" t="str">
        <f>""</f>
        <v/>
      </c>
      <c r="AL429" s="18" t="str">
        <f>IF(COUNTIF($A$2:A428, A428) = 1, A428, "")</f>
        <v/>
      </c>
    </row>
    <row r="430" spans="6:38" x14ac:dyDescent="0.2">
      <c r="F430" t="str">
        <f t="shared" si="57"/>
        <v/>
      </c>
      <c r="L430" s="7" t="str">
        <f t="shared" si="58"/>
        <v/>
      </c>
      <c r="N430" s="7" t="str">
        <f t="shared" si="59"/>
        <v/>
      </c>
      <c r="O430" t="str">
        <f t="shared" si="60"/>
        <v/>
      </c>
      <c r="P430" t="str">
        <f t="shared" si="61"/>
        <v/>
      </c>
      <c r="Q430" t="str">
        <f t="shared" si="62"/>
        <v/>
      </c>
      <c r="S430" t="str">
        <f>""</f>
        <v/>
      </c>
      <c r="AL430" s="18" t="str">
        <f>IF(COUNTIF($A$2:A429, A429) = 1, A429, "")</f>
        <v/>
      </c>
    </row>
    <row r="431" spans="6:38" x14ac:dyDescent="0.2">
      <c r="F431" t="str">
        <f t="shared" si="57"/>
        <v/>
      </c>
      <c r="L431" s="7" t="str">
        <f t="shared" si="58"/>
        <v/>
      </c>
      <c r="N431" s="7" t="str">
        <f t="shared" si="59"/>
        <v/>
      </c>
      <c r="O431" t="str">
        <f t="shared" si="60"/>
        <v/>
      </c>
      <c r="P431" t="str">
        <f t="shared" si="61"/>
        <v/>
      </c>
      <c r="Q431" t="str">
        <f t="shared" si="62"/>
        <v/>
      </c>
      <c r="S431" t="str">
        <f>""</f>
        <v/>
      </c>
      <c r="AL431" s="18" t="str">
        <f>IF(COUNTIF($A$2:A430, A430) = 1, A430, "")</f>
        <v/>
      </c>
    </row>
    <row r="432" spans="6:38" x14ac:dyDescent="0.2">
      <c r="F432" t="str">
        <f t="shared" si="57"/>
        <v/>
      </c>
      <c r="L432" s="7" t="str">
        <f t="shared" si="58"/>
        <v/>
      </c>
      <c r="N432" s="7" t="str">
        <f t="shared" si="59"/>
        <v/>
      </c>
      <c r="O432" t="str">
        <f t="shared" si="60"/>
        <v/>
      </c>
      <c r="P432" t="str">
        <f t="shared" si="61"/>
        <v/>
      </c>
      <c r="Q432" t="str">
        <f t="shared" si="62"/>
        <v/>
      </c>
      <c r="S432" t="str">
        <f>""</f>
        <v/>
      </c>
      <c r="AL432" s="18" t="str">
        <f>IF(COUNTIF($A$2:A431, A431) = 1, A431, "")</f>
        <v/>
      </c>
    </row>
    <row r="433" spans="6:38" x14ac:dyDescent="0.2">
      <c r="F433" t="str">
        <f t="shared" si="57"/>
        <v/>
      </c>
      <c r="L433" s="7" t="str">
        <f t="shared" si="58"/>
        <v/>
      </c>
      <c r="N433" s="7" t="str">
        <f t="shared" si="59"/>
        <v/>
      </c>
      <c r="O433" t="str">
        <f t="shared" si="60"/>
        <v/>
      </c>
      <c r="P433" t="str">
        <f t="shared" si="61"/>
        <v/>
      </c>
      <c r="Q433" t="str">
        <f t="shared" si="62"/>
        <v/>
      </c>
      <c r="S433" t="str">
        <f>""</f>
        <v/>
      </c>
      <c r="AL433" s="18" t="str">
        <f>IF(COUNTIF($A$2:A432, A432) = 1, A432, "")</f>
        <v/>
      </c>
    </row>
    <row r="434" spans="6:38" x14ac:dyDescent="0.2">
      <c r="F434" t="str">
        <f t="shared" si="57"/>
        <v/>
      </c>
      <c r="L434" s="7" t="str">
        <f t="shared" si="58"/>
        <v/>
      </c>
      <c r="N434" s="7" t="str">
        <f t="shared" si="59"/>
        <v/>
      </c>
      <c r="O434" t="str">
        <f t="shared" si="60"/>
        <v/>
      </c>
      <c r="P434" t="str">
        <f t="shared" si="61"/>
        <v/>
      </c>
      <c r="Q434" t="str">
        <f t="shared" si="62"/>
        <v/>
      </c>
      <c r="S434" t="str">
        <f>""</f>
        <v/>
      </c>
      <c r="AL434" s="18" t="str">
        <f>IF(COUNTIF($A$2:A433, A433) = 1, A433, "")</f>
        <v/>
      </c>
    </row>
    <row r="435" spans="6:38" x14ac:dyDescent="0.2">
      <c r="F435" t="str">
        <f t="shared" si="57"/>
        <v/>
      </c>
      <c r="L435" s="7" t="str">
        <f t="shared" si="58"/>
        <v/>
      </c>
      <c r="N435" s="7" t="str">
        <f t="shared" si="59"/>
        <v/>
      </c>
      <c r="O435" t="str">
        <f t="shared" si="60"/>
        <v/>
      </c>
      <c r="P435" t="str">
        <f t="shared" si="61"/>
        <v/>
      </c>
      <c r="Q435" t="str">
        <f t="shared" si="62"/>
        <v/>
      </c>
      <c r="S435" t="str">
        <f>""</f>
        <v/>
      </c>
      <c r="AL435" s="18" t="str">
        <f>IF(COUNTIF($A$2:A434, A434) = 1, A434, "")</f>
        <v/>
      </c>
    </row>
    <row r="436" spans="6:38" x14ac:dyDescent="0.2">
      <c r="F436" t="str">
        <f t="shared" si="57"/>
        <v/>
      </c>
      <c r="L436" s="7" t="str">
        <f t="shared" si="58"/>
        <v/>
      </c>
      <c r="N436" s="7" t="str">
        <f t="shared" si="59"/>
        <v/>
      </c>
      <c r="O436" t="str">
        <f t="shared" si="60"/>
        <v/>
      </c>
      <c r="P436" t="str">
        <f t="shared" si="61"/>
        <v/>
      </c>
      <c r="Q436" t="str">
        <f t="shared" si="62"/>
        <v/>
      </c>
      <c r="S436" t="str">
        <f>""</f>
        <v/>
      </c>
      <c r="AL436" s="18" t="str">
        <f>IF(COUNTIF($A$2:A435, A435) = 1, A435, "")</f>
        <v/>
      </c>
    </row>
    <row r="437" spans="6:38" x14ac:dyDescent="0.2">
      <c r="F437" t="str">
        <f t="shared" si="57"/>
        <v/>
      </c>
      <c r="L437" s="7" t="str">
        <f t="shared" si="58"/>
        <v/>
      </c>
      <c r="N437" s="7" t="str">
        <f t="shared" si="59"/>
        <v/>
      </c>
      <c r="O437" t="str">
        <f t="shared" si="60"/>
        <v/>
      </c>
      <c r="P437" t="str">
        <f t="shared" si="61"/>
        <v/>
      </c>
      <c r="Q437" t="str">
        <f t="shared" si="62"/>
        <v/>
      </c>
      <c r="S437" t="str">
        <f>""</f>
        <v/>
      </c>
      <c r="AL437" s="18" t="str">
        <f>IF(COUNTIF($A$2:A436, A436) = 1, A436, "")</f>
        <v/>
      </c>
    </row>
    <row r="438" spans="6:38" x14ac:dyDescent="0.2">
      <c r="F438" t="str">
        <f t="shared" si="57"/>
        <v/>
      </c>
      <c r="L438" s="7" t="str">
        <f t="shared" si="58"/>
        <v/>
      </c>
      <c r="N438" s="7" t="str">
        <f t="shared" si="59"/>
        <v/>
      </c>
      <c r="O438" t="str">
        <f t="shared" si="60"/>
        <v/>
      </c>
      <c r="P438" t="str">
        <f t="shared" si="61"/>
        <v/>
      </c>
      <c r="Q438" t="str">
        <f t="shared" si="62"/>
        <v/>
      </c>
      <c r="S438" t="str">
        <f>""</f>
        <v/>
      </c>
      <c r="AL438" s="18" t="str">
        <f>IF(COUNTIF($A$2:A437, A437) = 1, A437, "")</f>
        <v/>
      </c>
    </row>
    <row r="439" spans="6:38" x14ac:dyDescent="0.2">
      <c r="F439" t="str">
        <f t="shared" si="57"/>
        <v/>
      </c>
      <c r="L439" s="7" t="str">
        <f t="shared" si="58"/>
        <v/>
      </c>
      <c r="N439" s="7" t="str">
        <f t="shared" si="59"/>
        <v/>
      </c>
      <c r="O439" t="str">
        <f t="shared" si="60"/>
        <v/>
      </c>
      <c r="P439" t="str">
        <f t="shared" si="61"/>
        <v/>
      </c>
      <c r="Q439" t="str">
        <f t="shared" si="62"/>
        <v/>
      </c>
      <c r="S439" t="str">
        <f>""</f>
        <v/>
      </c>
      <c r="AL439" s="18" t="str">
        <f>IF(COUNTIF($A$2:A438, A438) = 1, A438, "")</f>
        <v/>
      </c>
    </row>
    <row r="440" spans="6:38" x14ac:dyDescent="0.2">
      <c r="F440" t="str">
        <f t="shared" si="57"/>
        <v/>
      </c>
      <c r="L440" s="7" t="str">
        <f t="shared" si="58"/>
        <v/>
      </c>
      <c r="N440" s="7" t="str">
        <f t="shared" si="59"/>
        <v/>
      </c>
      <c r="O440" t="str">
        <f t="shared" si="60"/>
        <v/>
      </c>
      <c r="P440" t="str">
        <f t="shared" si="61"/>
        <v/>
      </c>
      <c r="Q440" t="str">
        <f t="shared" si="62"/>
        <v/>
      </c>
      <c r="S440" t="str">
        <f>""</f>
        <v/>
      </c>
      <c r="AL440" s="18" t="str">
        <f>IF(COUNTIF($A$2:A439, A439) = 1, A439, "")</f>
        <v/>
      </c>
    </row>
    <row r="441" spans="6:38" x14ac:dyDescent="0.2">
      <c r="F441" t="str">
        <f t="shared" si="57"/>
        <v/>
      </c>
      <c r="L441" s="7" t="str">
        <f t="shared" si="58"/>
        <v/>
      </c>
      <c r="N441" s="7" t="str">
        <f t="shared" si="59"/>
        <v/>
      </c>
      <c r="O441" t="str">
        <f t="shared" si="60"/>
        <v/>
      </c>
      <c r="P441" t="str">
        <f t="shared" si="61"/>
        <v/>
      </c>
      <c r="Q441" t="str">
        <f t="shared" si="62"/>
        <v/>
      </c>
      <c r="S441" t="str">
        <f>""</f>
        <v/>
      </c>
      <c r="AL441" s="18" t="str">
        <f>IF(COUNTIF($A$2:A440, A440) = 1, A440, "")</f>
        <v/>
      </c>
    </row>
    <row r="442" spans="6:38" x14ac:dyDescent="0.2">
      <c r="F442" t="str">
        <f t="shared" si="57"/>
        <v/>
      </c>
      <c r="L442" s="7" t="str">
        <f t="shared" si="58"/>
        <v/>
      </c>
      <c r="N442" s="7" t="str">
        <f t="shared" si="59"/>
        <v/>
      </c>
      <c r="O442" t="str">
        <f t="shared" si="60"/>
        <v/>
      </c>
      <c r="P442" t="str">
        <f t="shared" si="61"/>
        <v/>
      </c>
      <c r="Q442" t="str">
        <f t="shared" si="62"/>
        <v/>
      </c>
      <c r="S442" t="str">
        <f>""</f>
        <v/>
      </c>
      <c r="AL442" s="18" t="str">
        <f>IF(COUNTIF($A$2:A441, A441) = 1, A441, "")</f>
        <v/>
      </c>
    </row>
    <row r="443" spans="6:38" x14ac:dyDescent="0.2">
      <c r="F443" t="str">
        <f t="shared" si="57"/>
        <v/>
      </c>
      <c r="L443" s="7" t="str">
        <f t="shared" si="58"/>
        <v/>
      </c>
      <c r="N443" s="7" t="str">
        <f t="shared" si="59"/>
        <v/>
      </c>
      <c r="O443" t="str">
        <f t="shared" si="60"/>
        <v/>
      </c>
      <c r="P443" t="str">
        <f t="shared" si="61"/>
        <v/>
      </c>
      <c r="Q443" t="str">
        <f t="shared" si="62"/>
        <v/>
      </c>
      <c r="S443" t="str">
        <f>""</f>
        <v/>
      </c>
      <c r="AL443" s="18" t="str">
        <f>IF(COUNTIF($A$2:A442, A442) = 1, A442, "")</f>
        <v/>
      </c>
    </row>
    <row r="444" spans="6:38" x14ac:dyDescent="0.2">
      <c r="F444" t="str">
        <f t="shared" si="57"/>
        <v/>
      </c>
      <c r="L444" s="7" t="str">
        <f t="shared" si="58"/>
        <v/>
      </c>
      <c r="N444" s="7" t="str">
        <f t="shared" si="59"/>
        <v/>
      </c>
      <c r="O444" t="str">
        <f t="shared" si="60"/>
        <v/>
      </c>
      <c r="P444" t="str">
        <f t="shared" si="61"/>
        <v/>
      </c>
      <c r="Q444" t="str">
        <f t="shared" si="62"/>
        <v/>
      </c>
      <c r="S444" t="str">
        <f>""</f>
        <v/>
      </c>
      <c r="AL444" s="18" t="str">
        <f>IF(COUNTIF($A$2:A443, A443) = 1, A443, "")</f>
        <v/>
      </c>
    </row>
    <row r="445" spans="6:38" x14ac:dyDescent="0.2">
      <c r="F445" t="str">
        <f t="shared" si="57"/>
        <v/>
      </c>
      <c r="L445" s="7" t="str">
        <f t="shared" si="58"/>
        <v/>
      </c>
      <c r="N445" s="7" t="str">
        <f t="shared" si="59"/>
        <v/>
      </c>
      <c r="O445" t="str">
        <f t="shared" si="60"/>
        <v/>
      </c>
      <c r="P445" t="str">
        <f t="shared" si="61"/>
        <v/>
      </c>
      <c r="Q445" t="str">
        <f t="shared" si="62"/>
        <v/>
      </c>
      <c r="S445" t="str">
        <f>""</f>
        <v/>
      </c>
      <c r="AL445" s="18" t="str">
        <f>IF(COUNTIF($A$2:A444, A444) = 1, A444, "")</f>
        <v/>
      </c>
    </row>
    <row r="446" spans="6:38" x14ac:dyDescent="0.2">
      <c r="F446" t="str">
        <f t="shared" si="57"/>
        <v/>
      </c>
      <c r="L446" s="7" t="str">
        <f t="shared" si="58"/>
        <v/>
      </c>
      <c r="N446" s="7" t="str">
        <f t="shared" si="59"/>
        <v/>
      </c>
      <c r="O446" t="str">
        <f t="shared" si="60"/>
        <v/>
      </c>
      <c r="P446" t="str">
        <f t="shared" si="61"/>
        <v/>
      </c>
      <c r="Q446" t="str">
        <f t="shared" si="62"/>
        <v/>
      </c>
      <c r="S446" t="str">
        <f>""</f>
        <v/>
      </c>
      <c r="AL446" s="18" t="str">
        <f>IF(COUNTIF($A$2:A445, A445) = 1, A445, "")</f>
        <v/>
      </c>
    </row>
    <row r="447" spans="6:38" x14ac:dyDescent="0.2">
      <c r="F447" t="str">
        <f t="shared" si="57"/>
        <v/>
      </c>
      <c r="L447" s="7" t="str">
        <f t="shared" si="58"/>
        <v/>
      </c>
      <c r="N447" s="7" t="str">
        <f t="shared" si="59"/>
        <v/>
      </c>
      <c r="O447" t="str">
        <f t="shared" si="60"/>
        <v/>
      </c>
      <c r="P447" t="str">
        <f t="shared" si="61"/>
        <v/>
      </c>
      <c r="Q447" t="str">
        <f t="shared" si="62"/>
        <v/>
      </c>
      <c r="S447" t="str">
        <f>""</f>
        <v/>
      </c>
      <c r="AL447" s="18" t="str">
        <f>IF(COUNTIF($A$2:A446, A446) = 1, A446, "")</f>
        <v/>
      </c>
    </row>
    <row r="448" spans="6:38" x14ac:dyDescent="0.2">
      <c r="F448" t="str">
        <f t="shared" si="57"/>
        <v/>
      </c>
      <c r="L448" s="7" t="str">
        <f t="shared" si="58"/>
        <v/>
      </c>
      <c r="N448" s="7" t="str">
        <f t="shared" si="59"/>
        <v/>
      </c>
      <c r="O448" t="str">
        <f t="shared" si="60"/>
        <v/>
      </c>
      <c r="P448" t="str">
        <f t="shared" si="61"/>
        <v/>
      </c>
      <c r="Q448" t="str">
        <f t="shared" si="62"/>
        <v/>
      </c>
      <c r="S448" t="str">
        <f>""</f>
        <v/>
      </c>
      <c r="AL448" s="18" t="str">
        <f>IF(COUNTIF($A$2:A447, A447) = 1, A447, "")</f>
        <v/>
      </c>
    </row>
    <row r="449" spans="6:38" x14ac:dyDescent="0.2">
      <c r="F449" t="str">
        <f t="shared" si="57"/>
        <v/>
      </c>
      <c r="L449" s="7" t="str">
        <f t="shared" si="58"/>
        <v/>
      </c>
      <c r="N449" s="7" t="str">
        <f t="shared" si="59"/>
        <v/>
      </c>
      <c r="O449" t="str">
        <f t="shared" si="60"/>
        <v/>
      </c>
      <c r="P449" t="str">
        <f t="shared" si="61"/>
        <v/>
      </c>
      <c r="Q449" t="str">
        <f t="shared" si="62"/>
        <v/>
      </c>
      <c r="S449" t="str">
        <f>""</f>
        <v/>
      </c>
      <c r="AL449" s="18" t="str">
        <f>IF(COUNTIF($A$2:A448, A448) = 1, A448, "")</f>
        <v/>
      </c>
    </row>
    <row r="450" spans="6:38" x14ac:dyDescent="0.2">
      <c r="F450" t="str">
        <f t="shared" si="57"/>
        <v/>
      </c>
      <c r="L450" s="7" t="str">
        <f t="shared" si="58"/>
        <v/>
      </c>
      <c r="N450" s="7" t="str">
        <f t="shared" si="59"/>
        <v/>
      </c>
      <c r="O450" t="str">
        <f t="shared" si="60"/>
        <v/>
      </c>
      <c r="P450" t="str">
        <f t="shared" si="61"/>
        <v/>
      </c>
      <c r="Q450" t="str">
        <f t="shared" si="62"/>
        <v/>
      </c>
      <c r="S450" t="str">
        <f>""</f>
        <v/>
      </c>
      <c r="AL450" s="18" t="str">
        <f>IF(COUNTIF($A$2:A449, A449) = 1, A449, "")</f>
        <v/>
      </c>
    </row>
    <row r="451" spans="6:38" x14ac:dyDescent="0.2">
      <c r="F451" t="str">
        <f t="shared" si="57"/>
        <v/>
      </c>
      <c r="L451" s="7" t="str">
        <f t="shared" si="58"/>
        <v/>
      </c>
      <c r="N451" s="7" t="str">
        <f t="shared" si="59"/>
        <v/>
      </c>
      <c r="O451" t="str">
        <f t="shared" si="60"/>
        <v/>
      </c>
      <c r="P451" t="str">
        <f t="shared" si="61"/>
        <v/>
      </c>
      <c r="Q451" t="str">
        <f t="shared" si="62"/>
        <v/>
      </c>
      <c r="S451" t="str">
        <f>""</f>
        <v/>
      </c>
      <c r="AL451" s="18" t="str">
        <f>IF(COUNTIF($A$2:A450, A450) = 1, A450, "")</f>
        <v/>
      </c>
    </row>
    <row r="452" spans="6:38" x14ac:dyDescent="0.2">
      <c r="F452" t="str">
        <f t="shared" si="57"/>
        <v/>
      </c>
      <c r="L452" s="7" t="str">
        <f t="shared" si="58"/>
        <v/>
      </c>
      <c r="N452" s="7" t="str">
        <f t="shared" si="59"/>
        <v/>
      </c>
      <c r="O452" t="str">
        <f t="shared" si="60"/>
        <v/>
      </c>
      <c r="P452" t="str">
        <f t="shared" si="61"/>
        <v/>
      </c>
      <c r="Q452" t="str">
        <f t="shared" si="62"/>
        <v/>
      </c>
      <c r="S452" t="str">
        <f>""</f>
        <v/>
      </c>
      <c r="AL452" s="18" t="str">
        <f>IF(COUNTIF($A$2:A451, A451) = 1, A451, "")</f>
        <v/>
      </c>
    </row>
    <row r="453" spans="6:38" x14ac:dyDescent="0.2">
      <c r="F453" t="str">
        <f t="shared" si="57"/>
        <v/>
      </c>
      <c r="L453" s="7" t="str">
        <f t="shared" si="58"/>
        <v/>
      </c>
      <c r="N453" s="7" t="str">
        <f t="shared" si="59"/>
        <v/>
      </c>
      <c r="O453" t="str">
        <f t="shared" si="60"/>
        <v/>
      </c>
      <c r="P453" t="str">
        <f t="shared" si="61"/>
        <v/>
      </c>
      <c r="Q453" t="str">
        <f t="shared" si="62"/>
        <v/>
      </c>
      <c r="S453" t="str">
        <f>""</f>
        <v/>
      </c>
      <c r="AL453" s="18" t="str">
        <f>IF(COUNTIF($A$2:A452, A452) = 1, A452, "")</f>
        <v/>
      </c>
    </row>
    <row r="454" spans="6:38" x14ac:dyDescent="0.2">
      <c r="F454" t="str">
        <f t="shared" si="57"/>
        <v/>
      </c>
      <c r="L454" s="7" t="str">
        <f t="shared" si="58"/>
        <v/>
      </c>
      <c r="N454" s="7" t="str">
        <f t="shared" si="59"/>
        <v/>
      </c>
      <c r="O454" t="str">
        <f t="shared" si="60"/>
        <v/>
      </c>
      <c r="P454" t="str">
        <f t="shared" si="61"/>
        <v/>
      </c>
      <c r="Q454" t="str">
        <f t="shared" si="62"/>
        <v/>
      </c>
      <c r="S454" t="str">
        <f>""</f>
        <v/>
      </c>
      <c r="AL454" s="18" t="str">
        <f>IF(COUNTIF($A$2:A453, A453) = 1, A453, "")</f>
        <v/>
      </c>
    </row>
    <row r="455" spans="6:38" x14ac:dyDescent="0.2">
      <c r="F455" t="str">
        <f t="shared" si="57"/>
        <v/>
      </c>
      <c r="L455" s="7" t="str">
        <f t="shared" si="58"/>
        <v/>
      </c>
      <c r="N455" s="7" t="str">
        <f t="shared" si="59"/>
        <v/>
      </c>
      <c r="O455" t="str">
        <f t="shared" si="60"/>
        <v/>
      </c>
      <c r="P455" t="str">
        <f t="shared" si="61"/>
        <v/>
      </c>
      <c r="Q455" t="str">
        <f t="shared" si="62"/>
        <v/>
      </c>
      <c r="S455" t="str">
        <f>""</f>
        <v/>
      </c>
      <c r="AL455" s="18" t="str">
        <f>IF(COUNTIF($A$2:A454, A454) = 1, A454, "")</f>
        <v/>
      </c>
    </row>
    <row r="456" spans="6:38" x14ac:dyDescent="0.2">
      <c r="F456" t="str">
        <f t="shared" si="57"/>
        <v/>
      </c>
      <c r="L456" s="7" t="str">
        <f t="shared" si="58"/>
        <v/>
      </c>
      <c r="N456" s="7" t="str">
        <f t="shared" si="59"/>
        <v/>
      </c>
      <c r="O456" t="str">
        <f t="shared" si="60"/>
        <v/>
      </c>
      <c r="P456" t="str">
        <f t="shared" si="61"/>
        <v/>
      </c>
      <c r="Q456" t="str">
        <f t="shared" si="62"/>
        <v/>
      </c>
      <c r="S456" t="str">
        <f>""</f>
        <v/>
      </c>
      <c r="AL456" s="18" t="str">
        <f>IF(COUNTIF($A$2:A455, A455) = 1, A455, "")</f>
        <v/>
      </c>
    </row>
    <row r="457" spans="6:38" x14ac:dyDescent="0.2">
      <c r="F457" t="str">
        <f t="shared" si="57"/>
        <v/>
      </c>
      <c r="L457" s="7" t="str">
        <f t="shared" si="58"/>
        <v/>
      </c>
      <c r="N457" s="7" t="str">
        <f t="shared" si="59"/>
        <v/>
      </c>
      <c r="O457" t="str">
        <f t="shared" si="60"/>
        <v/>
      </c>
      <c r="P457" t="str">
        <f t="shared" si="61"/>
        <v/>
      </c>
      <c r="Q457" t="str">
        <f t="shared" si="62"/>
        <v/>
      </c>
      <c r="S457" t="str">
        <f>""</f>
        <v/>
      </c>
      <c r="AL457" s="18" t="str">
        <f>IF(COUNTIF($A$2:A456, A456) = 1, A456, "")</f>
        <v/>
      </c>
    </row>
    <row r="458" spans="6:38" x14ac:dyDescent="0.2">
      <c r="F458" t="str">
        <f t="shared" si="57"/>
        <v/>
      </c>
      <c r="L458" s="7" t="str">
        <f t="shared" si="58"/>
        <v/>
      </c>
      <c r="N458" s="7" t="str">
        <f t="shared" si="59"/>
        <v/>
      </c>
      <c r="O458" t="str">
        <f t="shared" si="60"/>
        <v/>
      </c>
      <c r="P458" t="str">
        <f t="shared" si="61"/>
        <v/>
      </c>
      <c r="Q458" t="str">
        <f t="shared" si="62"/>
        <v/>
      </c>
      <c r="S458" t="str">
        <f>""</f>
        <v/>
      </c>
      <c r="AL458" s="18" t="str">
        <f>IF(COUNTIF($A$2:A457, A457) = 1, A457, "")</f>
        <v/>
      </c>
    </row>
    <row r="459" spans="6:38" x14ac:dyDescent="0.2">
      <c r="F459" t="str">
        <f t="shared" si="57"/>
        <v/>
      </c>
      <c r="L459" s="7" t="str">
        <f t="shared" si="58"/>
        <v/>
      </c>
      <c r="N459" s="7" t="str">
        <f t="shared" si="59"/>
        <v/>
      </c>
      <c r="O459" t="str">
        <f t="shared" si="60"/>
        <v/>
      </c>
      <c r="P459" t="str">
        <f t="shared" si="61"/>
        <v/>
      </c>
      <c r="Q459" t="str">
        <f t="shared" si="62"/>
        <v/>
      </c>
      <c r="S459" t="str">
        <f>""</f>
        <v/>
      </c>
      <c r="AL459" s="18" t="str">
        <f>IF(COUNTIF($A$2:A458, A458) = 1, A458, "")</f>
        <v/>
      </c>
    </row>
    <row r="460" spans="6:38" x14ac:dyDescent="0.2">
      <c r="F460" t="str">
        <f t="shared" si="57"/>
        <v/>
      </c>
      <c r="L460" s="7" t="str">
        <f t="shared" si="58"/>
        <v/>
      </c>
      <c r="N460" s="7" t="str">
        <f t="shared" si="59"/>
        <v/>
      </c>
      <c r="O460" t="str">
        <f t="shared" si="60"/>
        <v/>
      </c>
      <c r="P460" t="str">
        <f t="shared" si="61"/>
        <v/>
      </c>
      <c r="Q460" t="str">
        <f t="shared" si="62"/>
        <v/>
      </c>
      <c r="S460" t="str">
        <f>""</f>
        <v/>
      </c>
      <c r="AL460" s="18" t="str">
        <f>IF(COUNTIF($A$2:A459, A459) = 1, A459, "")</f>
        <v/>
      </c>
    </row>
    <row r="461" spans="6:38" x14ac:dyDescent="0.2">
      <c r="F461" t="str">
        <f t="shared" si="57"/>
        <v/>
      </c>
      <c r="L461" s="7" t="str">
        <f t="shared" si="58"/>
        <v/>
      </c>
      <c r="N461" s="7" t="str">
        <f t="shared" si="59"/>
        <v/>
      </c>
      <c r="O461" t="str">
        <f t="shared" si="60"/>
        <v/>
      </c>
      <c r="P461" t="str">
        <f t="shared" si="61"/>
        <v/>
      </c>
      <c r="Q461" t="str">
        <f t="shared" si="62"/>
        <v/>
      </c>
      <c r="S461" t="str">
        <f>""</f>
        <v/>
      </c>
      <c r="AL461" s="18" t="str">
        <f>IF(COUNTIF($A$2:A460, A460) = 1, A460, "")</f>
        <v/>
      </c>
    </row>
    <row r="462" spans="6:38" x14ac:dyDescent="0.2">
      <c r="F462" t="str">
        <f t="shared" si="57"/>
        <v/>
      </c>
      <c r="L462" s="7" t="str">
        <f t="shared" si="58"/>
        <v/>
      </c>
      <c r="N462" s="7" t="str">
        <f t="shared" si="59"/>
        <v/>
      </c>
      <c r="O462" t="str">
        <f t="shared" si="60"/>
        <v/>
      </c>
      <c r="P462" t="str">
        <f t="shared" si="61"/>
        <v/>
      </c>
      <c r="Q462" t="str">
        <f t="shared" si="62"/>
        <v/>
      </c>
      <c r="S462" t="str">
        <f>""</f>
        <v/>
      </c>
      <c r="AL462" s="18" t="str">
        <f>IF(COUNTIF($A$2:A461, A461) = 1, A461, "")</f>
        <v/>
      </c>
    </row>
    <row r="463" spans="6:38" x14ac:dyDescent="0.2">
      <c r="F463" t="str">
        <f t="shared" si="57"/>
        <v/>
      </c>
      <c r="L463" s="7" t="str">
        <f t="shared" si="58"/>
        <v/>
      </c>
      <c r="N463" s="7" t="str">
        <f t="shared" si="59"/>
        <v/>
      </c>
      <c r="O463" t="str">
        <f t="shared" si="60"/>
        <v/>
      </c>
      <c r="P463" t="str">
        <f t="shared" si="61"/>
        <v/>
      </c>
      <c r="Q463" t="str">
        <f t="shared" si="62"/>
        <v/>
      </c>
      <c r="S463" t="str">
        <f>""</f>
        <v/>
      </c>
      <c r="AL463" s="18" t="str">
        <f>IF(COUNTIF($A$2:A462, A462) = 1, A462, "")</f>
        <v/>
      </c>
    </row>
    <row r="464" spans="6:38" x14ac:dyDescent="0.2">
      <c r="F464" t="str">
        <f t="shared" ref="F464:F527" si="63">IF(OR(O464="", P464=""), "", SUM(IF((O464&lt;&gt;"None")*(O464&lt;&gt;""),LEN(O464)-LEN(SUBSTITUTE(O464,",",""))+1,0)) + SUM(IF((P464&lt;&gt;"None")*(P464&lt;&gt;""),LEN(P464)-LEN(SUBSTITUTE(P464,",",""))+1,0)))</f>
        <v/>
      </c>
      <c r="L464" s="7" t="str">
        <f t="shared" ref="L464:L527" si="64">IF(LEN(E464)=0, "", IFERROR(IF(E464&gt;=0, K464 * (1 + E464/100) - K464, K464 / (ABS(E464)/100))+K464, ""))</f>
        <v/>
      </c>
      <c r="N464" s="7" t="str">
        <f t="shared" ref="N464:N527" si="65">IF(M464="Yes",L464-K464,IF(M464="No",-K464,""))</f>
        <v/>
      </c>
      <c r="O464" t="str">
        <f t="shared" ref="O464:O527" si="66">IF(AND(G464="No",H464="No"), "None", "")</f>
        <v/>
      </c>
      <c r="P464" t="str">
        <f t="shared" ref="P464:P527" si="67">IF(I464="No", "None", "")</f>
        <v/>
      </c>
      <c r="Q464" t="str">
        <f t="shared" ref="Q464:Q527" si="68">IF(AND(D464="Straight", M464 = "No"),IF(O464="None",P464,IF(P464="None",O464) ),"")</f>
        <v/>
      </c>
      <c r="S464" t="str">
        <f>""</f>
        <v/>
      </c>
      <c r="AL464" s="18" t="str">
        <f>IF(COUNTIF($A$2:A463, A463) = 1, A463, "")</f>
        <v/>
      </c>
    </row>
    <row r="465" spans="6:38" x14ac:dyDescent="0.2">
      <c r="F465" t="str">
        <f t="shared" si="63"/>
        <v/>
      </c>
      <c r="L465" s="7" t="str">
        <f t="shared" si="64"/>
        <v/>
      </c>
      <c r="N465" s="7" t="str">
        <f t="shared" si="65"/>
        <v/>
      </c>
      <c r="O465" t="str">
        <f t="shared" si="66"/>
        <v/>
      </c>
      <c r="P465" t="str">
        <f t="shared" si="67"/>
        <v/>
      </c>
      <c r="Q465" t="str">
        <f t="shared" si="68"/>
        <v/>
      </c>
      <c r="S465" t="str">
        <f>""</f>
        <v/>
      </c>
      <c r="AL465" s="18" t="str">
        <f>IF(COUNTIF($A$2:A464, A464) = 1, A464, "")</f>
        <v/>
      </c>
    </row>
    <row r="466" spans="6:38" x14ac:dyDescent="0.2">
      <c r="F466" t="str">
        <f t="shared" si="63"/>
        <v/>
      </c>
      <c r="L466" s="7" t="str">
        <f t="shared" si="64"/>
        <v/>
      </c>
      <c r="N466" s="7" t="str">
        <f t="shared" si="65"/>
        <v/>
      </c>
      <c r="O466" t="str">
        <f t="shared" si="66"/>
        <v/>
      </c>
      <c r="P466" t="str">
        <f t="shared" si="67"/>
        <v/>
      </c>
      <c r="Q466" t="str">
        <f t="shared" si="68"/>
        <v/>
      </c>
      <c r="S466" t="str">
        <f>""</f>
        <v/>
      </c>
      <c r="AL466" s="18" t="str">
        <f>IF(COUNTIF($A$2:A465, A465) = 1, A465, "")</f>
        <v/>
      </c>
    </row>
    <row r="467" spans="6:38" x14ac:dyDescent="0.2">
      <c r="F467" t="str">
        <f t="shared" si="63"/>
        <v/>
      </c>
      <c r="L467" s="7" t="str">
        <f t="shared" si="64"/>
        <v/>
      </c>
      <c r="N467" s="7" t="str">
        <f t="shared" si="65"/>
        <v/>
      </c>
      <c r="O467" t="str">
        <f t="shared" si="66"/>
        <v/>
      </c>
      <c r="P467" t="str">
        <f t="shared" si="67"/>
        <v/>
      </c>
      <c r="Q467" t="str">
        <f t="shared" si="68"/>
        <v/>
      </c>
      <c r="S467" t="str">
        <f>""</f>
        <v/>
      </c>
      <c r="AL467" s="18" t="str">
        <f>IF(COUNTIF($A$2:A466, A466) = 1, A466, "")</f>
        <v/>
      </c>
    </row>
    <row r="468" spans="6:38" x14ac:dyDescent="0.2">
      <c r="F468" t="str">
        <f t="shared" si="63"/>
        <v/>
      </c>
      <c r="L468" s="7" t="str">
        <f t="shared" si="64"/>
        <v/>
      </c>
      <c r="N468" s="7" t="str">
        <f t="shared" si="65"/>
        <v/>
      </c>
      <c r="O468" t="str">
        <f t="shared" si="66"/>
        <v/>
      </c>
      <c r="P468" t="str">
        <f t="shared" si="67"/>
        <v/>
      </c>
      <c r="Q468" t="str">
        <f t="shared" si="68"/>
        <v/>
      </c>
      <c r="S468" t="str">
        <f>""</f>
        <v/>
      </c>
      <c r="AL468" s="18" t="str">
        <f>IF(COUNTIF($A$2:A467, A467) = 1, A467, "")</f>
        <v/>
      </c>
    </row>
    <row r="469" spans="6:38" x14ac:dyDescent="0.2">
      <c r="F469" t="str">
        <f t="shared" si="63"/>
        <v/>
      </c>
      <c r="L469" s="7" t="str">
        <f t="shared" si="64"/>
        <v/>
      </c>
      <c r="N469" s="7" t="str">
        <f t="shared" si="65"/>
        <v/>
      </c>
      <c r="O469" t="str">
        <f t="shared" si="66"/>
        <v/>
      </c>
      <c r="P469" t="str">
        <f t="shared" si="67"/>
        <v/>
      </c>
      <c r="Q469" t="str">
        <f t="shared" si="68"/>
        <v/>
      </c>
      <c r="S469" t="str">
        <f>""</f>
        <v/>
      </c>
      <c r="AL469" s="18" t="str">
        <f>IF(COUNTIF($A$2:A468, A468) = 1, A468, "")</f>
        <v/>
      </c>
    </row>
    <row r="470" spans="6:38" x14ac:dyDescent="0.2">
      <c r="F470" t="str">
        <f t="shared" si="63"/>
        <v/>
      </c>
      <c r="L470" s="7" t="str">
        <f t="shared" si="64"/>
        <v/>
      </c>
      <c r="N470" s="7" t="str">
        <f t="shared" si="65"/>
        <v/>
      </c>
      <c r="O470" t="str">
        <f t="shared" si="66"/>
        <v/>
      </c>
      <c r="P470" t="str">
        <f t="shared" si="67"/>
        <v/>
      </c>
      <c r="Q470" t="str">
        <f t="shared" si="68"/>
        <v/>
      </c>
      <c r="S470" t="str">
        <f>""</f>
        <v/>
      </c>
      <c r="AL470" s="18" t="str">
        <f>IF(COUNTIF($A$2:A469, A469) = 1, A469, "")</f>
        <v/>
      </c>
    </row>
    <row r="471" spans="6:38" x14ac:dyDescent="0.2">
      <c r="F471" t="str">
        <f t="shared" si="63"/>
        <v/>
      </c>
      <c r="L471" s="7" t="str">
        <f t="shared" si="64"/>
        <v/>
      </c>
      <c r="N471" s="7" t="str">
        <f t="shared" si="65"/>
        <v/>
      </c>
      <c r="O471" t="str">
        <f t="shared" si="66"/>
        <v/>
      </c>
      <c r="P471" t="str">
        <f t="shared" si="67"/>
        <v/>
      </c>
      <c r="Q471" t="str">
        <f t="shared" si="68"/>
        <v/>
      </c>
      <c r="S471" t="str">
        <f>""</f>
        <v/>
      </c>
      <c r="AL471" s="18" t="str">
        <f>IF(COUNTIF($A$2:A470, A470) = 1, A470, "")</f>
        <v/>
      </c>
    </row>
    <row r="472" spans="6:38" x14ac:dyDescent="0.2">
      <c r="F472" t="str">
        <f t="shared" si="63"/>
        <v/>
      </c>
      <c r="L472" s="7" t="str">
        <f t="shared" si="64"/>
        <v/>
      </c>
      <c r="N472" s="7" t="str">
        <f t="shared" si="65"/>
        <v/>
      </c>
      <c r="O472" t="str">
        <f t="shared" si="66"/>
        <v/>
      </c>
      <c r="P472" t="str">
        <f t="shared" si="67"/>
        <v/>
      </c>
      <c r="Q472" t="str">
        <f t="shared" si="68"/>
        <v/>
      </c>
      <c r="S472" t="str">
        <f>""</f>
        <v/>
      </c>
      <c r="AL472" s="18" t="str">
        <f>IF(COUNTIF($A$2:A471, A471) = 1, A471, "")</f>
        <v/>
      </c>
    </row>
    <row r="473" spans="6:38" x14ac:dyDescent="0.2">
      <c r="F473" t="str">
        <f t="shared" si="63"/>
        <v/>
      </c>
      <c r="L473" s="7" t="str">
        <f t="shared" si="64"/>
        <v/>
      </c>
      <c r="N473" s="7" t="str">
        <f t="shared" si="65"/>
        <v/>
      </c>
      <c r="O473" t="str">
        <f t="shared" si="66"/>
        <v/>
      </c>
      <c r="P473" t="str">
        <f t="shared" si="67"/>
        <v/>
      </c>
      <c r="Q473" t="str">
        <f t="shared" si="68"/>
        <v/>
      </c>
      <c r="S473" t="str">
        <f>""</f>
        <v/>
      </c>
      <c r="AL473" s="18" t="str">
        <f>IF(COUNTIF($A$2:A472, A472) = 1, A472, "")</f>
        <v/>
      </c>
    </row>
    <row r="474" spans="6:38" x14ac:dyDescent="0.2">
      <c r="F474" t="str">
        <f t="shared" si="63"/>
        <v/>
      </c>
      <c r="L474" s="7" t="str">
        <f t="shared" si="64"/>
        <v/>
      </c>
      <c r="N474" s="7" t="str">
        <f t="shared" si="65"/>
        <v/>
      </c>
      <c r="O474" t="str">
        <f t="shared" si="66"/>
        <v/>
      </c>
      <c r="P474" t="str">
        <f t="shared" si="67"/>
        <v/>
      </c>
      <c r="Q474" t="str">
        <f t="shared" si="68"/>
        <v/>
      </c>
      <c r="S474" t="str">
        <f>""</f>
        <v/>
      </c>
      <c r="AL474" s="18" t="str">
        <f>IF(COUNTIF($A$2:A473, A473) = 1, A473, "")</f>
        <v/>
      </c>
    </row>
    <row r="475" spans="6:38" x14ac:dyDescent="0.2">
      <c r="F475" t="str">
        <f t="shared" si="63"/>
        <v/>
      </c>
      <c r="L475" s="7" t="str">
        <f t="shared" si="64"/>
        <v/>
      </c>
      <c r="N475" s="7" t="str">
        <f t="shared" si="65"/>
        <v/>
      </c>
      <c r="O475" t="str">
        <f t="shared" si="66"/>
        <v/>
      </c>
      <c r="P475" t="str">
        <f t="shared" si="67"/>
        <v/>
      </c>
      <c r="Q475" t="str">
        <f t="shared" si="68"/>
        <v/>
      </c>
      <c r="S475" t="str">
        <f>""</f>
        <v/>
      </c>
      <c r="AL475" s="18" t="str">
        <f>IF(COUNTIF($A$2:A474, A474) = 1, A474, "")</f>
        <v/>
      </c>
    </row>
    <row r="476" spans="6:38" x14ac:dyDescent="0.2">
      <c r="F476" t="str">
        <f t="shared" si="63"/>
        <v/>
      </c>
      <c r="L476" s="7" t="str">
        <f t="shared" si="64"/>
        <v/>
      </c>
      <c r="N476" s="7" t="str">
        <f t="shared" si="65"/>
        <v/>
      </c>
      <c r="O476" t="str">
        <f t="shared" si="66"/>
        <v/>
      </c>
      <c r="P476" t="str">
        <f t="shared" si="67"/>
        <v/>
      </c>
      <c r="Q476" t="str">
        <f t="shared" si="68"/>
        <v/>
      </c>
      <c r="S476" t="str">
        <f>""</f>
        <v/>
      </c>
      <c r="AL476" s="18" t="str">
        <f>IF(COUNTIF($A$2:A475, A475) = 1, A475, "")</f>
        <v/>
      </c>
    </row>
    <row r="477" spans="6:38" x14ac:dyDescent="0.2">
      <c r="F477" t="str">
        <f t="shared" si="63"/>
        <v/>
      </c>
      <c r="L477" s="7" t="str">
        <f t="shared" si="64"/>
        <v/>
      </c>
      <c r="N477" s="7" t="str">
        <f t="shared" si="65"/>
        <v/>
      </c>
      <c r="O477" t="str">
        <f t="shared" si="66"/>
        <v/>
      </c>
      <c r="P477" t="str">
        <f t="shared" si="67"/>
        <v/>
      </c>
      <c r="Q477" t="str">
        <f t="shared" si="68"/>
        <v/>
      </c>
      <c r="S477" t="str">
        <f>""</f>
        <v/>
      </c>
      <c r="AL477" s="18" t="str">
        <f>IF(COUNTIF($A$2:A476, A476) = 1, A476, "")</f>
        <v/>
      </c>
    </row>
    <row r="478" spans="6:38" x14ac:dyDescent="0.2">
      <c r="F478" t="str">
        <f t="shared" si="63"/>
        <v/>
      </c>
      <c r="L478" s="7" t="str">
        <f t="shared" si="64"/>
        <v/>
      </c>
      <c r="N478" s="7" t="str">
        <f t="shared" si="65"/>
        <v/>
      </c>
      <c r="O478" t="str">
        <f t="shared" si="66"/>
        <v/>
      </c>
      <c r="P478" t="str">
        <f t="shared" si="67"/>
        <v/>
      </c>
      <c r="Q478" t="str">
        <f t="shared" si="68"/>
        <v/>
      </c>
      <c r="S478" t="str">
        <f>""</f>
        <v/>
      </c>
      <c r="AL478" s="18" t="str">
        <f>IF(COUNTIF($A$2:A477, A477) = 1, A477, "")</f>
        <v/>
      </c>
    </row>
    <row r="479" spans="6:38" x14ac:dyDescent="0.2">
      <c r="F479" t="str">
        <f t="shared" si="63"/>
        <v/>
      </c>
      <c r="L479" s="7" t="str">
        <f t="shared" si="64"/>
        <v/>
      </c>
      <c r="N479" s="7" t="str">
        <f t="shared" si="65"/>
        <v/>
      </c>
      <c r="O479" t="str">
        <f t="shared" si="66"/>
        <v/>
      </c>
      <c r="P479" t="str">
        <f t="shared" si="67"/>
        <v/>
      </c>
      <c r="Q479" t="str">
        <f t="shared" si="68"/>
        <v/>
      </c>
      <c r="S479" t="str">
        <f>""</f>
        <v/>
      </c>
      <c r="AL479" s="18" t="str">
        <f>IF(COUNTIF($A$2:A478, A478) = 1, A478, "")</f>
        <v/>
      </c>
    </row>
    <row r="480" spans="6:38" x14ac:dyDescent="0.2">
      <c r="F480" t="str">
        <f t="shared" si="63"/>
        <v/>
      </c>
      <c r="L480" s="7" t="str">
        <f t="shared" si="64"/>
        <v/>
      </c>
      <c r="N480" s="7" t="str">
        <f t="shared" si="65"/>
        <v/>
      </c>
      <c r="O480" t="str">
        <f t="shared" si="66"/>
        <v/>
      </c>
      <c r="P480" t="str">
        <f t="shared" si="67"/>
        <v/>
      </c>
      <c r="Q480" t="str">
        <f t="shared" si="68"/>
        <v/>
      </c>
      <c r="S480" t="str">
        <f>""</f>
        <v/>
      </c>
      <c r="AL480" s="18" t="str">
        <f>IF(COUNTIF($A$2:A479, A479) = 1, A479, "")</f>
        <v/>
      </c>
    </row>
    <row r="481" spans="6:38" x14ac:dyDescent="0.2">
      <c r="F481" t="str">
        <f t="shared" si="63"/>
        <v/>
      </c>
      <c r="L481" s="7" t="str">
        <f t="shared" si="64"/>
        <v/>
      </c>
      <c r="N481" s="7" t="str">
        <f t="shared" si="65"/>
        <v/>
      </c>
      <c r="O481" t="str">
        <f t="shared" si="66"/>
        <v/>
      </c>
      <c r="P481" t="str">
        <f t="shared" si="67"/>
        <v/>
      </c>
      <c r="Q481" t="str">
        <f t="shared" si="68"/>
        <v/>
      </c>
      <c r="S481" t="str">
        <f>""</f>
        <v/>
      </c>
      <c r="AL481" s="18" t="str">
        <f>IF(COUNTIF($A$2:A480, A480) = 1, A480, "")</f>
        <v/>
      </c>
    </row>
    <row r="482" spans="6:38" x14ac:dyDescent="0.2">
      <c r="F482" t="str">
        <f t="shared" si="63"/>
        <v/>
      </c>
      <c r="L482" s="7" t="str">
        <f t="shared" si="64"/>
        <v/>
      </c>
      <c r="N482" s="7" t="str">
        <f t="shared" si="65"/>
        <v/>
      </c>
      <c r="O482" t="str">
        <f t="shared" si="66"/>
        <v/>
      </c>
      <c r="P482" t="str">
        <f t="shared" si="67"/>
        <v/>
      </c>
      <c r="Q482" t="str">
        <f t="shared" si="68"/>
        <v/>
      </c>
      <c r="S482" t="str">
        <f>""</f>
        <v/>
      </c>
      <c r="AL482" s="18" t="str">
        <f>IF(COUNTIF($A$2:A481, A481) = 1, A481, "")</f>
        <v/>
      </c>
    </row>
    <row r="483" spans="6:38" x14ac:dyDescent="0.2">
      <c r="F483" t="str">
        <f t="shared" si="63"/>
        <v/>
      </c>
      <c r="L483" s="7" t="str">
        <f t="shared" si="64"/>
        <v/>
      </c>
      <c r="N483" s="7" t="str">
        <f t="shared" si="65"/>
        <v/>
      </c>
      <c r="O483" t="str">
        <f t="shared" si="66"/>
        <v/>
      </c>
      <c r="P483" t="str">
        <f t="shared" si="67"/>
        <v/>
      </c>
      <c r="Q483" t="str">
        <f t="shared" si="68"/>
        <v/>
      </c>
      <c r="S483" t="str">
        <f>""</f>
        <v/>
      </c>
      <c r="AL483" s="18" t="str">
        <f>IF(COUNTIF($A$2:A482, A482) = 1, A482, "")</f>
        <v/>
      </c>
    </row>
    <row r="484" spans="6:38" x14ac:dyDescent="0.2">
      <c r="F484" t="str">
        <f t="shared" si="63"/>
        <v/>
      </c>
      <c r="L484" s="7" t="str">
        <f t="shared" si="64"/>
        <v/>
      </c>
      <c r="N484" s="7" t="str">
        <f t="shared" si="65"/>
        <v/>
      </c>
      <c r="O484" t="str">
        <f t="shared" si="66"/>
        <v/>
      </c>
      <c r="P484" t="str">
        <f t="shared" si="67"/>
        <v/>
      </c>
      <c r="Q484" t="str">
        <f t="shared" si="68"/>
        <v/>
      </c>
      <c r="S484" t="str">
        <f>""</f>
        <v/>
      </c>
      <c r="AL484" s="18" t="str">
        <f>IF(COUNTIF($A$2:A483, A483) = 1, A483, "")</f>
        <v/>
      </c>
    </row>
    <row r="485" spans="6:38" x14ac:dyDescent="0.2">
      <c r="F485" t="str">
        <f t="shared" si="63"/>
        <v/>
      </c>
      <c r="L485" s="7" t="str">
        <f t="shared" si="64"/>
        <v/>
      </c>
      <c r="N485" s="7" t="str">
        <f t="shared" si="65"/>
        <v/>
      </c>
      <c r="O485" t="str">
        <f t="shared" si="66"/>
        <v/>
      </c>
      <c r="P485" t="str">
        <f t="shared" si="67"/>
        <v/>
      </c>
      <c r="Q485" t="str">
        <f t="shared" si="68"/>
        <v/>
      </c>
      <c r="S485" t="str">
        <f>""</f>
        <v/>
      </c>
      <c r="AL485" s="18" t="str">
        <f>IF(COUNTIF($A$2:A484, A484) = 1, A484, "")</f>
        <v/>
      </c>
    </row>
    <row r="486" spans="6:38" x14ac:dyDescent="0.2">
      <c r="F486" t="str">
        <f t="shared" si="63"/>
        <v/>
      </c>
      <c r="L486" s="7" t="str">
        <f t="shared" si="64"/>
        <v/>
      </c>
      <c r="N486" s="7" t="str">
        <f t="shared" si="65"/>
        <v/>
      </c>
      <c r="O486" t="str">
        <f t="shared" si="66"/>
        <v/>
      </c>
      <c r="P486" t="str">
        <f t="shared" si="67"/>
        <v/>
      </c>
      <c r="Q486" t="str">
        <f t="shared" si="68"/>
        <v/>
      </c>
      <c r="S486" t="str">
        <f>""</f>
        <v/>
      </c>
      <c r="AL486" s="18" t="str">
        <f>IF(COUNTIF($A$2:A485, A485) = 1, A485, "")</f>
        <v/>
      </c>
    </row>
    <row r="487" spans="6:38" x14ac:dyDescent="0.2">
      <c r="F487" t="str">
        <f t="shared" si="63"/>
        <v/>
      </c>
      <c r="L487" s="7" t="str">
        <f t="shared" si="64"/>
        <v/>
      </c>
      <c r="N487" s="7" t="str">
        <f t="shared" si="65"/>
        <v/>
      </c>
      <c r="O487" t="str">
        <f t="shared" si="66"/>
        <v/>
      </c>
      <c r="P487" t="str">
        <f t="shared" si="67"/>
        <v/>
      </c>
      <c r="Q487" t="str">
        <f t="shared" si="68"/>
        <v/>
      </c>
      <c r="S487" t="str">
        <f>""</f>
        <v/>
      </c>
      <c r="AL487" s="18" t="str">
        <f>IF(COUNTIF($A$2:A486, A486) = 1, A486, "")</f>
        <v/>
      </c>
    </row>
    <row r="488" spans="6:38" x14ac:dyDescent="0.2">
      <c r="F488" t="str">
        <f t="shared" si="63"/>
        <v/>
      </c>
      <c r="L488" s="7" t="str">
        <f t="shared" si="64"/>
        <v/>
      </c>
      <c r="N488" s="7" t="str">
        <f t="shared" si="65"/>
        <v/>
      </c>
      <c r="O488" t="str">
        <f t="shared" si="66"/>
        <v/>
      </c>
      <c r="P488" t="str">
        <f t="shared" si="67"/>
        <v/>
      </c>
      <c r="Q488" t="str">
        <f t="shared" si="68"/>
        <v/>
      </c>
      <c r="S488" t="str">
        <f>""</f>
        <v/>
      </c>
      <c r="AL488" s="18" t="str">
        <f>IF(COUNTIF($A$2:A487, A487) = 1, A487, "")</f>
        <v/>
      </c>
    </row>
    <row r="489" spans="6:38" x14ac:dyDescent="0.2">
      <c r="F489" t="str">
        <f t="shared" si="63"/>
        <v/>
      </c>
      <c r="L489" s="7" t="str">
        <f t="shared" si="64"/>
        <v/>
      </c>
      <c r="N489" s="7" t="str">
        <f t="shared" si="65"/>
        <v/>
      </c>
      <c r="O489" t="str">
        <f t="shared" si="66"/>
        <v/>
      </c>
      <c r="P489" t="str">
        <f t="shared" si="67"/>
        <v/>
      </c>
      <c r="Q489" t="str">
        <f t="shared" si="68"/>
        <v/>
      </c>
      <c r="S489" t="str">
        <f>""</f>
        <v/>
      </c>
      <c r="AL489" s="18" t="str">
        <f>IF(COUNTIF($A$2:A488, A488) = 1, A488, "")</f>
        <v/>
      </c>
    </row>
    <row r="490" spans="6:38" x14ac:dyDescent="0.2">
      <c r="F490" t="str">
        <f t="shared" si="63"/>
        <v/>
      </c>
      <c r="L490" s="7" t="str">
        <f t="shared" si="64"/>
        <v/>
      </c>
      <c r="N490" s="7" t="str">
        <f t="shared" si="65"/>
        <v/>
      </c>
      <c r="O490" t="str">
        <f t="shared" si="66"/>
        <v/>
      </c>
      <c r="P490" t="str">
        <f t="shared" si="67"/>
        <v/>
      </c>
      <c r="Q490" t="str">
        <f t="shared" si="68"/>
        <v/>
      </c>
      <c r="S490" t="str">
        <f>""</f>
        <v/>
      </c>
      <c r="AL490" s="18" t="str">
        <f>IF(COUNTIF($A$2:A489, A489) = 1, A489, "")</f>
        <v/>
      </c>
    </row>
    <row r="491" spans="6:38" x14ac:dyDescent="0.2">
      <c r="F491" t="str">
        <f t="shared" si="63"/>
        <v/>
      </c>
      <c r="L491" s="7" t="str">
        <f t="shared" si="64"/>
        <v/>
      </c>
      <c r="N491" s="7" t="str">
        <f t="shared" si="65"/>
        <v/>
      </c>
      <c r="O491" t="str">
        <f t="shared" si="66"/>
        <v/>
      </c>
      <c r="P491" t="str">
        <f t="shared" si="67"/>
        <v/>
      </c>
      <c r="Q491" t="str">
        <f t="shared" si="68"/>
        <v/>
      </c>
      <c r="S491" t="str">
        <f>""</f>
        <v/>
      </c>
      <c r="AL491" s="18" t="str">
        <f>IF(COUNTIF($A$2:A490, A490) = 1, A490, "")</f>
        <v/>
      </c>
    </row>
    <row r="492" spans="6:38" x14ac:dyDescent="0.2">
      <c r="F492" t="str">
        <f t="shared" si="63"/>
        <v/>
      </c>
      <c r="L492" s="7" t="str">
        <f t="shared" si="64"/>
        <v/>
      </c>
      <c r="N492" s="7" t="str">
        <f t="shared" si="65"/>
        <v/>
      </c>
      <c r="O492" t="str">
        <f t="shared" si="66"/>
        <v/>
      </c>
      <c r="P492" t="str">
        <f t="shared" si="67"/>
        <v/>
      </c>
      <c r="Q492" t="str">
        <f t="shared" si="68"/>
        <v/>
      </c>
      <c r="S492" t="str">
        <f>""</f>
        <v/>
      </c>
      <c r="AL492" s="18" t="str">
        <f>IF(COUNTIF($A$2:A491, A491) = 1, A491, "")</f>
        <v/>
      </c>
    </row>
    <row r="493" spans="6:38" x14ac:dyDescent="0.2">
      <c r="F493" t="str">
        <f t="shared" si="63"/>
        <v/>
      </c>
      <c r="L493" s="7" t="str">
        <f t="shared" si="64"/>
        <v/>
      </c>
      <c r="N493" s="7" t="str">
        <f t="shared" si="65"/>
        <v/>
      </c>
      <c r="O493" t="str">
        <f t="shared" si="66"/>
        <v/>
      </c>
      <c r="P493" t="str">
        <f t="shared" si="67"/>
        <v/>
      </c>
      <c r="Q493" t="str">
        <f t="shared" si="68"/>
        <v/>
      </c>
      <c r="S493" t="str">
        <f>""</f>
        <v/>
      </c>
      <c r="AL493" s="18" t="str">
        <f>IF(COUNTIF($A$2:A492, A492) = 1, A492, "")</f>
        <v/>
      </c>
    </row>
    <row r="494" spans="6:38" x14ac:dyDescent="0.2">
      <c r="F494" t="str">
        <f t="shared" si="63"/>
        <v/>
      </c>
      <c r="L494" s="7" t="str">
        <f t="shared" si="64"/>
        <v/>
      </c>
      <c r="N494" s="7" t="str">
        <f t="shared" si="65"/>
        <v/>
      </c>
      <c r="O494" t="str">
        <f t="shared" si="66"/>
        <v/>
      </c>
      <c r="P494" t="str">
        <f t="shared" si="67"/>
        <v/>
      </c>
      <c r="Q494" t="str">
        <f t="shared" si="68"/>
        <v/>
      </c>
      <c r="S494" t="str">
        <f>""</f>
        <v/>
      </c>
      <c r="AL494" s="18" t="str">
        <f>IF(COUNTIF($A$2:A493, A493) = 1, A493, "")</f>
        <v/>
      </c>
    </row>
    <row r="495" spans="6:38" x14ac:dyDescent="0.2">
      <c r="F495" t="str">
        <f t="shared" si="63"/>
        <v/>
      </c>
      <c r="L495" s="7" t="str">
        <f t="shared" si="64"/>
        <v/>
      </c>
      <c r="N495" s="7" t="str">
        <f t="shared" si="65"/>
        <v/>
      </c>
      <c r="O495" t="str">
        <f t="shared" si="66"/>
        <v/>
      </c>
      <c r="P495" t="str">
        <f t="shared" si="67"/>
        <v/>
      </c>
      <c r="Q495" t="str">
        <f t="shared" si="68"/>
        <v/>
      </c>
      <c r="S495" t="str">
        <f>""</f>
        <v/>
      </c>
      <c r="AL495" s="18" t="str">
        <f>IF(COUNTIF($A$2:A494, A494) = 1, A494, "")</f>
        <v/>
      </c>
    </row>
    <row r="496" spans="6:38" x14ac:dyDescent="0.2">
      <c r="F496" t="str">
        <f t="shared" si="63"/>
        <v/>
      </c>
      <c r="L496" s="7" t="str">
        <f t="shared" si="64"/>
        <v/>
      </c>
      <c r="N496" s="7" t="str">
        <f t="shared" si="65"/>
        <v/>
      </c>
      <c r="O496" t="str">
        <f t="shared" si="66"/>
        <v/>
      </c>
      <c r="P496" t="str">
        <f t="shared" si="67"/>
        <v/>
      </c>
      <c r="Q496" t="str">
        <f t="shared" si="68"/>
        <v/>
      </c>
      <c r="S496" t="str">
        <f>""</f>
        <v/>
      </c>
      <c r="AL496" s="18" t="str">
        <f>IF(COUNTIF($A$2:A495, A495) = 1, A495, "")</f>
        <v/>
      </c>
    </row>
    <row r="497" spans="6:38" x14ac:dyDescent="0.2">
      <c r="F497" t="str">
        <f t="shared" si="63"/>
        <v/>
      </c>
      <c r="L497" s="7" t="str">
        <f t="shared" si="64"/>
        <v/>
      </c>
      <c r="N497" s="7" t="str">
        <f t="shared" si="65"/>
        <v/>
      </c>
      <c r="O497" t="str">
        <f t="shared" si="66"/>
        <v/>
      </c>
      <c r="P497" t="str">
        <f t="shared" si="67"/>
        <v/>
      </c>
      <c r="Q497" t="str">
        <f t="shared" si="68"/>
        <v/>
      </c>
      <c r="S497" t="str">
        <f>""</f>
        <v/>
      </c>
      <c r="AL497" s="18" t="str">
        <f>IF(COUNTIF($A$2:A496, A496) = 1, A496, "")</f>
        <v/>
      </c>
    </row>
    <row r="498" spans="6:38" x14ac:dyDescent="0.2">
      <c r="F498" t="str">
        <f t="shared" si="63"/>
        <v/>
      </c>
      <c r="L498" s="7" t="str">
        <f t="shared" si="64"/>
        <v/>
      </c>
      <c r="N498" s="7" t="str">
        <f t="shared" si="65"/>
        <v/>
      </c>
      <c r="O498" t="str">
        <f t="shared" si="66"/>
        <v/>
      </c>
      <c r="P498" t="str">
        <f t="shared" si="67"/>
        <v/>
      </c>
      <c r="Q498" t="str">
        <f t="shared" si="68"/>
        <v/>
      </c>
      <c r="S498" t="str">
        <f>""</f>
        <v/>
      </c>
      <c r="AL498" s="18" t="str">
        <f>IF(COUNTIF($A$2:A497, A497) = 1, A497, "")</f>
        <v/>
      </c>
    </row>
    <row r="499" spans="6:38" x14ac:dyDescent="0.2">
      <c r="F499" t="str">
        <f t="shared" si="63"/>
        <v/>
      </c>
      <c r="L499" s="7" t="str">
        <f t="shared" si="64"/>
        <v/>
      </c>
      <c r="N499" s="7" t="str">
        <f t="shared" si="65"/>
        <v/>
      </c>
      <c r="O499" t="str">
        <f t="shared" si="66"/>
        <v/>
      </c>
      <c r="P499" t="str">
        <f t="shared" si="67"/>
        <v/>
      </c>
      <c r="Q499" t="str">
        <f t="shared" si="68"/>
        <v/>
      </c>
      <c r="S499" t="str">
        <f>""</f>
        <v/>
      </c>
      <c r="AL499" s="18" t="str">
        <f>IF(COUNTIF($A$2:A498, A498) = 1, A498, "")</f>
        <v/>
      </c>
    </row>
    <row r="500" spans="6:38" x14ac:dyDescent="0.2">
      <c r="F500" t="str">
        <f t="shared" si="63"/>
        <v/>
      </c>
      <c r="L500" s="7" t="str">
        <f t="shared" si="64"/>
        <v/>
      </c>
      <c r="N500" s="7" t="str">
        <f t="shared" si="65"/>
        <v/>
      </c>
      <c r="O500" t="str">
        <f t="shared" si="66"/>
        <v/>
      </c>
      <c r="P500" t="str">
        <f t="shared" si="67"/>
        <v/>
      </c>
      <c r="Q500" t="str">
        <f t="shared" si="68"/>
        <v/>
      </c>
      <c r="S500" t="str">
        <f>""</f>
        <v/>
      </c>
      <c r="AL500" s="18" t="str">
        <f>IF(COUNTIF($A$2:A499, A499) = 1, A499, "")</f>
        <v/>
      </c>
    </row>
    <row r="501" spans="6:38" x14ac:dyDescent="0.2">
      <c r="F501" t="str">
        <f t="shared" si="63"/>
        <v/>
      </c>
      <c r="L501" s="7" t="str">
        <f t="shared" si="64"/>
        <v/>
      </c>
      <c r="N501" s="7" t="str">
        <f t="shared" si="65"/>
        <v/>
      </c>
      <c r="O501" t="str">
        <f t="shared" si="66"/>
        <v/>
      </c>
      <c r="P501" t="str">
        <f t="shared" si="67"/>
        <v/>
      </c>
      <c r="Q501" t="str">
        <f t="shared" si="68"/>
        <v/>
      </c>
      <c r="S501" t="str">
        <f>""</f>
        <v/>
      </c>
      <c r="AL501" s="18" t="str">
        <f>IF(COUNTIF($A$2:A500, A500) = 1, A500, "")</f>
        <v/>
      </c>
    </row>
    <row r="502" spans="6:38" x14ac:dyDescent="0.2">
      <c r="F502" t="str">
        <f t="shared" si="63"/>
        <v/>
      </c>
      <c r="L502" s="7" t="str">
        <f t="shared" si="64"/>
        <v/>
      </c>
      <c r="N502" s="7" t="str">
        <f t="shared" si="65"/>
        <v/>
      </c>
      <c r="O502" t="str">
        <f t="shared" si="66"/>
        <v/>
      </c>
      <c r="P502" t="str">
        <f t="shared" si="67"/>
        <v/>
      </c>
      <c r="Q502" t="str">
        <f t="shared" si="68"/>
        <v/>
      </c>
      <c r="S502" t="str">
        <f>""</f>
        <v/>
      </c>
      <c r="AL502" s="18" t="str">
        <f>IF(COUNTIF($A$2:A501, A501) = 1, A501, "")</f>
        <v/>
      </c>
    </row>
    <row r="503" spans="6:38" x14ac:dyDescent="0.2">
      <c r="F503" t="str">
        <f t="shared" si="63"/>
        <v/>
      </c>
      <c r="L503" s="7" t="str">
        <f t="shared" si="64"/>
        <v/>
      </c>
      <c r="N503" s="7" t="str">
        <f t="shared" si="65"/>
        <v/>
      </c>
      <c r="O503" t="str">
        <f t="shared" si="66"/>
        <v/>
      </c>
      <c r="P503" t="str">
        <f t="shared" si="67"/>
        <v/>
      </c>
      <c r="Q503" t="str">
        <f t="shared" si="68"/>
        <v/>
      </c>
      <c r="S503" t="str">
        <f>""</f>
        <v/>
      </c>
      <c r="AL503" s="18" t="str">
        <f>IF(COUNTIF($A$2:A502, A502) = 1, A502, "")</f>
        <v/>
      </c>
    </row>
    <row r="504" spans="6:38" x14ac:dyDescent="0.2">
      <c r="F504" t="str">
        <f t="shared" si="63"/>
        <v/>
      </c>
      <c r="L504" s="7" t="str">
        <f t="shared" si="64"/>
        <v/>
      </c>
      <c r="N504" s="7" t="str">
        <f t="shared" si="65"/>
        <v/>
      </c>
      <c r="O504" t="str">
        <f t="shared" si="66"/>
        <v/>
      </c>
      <c r="P504" t="str">
        <f t="shared" si="67"/>
        <v/>
      </c>
      <c r="Q504" t="str">
        <f t="shared" si="68"/>
        <v/>
      </c>
      <c r="S504" t="str">
        <f>""</f>
        <v/>
      </c>
      <c r="AL504" s="18" t="str">
        <f>IF(COUNTIF($A$2:A503, A503) = 1, A503, "")</f>
        <v/>
      </c>
    </row>
    <row r="505" spans="6:38" x14ac:dyDescent="0.2">
      <c r="F505" t="str">
        <f t="shared" si="63"/>
        <v/>
      </c>
      <c r="L505" s="7" t="str">
        <f t="shared" si="64"/>
        <v/>
      </c>
      <c r="N505" s="7" t="str">
        <f t="shared" si="65"/>
        <v/>
      </c>
      <c r="O505" t="str">
        <f t="shared" si="66"/>
        <v/>
      </c>
      <c r="P505" t="str">
        <f t="shared" si="67"/>
        <v/>
      </c>
      <c r="Q505" t="str">
        <f t="shared" si="68"/>
        <v/>
      </c>
      <c r="S505" t="str">
        <f>""</f>
        <v/>
      </c>
      <c r="AL505" s="18" t="str">
        <f>IF(COUNTIF($A$2:A504, A504) = 1, A504, "")</f>
        <v/>
      </c>
    </row>
    <row r="506" spans="6:38" x14ac:dyDescent="0.2">
      <c r="F506" t="str">
        <f t="shared" si="63"/>
        <v/>
      </c>
      <c r="L506" s="7" t="str">
        <f t="shared" si="64"/>
        <v/>
      </c>
      <c r="N506" s="7" t="str">
        <f t="shared" si="65"/>
        <v/>
      </c>
      <c r="O506" t="str">
        <f t="shared" si="66"/>
        <v/>
      </c>
      <c r="P506" t="str">
        <f t="shared" si="67"/>
        <v/>
      </c>
      <c r="Q506" t="str">
        <f t="shared" si="68"/>
        <v/>
      </c>
      <c r="S506" t="str">
        <f>""</f>
        <v/>
      </c>
      <c r="AL506" s="18" t="str">
        <f>IF(COUNTIF($A$2:A505, A505) = 1, A505, "")</f>
        <v/>
      </c>
    </row>
    <row r="507" spans="6:38" x14ac:dyDescent="0.2">
      <c r="F507" t="str">
        <f t="shared" si="63"/>
        <v/>
      </c>
      <c r="L507" s="7" t="str">
        <f t="shared" si="64"/>
        <v/>
      </c>
      <c r="N507" s="7" t="str">
        <f t="shared" si="65"/>
        <v/>
      </c>
      <c r="O507" t="str">
        <f t="shared" si="66"/>
        <v/>
      </c>
      <c r="P507" t="str">
        <f t="shared" si="67"/>
        <v/>
      </c>
      <c r="Q507" t="str">
        <f t="shared" si="68"/>
        <v/>
      </c>
      <c r="S507" t="str">
        <f>""</f>
        <v/>
      </c>
      <c r="AL507" s="18" t="str">
        <f>IF(COUNTIF($A$2:A506, A506) = 1, A506, "")</f>
        <v/>
      </c>
    </row>
    <row r="508" spans="6:38" x14ac:dyDescent="0.2">
      <c r="F508" t="str">
        <f t="shared" si="63"/>
        <v/>
      </c>
      <c r="L508" s="7" t="str">
        <f t="shared" si="64"/>
        <v/>
      </c>
      <c r="N508" s="7" t="str">
        <f t="shared" si="65"/>
        <v/>
      </c>
      <c r="O508" t="str">
        <f t="shared" si="66"/>
        <v/>
      </c>
      <c r="P508" t="str">
        <f t="shared" si="67"/>
        <v/>
      </c>
      <c r="Q508" t="str">
        <f t="shared" si="68"/>
        <v/>
      </c>
      <c r="S508" t="str">
        <f>""</f>
        <v/>
      </c>
      <c r="AL508" s="18" t="str">
        <f>IF(COUNTIF($A$2:A507, A507) = 1, A507, "")</f>
        <v/>
      </c>
    </row>
    <row r="509" spans="6:38" x14ac:dyDescent="0.2">
      <c r="F509" t="str">
        <f t="shared" si="63"/>
        <v/>
      </c>
      <c r="L509" s="7" t="str">
        <f t="shared" si="64"/>
        <v/>
      </c>
      <c r="N509" s="7" t="str">
        <f t="shared" si="65"/>
        <v/>
      </c>
      <c r="O509" t="str">
        <f t="shared" si="66"/>
        <v/>
      </c>
      <c r="P509" t="str">
        <f t="shared" si="67"/>
        <v/>
      </c>
      <c r="Q509" t="str">
        <f t="shared" si="68"/>
        <v/>
      </c>
      <c r="S509" t="str">
        <f>""</f>
        <v/>
      </c>
      <c r="AL509" s="18" t="str">
        <f>IF(COUNTIF($A$2:A508, A508) = 1, A508, "")</f>
        <v/>
      </c>
    </row>
    <row r="510" spans="6:38" x14ac:dyDescent="0.2">
      <c r="F510" t="str">
        <f t="shared" si="63"/>
        <v/>
      </c>
      <c r="L510" s="7" t="str">
        <f t="shared" si="64"/>
        <v/>
      </c>
      <c r="N510" s="7" t="str">
        <f t="shared" si="65"/>
        <v/>
      </c>
      <c r="O510" t="str">
        <f t="shared" si="66"/>
        <v/>
      </c>
      <c r="P510" t="str">
        <f t="shared" si="67"/>
        <v/>
      </c>
      <c r="Q510" t="str">
        <f t="shared" si="68"/>
        <v/>
      </c>
      <c r="S510" t="str">
        <f>""</f>
        <v/>
      </c>
      <c r="AL510" s="18" t="str">
        <f>IF(COUNTIF($A$2:A509, A509) = 1, A509, "")</f>
        <v/>
      </c>
    </row>
    <row r="511" spans="6:38" x14ac:dyDescent="0.2">
      <c r="F511" t="str">
        <f t="shared" si="63"/>
        <v/>
      </c>
      <c r="L511" s="7" t="str">
        <f t="shared" si="64"/>
        <v/>
      </c>
      <c r="N511" s="7" t="str">
        <f t="shared" si="65"/>
        <v/>
      </c>
      <c r="O511" t="str">
        <f t="shared" si="66"/>
        <v/>
      </c>
      <c r="P511" t="str">
        <f t="shared" si="67"/>
        <v/>
      </c>
      <c r="Q511" t="str">
        <f t="shared" si="68"/>
        <v/>
      </c>
      <c r="S511" t="str">
        <f>""</f>
        <v/>
      </c>
      <c r="AL511" s="18" t="str">
        <f>IF(COUNTIF($A$2:A510, A510) = 1, A510, "")</f>
        <v/>
      </c>
    </row>
    <row r="512" spans="6:38" x14ac:dyDescent="0.2">
      <c r="F512" t="str">
        <f t="shared" si="63"/>
        <v/>
      </c>
      <c r="L512" s="7" t="str">
        <f t="shared" si="64"/>
        <v/>
      </c>
      <c r="N512" s="7" t="str">
        <f t="shared" si="65"/>
        <v/>
      </c>
      <c r="O512" t="str">
        <f t="shared" si="66"/>
        <v/>
      </c>
      <c r="P512" t="str">
        <f t="shared" si="67"/>
        <v/>
      </c>
      <c r="Q512" t="str">
        <f t="shared" si="68"/>
        <v/>
      </c>
      <c r="S512" t="str">
        <f>""</f>
        <v/>
      </c>
      <c r="AL512" s="18" t="str">
        <f>IF(COUNTIF($A$2:A511, A511) = 1, A511, "")</f>
        <v/>
      </c>
    </row>
    <row r="513" spans="6:38" x14ac:dyDescent="0.2">
      <c r="F513" t="str">
        <f t="shared" si="63"/>
        <v/>
      </c>
      <c r="L513" s="7" t="str">
        <f t="shared" si="64"/>
        <v/>
      </c>
      <c r="N513" s="7" t="str">
        <f t="shared" si="65"/>
        <v/>
      </c>
      <c r="O513" t="str">
        <f t="shared" si="66"/>
        <v/>
      </c>
      <c r="P513" t="str">
        <f t="shared" si="67"/>
        <v/>
      </c>
      <c r="Q513" t="str">
        <f t="shared" si="68"/>
        <v/>
      </c>
      <c r="S513" t="str">
        <f>""</f>
        <v/>
      </c>
      <c r="AL513" s="18" t="str">
        <f>IF(COUNTIF($A$2:A512, A512) = 1, A512, "")</f>
        <v/>
      </c>
    </row>
    <row r="514" spans="6:38" x14ac:dyDescent="0.2">
      <c r="F514" t="str">
        <f t="shared" si="63"/>
        <v/>
      </c>
      <c r="L514" s="7" t="str">
        <f t="shared" si="64"/>
        <v/>
      </c>
      <c r="N514" s="7" t="str">
        <f t="shared" si="65"/>
        <v/>
      </c>
      <c r="O514" t="str">
        <f t="shared" si="66"/>
        <v/>
      </c>
      <c r="P514" t="str">
        <f t="shared" si="67"/>
        <v/>
      </c>
      <c r="Q514" t="str">
        <f t="shared" si="68"/>
        <v/>
      </c>
      <c r="S514" t="str">
        <f>""</f>
        <v/>
      </c>
      <c r="AL514" s="18" t="str">
        <f>IF(COUNTIF($A$2:A513, A513) = 1, A513, "")</f>
        <v/>
      </c>
    </row>
    <row r="515" spans="6:38" x14ac:dyDescent="0.2">
      <c r="F515" t="str">
        <f t="shared" si="63"/>
        <v/>
      </c>
      <c r="L515" s="7" t="str">
        <f t="shared" si="64"/>
        <v/>
      </c>
      <c r="N515" s="7" t="str">
        <f t="shared" si="65"/>
        <v/>
      </c>
      <c r="O515" t="str">
        <f t="shared" si="66"/>
        <v/>
      </c>
      <c r="P515" t="str">
        <f t="shared" si="67"/>
        <v/>
      </c>
      <c r="Q515" t="str">
        <f t="shared" si="68"/>
        <v/>
      </c>
      <c r="S515" t="str">
        <f>""</f>
        <v/>
      </c>
      <c r="AL515" s="18" t="str">
        <f>IF(COUNTIF($A$2:A514, A514) = 1, A514, "")</f>
        <v/>
      </c>
    </row>
    <row r="516" spans="6:38" x14ac:dyDescent="0.2">
      <c r="F516" t="str">
        <f t="shared" si="63"/>
        <v/>
      </c>
      <c r="L516" s="7" t="str">
        <f t="shared" si="64"/>
        <v/>
      </c>
      <c r="N516" s="7" t="str">
        <f t="shared" si="65"/>
        <v/>
      </c>
      <c r="O516" t="str">
        <f t="shared" si="66"/>
        <v/>
      </c>
      <c r="P516" t="str">
        <f t="shared" si="67"/>
        <v/>
      </c>
      <c r="Q516" t="str">
        <f t="shared" si="68"/>
        <v/>
      </c>
      <c r="S516" t="str">
        <f>""</f>
        <v/>
      </c>
      <c r="AL516" s="18" t="str">
        <f>IF(COUNTIF($A$2:A515, A515) = 1, A515, "")</f>
        <v/>
      </c>
    </row>
    <row r="517" spans="6:38" x14ac:dyDescent="0.2">
      <c r="F517" t="str">
        <f t="shared" si="63"/>
        <v/>
      </c>
      <c r="L517" s="7" t="str">
        <f t="shared" si="64"/>
        <v/>
      </c>
      <c r="N517" s="7" t="str">
        <f t="shared" si="65"/>
        <v/>
      </c>
      <c r="O517" t="str">
        <f t="shared" si="66"/>
        <v/>
      </c>
      <c r="P517" t="str">
        <f t="shared" si="67"/>
        <v/>
      </c>
      <c r="Q517" t="str">
        <f t="shared" si="68"/>
        <v/>
      </c>
      <c r="S517" t="str">
        <f>""</f>
        <v/>
      </c>
      <c r="AL517" s="18" t="str">
        <f>IF(COUNTIF($A$2:A516, A516) = 1, A516, "")</f>
        <v/>
      </c>
    </row>
    <row r="518" spans="6:38" x14ac:dyDescent="0.2">
      <c r="F518" t="str">
        <f t="shared" si="63"/>
        <v/>
      </c>
      <c r="L518" s="7" t="str">
        <f t="shared" si="64"/>
        <v/>
      </c>
      <c r="N518" s="7" t="str">
        <f t="shared" si="65"/>
        <v/>
      </c>
      <c r="O518" t="str">
        <f t="shared" si="66"/>
        <v/>
      </c>
      <c r="P518" t="str">
        <f t="shared" si="67"/>
        <v/>
      </c>
      <c r="Q518" t="str">
        <f t="shared" si="68"/>
        <v/>
      </c>
      <c r="S518" t="str">
        <f>""</f>
        <v/>
      </c>
      <c r="AL518" s="18" t="str">
        <f>IF(COUNTIF($A$2:A517, A517) = 1, A517, "")</f>
        <v/>
      </c>
    </row>
    <row r="519" spans="6:38" x14ac:dyDescent="0.2">
      <c r="F519" t="str">
        <f t="shared" si="63"/>
        <v/>
      </c>
      <c r="L519" s="7" t="str">
        <f t="shared" si="64"/>
        <v/>
      </c>
      <c r="N519" s="7" t="str">
        <f t="shared" si="65"/>
        <v/>
      </c>
      <c r="O519" t="str">
        <f t="shared" si="66"/>
        <v/>
      </c>
      <c r="P519" t="str">
        <f t="shared" si="67"/>
        <v/>
      </c>
      <c r="Q519" t="str">
        <f t="shared" si="68"/>
        <v/>
      </c>
      <c r="S519" t="str">
        <f>""</f>
        <v/>
      </c>
      <c r="AL519" s="18" t="str">
        <f>IF(COUNTIF($A$2:A518, A518) = 1, A518, "")</f>
        <v/>
      </c>
    </row>
    <row r="520" spans="6:38" x14ac:dyDescent="0.2">
      <c r="F520" t="str">
        <f t="shared" si="63"/>
        <v/>
      </c>
      <c r="L520" s="7" t="str">
        <f t="shared" si="64"/>
        <v/>
      </c>
      <c r="N520" s="7" t="str">
        <f t="shared" si="65"/>
        <v/>
      </c>
      <c r="O520" t="str">
        <f t="shared" si="66"/>
        <v/>
      </c>
      <c r="P520" t="str">
        <f t="shared" si="67"/>
        <v/>
      </c>
      <c r="Q520" t="str">
        <f t="shared" si="68"/>
        <v/>
      </c>
      <c r="S520" t="str">
        <f>""</f>
        <v/>
      </c>
      <c r="AL520" s="18" t="str">
        <f>IF(COUNTIF($A$2:A519, A519) = 1, A519, "")</f>
        <v/>
      </c>
    </row>
    <row r="521" spans="6:38" x14ac:dyDescent="0.2">
      <c r="F521" t="str">
        <f t="shared" si="63"/>
        <v/>
      </c>
      <c r="L521" s="7" t="str">
        <f t="shared" si="64"/>
        <v/>
      </c>
      <c r="N521" s="7" t="str">
        <f t="shared" si="65"/>
        <v/>
      </c>
      <c r="O521" t="str">
        <f t="shared" si="66"/>
        <v/>
      </c>
      <c r="P521" t="str">
        <f t="shared" si="67"/>
        <v/>
      </c>
      <c r="Q521" t="str">
        <f t="shared" si="68"/>
        <v/>
      </c>
      <c r="S521" t="str">
        <f>""</f>
        <v/>
      </c>
      <c r="AL521" s="18" t="str">
        <f>IF(COUNTIF($A$2:A520, A520) = 1, A520, "")</f>
        <v/>
      </c>
    </row>
    <row r="522" spans="6:38" x14ac:dyDescent="0.2">
      <c r="F522" t="str">
        <f t="shared" si="63"/>
        <v/>
      </c>
      <c r="L522" s="7" t="str">
        <f t="shared" si="64"/>
        <v/>
      </c>
      <c r="N522" s="7" t="str">
        <f t="shared" si="65"/>
        <v/>
      </c>
      <c r="O522" t="str">
        <f t="shared" si="66"/>
        <v/>
      </c>
      <c r="P522" t="str">
        <f t="shared" si="67"/>
        <v/>
      </c>
      <c r="Q522" t="str">
        <f t="shared" si="68"/>
        <v/>
      </c>
      <c r="S522" t="str">
        <f>""</f>
        <v/>
      </c>
      <c r="AL522" s="18" t="str">
        <f>IF(COUNTIF($A$2:A521, A521) = 1, A521, "")</f>
        <v/>
      </c>
    </row>
    <row r="523" spans="6:38" x14ac:dyDescent="0.2">
      <c r="F523" t="str">
        <f t="shared" si="63"/>
        <v/>
      </c>
      <c r="L523" s="7" t="str">
        <f t="shared" si="64"/>
        <v/>
      </c>
      <c r="N523" s="7" t="str">
        <f t="shared" si="65"/>
        <v/>
      </c>
      <c r="O523" t="str">
        <f t="shared" si="66"/>
        <v/>
      </c>
      <c r="P523" t="str">
        <f t="shared" si="67"/>
        <v/>
      </c>
      <c r="Q523" t="str">
        <f t="shared" si="68"/>
        <v/>
      </c>
      <c r="S523" t="str">
        <f>""</f>
        <v/>
      </c>
      <c r="AL523" s="18" t="str">
        <f>IF(COUNTIF($A$2:A522, A522) = 1, A522, "")</f>
        <v/>
      </c>
    </row>
    <row r="524" spans="6:38" x14ac:dyDescent="0.2">
      <c r="F524" t="str">
        <f t="shared" si="63"/>
        <v/>
      </c>
      <c r="L524" s="7" t="str">
        <f t="shared" si="64"/>
        <v/>
      </c>
      <c r="N524" s="7" t="str">
        <f t="shared" si="65"/>
        <v/>
      </c>
      <c r="O524" t="str">
        <f t="shared" si="66"/>
        <v/>
      </c>
      <c r="P524" t="str">
        <f t="shared" si="67"/>
        <v/>
      </c>
      <c r="Q524" t="str">
        <f t="shared" si="68"/>
        <v/>
      </c>
      <c r="S524" t="str">
        <f>""</f>
        <v/>
      </c>
      <c r="AL524" s="18" t="str">
        <f>IF(COUNTIF($A$2:A523, A523) = 1, A523, "")</f>
        <v/>
      </c>
    </row>
    <row r="525" spans="6:38" x14ac:dyDescent="0.2">
      <c r="F525" t="str">
        <f t="shared" si="63"/>
        <v/>
      </c>
      <c r="L525" s="7" t="str">
        <f t="shared" si="64"/>
        <v/>
      </c>
      <c r="N525" s="7" t="str">
        <f t="shared" si="65"/>
        <v/>
      </c>
      <c r="O525" t="str">
        <f t="shared" si="66"/>
        <v/>
      </c>
      <c r="P525" t="str">
        <f t="shared" si="67"/>
        <v/>
      </c>
      <c r="Q525" t="str">
        <f t="shared" si="68"/>
        <v/>
      </c>
      <c r="S525" t="str">
        <f>""</f>
        <v/>
      </c>
      <c r="AL525" s="18" t="str">
        <f>IF(COUNTIF($A$2:A524, A524) = 1, A524, "")</f>
        <v/>
      </c>
    </row>
    <row r="526" spans="6:38" x14ac:dyDescent="0.2">
      <c r="F526" t="str">
        <f t="shared" si="63"/>
        <v/>
      </c>
      <c r="L526" s="7" t="str">
        <f t="shared" si="64"/>
        <v/>
      </c>
      <c r="N526" s="7" t="str">
        <f t="shared" si="65"/>
        <v/>
      </c>
      <c r="O526" t="str">
        <f t="shared" si="66"/>
        <v/>
      </c>
      <c r="P526" t="str">
        <f t="shared" si="67"/>
        <v/>
      </c>
      <c r="Q526" t="str">
        <f t="shared" si="68"/>
        <v/>
      </c>
      <c r="S526" t="str">
        <f>""</f>
        <v/>
      </c>
      <c r="AL526" s="18" t="str">
        <f>IF(COUNTIF($A$2:A525, A525) = 1, A525, "")</f>
        <v/>
      </c>
    </row>
    <row r="527" spans="6:38" x14ac:dyDescent="0.2">
      <c r="F527" t="str">
        <f t="shared" si="63"/>
        <v/>
      </c>
      <c r="L527" s="7" t="str">
        <f t="shared" si="64"/>
        <v/>
      </c>
      <c r="N527" s="7" t="str">
        <f t="shared" si="65"/>
        <v/>
      </c>
      <c r="O527" t="str">
        <f t="shared" si="66"/>
        <v/>
      </c>
      <c r="P527" t="str">
        <f t="shared" si="67"/>
        <v/>
      </c>
      <c r="Q527" t="str">
        <f t="shared" si="68"/>
        <v/>
      </c>
      <c r="S527" t="str">
        <f>""</f>
        <v/>
      </c>
      <c r="AL527" s="18" t="str">
        <f>IF(COUNTIF($A$2:A526, A526) = 1, A526, "")</f>
        <v/>
      </c>
    </row>
    <row r="528" spans="6:38" x14ac:dyDescent="0.2">
      <c r="F528" t="str">
        <f t="shared" ref="F528:F553" si="69">IF(OR(O528="", P528=""), "", SUM(IF((O528&lt;&gt;"None")*(O528&lt;&gt;""),LEN(O528)-LEN(SUBSTITUTE(O528,",",""))+1,0)) + SUM(IF((P528&lt;&gt;"None")*(P528&lt;&gt;""),LEN(P528)-LEN(SUBSTITUTE(P528,",",""))+1,0)))</f>
        <v/>
      </c>
      <c r="L528" s="7" t="str">
        <f t="shared" ref="L528:L553" si="70">IF(LEN(E528)=0, "", IFERROR(IF(E528&gt;=0, K528 * (1 + E528/100) - K528, K528 / (ABS(E528)/100))+K528, ""))</f>
        <v/>
      </c>
      <c r="N528" s="7" t="str">
        <f t="shared" ref="N528:N553" si="71">IF(M528="Yes",L528-K528,IF(M528="No",-K528,""))</f>
        <v/>
      </c>
      <c r="O528" t="str">
        <f t="shared" ref="O528:O553" si="72">IF(AND(G528="No",H528="No"), "None", "")</f>
        <v/>
      </c>
      <c r="P528" t="str">
        <f t="shared" ref="P528:P553" si="73">IF(I528="No", "None", "")</f>
        <v/>
      </c>
      <c r="Q528" t="str">
        <f t="shared" ref="Q528:Q553" si="74">IF(AND(D528="Straight", M528 = "No"),IF(O528="None",P528,IF(P528="None",O528) ),"")</f>
        <v/>
      </c>
      <c r="S528" t="str">
        <f>""</f>
        <v/>
      </c>
      <c r="AL528" s="18" t="str">
        <f>IF(COUNTIF($A$2:A527, A527) = 1, A527, "")</f>
        <v/>
      </c>
    </row>
    <row r="529" spans="6:38" x14ac:dyDescent="0.2">
      <c r="F529" t="str">
        <f t="shared" si="69"/>
        <v/>
      </c>
      <c r="L529" s="7" t="str">
        <f t="shared" si="70"/>
        <v/>
      </c>
      <c r="N529" s="7" t="str">
        <f t="shared" si="71"/>
        <v/>
      </c>
      <c r="O529" t="str">
        <f t="shared" si="72"/>
        <v/>
      </c>
      <c r="P529" t="str">
        <f t="shared" si="73"/>
        <v/>
      </c>
      <c r="Q529" t="str">
        <f t="shared" si="74"/>
        <v/>
      </c>
      <c r="S529" t="str">
        <f>""</f>
        <v/>
      </c>
      <c r="AL529" s="18" t="str">
        <f>IF(COUNTIF($A$2:A528, A528) = 1, A528, "")</f>
        <v/>
      </c>
    </row>
    <row r="530" spans="6:38" x14ac:dyDescent="0.2">
      <c r="F530" t="str">
        <f t="shared" si="69"/>
        <v/>
      </c>
      <c r="L530" s="7" t="str">
        <f t="shared" si="70"/>
        <v/>
      </c>
      <c r="N530" s="7" t="str">
        <f t="shared" si="71"/>
        <v/>
      </c>
      <c r="O530" t="str">
        <f t="shared" si="72"/>
        <v/>
      </c>
      <c r="P530" t="str">
        <f t="shared" si="73"/>
        <v/>
      </c>
      <c r="Q530" t="str">
        <f t="shared" si="74"/>
        <v/>
      </c>
      <c r="S530" t="str">
        <f>""</f>
        <v/>
      </c>
      <c r="AL530" s="18" t="str">
        <f>IF(COUNTIF($A$2:A529, A529) = 1, A529, "")</f>
        <v/>
      </c>
    </row>
    <row r="531" spans="6:38" x14ac:dyDescent="0.2">
      <c r="F531" t="str">
        <f t="shared" si="69"/>
        <v/>
      </c>
      <c r="L531" s="7" t="str">
        <f t="shared" si="70"/>
        <v/>
      </c>
      <c r="N531" s="7" t="str">
        <f t="shared" si="71"/>
        <v/>
      </c>
      <c r="O531" t="str">
        <f t="shared" si="72"/>
        <v/>
      </c>
      <c r="P531" t="str">
        <f t="shared" si="73"/>
        <v/>
      </c>
      <c r="Q531" t="str">
        <f t="shared" si="74"/>
        <v/>
      </c>
      <c r="S531" t="str">
        <f>""</f>
        <v/>
      </c>
      <c r="AL531" s="18" t="str">
        <f>IF(COUNTIF($A$2:A530, A530) = 1, A530, "")</f>
        <v/>
      </c>
    </row>
    <row r="532" spans="6:38" x14ac:dyDescent="0.2">
      <c r="F532" t="str">
        <f t="shared" si="69"/>
        <v/>
      </c>
      <c r="L532" s="7" t="str">
        <f t="shared" si="70"/>
        <v/>
      </c>
      <c r="N532" s="7" t="str">
        <f t="shared" si="71"/>
        <v/>
      </c>
      <c r="O532" t="str">
        <f t="shared" si="72"/>
        <v/>
      </c>
      <c r="P532" t="str">
        <f t="shared" si="73"/>
        <v/>
      </c>
      <c r="Q532" t="str">
        <f t="shared" si="74"/>
        <v/>
      </c>
      <c r="S532" t="str">
        <f>""</f>
        <v/>
      </c>
      <c r="AL532" s="18" t="str">
        <f>IF(COUNTIF($A$2:A531, A531) = 1, A531, "")</f>
        <v/>
      </c>
    </row>
    <row r="533" spans="6:38" x14ac:dyDescent="0.2">
      <c r="F533" t="str">
        <f t="shared" si="69"/>
        <v/>
      </c>
      <c r="L533" s="7" t="str">
        <f t="shared" si="70"/>
        <v/>
      </c>
      <c r="N533" s="7" t="str">
        <f t="shared" si="71"/>
        <v/>
      </c>
      <c r="O533" t="str">
        <f t="shared" si="72"/>
        <v/>
      </c>
      <c r="P533" t="str">
        <f t="shared" si="73"/>
        <v/>
      </c>
      <c r="Q533" t="str">
        <f t="shared" si="74"/>
        <v/>
      </c>
      <c r="S533" t="str">
        <f>""</f>
        <v/>
      </c>
      <c r="AL533" s="18" t="str">
        <f>IF(COUNTIF($A$2:A532, A532) = 1, A532, "")</f>
        <v/>
      </c>
    </row>
    <row r="534" spans="6:38" x14ac:dyDescent="0.2">
      <c r="F534" t="str">
        <f t="shared" si="69"/>
        <v/>
      </c>
      <c r="L534" s="7" t="str">
        <f t="shared" si="70"/>
        <v/>
      </c>
      <c r="N534" s="7" t="str">
        <f t="shared" si="71"/>
        <v/>
      </c>
      <c r="O534" t="str">
        <f t="shared" si="72"/>
        <v/>
      </c>
      <c r="P534" t="str">
        <f t="shared" si="73"/>
        <v/>
      </c>
      <c r="Q534" t="str">
        <f t="shared" si="74"/>
        <v/>
      </c>
      <c r="S534" t="str">
        <f>""</f>
        <v/>
      </c>
      <c r="AL534" s="18" t="str">
        <f>IF(COUNTIF($A$2:A533, A533) = 1, A533, "")</f>
        <v/>
      </c>
    </row>
    <row r="535" spans="6:38" x14ac:dyDescent="0.2">
      <c r="F535" t="str">
        <f t="shared" si="69"/>
        <v/>
      </c>
      <c r="L535" s="7" t="str">
        <f t="shared" si="70"/>
        <v/>
      </c>
      <c r="N535" s="7" t="str">
        <f t="shared" si="71"/>
        <v/>
      </c>
      <c r="O535" t="str">
        <f t="shared" si="72"/>
        <v/>
      </c>
      <c r="P535" t="str">
        <f t="shared" si="73"/>
        <v/>
      </c>
      <c r="Q535" t="str">
        <f t="shared" si="74"/>
        <v/>
      </c>
      <c r="S535" t="str">
        <f>""</f>
        <v/>
      </c>
      <c r="AL535" s="18" t="str">
        <f>IF(COUNTIF($A$2:A534, A534) = 1, A534, "")</f>
        <v/>
      </c>
    </row>
    <row r="536" spans="6:38" x14ac:dyDescent="0.2">
      <c r="F536" t="str">
        <f t="shared" si="69"/>
        <v/>
      </c>
      <c r="L536" s="7" t="str">
        <f t="shared" si="70"/>
        <v/>
      </c>
      <c r="N536" s="7" t="str">
        <f t="shared" si="71"/>
        <v/>
      </c>
      <c r="O536" t="str">
        <f t="shared" si="72"/>
        <v/>
      </c>
      <c r="P536" t="str">
        <f t="shared" si="73"/>
        <v/>
      </c>
      <c r="Q536" t="str">
        <f t="shared" si="74"/>
        <v/>
      </c>
      <c r="S536" t="str">
        <f>""</f>
        <v/>
      </c>
      <c r="AL536" s="18" t="str">
        <f>IF(COUNTIF($A$2:A535, A535) = 1, A535, "")</f>
        <v/>
      </c>
    </row>
    <row r="537" spans="6:38" x14ac:dyDescent="0.2">
      <c r="F537" t="str">
        <f t="shared" si="69"/>
        <v/>
      </c>
      <c r="L537" s="7" t="str">
        <f t="shared" si="70"/>
        <v/>
      </c>
      <c r="N537" s="7" t="str">
        <f t="shared" si="71"/>
        <v/>
      </c>
      <c r="O537" t="str">
        <f t="shared" si="72"/>
        <v/>
      </c>
      <c r="P537" t="str">
        <f t="shared" si="73"/>
        <v/>
      </c>
      <c r="Q537" t="str">
        <f t="shared" si="74"/>
        <v/>
      </c>
      <c r="S537" t="str">
        <f>""</f>
        <v/>
      </c>
      <c r="AL537" s="18" t="str">
        <f>IF(COUNTIF($A$2:A536, A536) = 1, A536, "")</f>
        <v/>
      </c>
    </row>
    <row r="538" spans="6:38" x14ac:dyDescent="0.2">
      <c r="F538" t="str">
        <f t="shared" si="69"/>
        <v/>
      </c>
      <c r="L538" s="7" t="str">
        <f t="shared" si="70"/>
        <v/>
      </c>
      <c r="N538" s="7" t="str">
        <f t="shared" si="71"/>
        <v/>
      </c>
      <c r="O538" t="str">
        <f t="shared" si="72"/>
        <v/>
      </c>
      <c r="P538" t="str">
        <f t="shared" si="73"/>
        <v/>
      </c>
      <c r="Q538" t="str">
        <f t="shared" si="74"/>
        <v/>
      </c>
      <c r="S538" t="str">
        <f>""</f>
        <v/>
      </c>
      <c r="AL538" s="18" t="str">
        <f>IF(COUNTIF($A$2:A537, A537) = 1, A537, "")</f>
        <v/>
      </c>
    </row>
    <row r="539" spans="6:38" x14ac:dyDescent="0.2">
      <c r="F539" t="str">
        <f t="shared" si="69"/>
        <v/>
      </c>
      <c r="L539" s="7" t="str">
        <f t="shared" si="70"/>
        <v/>
      </c>
      <c r="N539" s="7" t="str">
        <f t="shared" si="71"/>
        <v/>
      </c>
      <c r="O539" t="str">
        <f t="shared" si="72"/>
        <v/>
      </c>
      <c r="P539" t="str">
        <f t="shared" si="73"/>
        <v/>
      </c>
      <c r="Q539" t="str">
        <f t="shared" si="74"/>
        <v/>
      </c>
      <c r="S539" t="str">
        <f>""</f>
        <v/>
      </c>
      <c r="AL539" s="18" t="str">
        <f>IF(COUNTIF($A$2:A538, A538) = 1, A538, "")</f>
        <v/>
      </c>
    </row>
    <row r="540" spans="6:38" x14ac:dyDescent="0.2">
      <c r="F540" t="str">
        <f t="shared" si="69"/>
        <v/>
      </c>
      <c r="L540" s="7" t="str">
        <f t="shared" si="70"/>
        <v/>
      </c>
      <c r="N540" s="7" t="str">
        <f t="shared" si="71"/>
        <v/>
      </c>
      <c r="O540" t="str">
        <f t="shared" si="72"/>
        <v/>
      </c>
      <c r="P540" t="str">
        <f t="shared" si="73"/>
        <v/>
      </c>
      <c r="Q540" t="str">
        <f t="shared" si="74"/>
        <v/>
      </c>
      <c r="S540" t="str">
        <f>""</f>
        <v/>
      </c>
      <c r="AL540" s="18" t="str">
        <f>IF(COUNTIF($A$2:A539, A539) = 1, A539, "")</f>
        <v/>
      </c>
    </row>
    <row r="541" spans="6:38" x14ac:dyDescent="0.2">
      <c r="F541" t="str">
        <f t="shared" si="69"/>
        <v/>
      </c>
      <c r="L541" s="7" t="str">
        <f t="shared" si="70"/>
        <v/>
      </c>
      <c r="N541" s="7" t="str">
        <f t="shared" si="71"/>
        <v/>
      </c>
      <c r="O541" t="str">
        <f t="shared" si="72"/>
        <v/>
      </c>
      <c r="P541" t="str">
        <f t="shared" si="73"/>
        <v/>
      </c>
      <c r="Q541" t="str">
        <f t="shared" si="74"/>
        <v/>
      </c>
      <c r="S541" t="str">
        <f>""</f>
        <v/>
      </c>
      <c r="AL541" s="18" t="str">
        <f>IF(COUNTIF($A$2:A540, A540) = 1, A540, "")</f>
        <v/>
      </c>
    </row>
    <row r="542" spans="6:38" x14ac:dyDescent="0.2">
      <c r="F542" t="str">
        <f t="shared" si="69"/>
        <v/>
      </c>
      <c r="L542" s="7" t="str">
        <f t="shared" si="70"/>
        <v/>
      </c>
      <c r="N542" s="7" t="str">
        <f t="shared" si="71"/>
        <v/>
      </c>
      <c r="O542" t="str">
        <f t="shared" si="72"/>
        <v/>
      </c>
      <c r="P542" t="str">
        <f t="shared" si="73"/>
        <v/>
      </c>
      <c r="Q542" t="str">
        <f t="shared" si="74"/>
        <v/>
      </c>
      <c r="S542" t="str">
        <f>""</f>
        <v/>
      </c>
      <c r="AL542" s="18" t="str">
        <f>IF(COUNTIF($A$2:A541, A541) = 1, A541, "")</f>
        <v/>
      </c>
    </row>
    <row r="543" spans="6:38" x14ac:dyDescent="0.2">
      <c r="F543" t="str">
        <f t="shared" si="69"/>
        <v/>
      </c>
      <c r="L543" s="7" t="str">
        <f t="shared" si="70"/>
        <v/>
      </c>
      <c r="N543" s="7" t="str">
        <f t="shared" si="71"/>
        <v/>
      </c>
      <c r="O543" t="str">
        <f t="shared" si="72"/>
        <v/>
      </c>
      <c r="P543" t="str">
        <f t="shared" si="73"/>
        <v/>
      </c>
      <c r="Q543" t="str">
        <f t="shared" si="74"/>
        <v/>
      </c>
      <c r="S543" t="str">
        <f>""</f>
        <v/>
      </c>
      <c r="AL543" s="18" t="str">
        <f>IF(COUNTIF($A$2:A542, A542) = 1, A542, "")</f>
        <v/>
      </c>
    </row>
    <row r="544" spans="6:38" x14ac:dyDescent="0.2">
      <c r="F544" t="str">
        <f t="shared" si="69"/>
        <v/>
      </c>
      <c r="L544" s="7" t="str">
        <f t="shared" si="70"/>
        <v/>
      </c>
      <c r="N544" s="7" t="str">
        <f t="shared" si="71"/>
        <v/>
      </c>
      <c r="O544" t="str">
        <f t="shared" si="72"/>
        <v/>
      </c>
      <c r="P544" t="str">
        <f t="shared" si="73"/>
        <v/>
      </c>
      <c r="Q544" t="str">
        <f t="shared" si="74"/>
        <v/>
      </c>
      <c r="S544" t="str">
        <f>""</f>
        <v/>
      </c>
      <c r="AL544" s="18" t="str">
        <f>IF(COUNTIF($A$2:A543, A543) = 1, A543, "")</f>
        <v/>
      </c>
    </row>
    <row r="545" spans="6:38" x14ac:dyDescent="0.2">
      <c r="F545" t="str">
        <f t="shared" si="69"/>
        <v/>
      </c>
      <c r="L545" s="7" t="str">
        <f t="shared" si="70"/>
        <v/>
      </c>
      <c r="N545" s="7" t="str">
        <f t="shared" si="71"/>
        <v/>
      </c>
      <c r="O545" t="str">
        <f t="shared" si="72"/>
        <v/>
      </c>
      <c r="P545" t="str">
        <f t="shared" si="73"/>
        <v/>
      </c>
      <c r="Q545" t="str">
        <f t="shared" si="74"/>
        <v/>
      </c>
      <c r="S545" t="str">
        <f>""</f>
        <v/>
      </c>
      <c r="AL545" s="18" t="str">
        <f>IF(COUNTIF($A$2:A544, A544) = 1, A544, "")</f>
        <v/>
      </c>
    </row>
    <row r="546" spans="6:38" x14ac:dyDescent="0.2">
      <c r="F546" t="str">
        <f t="shared" si="69"/>
        <v/>
      </c>
      <c r="L546" s="7" t="str">
        <f t="shared" si="70"/>
        <v/>
      </c>
      <c r="N546" s="7" t="str">
        <f t="shared" si="71"/>
        <v/>
      </c>
      <c r="O546" t="str">
        <f t="shared" si="72"/>
        <v/>
      </c>
      <c r="P546" t="str">
        <f t="shared" si="73"/>
        <v/>
      </c>
      <c r="Q546" t="str">
        <f t="shared" si="74"/>
        <v/>
      </c>
      <c r="S546" t="str">
        <f>""</f>
        <v/>
      </c>
      <c r="AL546" s="18" t="str">
        <f>IF(COUNTIF($A$2:A545, A545) = 1, A545, "")</f>
        <v/>
      </c>
    </row>
    <row r="547" spans="6:38" x14ac:dyDescent="0.2">
      <c r="F547" t="str">
        <f t="shared" si="69"/>
        <v/>
      </c>
      <c r="L547" s="7" t="str">
        <f t="shared" si="70"/>
        <v/>
      </c>
      <c r="N547" s="7" t="str">
        <f t="shared" si="71"/>
        <v/>
      </c>
      <c r="O547" t="str">
        <f t="shared" si="72"/>
        <v/>
      </c>
      <c r="P547" t="str">
        <f t="shared" si="73"/>
        <v/>
      </c>
      <c r="Q547" t="str">
        <f t="shared" si="74"/>
        <v/>
      </c>
      <c r="S547" t="str">
        <f>""</f>
        <v/>
      </c>
      <c r="AL547" s="18" t="str">
        <f>IF(COUNTIF($A$2:A546, A546) = 1, A546, "")</f>
        <v/>
      </c>
    </row>
    <row r="548" spans="6:38" x14ac:dyDescent="0.2">
      <c r="F548" t="str">
        <f t="shared" si="69"/>
        <v/>
      </c>
      <c r="L548" s="7" t="str">
        <f t="shared" si="70"/>
        <v/>
      </c>
      <c r="N548" s="7" t="str">
        <f t="shared" si="71"/>
        <v/>
      </c>
      <c r="O548" t="str">
        <f t="shared" si="72"/>
        <v/>
      </c>
      <c r="P548" t="str">
        <f t="shared" si="73"/>
        <v/>
      </c>
      <c r="Q548" t="str">
        <f t="shared" si="74"/>
        <v/>
      </c>
      <c r="S548" t="str">
        <f>""</f>
        <v/>
      </c>
      <c r="AL548" s="18" t="str">
        <f>IF(COUNTIF($A$2:A547, A547) = 1, A547, "")</f>
        <v/>
      </c>
    </row>
    <row r="549" spans="6:38" x14ac:dyDescent="0.2">
      <c r="F549" t="str">
        <f t="shared" si="69"/>
        <v/>
      </c>
      <c r="L549" s="7" t="str">
        <f t="shared" si="70"/>
        <v/>
      </c>
      <c r="N549" s="7" t="str">
        <f t="shared" si="71"/>
        <v/>
      </c>
      <c r="O549" t="str">
        <f t="shared" si="72"/>
        <v/>
      </c>
      <c r="P549" t="str">
        <f t="shared" si="73"/>
        <v/>
      </c>
      <c r="Q549" t="str">
        <f t="shared" si="74"/>
        <v/>
      </c>
      <c r="S549" t="str">
        <f>""</f>
        <v/>
      </c>
      <c r="AL549" s="18" t="str">
        <f>IF(COUNTIF($A$2:A548, A548) = 1, A548, "")</f>
        <v/>
      </c>
    </row>
    <row r="550" spans="6:38" x14ac:dyDescent="0.2">
      <c r="F550" t="str">
        <f t="shared" si="69"/>
        <v/>
      </c>
      <c r="L550" s="7" t="str">
        <f t="shared" si="70"/>
        <v/>
      </c>
      <c r="N550" s="7" t="str">
        <f t="shared" si="71"/>
        <v/>
      </c>
      <c r="O550" t="str">
        <f t="shared" si="72"/>
        <v/>
      </c>
      <c r="P550" t="str">
        <f t="shared" si="73"/>
        <v/>
      </c>
      <c r="Q550" t="str">
        <f t="shared" si="74"/>
        <v/>
      </c>
      <c r="S550" t="str">
        <f>""</f>
        <v/>
      </c>
      <c r="AL550" s="18" t="str">
        <f>IF(COUNTIF($A$2:A549, A549) = 1, A549, "")</f>
        <v/>
      </c>
    </row>
    <row r="551" spans="6:38" x14ac:dyDescent="0.2">
      <c r="F551" t="str">
        <f t="shared" si="69"/>
        <v/>
      </c>
      <c r="L551" s="7" t="str">
        <f t="shared" si="70"/>
        <v/>
      </c>
      <c r="N551" s="7" t="str">
        <f t="shared" si="71"/>
        <v/>
      </c>
      <c r="O551" t="str">
        <f t="shared" si="72"/>
        <v/>
      </c>
      <c r="P551" t="str">
        <f t="shared" si="73"/>
        <v/>
      </c>
      <c r="Q551" t="str">
        <f t="shared" si="74"/>
        <v/>
      </c>
      <c r="S551" t="str">
        <f>""</f>
        <v/>
      </c>
      <c r="AL551" s="18" t="str">
        <f>IF(COUNTIF($A$2:A550, A550) = 1, A550, "")</f>
        <v/>
      </c>
    </row>
    <row r="552" spans="6:38" x14ac:dyDescent="0.2">
      <c r="F552" t="str">
        <f t="shared" si="69"/>
        <v/>
      </c>
      <c r="L552" s="7" t="str">
        <f t="shared" si="70"/>
        <v/>
      </c>
      <c r="N552" s="7" t="str">
        <f t="shared" si="71"/>
        <v/>
      </c>
      <c r="O552" t="str">
        <f t="shared" si="72"/>
        <v/>
      </c>
      <c r="P552" t="str">
        <f t="shared" si="73"/>
        <v/>
      </c>
      <c r="Q552" t="str">
        <f t="shared" si="74"/>
        <v/>
      </c>
      <c r="S552" t="str">
        <f>""</f>
        <v/>
      </c>
      <c r="AL552" s="18" t="str">
        <f>IF(COUNTIF($A$2:A551, A551) = 1, A551, "")</f>
        <v/>
      </c>
    </row>
    <row r="553" spans="6:38" x14ac:dyDescent="0.2">
      <c r="F553" t="str">
        <f t="shared" si="69"/>
        <v/>
      </c>
      <c r="L553" s="7" t="str">
        <f t="shared" si="70"/>
        <v/>
      </c>
      <c r="N553" s="7" t="str">
        <f t="shared" si="71"/>
        <v/>
      </c>
      <c r="O553" t="str">
        <f t="shared" si="72"/>
        <v/>
      </c>
      <c r="P553" t="str">
        <f t="shared" si="73"/>
        <v/>
      </c>
      <c r="Q553" t="str">
        <f t="shared" si="74"/>
        <v/>
      </c>
      <c r="S553" t="str">
        <f>""</f>
        <v/>
      </c>
      <c r="AL553" s="18" t="str">
        <f>IF(COUNTIF($A$2:A552, A552) = 1, A552, "")</f>
        <v/>
      </c>
    </row>
    <row r="554" spans="6:38" x14ac:dyDescent="0.2">
      <c r="AL554" s="18" t="str">
        <f>IF(COUNTIF($A$2:A553, A553) = 1, A553, "")</f>
        <v/>
      </c>
    </row>
    <row r="555" spans="6:38" x14ac:dyDescent="0.2">
      <c r="AL555" s="18" t="str">
        <f>IF(COUNTIF($A$2:A554, A554) = 1, A554, "")</f>
        <v/>
      </c>
    </row>
    <row r="556" spans="6:38" x14ac:dyDescent="0.2">
      <c r="AL556" s="18" t="str">
        <f>IF(COUNTIF($A$2:A555, A555) = 1, A555, "")</f>
        <v/>
      </c>
    </row>
    <row r="557" spans="6:38" x14ac:dyDescent="0.2">
      <c r="AL557" s="18" t="str">
        <f>IF(COUNTIF($A$2:A556, A556) = 1, A556, "")</f>
        <v/>
      </c>
    </row>
    <row r="558" spans="6:38" x14ac:dyDescent="0.2">
      <c r="AL558" s="18" t="str">
        <f>IF(COUNTIF($A$2:A557, A557) = 1, A557, "")</f>
        <v/>
      </c>
    </row>
    <row r="559" spans="6:38" x14ac:dyDescent="0.2">
      <c r="AL559" s="18" t="str">
        <f>IF(COUNTIF($A$2:A558, A558) = 1, A558, "")</f>
        <v/>
      </c>
    </row>
    <row r="560" spans="6:38" x14ac:dyDescent="0.2">
      <c r="AL560" s="18" t="str">
        <f>IF(COUNTIF($A$2:A559, A559) = 1, A559, "")</f>
        <v/>
      </c>
    </row>
    <row r="561" spans="38:38" x14ac:dyDescent="0.2">
      <c r="AL561" s="18" t="str">
        <f>IF(COUNTIF($A$2:A560, A560) = 1, A560, "")</f>
        <v/>
      </c>
    </row>
    <row r="562" spans="38:38" x14ac:dyDescent="0.2">
      <c r="AL562" s="18" t="str">
        <f>IF(COUNTIF($A$2:A561, A561) = 1, A561, "")</f>
        <v/>
      </c>
    </row>
    <row r="563" spans="38:38" x14ac:dyDescent="0.2">
      <c r="AL563" s="18" t="str">
        <f>IF(COUNTIF($A$2:A562, A562) = 1, A562, "")</f>
        <v/>
      </c>
    </row>
    <row r="564" spans="38:38" x14ac:dyDescent="0.2">
      <c r="AL564" s="18" t="str">
        <f>IF(COUNTIF($A$2:A563, A563) = 1, A563, "")</f>
        <v/>
      </c>
    </row>
    <row r="565" spans="38:38" x14ac:dyDescent="0.2">
      <c r="AL565" s="18" t="str">
        <f>IF(COUNTIF($A$2:A564, A564) = 1, A564, "")</f>
        <v/>
      </c>
    </row>
    <row r="566" spans="38:38" x14ac:dyDescent="0.2">
      <c r="AL566" s="18" t="str">
        <f>IF(COUNTIF($A$2:A565, A565) = 1, A565, "")</f>
        <v/>
      </c>
    </row>
    <row r="567" spans="38:38" x14ac:dyDescent="0.2">
      <c r="AL567" s="18" t="str">
        <f>IF(COUNTIF($A$2:A566, A566) = 1, A566, "")</f>
        <v/>
      </c>
    </row>
    <row r="568" spans="38:38" x14ac:dyDescent="0.2">
      <c r="AL568" s="18" t="str">
        <f>IF(COUNTIF($A$2:A567, A567) = 1, A567, "")</f>
        <v/>
      </c>
    </row>
    <row r="569" spans="38:38" x14ac:dyDescent="0.2">
      <c r="AL569" s="18" t="str">
        <f>IF(COUNTIF($A$2:A568, A568) = 1, A568, "")</f>
        <v/>
      </c>
    </row>
    <row r="570" spans="38:38" x14ac:dyDescent="0.2">
      <c r="AL570" s="18" t="str">
        <f>IF(COUNTIF($A$2:A569, A569) = 1, A569, "")</f>
        <v/>
      </c>
    </row>
    <row r="571" spans="38:38" x14ac:dyDescent="0.2">
      <c r="AL571" s="18" t="str">
        <f>IF(COUNTIF($A$2:A570, A570) = 1, A570, "")</f>
        <v/>
      </c>
    </row>
    <row r="572" spans="38:38" x14ac:dyDescent="0.2">
      <c r="AL572" s="18" t="str">
        <f>IF(COUNTIF($A$2:A571, A571) = 1, A571, "")</f>
        <v/>
      </c>
    </row>
    <row r="573" spans="38:38" x14ac:dyDescent="0.2">
      <c r="AL573" s="18" t="str">
        <f>IF(COUNTIF($A$2:A572, A572) = 1, A572, "")</f>
        <v/>
      </c>
    </row>
    <row r="574" spans="38:38" x14ac:dyDescent="0.2">
      <c r="AL574" s="18" t="str">
        <f>IF(COUNTIF($A$2:A573, A573) = 1, A573, "")</f>
        <v/>
      </c>
    </row>
    <row r="575" spans="38:38" x14ac:dyDescent="0.2">
      <c r="AL575" s="18" t="str">
        <f>IF(COUNTIF($A$2:A574, A574) = 1, A574, "")</f>
        <v/>
      </c>
    </row>
    <row r="576" spans="38:38" x14ac:dyDescent="0.2">
      <c r="AL576" s="18" t="str">
        <f>IF(COUNTIF($A$2:A575, A575) = 1, A575, "")</f>
        <v/>
      </c>
    </row>
    <row r="577" spans="38:38" x14ac:dyDescent="0.2">
      <c r="AL577" s="18" t="str">
        <f>IF(COUNTIF($A$2:A576, A576) = 1, A576, "")</f>
        <v/>
      </c>
    </row>
    <row r="578" spans="38:38" x14ac:dyDescent="0.2">
      <c r="AL578" s="18" t="str">
        <f>IF(COUNTIF($A$2:A577, A577) = 1, A577, "")</f>
        <v/>
      </c>
    </row>
    <row r="579" spans="38:38" x14ac:dyDescent="0.2">
      <c r="AL579" s="18" t="str">
        <f>IF(COUNTIF($A$2:A578, A578) = 1, A578, "")</f>
        <v/>
      </c>
    </row>
    <row r="580" spans="38:38" x14ac:dyDescent="0.2">
      <c r="AL580" s="18" t="str">
        <f>IF(COUNTIF($A$2:A579, A579) = 1, A579, "")</f>
        <v/>
      </c>
    </row>
    <row r="581" spans="38:38" x14ac:dyDescent="0.2">
      <c r="AL581" s="18" t="str">
        <f>IF(COUNTIF($A$2:A580, A580) = 1, A580, "")</f>
        <v/>
      </c>
    </row>
  </sheetData>
  <mergeCells count="19">
    <mergeCell ref="T2:U2"/>
    <mergeCell ref="T3:U3"/>
    <mergeCell ref="T4:U4"/>
    <mergeCell ref="T6:U6"/>
    <mergeCell ref="T19:U19"/>
    <mergeCell ref="T20:U20"/>
    <mergeCell ref="T21:U21"/>
    <mergeCell ref="T22:U22"/>
    <mergeCell ref="T7:U7"/>
    <mergeCell ref="T8:U8"/>
    <mergeCell ref="T9:U9"/>
    <mergeCell ref="T10:U10"/>
    <mergeCell ref="T11:V11"/>
    <mergeCell ref="T12:U12"/>
    <mergeCell ref="T14:U14"/>
    <mergeCell ref="T15:U15"/>
    <mergeCell ref="T16:U16"/>
    <mergeCell ref="T17:V17"/>
    <mergeCell ref="T13:U13"/>
  </mergeCells>
  <conditionalFormatting sqref="N1:N1048576">
    <cfRule type="dataBar" priority="68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{C7D1CB10-CF17-B94A-80FA-3EE04C56D8D4}</x14:id>
        </ext>
      </extLst>
    </cfRule>
  </conditionalFormatting>
  <conditionalFormatting sqref="V4">
    <cfRule type="colorScale" priority="61">
      <colorScale>
        <cfvo type="num" val="-50"/>
        <cfvo type="num" val="0"/>
        <cfvo type="num" val="50"/>
        <color rgb="FFC00000"/>
        <color theme="0"/>
        <color rgb="FF00B050"/>
      </colorScale>
    </cfRule>
  </conditionalFormatting>
  <conditionalFormatting sqref="V9">
    <cfRule type="dataBar" priority="60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{578A9B8A-7931-6E40-9C61-84B06CE9E89C}</x14:id>
        </ext>
      </extLst>
    </cfRule>
  </conditionalFormatting>
  <conditionalFormatting sqref="V15">
    <cfRule type="dataBar" priority="59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{FBF0C6EA-1FD2-8340-8CD5-E722C12B4E0B}</x14:id>
        </ext>
      </extLst>
    </cfRule>
  </conditionalFormatting>
  <conditionalFormatting sqref="V10">
    <cfRule type="dataBar" priority="42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{313766D3-CCBF-B549-B767-F3F1E97162D8}</x14:id>
        </ext>
      </extLst>
    </cfRule>
    <cfRule type="colorScale" priority="43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V16">
    <cfRule type="dataBar" priority="40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{8E87669E-14F9-064D-BECC-481718DA0877}</x14:id>
        </ext>
      </extLst>
    </cfRule>
    <cfRule type="colorScale" priority="41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12:Y18">
    <cfRule type="dataBar" priority="16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{92A0A6C7-B34C-0347-B439-E52D743793B6}</x14:id>
        </ext>
      </extLst>
    </cfRule>
    <cfRule type="colorScale" priority="17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A41:AA43 AA26:AA31 AA3:AA9 AA34:AA38 AA12:AA18 AA21:AA23">
    <cfRule type="dataBar" priority="11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{262FC12A-B545-F34D-8870-D6B228282B1C}</x14:id>
        </ext>
      </extLst>
    </cfRule>
  </conditionalFormatting>
  <conditionalFormatting sqref="AA46:AA47">
    <cfRule type="dataBar" priority="10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{A9BA0A3D-F0A4-9D40-86B4-DC17F4698DCE}</x14:id>
        </ext>
      </extLst>
    </cfRule>
  </conditionalFormatting>
  <conditionalFormatting sqref="Z2:Z47">
    <cfRule type="dataBar" priority="9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{D35E4657-4515-6C4D-94FF-A4DFD18934C5}</x14:id>
        </ext>
      </extLst>
    </cfRule>
  </conditionalFormatting>
  <conditionalFormatting sqref="AE3:AE50">
    <cfRule type="dataBar" priority="12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{95728135-1CBA-8247-BB2E-EBFC673D7349}</x14:id>
        </ext>
      </extLst>
    </cfRule>
    <cfRule type="colorScale" priority="13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D3:AD50">
    <cfRule type="dataBar" priority="14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{EB3A68EF-637F-FB4D-8AB5-07B2494608F5}</x14:id>
        </ext>
      </extLst>
    </cfRule>
    <cfRule type="colorScale" priority="15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3:Y9">
    <cfRule type="dataBar" priority="7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{F1509A7E-654D-BF45-95FF-AC7123789C62}</x14:id>
        </ext>
      </extLst>
    </cfRule>
    <cfRule type="colorScale" priority="8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21:Y47">
    <cfRule type="dataBar" priority="5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{05125246-BA8D-1240-9AB0-FD8DD045F995}</x14:id>
        </ext>
      </extLst>
    </cfRule>
    <cfRule type="colorScale" priority="6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A50:AA58">
    <cfRule type="dataBar" priority="4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{2762DD66-728B-ED40-85EC-719C195FDAE9}</x14:id>
        </ext>
      </extLst>
    </cfRule>
  </conditionalFormatting>
  <conditionalFormatting sqref="Z49:Z58">
    <cfRule type="dataBar" priority="3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{750122BF-1D19-3C45-8FDA-DAB24561E95D}</x14:id>
        </ext>
      </extLst>
    </cfRule>
  </conditionalFormatting>
  <conditionalFormatting sqref="Y49:Y58">
    <cfRule type="dataBar" priority="1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{1628EC62-2E76-FC42-8BD7-C935333EDDFD}</x14:id>
        </ext>
      </extLst>
    </cfRule>
    <cfRule type="colorScale" priority="2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dataValidations count="3">
    <dataValidation type="list" allowBlank="1" showInputMessage="1" showErrorMessage="1" sqref="G2:J553 M2:M553" xr:uid="{5E8E3717-5A79-8849-8654-4E5A83D9D6F0}">
      <formula1>"Yes, No"</formula1>
    </dataValidation>
    <dataValidation type="list" allowBlank="1" showInputMessage="1" showErrorMessage="1" sqref="D2:D553" xr:uid="{FB144431-BB75-AC4B-A8A3-0476984803AE}">
      <formula1>"Straight, Parlay, Boost"</formula1>
    </dataValidation>
    <dataValidation type="list" allowBlank="1" showInputMessage="1" showErrorMessage="1" sqref="R2:R1048576" xr:uid="{1E4EFB08-635E-1A4E-B429-AE6B287F94BB}">
      <formula1>$X$50:$X$58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7D1CB10-CF17-B94A-80FA-3EE04C56D8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N1:N1048576</xm:sqref>
        </x14:conditionalFormatting>
        <x14:conditionalFormatting xmlns:xm="http://schemas.microsoft.com/office/excel/2006/main">
          <x14:cfRule type="dataBar" id="{578A9B8A-7931-6E40-9C61-84B06CE9E89C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FBF0C6EA-1FD2-8340-8CD5-E722C12B4E0B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313766D3-CCBF-B549-B767-F3F1E97162D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8E87669E-14F9-064D-BECC-481718DA087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92A0A6C7-B34C-0347-B439-E52D743793B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Y12:Y18</xm:sqref>
        </x14:conditionalFormatting>
        <x14:conditionalFormatting xmlns:xm="http://schemas.microsoft.com/office/excel/2006/main">
          <x14:cfRule type="dataBar" id="{262FC12A-B545-F34D-8870-D6B228282B1C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AA41:AA43 AA26:AA31 AA3:AA9 AA34:AA38 AA12:AA18 AA21:AA23</xm:sqref>
        </x14:conditionalFormatting>
        <x14:conditionalFormatting xmlns:xm="http://schemas.microsoft.com/office/excel/2006/main">
          <x14:cfRule type="dataBar" id="{A9BA0A3D-F0A4-9D40-86B4-DC17F4698DCE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AA46:AA47</xm:sqref>
        </x14:conditionalFormatting>
        <x14:conditionalFormatting xmlns:xm="http://schemas.microsoft.com/office/excel/2006/main">
          <x14:cfRule type="dataBar" id="{D35E4657-4515-6C4D-94FF-A4DFD18934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Z2:Z47</xm:sqref>
        </x14:conditionalFormatting>
        <x14:conditionalFormatting xmlns:xm="http://schemas.microsoft.com/office/excel/2006/main">
          <x14:cfRule type="dataBar" id="{95728135-1CBA-8247-BB2E-EBFC673D734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AE3:AE50</xm:sqref>
        </x14:conditionalFormatting>
        <x14:conditionalFormatting xmlns:xm="http://schemas.microsoft.com/office/excel/2006/main">
          <x14:cfRule type="dataBar" id="{EB3A68EF-637F-FB4D-8AB5-07B2494608F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AD3:AD50</xm:sqref>
        </x14:conditionalFormatting>
        <x14:conditionalFormatting xmlns:xm="http://schemas.microsoft.com/office/excel/2006/main">
          <x14:cfRule type="dataBar" id="{F1509A7E-654D-BF45-95FF-AC7123789C6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Y3:Y9</xm:sqref>
        </x14:conditionalFormatting>
        <x14:conditionalFormatting xmlns:xm="http://schemas.microsoft.com/office/excel/2006/main">
          <x14:cfRule type="dataBar" id="{05125246-BA8D-1240-9AB0-FD8DD045F99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Y21:Y47</xm:sqref>
        </x14:conditionalFormatting>
        <x14:conditionalFormatting xmlns:xm="http://schemas.microsoft.com/office/excel/2006/main">
          <x14:cfRule type="dataBar" id="{2762DD66-728B-ED40-85EC-719C195FDAE9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AA50:AA58</xm:sqref>
        </x14:conditionalFormatting>
        <x14:conditionalFormatting xmlns:xm="http://schemas.microsoft.com/office/excel/2006/main">
          <x14:cfRule type="dataBar" id="{750122BF-1D19-3C45-8FDA-DAB24561E95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Z49:Z58</xm:sqref>
        </x14:conditionalFormatting>
        <x14:conditionalFormatting xmlns:xm="http://schemas.microsoft.com/office/excel/2006/main">
          <x14:cfRule type="dataBar" id="{1628EC62-2E76-FC42-8BD7-C935333EDDF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Y49:Y58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2075A-C1CE-7248-A483-B5D018D92EA1}">
  <sheetPr codeName="Sheet6"/>
  <dimension ref="A1:AL581"/>
  <sheetViews>
    <sheetView zoomScale="80" zoomScaleNormal="80" workbookViewId="0">
      <pane ySplit="1" topLeftCell="A2" activePane="bottomLeft" state="frozen"/>
      <selection pane="bottomLeft"/>
    </sheetView>
  </sheetViews>
  <sheetFormatPr baseColWidth="10" defaultRowHeight="16" x14ac:dyDescent="0.2"/>
  <cols>
    <col min="1" max="1" width="11.5" style="18" bestFit="1" customWidth="1"/>
    <col min="4" max="4" width="11.5" bestFit="1" customWidth="1"/>
    <col min="6" max="6" width="14.83203125" bestFit="1" customWidth="1"/>
    <col min="8" max="8" width="12.5" bestFit="1" customWidth="1"/>
    <col min="11" max="11" width="10.83203125" style="7"/>
    <col min="14" max="14" width="13.5" bestFit="1" customWidth="1"/>
    <col min="15" max="15" width="21.1640625" bestFit="1" customWidth="1"/>
    <col min="16" max="16" width="31.33203125" customWidth="1"/>
    <col min="17" max="17" width="30.5" customWidth="1"/>
    <col min="18" max="18" width="11.5" customWidth="1"/>
    <col min="19" max="19" width="19.33203125" customWidth="1"/>
    <col min="20" max="20" width="11.6640625" bestFit="1" customWidth="1"/>
    <col min="22" max="22" width="12.6640625" bestFit="1" customWidth="1"/>
    <col min="24" max="24" width="14.83203125" style="32" bestFit="1" customWidth="1"/>
    <col min="26" max="26" width="10.83203125" hidden="1" customWidth="1"/>
    <col min="29" max="29" width="10.83203125" style="18"/>
    <col min="30" max="30" width="11" customWidth="1"/>
    <col min="31" max="31" width="10.1640625" bestFit="1" customWidth="1"/>
    <col min="38" max="38" width="0" hidden="1" customWidth="1"/>
  </cols>
  <sheetData>
    <row r="1" spans="1:38" ht="17" thickBot="1" x14ac:dyDescent="0.25">
      <c r="A1" s="56" t="s">
        <v>15</v>
      </c>
      <c r="B1" s="57" t="s">
        <v>10</v>
      </c>
      <c r="C1" s="57" t="s">
        <v>11</v>
      </c>
      <c r="D1" s="57" t="s">
        <v>50</v>
      </c>
      <c r="E1" s="57" t="s">
        <v>12</v>
      </c>
      <c r="F1" s="57" t="s">
        <v>3</v>
      </c>
      <c r="G1" s="57" t="s">
        <v>4</v>
      </c>
      <c r="H1" s="57" t="s">
        <v>60</v>
      </c>
      <c r="I1" s="57" t="s">
        <v>6</v>
      </c>
      <c r="J1" s="57" t="s">
        <v>69</v>
      </c>
      <c r="K1" s="57" t="s">
        <v>7</v>
      </c>
      <c r="L1" s="57" t="s">
        <v>8</v>
      </c>
      <c r="M1" s="57" t="s">
        <v>21</v>
      </c>
      <c r="N1" s="57" t="s">
        <v>9</v>
      </c>
      <c r="O1" s="57" t="s">
        <v>51</v>
      </c>
      <c r="P1" s="57" t="s">
        <v>13</v>
      </c>
      <c r="Q1" s="57" t="s">
        <v>14</v>
      </c>
      <c r="R1" s="57" t="s">
        <v>89</v>
      </c>
      <c r="S1" s="57" t="s">
        <v>61</v>
      </c>
    </row>
    <row r="2" spans="1:38" ht="17" thickBot="1" x14ac:dyDescent="0.25">
      <c r="A2" s="55" t="s">
        <v>86</v>
      </c>
      <c r="F2" t="str">
        <f t="shared" ref="F2:F10" si="0">IF(OR(O2="", P2=""), "", SUM(IF((O2&lt;&gt;"None")*(O2&lt;&gt;""),LEN(O2)-LEN(SUBSTITUTE(O2,",",""))+1,0)) + SUM(IF((P2&lt;&gt;"None")*(P2&lt;&gt;""),LEN(P2)-LEN(SUBSTITUTE(P2,",",""))+1,0)))</f>
        <v/>
      </c>
      <c r="L2" s="7" t="str">
        <f t="shared" ref="L2:L10" si="1">IF(LEN(E2)=0, "", IFERROR(IF(E2&gt;=0, K2 * (1 + E2/100) - K2, K2 / (ABS(E2)/100))+K2, ""))</f>
        <v/>
      </c>
      <c r="N2" s="7" t="str">
        <f t="shared" ref="N2:N10" si="2">IF(M2="Yes",L2-K2,IF(M2="No",-K2,""))</f>
        <v/>
      </c>
      <c r="O2" t="str">
        <f t="shared" ref="O2:O10" si="3">IF(AND(G2="No",H2="No"), "None", "")</f>
        <v/>
      </c>
      <c r="P2" t="str">
        <f t="shared" ref="P2:P10" si="4">IF(I2="No", "None", "")</f>
        <v/>
      </c>
      <c r="Q2" t="str">
        <f t="shared" ref="Q2:Q10" si="5">IF(AND(D2="Straight", M2 = "No"),IF(O2="None",P2,IF(P2="None",O2) ),"")</f>
        <v/>
      </c>
      <c r="S2" t="str">
        <f>""</f>
        <v/>
      </c>
      <c r="T2" s="109" t="s">
        <v>0</v>
      </c>
      <c r="U2" s="110"/>
      <c r="V2" s="4">
        <f>'Mar 2025'!V3</f>
        <v>0</v>
      </c>
      <c r="X2" s="79" t="s">
        <v>10</v>
      </c>
      <c r="Y2" s="80" t="s">
        <v>9</v>
      </c>
      <c r="Z2" s="81" t="s">
        <v>84</v>
      </c>
      <c r="AA2" s="82" t="s">
        <v>39</v>
      </c>
      <c r="AC2" s="86" t="s">
        <v>70</v>
      </c>
      <c r="AD2" s="87" t="s">
        <v>9</v>
      </c>
      <c r="AE2" s="88" t="s">
        <v>71</v>
      </c>
    </row>
    <row r="3" spans="1:38" x14ac:dyDescent="0.2">
      <c r="F3" t="str">
        <f t="shared" si="0"/>
        <v/>
      </c>
      <c r="L3" s="7" t="str">
        <f t="shared" si="1"/>
        <v/>
      </c>
      <c r="N3" s="7" t="str">
        <f t="shared" si="2"/>
        <v/>
      </c>
      <c r="O3" t="str">
        <f t="shared" si="3"/>
        <v/>
      </c>
      <c r="P3" t="str">
        <f t="shared" si="4"/>
        <v/>
      </c>
      <c r="Q3" t="str">
        <f t="shared" si="5"/>
        <v/>
      </c>
      <c r="S3" t="str">
        <f>""</f>
        <v/>
      </c>
      <c r="T3" s="101" t="s">
        <v>1</v>
      </c>
      <c r="U3" s="102"/>
      <c r="V3" s="5">
        <f>V2+V4</f>
        <v>0</v>
      </c>
      <c r="X3" s="47" t="s">
        <v>16</v>
      </c>
      <c r="Y3" s="45">
        <f>SUMIF($B:B,X3,N:N)</f>
        <v>0</v>
      </c>
      <c r="Z3" s="40">
        <f t="shared" ref="Z3:Z9" si="6">COUNTIF(B:B,X3)</f>
        <v>0</v>
      </c>
      <c r="AA3" s="41">
        <f t="shared" ref="AA3:AA9" si="7">IFERROR(COUNTIFS(B:B, X3)/COUNTA($B$2:$B$994),0)</f>
        <v>0</v>
      </c>
      <c r="AC3" s="17" t="str" cm="1">
        <f t="array" ref="AC3">IFERROR(INDEX($AL$2:$AL$300, MATCH(0, COUNTIF($AC$2:AC2, $AL$2:$AL$300) + IF($AL$2:$AL$300="", 1, 0), 0)), "")</f>
        <v/>
      </c>
      <c r="AD3" s="9">
        <f t="shared" ref="AD3:AD25" si="8">IF(ISBLANK(AC3),"",SUMIF(A:A,AC3,N:N))</f>
        <v>0</v>
      </c>
      <c r="AE3" s="19">
        <f>SUM(AD$3:AD3)</f>
        <v>0</v>
      </c>
      <c r="AL3" s="18" t="str">
        <f>IF(COUNTIF($A$2:A2, A2) = 1, A2, "")</f>
        <v/>
      </c>
    </row>
    <row r="4" spans="1:38" ht="17" thickBot="1" x14ac:dyDescent="0.25">
      <c r="F4" t="str">
        <f t="shared" si="0"/>
        <v/>
      </c>
      <c r="L4" s="7" t="str">
        <f t="shared" si="1"/>
        <v/>
      </c>
      <c r="N4" s="7" t="str">
        <f t="shared" si="2"/>
        <v/>
      </c>
      <c r="O4" t="str">
        <f t="shared" si="3"/>
        <v/>
      </c>
      <c r="P4" t="str">
        <f t="shared" si="4"/>
        <v/>
      </c>
      <c r="Q4" t="str">
        <f t="shared" si="5"/>
        <v/>
      </c>
      <c r="S4" t="str">
        <f>""</f>
        <v/>
      </c>
      <c r="T4" s="96" t="s">
        <v>2</v>
      </c>
      <c r="U4" s="97"/>
      <c r="V4" s="10">
        <f>SUM(N2:N1048576)</f>
        <v>0</v>
      </c>
      <c r="X4" s="48" t="s">
        <v>23</v>
      </c>
      <c r="Y4" s="45">
        <f>SUMIF($B:B,X4,N:N)</f>
        <v>0</v>
      </c>
      <c r="Z4" s="34">
        <f t="shared" si="6"/>
        <v>0</v>
      </c>
      <c r="AA4" s="38">
        <f t="shared" si="7"/>
        <v>0</v>
      </c>
      <c r="AC4" s="17" t="str" cm="1">
        <f t="array" ref="AC4">IFERROR(INDEX($AL$2:$AL$300, MATCH(0, COUNTIF($AC$2:AC3, $AL$2:$AL$300) + IF($AL$2:$AL$300="", 1, 0), 0)), "")</f>
        <v/>
      </c>
      <c r="AD4" s="9">
        <f t="shared" si="8"/>
        <v>0</v>
      </c>
      <c r="AE4" s="19">
        <f>SUM(AD$3:AD4)</f>
        <v>0</v>
      </c>
      <c r="AL4" s="18" t="str">
        <f>IF(COUNTIF($A$2:A3, A3) = 1, A3, "")</f>
        <v/>
      </c>
    </row>
    <row r="5" spans="1:38" ht="17" thickBot="1" x14ac:dyDescent="0.25">
      <c r="F5" t="str">
        <f t="shared" si="0"/>
        <v/>
      </c>
      <c r="L5" s="7" t="str">
        <f t="shared" si="1"/>
        <v/>
      </c>
      <c r="N5" s="7" t="str">
        <f t="shared" si="2"/>
        <v/>
      </c>
      <c r="O5" t="str">
        <f t="shared" si="3"/>
        <v/>
      </c>
      <c r="P5" t="str">
        <f t="shared" si="4"/>
        <v/>
      </c>
      <c r="Q5" t="str">
        <f t="shared" si="5"/>
        <v/>
      </c>
      <c r="S5" t="str">
        <f>""</f>
        <v/>
      </c>
      <c r="X5" s="48" t="s">
        <v>24</v>
      </c>
      <c r="Y5" s="45">
        <f>SUMIF($B:B,X5,N:N)</f>
        <v>0</v>
      </c>
      <c r="Z5" s="34">
        <f t="shared" si="6"/>
        <v>0</v>
      </c>
      <c r="AA5" s="38">
        <f t="shared" si="7"/>
        <v>0</v>
      </c>
      <c r="AC5" s="17" t="str" cm="1">
        <f t="array" ref="AC5">IFERROR(INDEX($AL$2:$AL$300, MATCH(0, COUNTIF($AC$2:AC4, $AL$2:$AL$300) + IF($AL$2:$AL$300="", 1, 0), 0)), "")</f>
        <v/>
      </c>
      <c r="AD5" s="9">
        <f t="shared" si="8"/>
        <v>0</v>
      </c>
      <c r="AE5" s="19">
        <f>SUM(AD$3:AD5)</f>
        <v>0</v>
      </c>
      <c r="AL5" s="18" t="str">
        <f>IF(COUNTIF($A$2:A4, A4) = 1, A4, "")</f>
        <v/>
      </c>
    </row>
    <row r="6" spans="1:38" x14ac:dyDescent="0.2">
      <c r="F6" t="str">
        <f t="shared" si="0"/>
        <v/>
      </c>
      <c r="L6" s="7" t="str">
        <f t="shared" si="1"/>
        <v/>
      </c>
      <c r="N6" s="7" t="str">
        <f t="shared" si="2"/>
        <v/>
      </c>
      <c r="O6" t="str">
        <f t="shared" si="3"/>
        <v/>
      </c>
      <c r="P6" t="str">
        <f t="shared" si="4"/>
        <v/>
      </c>
      <c r="Q6" t="str">
        <f t="shared" si="5"/>
        <v/>
      </c>
      <c r="S6" t="str">
        <f>""</f>
        <v/>
      </c>
      <c r="T6" s="109" t="s">
        <v>27</v>
      </c>
      <c r="U6" s="110"/>
      <c r="V6" s="58" t="str">
        <f>Master!D6</f>
        <v>Lions</v>
      </c>
      <c r="X6" s="48" t="s">
        <v>52</v>
      </c>
      <c r="Y6" s="45">
        <f>SUMIF($B:B,X6,N:N)</f>
        <v>0</v>
      </c>
      <c r="Z6" s="34">
        <f t="shared" si="6"/>
        <v>0</v>
      </c>
      <c r="AA6" s="38">
        <f t="shared" si="7"/>
        <v>0</v>
      </c>
      <c r="AC6" s="17" t="str" cm="1">
        <f t="array" ref="AC6">IFERROR(INDEX($AL$2:$AL$300, MATCH(0, COUNTIF($AC$2:AC5, $AL$2:$AL$300) + IF($AL$2:$AL$300="", 1, 0), 0)), "")</f>
        <v/>
      </c>
      <c r="AD6" s="9">
        <f t="shared" si="8"/>
        <v>0</v>
      </c>
      <c r="AE6" s="19">
        <f>SUM(AD$3:AD6)</f>
        <v>0</v>
      </c>
      <c r="AL6" s="18" t="str">
        <f>IF(COUNTIF($A$2:A5, A5) = 1, A5, "")</f>
        <v/>
      </c>
    </row>
    <row r="7" spans="1:38" x14ac:dyDescent="0.2">
      <c r="F7" t="str">
        <f t="shared" si="0"/>
        <v/>
      </c>
      <c r="L7" s="7" t="str">
        <f t="shared" si="1"/>
        <v/>
      </c>
      <c r="N7" s="7" t="str">
        <f t="shared" si="2"/>
        <v/>
      </c>
      <c r="O7" t="str">
        <f t="shared" si="3"/>
        <v/>
      </c>
      <c r="P7" t="str">
        <f t="shared" si="4"/>
        <v/>
      </c>
      <c r="Q7" t="str">
        <f t="shared" si="5"/>
        <v/>
      </c>
      <c r="S7" t="str">
        <f>""</f>
        <v/>
      </c>
      <c r="T7" s="101" t="s">
        <v>99</v>
      </c>
      <c r="U7" s="102"/>
      <c r="V7" s="8" cm="1">
        <f t="array" ref="V7">SUM(IF(ISNUMBER(SEARCH(V6, SUBSTITUTE($O$2:$O$998, ",", ""))), 1, 0))</f>
        <v>0</v>
      </c>
      <c r="X7" s="48" t="s">
        <v>87</v>
      </c>
      <c r="Y7" s="45">
        <f>SUMIF($B:B,X7,N:N)</f>
        <v>0</v>
      </c>
      <c r="Z7" s="34">
        <f t="shared" si="6"/>
        <v>0</v>
      </c>
      <c r="AA7" s="38">
        <f t="shared" si="7"/>
        <v>0</v>
      </c>
      <c r="AC7" s="17" t="str" cm="1">
        <f t="array" ref="AC7">IFERROR(INDEX($AL$2:$AL$300, MATCH(0, COUNTIF($AC$2:AC6, $AL$2:$AL$300) + IF($AL$2:$AL$300="", 1, 0), 0)), "")</f>
        <v/>
      </c>
      <c r="AD7" s="9">
        <f t="shared" si="8"/>
        <v>0</v>
      </c>
      <c r="AE7" s="20">
        <f>SUM(AD$3:AD7)</f>
        <v>0</v>
      </c>
      <c r="AL7" s="18" t="str">
        <f>IF(COUNTIF($A$2:A6, A6) = 1, A6, "")</f>
        <v/>
      </c>
    </row>
    <row r="8" spans="1:38" x14ac:dyDescent="0.2">
      <c r="F8" t="str">
        <f t="shared" si="0"/>
        <v/>
      </c>
      <c r="L8" s="7" t="str">
        <f t="shared" si="1"/>
        <v/>
      </c>
      <c r="N8" s="7" t="str">
        <f t="shared" si="2"/>
        <v/>
      </c>
      <c r="O8" t="str">
        <f t="shared" si="3"/>
        <v/>
      </c>
      <c r="P8" t="str">
        <f t="shared" si="4"/>
        <v/>
      </c>
      <c r="Q8" t="str">
        <f t="shared" si="5"/>
        <v/>
      </c>
      <c r="S8" t="str">
        <f>""</f>
        <v/>
      </c>
      <c r="T8" s="101" t="s">
        <v>100</v>
      </c>
      <c r="U8" s="102"/>
      <c r="V8" s="8" cm="1">
        <f t="array" ref="V8">SUM(IF(ISNUMBER(SEARCH(V6, SUBSTITUTE($Q$2:$Q$998, ",", ""))), 1, 0))</f>
        <v>0</v>
      </c>
      <c r="X8" s="48" t="s">
        <v>85</v>
      </c>
      <c r="Y8" s="45">
        <f>SUMIF($B:B,X8,N:N)</f>
        <v>0</v>
      </c>
      <c r="Z8" s="34">
        <f t="shared" si="6"/>
        <v>0</v>
      </c>
      <c r="AA8" s="38">
        <f t="shared" si="7"/>
        <v>0</v>
      </c>
      <c r="AC8" s="17" t="str" cm="1">
        <f t="array" ref="AC8">IFERROR(INDEX($AL$2:$AL$300, MATCH(0, COUNTIF($AC$2:AC7, $AL$2:$AL$300) + IF($AL$2:$AL$300="", 1, 0), 0)), "")</f>
        <v/>
      </c>
      <c r="AD8" s="9">
        <f t="shared" si="8"/>
        <v>0</v>
      </c>
      <c r="AE8" s="19">
        <f>SUM(AD$3:AD8)</f>
        <v>0</v>
      </c>
      <c r="AL8" s="18" t="str">
        <f>IF(COUNTIF($A$2:A7, A7) = 1, A7, "")</f>
        <v/>
      </c>
    </row>
    <row r="9" spans="1:38" ht="17" thickBot="1" x14ac:dyDescent="0.25">
      <c r="F9" t="str">
        <f t="shared" si="0"/>
        <v/>
      </c>
      <c r="L9" s="7" t="str">
        <f t="shared" si="1"/>
        <v/>
      </c>
      <c r="N9" s="7" t="str">
        <f t="shared" si="2"/>
        <v/>
      </c>
      <c r="O9" t="str">
        <f t="shared" si="3"/>
        <v/>
      </c>
      <c r="P9" t="str">
        <f t="shared" si="4"/>
        <v/>
      </c>
      <c r="Q9" t="str">
        <f t="shared" si="5"/>
        <v/>
      </c>
      <c r="S9" t="str">
        <f>""</f>
        <v/>
      </c>
      <c r="T9" s="101" t="s">
        <v>28</v>
      </c>
      <c r="U9" s="102"/>
      <c r="V9" s="51" t="e">
        <f>1-(V8/V7)</f>
        <v>#DIV/0!</v>
      </c>
      <c r="X9" s="50" t="s">
        <v>53</v>
      </c>
      <c r="Y9" s="44">
        <f>SUMIF($B:B,X9,N:N)</f>
        <v>0</v>
      </c>
      <c r="Z9" s="35">
        <f t="shared" si="6"/>
        <v>0</v>
      </c>
      <c r="AA9" s="39">
        <f t="shared" si="7"/>
        <v>0</v>
      </c>
      <c r="AC9" s="17" t="str" cm="1">
        <f t="array" ref="AC9">IFERROR(INDEX($AL$2:$AL$300, MATCH(0, COUNTIF($AC$2:AC8, $AL$2:$AL$300) + IF($AL$2:$AL$300="", 1, 0), 0)), "")</f>
        <v/>
      </c>
      <c r="AD9" s="9">
        <f t="shared" si="8"/>
        <v>0</v>
      </c>
      <c r="AE9" s="19">
        <f>SUM(AD$3:AD9)</f>
        <v>0</v>
      </c>
      <c r="AL9" s="18" t="str">
        <f>IF(COUNTIF($A$2:A8, A8) = 1, A8, "")</f>
        <v/>
      </c>
    </row>
    <row r="10" spans="1:38" ht="17" thickBot="1" x14ac:dyDescent="0.25">
      <c r="F10" t="str">
        <f t="shared" si="0"/>
        <v/>
      </c>
      <c r="L10" s="7" t="str">
        <f t="shared" si="1"/>
        <v/>
      </c>
      <c r="N10" s="7" t="str">
        <f t="shared" si="2"/>
        <v/>
      </c>
      <c r="O10" t="str">
        <f t="shared" si="3"/>
        <v/>
      </c>
      <c r="P10" t="str">
        <f t="shared" si="4"/>
        <v/>
      </c>
      <c r="Q10" t="str">
        <f t="shared" si="5"/>
        <v/>
      </c>
      <c r="S10" t="str">
        <f>""</f>
        <v/>
      </c>
      <c r="T10" s="115" t="s">
        <v>9</v>
      </c>
      <c r="U10" s="116"/>
      <c r="V10" s="45" cm="1">
        <f t="array" ref="V10">SUMPRODUCT(--($D$2:$D$998="Straight"), --ISNUMBER(SEARCH(V6, SUBSTITUTE($O$2:$O$998, ",", ""))), $N$2:$N$998)</f>
        <v>0</v>
      </c>
      <c r="Y10" s="7"/>
      <c r="AC10" s="17" t="str" cm="1">
        <f t="array" ref="AC10">IFERROR(INDEX($AL$2:$AL$300, MATCH(0, COUNTIF($AC$2:AC9, $AL$2:$AL$300) + IF($AL$2:$AL$300="", 1, 0), 0)), "")</f>
        <v/>
      </c>
      <c r="AD10" s="9">
        <f t="shared" si="8"/>
        <v>0</v>
      </c>
      <c r="AE10" s="19">
        <f>SUM(AD$3:AD10)</f>
        <v>0</v>
      </c>
      <c r="AL10" s="18" t="str">
        <f>IF(COUNTIF($A$2:A9, A9) = 1, A9, "")</f>
        <v/>
      </c>
    </row>
    <row r="11" spans="1:38" ht="17" thickBot="1" x14ac:dyDescent="0.25">
      <c r="F11" t="str">
        <f t="shared" ref="F11:F65" si="9">IF(OR(O11="", P11=""), "", SUM(IF((O11&lt;&gt;"None")*(O11&lt;&gt;""),LEN(O11)-LEN(SUBSTITUTE(O11,",",""))+1,0)) + SUM(IF((P11&lt;&gt;"None")*(P11&lt;&gt;""),LEN(P11)-LEN(SUBSTITUTE(P11,",",""))+1,0)))</f>
        <v/>
      </c>
      <c r="L11" s="7" t="str">
        <f t="shared" ref="L11:L65" si="10">IF(LEN(E11)=0, "", IFERROR(IF(E11&gt;=0, K11 * (1 + E11/100) - K11, K11 / (ABS(E11)/100))+K11, ""))</f>
        <v/>
      </c>
      <c r="N11" s="7" t="str">
        <f t="shared" ref="N11:N65" si="11">IF(M11="Yes",L11-K11,IF(M11="No",-K11,""))</f>
        <v/>
      </c>
      <c r="O11" t="str">
        <f t="shared" ref="O11:O65" si="12">IF(AND(G11="No",H11="No"), "None", "")</f>
        <v/>
      </c>
      <c r="P11" t="str">
        <f t="shared" ref="P11:P17" si="13">IF(I11="No", "None", "")</f>
        <v/>
      </c>
      <c r="Q11" t="str">
        <f t="shared" ref="Q11:Q65" si="14">IF(AND(D11="Straight", M11 = "No"),IF(O11="None",P11,IF(P11="None",O11) ),"")</f>
        <v/>
      </c>
      <c r="S11" t="str">
        <f>""</f>
        <v/>
      </c>
      <c r="T11" s="117" t="s">
        <v>57</v>
      </c>
      <c r="U11" s="118"/>
      <c r="V11" s="119"/>
      <c r="X11" s="79" t="s">
        <v>11</v>
      </c>
      <c r="Y11" s="83" t="s">
        <v>9</v>
      </c>
      <c r="Z11" s="81" t="s">
        <v>84</v>
      </c>
      <c r="AA11" s="82" t="s">
        <v>39</v>
      </c>
      <c r="AC11" s="17" t="str" cm="1">
        <f t="array" ref="AC11">IFERROR(INDEX($AL$2:$AL$300, MATCH(0, COUNTIF($AC$2:AC10, $AL$2:$AL$300) + IF($AL$2:$AL$300="", 1, 0), 0)), "")</f>
        <v/>
      </c>
      <c r="AD11" s="9">
        <f t="shared" si="8"/>
        <v>0</v>
      </c>
      <c r="AE11" s="20">
        <f>SUM(AD$3:AD11)</f>
        <v>0</v>
      </c>
      <c r="AL11" s="18" t="str">
        <f>IF(COUNTIF($A$2:A10, A10) = 1, A10, "")</f>
        <v/>
      </c>
    </row>
    <row r="12" spans="1:38" x14ac:dyDescent="0.2">
      <c r="F12" t="str">
        <f t="shared" si="9"/>
        <v/>
      </c>
      <c r="L12" s="7" t="str">
        <f t="shared" si="10"/>
        <v/>
      </c>
      <c r="N12" s="7" t="str">
        <f t="shared" si="11"/>
        <v/>
      </c>
      <c r="O12" t="str">
        <f t="shared" si="12"/>
        <v/>
      </c>
      <c r="P12" t="str">
        <f t="shared" si="13"/>
        <v/>
      </c>
      <c r="Q12" t="str">
        <f t="shared" si="14"/>
        <v/>
      </c>
      <c r="S12" t="str">
        <f>""</f>
        <v/>
      </c>
      <c r="T12" s="109" t="s">
        <v>22</v>
      </c>
      <c r="U12" s="110"/>
      <c r="V12" s="58" t="str">
        <f>Master!D12</f>
        <v>Josh Allen</v>
      </c>
      <c r="X12" s="47" t="s">
        <v>17</v>
      </c>
      <c r="Y12" s="45">
        <f t="shared" ref="Y12:Y18" si="15">SUMIF(C:C,X12,N:N)</f>
        <v>0</v>
      </c>
      <c r="Z12" s="40">
        <f t="shared" ref="Z12:Z18" si="16">COUNTIF(C:C,X12)</f>
        <v>0</v>
      </c>
      <c r="AA12" s="41">
        <f t="shared" ref="AA12:AA18" si="17">IFERROR(COUNTIFS(C:C, X12)/COUNTA($C$2:$C$994),0)</f>
        <v>0</v>
      </c>
      <c r="AC12" s="17" t="str" cm="1">
        <f t="array" ref="AC12">IFERROR(INDEX($AL$2:$AL$300, MATCH(0, COUNTIF($AC$2:AC11, $AL$2:$AL$300) + IF($AL$2:$AL$300="", 1, 0), 0)), "")</f>
        <v/>
      </c>
      <c r="AD12" s="9">
        <f t="shared" si="8"/>
        <v>0</v>
      </c>
      <c r="AE12" s="19">
        <f>SUM(AD$3:AD12)</f>
        <v>0</v>
      </c>
      <c r="AL12" s="18" t="str">
        <f>IF(COUNTIF($A$2:A11, A11) = 1, A11, "")</f>
        <v/>
      </c>
    </row>
    <row r="13" spans="1:38" x14ac:dyDescent="0.2">
      <c r="F13" t="str">
        <f t="shared" si="9"/>
        <v/>
      </c>
      <c r="L13" s="7" t="str">
        <f t="shared" si="10"/>
        <v/>
      </c>
      <c r="N13" s="7" t="str">
        <f t="shared" si="11"/>
        <v/>
      </c>
      <c r="O13" t="str">
        <f t="shared" si="12"/>
        <v/>
      </c>
      <c r="P13" t="str">
        <f t="shared" si="13"/>
        <v/>
      </c>
      <c r="Q13" t="str">
        <f t="shared" si="14"/>
        <v/>
      </c>
      <c r="S13" t="str">
        <f>""</f>
        <v/>
      </c>
      <c r="T13" s="101" t="s">
        <v>99</v>
      </c>
      <c r="U13" s="102"/>
      <c r="V13" s="8" cm="1">
        <f t="array" ref="V13">SUM(IF(ISNUMBER(SEARCH(V12, SUBSTITUTE($P$2:$P$998, ",", ""))), 1, 0))</f>
        <v>0</v>
      </c>
      <c r="X13" s="48" t="s">
        <v>19</v>
      </c>
      <c r="Y13" s="43">
        <f t="shared" si="15"/>
        <v>0</v>
      </c>
      <c r="Z13" s="34">
        <f t="shared" si="16"/>
        <v>0</v>
      </c>
      <c r="AA13" s="41">
        <f t="shared" si="17"/>
        <v>0</v>
      </c>
      <c r="AC13" s="17" t="str" cm="1">
        <f t="array" ref="AC13">IFERROR(INDEX($AL$2:$AL$300, MATCH(0, COUNTIF($AC$2:AC12, $AL$2:$AL$300) + IF($AL$2:$AL$300="", 1, 0), 0)), "")</f>
        <v/>
      </c>
      <c r="AD13" s="9">
        <f t="shared" si="8"/>
        <v>0</v>
      </c>
      <c r="AE13" s="19">
        <f>SUM(AD$3:AD13)</f>
        <v>0</v>
      </c>
      <c r="AL13" s="18" t="str">
        <f>IF(COUNTIF($A$2:A12, A12) = 1, A12, "")</f>
        <v/>
      </c>
    </row>
    <row r="14" spans="1:38" x14ac:dyDescent="0.2">
      <c r="F14" t="str">
        <f t="shared" si="9"/>
        <v/>
      </c>
      <c r="L14" s="7" t="str">
        <f t="shared" si="10"/>
        <v/>
      </c>
      <c r="N14" s="7" t="str">
        <f t="shared" si="11"/>
        <v/>
      </c>
      <c r="O14" t="str">
        <f t="shared" si="12"/>
        <v/>
      </c>
      <c r="P14" t="str">
        <f t="shared" si="13"/>
        <v/>
      </c>
      <c r="Q14" t="str">
        <f t="shared" si="14"/>
        <v/>
      </c>
      <c r="S14" t="str">
        <f>""</f>
        <v/>
      </c>
      <c r="T14" s="101" t="s">
        <v>100</v>
      </c>
      <c r="U14" s="102"/>
      <c r="V14" s="8" cm="1">
        <f t="array" ref="V14">SUM(IF(ISNUMBER(SEARCH(V12, SUBSTITUTE($Q$2:$Q$998, ",", ""))), 1, 0))</f>
        <v>0</v>
      </c>
      <c r="X14" s="48" t="s">
        <v>25</v>
      </c>
      <c r="Y14" s="43">
        <f t="shared" si="15"/>
        <v>0</v>
      </c>
      <c r="Z14" s="34">
        <f t="shared" si="16"/>
        <v>0</v>
      </c>
      <c r="AA14" s="41">
        <f t="shared" si="17"/>
        <v>0</v>
      </c>
      <c r="AC14" s="17" t="str" cm="1">
        <f t="array" ref="AC14">IFERROR(INDEX($AL$2:$AL$300, MATCH(0, COUNTIF($AC$2:AC13, $AL$2:$AL$300) + IF($AL$2:$AL$300="", 1, 0), 0)), "")</f>
        <v/>
      </c>
      <c r="AD14" s="9">
        <f t="shared" si="8"/>
        <v>0</v>
      </c>
      <c r="AE14" s="19">
        <f>SUM(AD$3:AD14)</f>
        <v>0</v>
      </c>
      <c r="AL14" s="18" t="str">
        <f>IF(COUNTIF($A$2:A13, A13) = 1, A13, "")</f>
        <v/>
      </c>
    </row>
    <row r="15" spans="1:38" x14ac:dyDescent="0.2">
      <c r="F15" t="str">
        <f t="shared" si="9"/>
        <v/>
      </c>
      <c r="L15" s="7" t="str">
        <f t="shared" si="10"/>
        <v/>
      </c>
      <c r="N15" s="7" t="str">
        <f t="shared" si="11"/>
        <v/>
      </c>
      <c r="O15" t="str">
        <f t="shared" si="12"/>
        <v/>
      </c>
      <c r="P15" t="str">
        <f t="shared" si="13"/>
        <v/>
      </c>
      <c r="Q15" t="str">
        <f t="shared" si="14"/>
        <v/>
      </c>
      <c r="S15" t="str">
        <f>""</f>
        <v/>
      </c>
      <c r="T15" s="101" t="s">
        <v>28</v>
      </c>
      <c r="U15" s="102"/>
      <c r="V15" s="51" t="e">
        <f>1-(V14/V13)</f>
        <v>#DIV/0!</v>
      </c>
      <c r="X15" s="47" t="s">
        <v>26</v>
      </c>
      <c r="Y15" s="43">
        <f t="shared" si="15"/>
        <v>0</v>
      </c>
      <c r="Z15" s="34">
        <f t="shared" si="16"/>
        <v>0</v>
      </c>
      <c r="AA15" s="41">
        <f t="shared" si="17"/>
        <v>0</v>
      </c>
      <c r="AC15" s="17" t="str" cm="1">
        <f t="array" ref="AC15">IFERROR(INDEX($AL$2:$AL$300, MATCH(0, COUNTIF($AC$2:AC14, $AL$2:$AL$300) + IF($AL$2:$AL$300="", 1, 0), 0)), "")</f>
        <v/>
      </c>
      <c r="AD15" s="9">
        <f t="shared" si="8"/>
        <v>0</v>
      </c>
      <c r="AE15" s="20">
        <f>SUM(AD$3:AD15)</f>
        <v>0</v>
      </c>
      <c r="AL15" s="18" t="str">
        <f>IF(COUNTIF($A$2:A14, A14) = 1, A14, "")</f>
        <v/>
      </c>
    </row>
    <row r="16" spans="1:38" ht="17" thickBot="1" x14ac:dyDescent="0.25">
      <c r="F16" t="str">
        <f t="shared" si="9"/>
        <v/>
      </c>
      <c r="L16" s="7" t="str">
        <f t="shared" si="10"/>
        <v/>
      </c>
      <c r="N16" s="7" t="str">
        <f t="shared" si="11"/>
        <v/>
      </c>
      <c r="O16" t="str">
        <f t="shared" si="12"/>
        <v/>
      </c>
      <c r="P16" t="str">
        <f t="shared" si="13"/>
        <v/>
      </c>
      <c r="Q16" t="str">
        <f t="shared" si="14"/>
        <v/>
      </c>
      <c r="S16" t="str">
        <f>""</f>
        <v/>
      </c>
      <c r="T16" s="115" t="s">
        <v>9</v>
      </c>
      <c r="U16" s="116"/>
      <c r="V16" s="45" cm="1">
        <f t="array" ref="V16">SUMPRODUCT(--($D$2:$D$998="Straight"), --ISNUMBER(SEARCH(V12, SUBSTITUTE($P$2:$P$998, ",", ""))), $N$2:$N$998)</f>
        <v>0</v>
      </c>
      <c r="X16" s="48" t="s">
        <v>29</v>
      </c>
      <c r="Y16" s="43">
        <f t="shared" si="15"/>
        <v>0</v>
      </c>
      <c r="Z16" s="34">
        <f t="shared" si="16"/>
        <v>0</v>
      </c>
      <c r="AA16" s="41">
        <f t="shared" si="17"/>
        <v>0</v>
      </c>
      <c r="AC16" s="17" t="str" cm="1">
        <f t="array" ref="AC16">IFERROR(INDEX($AL$2:$AL$300, MATCH(0, COUNTIF($AC$2:AC15, $AL$2:$AL$300) + IF($AL$2:$AL$300="", 1, 0), 0)), "")</f>
        <v/>
      </c>
      <c r="AD16" s="9">
        <f t="shared" si="8"/>
        <v>0</v>
      </c>
      <c r="AE16" s="19">
        <f>SUM(AD$3:AD16)</f>
        <v>0</v>
      </c>
      <c r="AL16" s="18" t="str">
        <f>IF(COUNTIF($A$2:A15, A15) = 1, A15, "")</f>
        <v/>
      </c>
    </row>
    <row r="17" spans="6:38" ht="17" thickBot="1" x14ac:dyDescent="0.25">
      <c r="F17" t="str">
        <f t="shared" si="9"/>
        <v/>
      </c>
      <c r="L17" s="7" t="str">
        <f t="shared" si="10"/>
        <v/>
      </c>
      <c r="N17" s="7" t="str">
        <f t="shared" si="11"/>
        <v/>
      </c>
      <c r="O17" t="str">
        <f t="shared" si="12"/>
        <v/>
      </c>
      <c r="P17" t="str">
        <f t="shared" si="13"/>
        <v/>
      </c>
      <c r="Q17" t="str">
        <f t="shared" si="14"/>
        <v/>
      </c>
      <c r="S17" t="str">
        <f>""</f>
        <v/>
      </c>
      <c r="T17" s="117" t="s">
        <v>57</v>
      </c>
      <c r="U17" s="118"/>
      <c r="V17" s="119"/>
      <c r="X17" s="48" t="s">
        <v>30</v>
      </c>
      <c r="Y17" s="43">
        <f t="shared" si="15"/>
        <v>0</v>
      </c>
      <c r="Z17" s="34">
        <f t="shared" si="16"/>
        <v>0</v>
      </c>
      <c r="AA17" s="41">
        <f t="shared" si="17"/>
        <v>0</v>
      </c>
      <c r="AC17" s="17" t="str" cm="1">
        <f t="array" ref="AC17">IFERROR(INDEX($AL$2:$AL$300, MATCH(0, COUNTIF($AC$2:AC16, $AL$2:$AL$300) + IF($AL$2:$AL$300="", 1, 0), 0)), "")</f>
        <v/>
      </c>
      <c r="AD17" s="9">
        <f t="shared" si="8"/>
        <v>0</v>
      </c>
      <c r="AE17" s="19">
        <f>SUM(AD$3:AD17)</f>
        <v>0</v>
      </c>
      <c r="AL17" s="18" t="str">
        <f>IF(COUNTIF($A$2:A16, A16) = 1, A16, "")</f>
        <v/>
      </c>
    </row>
    <row r="18" spans="6:38" ht="17" thickBot="1" x14ac:dyDescent="0.25">
      <c r="F18" t="str">
        <f t="shared" si="9"/>
        <v/>
      </c>
      <c r="L18" s="7" t="str">
        <f t="shared" si="10"/>
        <v/>
      </c>
      <c r="N18" s="7" t="str">
        <f t="shared" si="11"/>
        <v/>
      </c>
      <c r="O18" t="str">
        <f t="shared" si="12"/>
        <v/>
      </c>
      <c r="P18" t="str">
        <f>IF(I18="No", "None", "")</f>
        <v/>
      </c>
      <c r="Q18" t="str">
        <f t="shared" si="14"/>
        <v/>
      </c>
      <c r="S18" t="str">
        <f>""</f>
        <v/>
      </c>
      <c r="X18" s="50" t="s">
        <v>82</v>
      </c>
      <c r="Y18" s="44">
        <f t="shared" si="15"/>
        <v>0</v>
      </c>
      <c r="Z18" s="35">
        <f t="shared" si="16"/>
        <v>0</v>
      </c>
      <c r="AA18" s="52">
        <f t="shared" si="17"/>
        <v>0</v>
      </c>
      <c r="AC18" s="17" t="str" cm="1">
        <f t="array" ref="AC18">IFERROR(INDEX($AL$2:$AL$300, MATCH(0, COUNTIF($AC$2:AC17, $AL$2:$AL$300) + IF($AL$2:$AL$300="", 1, 0), 0)), "")</f>
        <v/>
      </c>
      <c r="AD18" s="9">
        <f t="shared" si="8"/>
        <v>0</v>
      </c>
      <c r="AE18" s="19">
        <f>SUM(AD$3:AD18)</f>
        <v>0</v>
      </c>
      <c r="AL18" s="18" t="str">
        <f>IF(COUNTIF($A$2:A17, A17) = 1, A17, "")</f>
        <v/>
      </c>
    </row>
    <row r="19" spans="6:38" ht="17" thickBot="1" x14ac:dyDescent="0.25">
      <c r="F19" t="str">
        <f t="shared" si="9"/>
        <v/>
      </c>
      <c r="L19" s="7" t="str">
        <f t="shared" si="10"/>
        <v/>
      </c>
      <c r="N19" s="7" t="str">
        <f t="shared" si="11"/>
        <v/>
      </c>
      <c r="O19" t="str">
        <f t="shared" si="12"/>
        <v/>
      </c>
      <c r="P19" t="str">
        <f t="shared" ref="P19:P82" si="18">IF(I19="No", "None", "")</f>
        <v/>
      </c>
      <c r="Q19" t="str">
        <f t="shared" si="14"/>
        <v/>
      </c>
      <c r="S19" t="str">
        <f>""</f>
        <v/>
      </c>
      <c r="T19" s="103" t="s">
        <v>62</v>
      </c>
      <c r="U19" s="104"/>
      <c r="V19" s="13">
        <f>COUNTA(B:B) - 1</f>
        <v>0</v>
      </c>
      <c r="Y19" s="7"/>
      <c r="AC19" s="17" t="str" cm="1">
        <f t="array" ref="AC19">IFERROR(INDEX($AL$2:$AL$300, MATCH(0, COUNTIF($AC$2:AC18, $AL$2:$AL$300) + IF($AL$2:$AL$300="", 1, 0), 0)), "")</f>
        <v/>
      </c>
      <c r="AD19" s="9">
        <f t="shared" si="8"/>
        <v>0</v>
      </c>
      <c r="AE19" s="20">
        <f>SUM(AD$3:AD19)</f>
        <v>0</v>
      </c>
      <c r="AL19" s="18" t="str">
        <f>IF(COUNTIF($A$2:A18, A18) = 1, A18, "")</f>
        <v/>
      </c>
    </row>
    <row r="20" spans="6:38" ht="17" thickBot="1" x14ac:dyDescent="0.25">
      <c r="F20" t="str">
        <f t="shared" si="9"/>
        <v/>
      </c>
      <c r="L20" s="7" t="str">
        <f t="shared" si="10"/>
        <v/>
      </c>
      <c r="N20" s="7" t="str">
        <f t="shared" si="11"/>
        <v/>
      </c>
      <c r="O20" t="str">
        <f t="shared" si="12"/>
        <v/>
      </c>
      <c r="P20" t="str">
        <f t="shared" si="18"/>
        <v/>
      </c>
      <c r="Q20" t="str">
        <f t="shared" si="14"/>
        <v/>
      </c>
      <c r="S20" t="str">
        <f>""</f>
        <v/>
      </c>
      <c r="T20" s="111" t="s">
        <v>64</v>
      </c>
      <c r="U20" s="112"/>
      <c r="V20" s="24">
        <f>COUNTIF(M:M, "Yes")</f>
        <v>0</v>
      </c>
      <c r="X20" s="79" t="s">
        <v>50</v>
      </c>
      <c r="Y20" s="83" t="s">
        <v>9</v>
      </c>
      <c r="Z20" s="81" t="s">
        <v>84</v>
      </c>
      <c r="AA20" s="82" t="s">
        <v>39</v>
      </c>
      <c r="AC20" s="17" t="str" cm="1">
        <f t="array" ref="AC20">IFERROR(INDEX($AL$2:$AL$300, MATCH(0, COUNTIF($AC$2:AC19, $AL$2:$AL$300) + IF($AL$2:$AL$300="", 1, 0), 0)), "")</f>
        <v/>
      </c>
      <c r="AD20" s="9">
        <f t="shared" si="8"/>
        <v>0</v>
      </c>
      <c r="AE20" s="19">
        <f>SUM(AD$3:AD20)</f>
        <v>0</v>
      </c>
      <c r="AL20" s="18" t="str">
        <f>IF(COUNTIF($A$2:A19, A19) = 1, A19, "")</f>
        <v/>
      </c>
    </row>
    <row r="21" spans="6:38" x14ac:dyDescent="0.2">
      <c r="F21" t="str">
        <f t="shared" si="9"/>
        <v/>
      </c>
      <c r="L21" s="7" t="str">
        <f t="shared" si="10"/>
        <v/>
      </c>
      <c r="N21" s="7" t="str">
        <f t="shared" si="11"/>
        <v/>
      </c>
      <c r="O21" t="str">
        <f t="shared" si="12"/>
        <v/>
      </c>
      <c r="P21" t="str">
        <f t="shared" si="18"/>
        <v/>
      </c>
      <c r="Q21" t="str">
        <f t="shared" si="14"/>
        <v/>
      </c>
      <c r="S21" t="str">
        <f>""</f>
        <v/>
      </c>
      <c r="T21" s="111" t="s">
        <v>65</v>
      </c>
      <c r="U21" s="112"/>
      <c r="V21" s="25">
        <f>COUNTIF(M:M, "No")</f>
        <v>0</v>
      </c>
      <c r="X21" s="47" t="s">
        <v>20</v>
      </c>
      <c r="Y21" s="45">
        <f>SUMIF(D:D,X21,N:N)</f>
        <v>0</v>
      </c>
      <c r="Z21" s="40">
        <f>COUNTIF(D:D,X21)</f>
        <v>0</v>
      </c>
      <c r="AA21" s="41">
        <f>IFERROR(COUNTIFS(D:D, X21)/COUNTA($D$2:$D$994),0)</f>
        <v>0</v>
      </c>
      <c r="AC21" s="17" t="str" cm="1">
        <f t="array" ref="AC21">IFERROR(INDEX($AL$2:$AL$300, MATCH(0, COUNTIF($AC$2:AC20, $AL$2:$AL$300) + IF($AL$2:$AL$300="", 1, 0), 0)), "")</f>
        <v/>
      </c>
      <c r="AD21" s="9">
        <f t="shared" si="8"/>
        <v>0</v>
      </c>
      <c r="AE21" s="19">
        <f>SUM(AD$3:AD21)</f>
        <v>0</v>
      </c>
      <c r="AL21" s="18" t="str">
        <f>IF(COUNTIF($A$2:A20, A20) = 1, A20, "")</f>
        <v/>
      </c>
    </row>
    <row r="22" spans="6:38" ht="17" thickBot="1" x14ac:dyDescent="0.25">
      <c r="F22" t="str">
        <f t="shared" si="9"/>
        <v/>
      </c>
      <c r="L22" s="7" t="str">
        <f t="shared" si="10"/>
        <v/>
      </c>
      <c r="N22" s="7" t="str">
        <f t="shared" si="11"/>
        <v/>
      </c>
      <c r="O22" t="str">
        <f t="shared" si="12"/>
        <v/>
      </c>
      <c r="P22" t="str">
        <f t="shared" si="18"/>
        <v/>
      </c>
      <c r="Q22" t="str">
        <f t="shared" si="14"/>
        <v/>
      </c>
      <c r="S22" t="str">
        <f>""</f>
        <v/>
      </c>
      <c r="T22" s="107" t="s">
        <v>76</v>
      </c>
      <c r="U22" s="108"/>
      <c r="V22" s="14">
        <f>V19-V20-V21</f>
        <v>0</v>
      </c>
      <c r="X22" s="48" t="s">
        <v>18</v>
      </c>
      <c r="Y22" s="45">
        <f>SUMIF(D:D,X22,N:N)</f>
        <v>0</v>
      </c>
      <c r="Z22" s="34">
        <f>COUNTIF(D:D,X22)</f>
        <v>0</v>
      </c>
      <c r="AA22" s="41">
        <f>IFERROR(COUNTIFS(D:D, X22)/COUNTA($D$2:$D$994),0)</f>
        <v>0</v>
      </c>
      <c r="AC22" s="17" t="str" cm="1">
        <f t="array" ref="AC22">IFERROR(INDEX($AL$2:$AL$300, MATCH(0, COUNTIF($AC$2:AC21, $AL$2:$AL$300) + IF($AL$2:$AL$300="", 1, 0), 0)), "")</f>
        <v/>
      </c>
      <c r="AD22" s="9">
        <f t="shared" si="8"/>
        <v>0</v>
      </c>
      <c r="AE22" s="19">
        <f>SUM(AD$3:AD22)</f>
        <v>0</v>
      </c>
      <c r="AL22" s="18" t="str">
        <f>IF(COUNTIF($A$2:A21, A21) = 1, A21, "")</f>
        <v/>
      </c>
    </row>
    <row r="23" spans="6:38" ht="17" thickBot="1" x14ac:dyDescent="0.25">
      <c r="F23" t="str">
        <f t="shared" si="9"/>
        <v/>
      </c>
      <c r="L23" s="7" t="str">
        <f t="shared" si="10"/>
        <v/>
      </c>
      <c r="N23" s="7" t="str">
        <f t="shared" si="11"/>
        <v/>
      </c>
      <c r="O23" t="str">
        <f t="shared" si="12"/>
        <v/>
      </c>
      <c r="P23" t="str">
        <f t="shared" si="18"/>
        <v/>
      </c>
      <c r="Q23" t="str">
        <f t="shared" si="14"/>
        <v/>
      </c>
      <c r="S23" t="str">
        <f>""</f>
        <v/>
      </c>
      <c r="X23" s="50" t="s">
        <v>31</v>
      </c>
      <c r="Y23" s="44">
        <f>SUMIF(D:D,X23,N:N)</f>
        <v>0</v>
      </c>
      <c r="Z23" s="35">
        <f>COUNTIF(D:D,X23)</f>
        <v>0</v>
      </c>
      <c r="AA23" s="52">
        <f>IFERROR(COUNTIFS(D:D, X23)/COUNTA($D$2:$D$994),0)</f>
        <v>0</v>
      </c>
      <c r="AC23" s="17" t="str" cm="1">
        <f t="array" ref="AC23">IFERROR(INDEX($AL$2:$AL$300, MATCH(0, COUNTIF($AC$2:AC22, $AL$2:$AL$300) + IF($AL$2:$AL$300="", 1, 0), 0)), "")</f>
        <v/>
      </c>
      <c r="AD23" s="9">
        <f t="shared" si="8"/>
        <v>0</v>
      </c>
      <c r="AE23" s="20">
        <f>SUM(AD$3:AD23)</f>
        <v>0</v>
      </c>
      <c r="AL23" s="18" t="str">
        <f>IF(COUNTIF($A$2:A22, A22) = 1, A22, "")</f>
        <v/>
      </c>
    </row>
    <row r="24" spans="6:38" ht="17" thickBot="1" x14ac:dyDescent="0.25">
      <c r="F24" t="str">
        <f t="shared" si="9"/>
        <v/>
      </c>
      <c r="L24" s="7" t="str">
        <f t="shared" si="10"/>
        <v/>
      </c>
      <c r="N24" s="7" t="str">
        <f t="shared" si="11"/>
        <v/>
      </c>
      <c r="O24" t="str">
        <f t="shared" si="12"/>
        <v/>
      </c>
      <c r="P24" t="str">
        <f t="shared" si="18"/>
        <v/>
      </c>
      <c r="Q24" t="str">
        <f t="shared" si="14"/>
        <v/>
      </c>
      <c r="S24" t="str">
        <f>""</f>
        <v/>
      </c>
      <c r="Y24" s="60"/>
      <c r="AC24" s="17" t="str" cm="1">
        <f t="array" ref="AC24">IFERROR(INDEX($AL$2:$AL$300, MATCH(0, COUNTIF($AC$2:AC23, $AL$2:$AL$300) + IF($AL$2:$AL$300="", 1, 0), 0)), "")</f>
        <v/>
      </c>
      <c r="AD24" s="9">
        <f t="shared" si="8"/>
        <v>0</v>
      </c>
      <c r="AE24" s="19">
        <f>SUM(AD$3:AD24)</f>
        <v>0</v>
      </c>
      <c r="AL24" s="18" t="str">
        <f>IF(COUNTIF($A$2:A23, A23) = 1, A23, "")</f>
        <v/>
      </c>
    </row>
    <row r="25" spans="6:38" ht="17" thickBot="1" x14ac:dyDescent="0.25">
      <c r="F25" t="str">
        <f t="shared" si="9"/>
        <v/>
      </c>
      <c r="L25" s="7" t="str">
        <f t="shared" si="10"/>
        <v/>
      </c>
      <c r="N25" s="7" t="str">
        <f t="shared" si="11"/>
        <v/>
      </c>
      <c r="O25" t="str">
        <f t="shared" si="12"/>
        <v/>
      </c>
      <c r="P25" t="str">
        <f t="shared" si="18"/>
        <v/>
      </c>
      <c r="Q25" t="str">
        <f t="shared" si="14"/>
        <v/>
      </c>
      <c r="S25" t="str">
        <f>""</f>
        <v/>
      </c>
      <c r="X25" s="79" t="s">
        <v>12</v>
      </c>
      <c r="Y25" s="83" t="s">
        <v>9</v>
      </c>
      <c r="Z25" s="81" t="s">
        <v>84</v>
      </c>
      <c r="AA25" s="82" t="s">
        <v>39</v>
      </c>
      <c r="AC25" s="21" t="str" cm="1">
        <f t="array" ref="AC25">IFERROR(INDEX($AL$2:$AL$300, MATCH(0, COUNTIF($AC$2:AC24, $AL$2:$AL$300) + IF($AL$2:$AL$300="", 1, 0), 0)), "")</f>
        <v/>
      </c>
      <c r="AD25" s="22">
        <f t="shared" si="8"/>
        <v>0</v>
      </c>
      <c r="AE25" s="23">
        <f>SUM(AD$3:AD25)</f>
        <v>0</v>
      </c>
      <c r="AL25" s="18" t="str">
        <f>IF(COUNTIF($A$2:A24, A24) = 1, A24, "")</f>
        <v/>
      </c>
    </row>
    <row r="26" spans="6:38" x14ac:dyDescent="0.2">
      <c r="F26" t="str">
        <f t="shared" si="9"/>
        <v/>
      </c>
      <c r="L26" s="7" t="str">
        <f t="shared" si="10"/>
        <v/>
      </c>
      <c r="N26" s="7" t="str">
        <f t="shared" si="11"/>
        <v/>
      </c>
      <c r="O26" t="str">
        <f t="shared" si="12"/>
        <v/>
      </c>
      <c r="P26" t="str">
        <f t="shared" si="18"/>
        <v/>
      </c>
      <c r="Q26" t="str">
        <f t="shared" si="14"/>
        <v/>
      </c>
      <c r="S26" t="str">
        <f>""</f>
        <v/>
      </c>
      <c r="X26" s="47" t="s">
        <v>32</v>
      </c>
      <c r="Y26" s="45">
        <f>SUMIFS(N:N, E:E, "&lt;-150")</f>
        <v>0</v>
      </c>
      <c r="Z26" s="40">
        <f>COUNTIFS(E:E, "&lt; -150")</f>
        <v>0</v>
      </c>
      <c r="AA26" s="41">
        <f>IFERROR(COUNTIFS(E:E, "&lt; -150")/COUNTA($E$2:$E$993),0)</f>
        <v>0</v>
      </c>
      <c r="AC26" s="59"/>
      <c r="AD26" s="7"/>
      <c r="AE26" s="7"/>
      <c r="AL26" s="18" t="str">
        <f>IF(COUNTIF($A$2:A25, A25) = 1, A25, "")</f>
        <v/>
      </c>
    </row>
    <row r="27" spans="6:38" x14ac:dyDescent="0.2">
      <c r="F27" t="str">
        <f t="shared" si="9"/>
        <v/>
      </c>
      <c r="L27" s="7" t="str">
        <f t="shared" si="10"/>
        <v/>
      </c>
      <c r="N27" s="7" t="str">
        <f t="shared" si="11"/>
        <v/>
      </c>
      <c r="O27" t="str">
        <f t="shared" si="12"/>
        <v/>
      </c>
      <c r="P27" t="str">
        <f t="shared" si="18"/>
        <v/>
      </c>
      <c r="Q27" t="str">
        <f t="shared" si="14"/>
        <v/>
      </c>
      <c r="S27" t="str">
        <f>""</f>
        <v/>
      </c>
      <c r="X27" s="48" t="s">
        <v>33</v>
      </c>
      <c r="Y27" s="45">
        <f>SUMIFS(N:N, E:E, "&gt;=-150", E:E, "&lt;100")</f>
        <v>0</v>
      </c>
      <c r="Z27" s="34">
        <f>COUNTIFS(E:E, "&lt; 100", E:E, "&gt;=-150")</f>
        <v>0</v>
      </c>
      <c r="AA27" s="38">
        <f>IFERROR(COUNTIFS(E:E, "&lt; 100", E:E, "&gt;=-150")/COUNTA($E$2:$E$6993),0)</f>
        <v>0</v>
      </c>
      <c r="AC27" s="59"/>
      <c r="AD27" s="7"/>
      <c r="AE27" s="7"/>
      <c r="AL27" s="18" t="str">
        <f>IF(COUNTIF($A$2:A26, A26) = 1, A26, "")</f>
        <v/>
      </c>
    </row>
    <row r="28" spans="6:38" x14ac:dyDescent="0.2">
      <c r="F28" t="str">
        <f t="shared" si="9"/>
        <v/>
      </c>
      <c r="L28" s="7" t="str">
        <f t="shared" si="10"/>
        <v/>
      </c>
      <c r="N28" s="7" t="str">
        <f t="shared" si="11"/>
        <v/>
      </c>
      <c r="O28" t="str">
        <f t="shared" si="12"/>
        <v/>
      </c>
      <c r="P28" t="str">
        <f t="shared" si="18"/>
        <v/>
      </c>
      <c r="Q28" t="str">
        <f t="shared" si="14"/>
        <v/>
      </c>
      <c r="S28" t="str">
        <f>""</f>
        <v/>
      </c>
      <c r="X28" s="48" t="s">
        <v>34</v>
      </c>
      <c r="Y28" s="45">
        <f>SUMIFS(N:N, E:E, "&gt;=100", E:E, "&lt;125")</f>
        <v>0</v>
      </c>
      <c r="Z28" s="34">
        <f>COUNTIFS(E:E, "&lt; 125", E:E, "&gt;=100")</f>
        <v>0</v>
      </c>
      <c r="AA28" s="38">
        <f>IFERROR(COUNTIFS(E:E, "&lt; 125", E:E, "&gt;=100")/COUNTA($E$2:$E$6993),0)</f>
        <v>0</v>
      </c>
      <c r="AC28" s="59"/>
      <c r="AD28" s="7"/>
      <c r="AE28" s="7"/>
      <c r="AL28" s="18" t="str">
        <f>IF(COUNTIF($A$2:A27, A27) = 1, A27, "")</f>
        <v/>
      </c>
    </row>
    <row r="29" spans="6:38" x14ac:dyDescent="0.2">
      <c r="F29" t="str">
        <f t="shared" si="9"/>
        <v/>
      </c>
      <c r="L29" s="7" t="str">
        <f t="shared" si="10"/>
        <v/>
      </c>
      <c r="N29" s="7" t="str">
        <f t="shared" si="11"/>
        <v/>
      </c>
      <c r="O29" t="str">
        <f t="shared" si="12"/>
        <v/>
      </c>
      <c r="P29" t="str">
        <f t="shared" si="18"/>
        <v/>
      </c>
      <c r="Q29" t="str">
        <f t="shared" si="14"/>
        <v/>
      </c>
      <c r="S29" t="str">
        <f>""</f>
        <v/>
      </c>
      <c r="X29" s="47" t="s">
        <v>35</v>
      </c>
      <c r="Y29" s="45">
        <f>SUMIFS(N:N, E:E, "&gt;=125", E:E, "&lt;150")</f>
        <v>0</v>
      </c>
      <c r="Z29" s="40">
        <f>COUNTIFS(E:E, "&lt; 150", E:E, "&gt;=125")</f>
        <v>0</v>
      </c>
      <c r="AA29" s="41">
        <f>IFERROR(COUNTIFS(E:E, "&lt; 150", E:E, "&gt;=125")/COUNTA($E$2:$E$6993),0)</f>
        <v>0</v>
      </c>
      <c r="AC29" s="59"/>
      <c r="AD29" s="7"/>
      <c r="AE29" s="7"/>
      <c r="AL29" s="18" t="str">
        <f>IF(COUNTIF($A$2:A28, A28) = 1, A28, "")</f>
        <v/>
      </c>
    </row>
    <row r="30" spans="6:38" x14ac:dyDescent="0.2">
      <c r="F30" t="str">
        <f t="shared" si="9"/>
        <v/>
      </c>
      <c r="L30" s="7" t="str">
        <f t="shared" si="10"/>
        <v/>
      </c>
      <c r="N30" s="7" t="str">
        <f t="shared" si="11"/>
        <v/>
      </c>
      <c r="O30" t="str">
        <f t="shared" si="12"/>
        <v/>
      </c>
      <c r="P30" t="str">
        <f t="shared" si="18"/>
        <v/>
      </c>
      <c r="Q30" t="str">
        <f t="shared" si="14"/>
        <v/>
      </c>
      <c r="S30" t="str">
        <f>""</f>
        <v/>
      </c>
      <c r="X30" s="48" t="s">
        <v>36</v>
      </c>
      <c r="Y30" s="45">
        <f>SUMIFS(N:N, E:E, "&gt;=150", E:E, "&lt;200")</f>
        <v>0</v>
      </c>
      <c r="Z30" s="34">
        <f>COUNTIFS(E:E, "&lt; 200", E:E, "&gt;=150")</f>
        <v>0</v>
      </c>
      <c r="AA30" s="38">
        <f>IFERROR(COUNTIFS(E:E, "&lt; 200", E:E, "&gt;=150")/COUNTA($E$2:$E$6993),0)</f>
        <v>0</v>
      </c>
      <c r="AC30" s="59"/>
      <c r="AD30" s="7"/>
      <c r="AE30" s="7"/>
      <c r="AL30" s="18" t="str">
        <f>IF(COUNTIF($A$2:A29, A29) = 1, A29, "")</f>
        <v/>
      </c>
    </row>
    <row r="31" spans="6:38" ht="17" thickBot="1" x14ac:dyDescent="0.25">
      <c r="F31" t="str">
        <f t="shared" si="9"/>
        <v/>
      </c>
      <c r="L31" s="7" t="str">
        <f t="shared" si="10"/>
        <v/>
      </c>
      <c r="N31" s="7" t="str">
        <f t="shared" si="11"/>
        <v/>
      </c>
      <c r="O31" t="str">
        <f t="shared" si="12"/>
        <v/>
      </c>
      <c r="P31" t="str">
        <f t="shared" si="18"/>
        <v/>
      </c>
      <c r="Q31" t="str">
        <f t="shared" si="14"/>
        <v/>
      </c>
      <c r="S31" t="str">
        <f>""</f>
        <v/>
      </c>
      <c r="X31" s="49" t="s">
        <v>37</v>
      </c>
      <c r="Y31" s="44">
        <f>SUMIFS(N:N, E:E, "&gt;=200")</f>
        <v>0</v>
      </c>
      <c r="Z31" s="35">
        <f>COUNTIFS(E:E, "&gt;=200")</f>
        <v>0</v>
      </c>
      <c r="AA31" s="39">
        <f>IFERROR(COUNTIFS(E:E, "&gt;=200")/COUNTA($E$2:$E$69993),0)</f>
        <v>0</v>
      </c>
      <c r="AC31" s="59"/>
      <c r="AD31" s="7"/>
      <c r="AE31" s="7"/>
      <c r="AL31" s="18" t="str">
        <f>IF(COUNTIF($A$2:A30, A30) = 1, A30, "")</f>
        <v/>
      </c>
    </row>
    <row r="32" spans="6:38" ht="17" thickBot="1" x14ac:dyDescent="0.25">
      <c r="F32" t="str">
        <f t="shared" si="9"/>
        <v/>
      </c>
      <c r="L32" s="7" t="str">
        <f t="shared" si="10"/>
        <v/>
      </c>
      <c r="N32" s="7" t="str">
        <f t="shared" si="11"/>
        <v/>
      </c>
      <c r="O32" t="str">
        <f t="shared" si="12"/>
        <v/>
      </c>
      <c r="P32" t="str">
        <f t="shared" si="18"/>
        <v/>
      </c>
      <c r="Q32" t="str">
        <f t="shared" si="14"/>
        <v/>
      </c>
      <c r="S32" t="str">
        <f>""</f>
        <v/>
      </c>
      <c r="Y32" s="60"/>
      <c r="AC32" s="59"/>
      <c r="AD32" s="7"/>
      <c r="AE32" s="7"/>
      <c r="AL32" s="18" t="str">
        <f>IF(COUNTIF($A$2:A31, A31) = 1, A31, "")</f>
        <v/>
      </c>
    </row>
    <row r="33" spans="6:38" ht="17" thickBot="1" x14ac:dyDescent="0.25">
      <c r="F33" t="str">
        <f t="shared" si="9"/>
        <v/>
      </c>
      <c r="L33" s="7" t="str">
        <f t="shared" si="10"/>
        <v/>
      </c>
      <c r="N33" s="7" t="str">
        <f t="shared" si="11"/>
        <v/>
      </c>
      <c r="O33" t="str">
        <f t="shared" si="12"/>
        <v/>
      </c>
      <c r="P33" t="str">
        <f t="shared" si="18"/>
        <v/>
      </c>
      <c r="Q33" t="str">
        <f t="shared" si="14"/>
        <v/>
      </c>
      <c r="S33" t="str">
        <f>""</f>
        <v/>
      </c>
      <c r="X33" s="79" t="s">
        <v>3</v>
      </c>
      <c r="Y33" s="83" t="s">
        <v>9</v>
      </c>
      <c r="Z33" s="81" t="s">
        <v>84</v>
      </c>
      <c r="AA33" s="82" t="s">
        <v>39</v>
      </c>
      <c r="AC33" s="59"/>
      <c r="AD33" s="7"/>
      <c r="AE33" s="7"/>
      <c r="AL33" s="18" t="str">
        <f>IF(COUNTIF($A$2:A32, A32) = 1, A32, "")</f>
        <v/>
      </c>
    </row>
    <row r="34" spans="6:38" x14ac:dyDescent="0.2">
      <c r="F34" t="str">
        <f t="shared" si="9"/>
        <v/>
      </c>
      <c r="L34" s="7" t="str">
        <f t="shared" si="10"/>
        <v/>
      </c>
      <c r="N34" s="7" t="str">
        <f t="shared" si="11"/>
        <v/>
      </c>
      <c r="O34" t="str">
        <f t="shared" si="12"/>
        <v/>
      </c>
      <c r="P34" t="str">
        <f t="shared" si="18"/>
        <v/>
      </c>
      <c r="Q34" t="str">
        <f t="shared" si="14"/>
        <v/>
      </c>
      <c r="S34" t="str">
        <f>""</f>
        <v/>
      </c>
      <c r="X34" s="47">
        <v>1</v>
      </c>
      <c r="Y34" s="45">
        <f>SUMIFS(N:N, F:F, X34)</f>
        <v>0</v>
      </c>
      <c r="Z34" s="40">
        <f>COUNTIF(F:F,X34)</f>
        <v>0</v>
      </c>
      <c r="AA34" s="41">
        <f>IFERROR(COUNTIFS(F:F, X34)/COUNTA($E$2:$E$993),0)</f>
        <v>0</v>
      </c>
      <c r="AC34" s="59"/>
      <c r="AD34" s="7"/>
      <c r="AE34" s="7"/>
      <c r="AL34" s="18" t="str">
        <f>IF(COUNTIF($A$2:A33, A33) = 1, A33, "")</f>
        <v/>
      </c>
    </row>
    <row r="35" spans="6:38" x14ac:dyDescent="0.2">
      <c r="F35" t="str">
        <f t="shared" si="9"/>
        <v/>
      </c>
      <c r="L35" s="7" t="str">
        <f t="shared" si="10"/>
        <v/>
      </c>
      <c r="N35" s="7" t="str">
        <f t="shared" si="11"/>
        <v/>
      </c>
      <c r="O35" t="str">
        <f t="shared" si="12"/>
        <v/>
      </c>
      <c r="P35" t="str">
        <f t="shared" si="18"/>
        <v/>
      </c>
      <c r="Q35" t="str">
        <f t="shared" si="14"/>
        <v/>
      </c>
      <c r="S35" t="str">
        <f>""</f>
        <v/>
      </c>
      <c r="X35" s="48">
        <v>2</v>
      </c>
      <c r="Y35" s="45">
        <f>SUMIFS(N:N, F:F, X35)</f>
        <v>0</v>
      </c>
      <c r="Z35" s="34">
        <f>COUNTIF(F:F,X35)</f>
        <v>0</v>
      </c>
      <c r="AA35" s="41">
        <f>IFERROR(COUNTIFS(F:F, X35)/COUNTA($E$2:$E$993),0)</f>
        <v>0</v>
      </c>
      <c r="AC35" s="59"/>
      <c r="AD35" s="7"/>
      <c r="AE35" s="7"/>
      <c r="AL35" s="18" t="str">
        <f>IF(COUNTIF($A$2:A34, A34) = 1, A34, "")</f>
        <v/>
      </c>
    </row>
    <row r="36" spans="6:38" x14ac:dyDescent="0.2">
      <c r="F36" t="str">
        <f t="shared" si="9"/>
        <v/>
      </c>
      <c r="L36" s="7" t="str">
        <f t="shared" si="10"/>
        <v/>
      </c>
      <c r="N36" s="7" t="str">
        <f t="shared" si="11"/>
        <v/>
      </c>
      <c r="O36" t="str">
        <f t="shared" si="12"/>
        <v/>
      </c>
      <c r="P36" t="str">
        <f t="shared" si="18"/>
        <v/>
      </c>
      <c r="Q36" t="str">
        <f t="shared" si="14"/>
        <v/>
      </c>
      <c r="S36" t="str">
        <f>""</f>
        <v/>
      </c>
      <c r="X36" s="48">
        <v>3</v>
      </c>
      <c r="Y36" s="45">
        <f>SUMIFS(N:N, F:F, X36)</f>
        <v>0</v>
      </c>
      <c r="Z36" s="34">
        <f>COUNTIF(F:F,X36)</f>
        <v>0</v>
      </c>
      <c r="AA36" s="41">
        <f>IFERROR(COUNTIFS(F:F, X36)/COUNTA($E$2:$E$993),0)</f>
        <v>0</v>
      </c>
      <c r="AD36" s="7"/>
      <c r="AE36" s="7"/>
      <c r="AL36" s="18" t="str">
        <f>IF(COUNTIF($A$2:A35, A35) = 1, A35, "")</f>
        <v/>
      </c>
    </row>
    <row r="37" spans="6:38" x14ac:dyDescent="0.2">
      <c r="F37" t="str">
        <f t="shared" si="9"/>
        <v/>
      </c>
      <c r="L37" s="7" t="str">
        <f t="shared" si="10"/>
        <v/>
      </c>
      <c r="N37" s="7" t="str">
        <f t="shared" si="11"/>
        <v/>
      </c>
      <c r="O37" t="str">
        <f t="shared" si="12"/>
        <v/>
      </c>
      <c r="P37" t="str">
        <f t="shared" si="18"/>
        <v/>
      </c>
      <c r="Q37" t="str">
        <f t="shared" si="14"/>
        <v/>
      </c>
      <c r="S37" t="str">
        <f>""</f>
        <v/>
      </c>
      <c r="X37" s="47">
        <v>4</v>
      </c>
      <c r="Y37" s="45">
        <f>SUMIFS(N:N, F:F, X37)</f>
        <v>0</v>
      </c>
      <c r="Z37" s="34">
        <f>COUNTIF(F:F,X37)</f>
        <v>0</v>
      </c>
      <c r="AA37" s="41">
        <f>IFERROR(COUNTIFS(F:F, X37)/COUNTA($E$2:$E$993),0)</f>
        <v>0</v>
      </c>
      <c r="AD37" s="7"/>
      <c r="AE37" s="7"/>
      <c r="AL37" s="18" t="str">
        <f>IF(COUNTIF($A$2:A36, A36) = 1, A36, "")</f>
        <v/>
      </c>
    </row>
    <row r="38" spans="6:38" ht="17" thickBot="1" x14ac:dyDescent="0.25">
      <c r="F38" t="str">
        <f t="shared" si="9"/>
        <v/>
      </c>
      <c r="L38" s="7" t="str">
        <f t="shared" si="10"/>
        <v/>
      </c>
      <c r="N38" s="7" t="str">
        <f t="shared" si="11"/>
        <v/>
      </c>
      <c r="O38" t="str">
        <f t="shared" si="12"/>
        <v/>
      </c>
      <c r="P38" t="str">
        <f t="shared" si="18"/>
        <v/>
      </c>
      <c r="Q38" t="str">
        <f t="shared" si="14"/>
        <v/>
      </c>
      <c r="S38" t="str">
        <f>""</f>
        <v/>
      </c>
      <c r="X38" s="49" t="s">
        <v>88</v>
      </c>
      <c r="Y38" s="44">
        <f>SUMIFS(N:N, F:F, "&gt;4")</f>
        <v>0</v>
      </c>
      <c r="Z38" s="35">
        <f>COUNTIF(F:F,"&gt;4")</f>
        <v>0</v>
      </c>
      <c r="AA38" s="52">
        <f>IFERROR(COUNTIFS(F:F, X38)/COUNTA($E$2:$E$993),0)</f>
        <v>0</v>
      </c>
      <c r="AD38" s="7"/>
      <c r="AE38" s="7"/>
      <c r="AL38" s="18" t="str">
        <f>IF(COUNTIF($A$2:A37, A37) = 1, A37, "")</f>
        <v/>
      </c>
    </row>
    <row r="39" spans="6:38" ht="17" thickBot="1" x14ac:dyDescent="0.25">
      <c r="F39" t="str">
        <f t="shared" si="9"/>
        <v/>
      </c>
      <c r="L39" s="7" t="str">
        <f t="shared" si="10"/>
        <v/>
      </c>
      <c r="N39" s="7" t="str">
        <f t="shared" si="11"/>
        <v/>
      </c>
      <c r="O39" t="str">
        <f t="shared" si="12"/>
        <v/>
      </c>
      <c r="P39" t="str">
        <f t="shared" si="18"/>
        <v/>
      </c>
      <c r="Q39" t="str">
        <f t="shared" si="14"/>
        <v/>
      </c>
      <c r="S39" t="str">
        <f>""</f>
        <v/>
      </c>
      <c r="Y39" s="60"/>
      <c r="AD39" s="7"/>
      <c r="AE39" s="7"/>
      <c r="AL39" s="18" t="str">
        <f>IF(COUNTIF($A$2:A38, A38) = 1, A38, "")</f>
        <v/>
      </c>
    </row>
    <row r="40" spans="6:38" ht="17" thickBot="1" x14ac:dyDescent="0.25">
      <c r="F40" t="str">
        <f t="shared" si="9"/>
        <v/>
      </c>
      <c r="L40" s="7" t="str">
        <f t="shared" si="10"/>
        <v/>
      </c>
      <c r="N40" s="7" t="str">
        <f t="shared" si="11"/>
        <v/>
      </c>
      <c r="O40" t="str">
        <f t="shared" si="12"/>
        <v/>
      </c>
      <c r="P40" t="str">
        <f t="shared" si="18"/>
        <v/>
      </c>
      <c r="Q40" t="str">
        <f t="shared" si="14"/>
        <v/>
      </c>
      <c r="S40" t="str">
        <f>""</f>
        <v/>
      </c>
      <c r="X40" s="79" t="s">
        <v>38</v>
      </c>
      <c r="Y40" s="83" t="s">
        <v>9</v>
      </c>
      <c r="Z40" s="81" t="s">
        <v>84</v>
      </c>
      <c r="AA40" s="82" t="s">
        <v>39</v>
      </c>
      <c r="AD40" s="7"/>
      <c r="AE40" s="7"/>
      <c r="AL40" s="18" t="str">
        <f>IF(COUNTIF($A$2:A39, A39) = 1, A39, "")</f>
        <v/>
      </c>
    </row>
    <row r="41" spans="6:38" x14ac:dyDescent="0.2">
      <c r="F41" t="str">
        <f t="shared" si="9"/>
        <v/>
      </c>
      <c r="L41" s="7" t="str">
        <f t="shared" si="10"/>
        <v/>
      </c>
      <c r="N41" s="7" t="str">
        <f t="shared" si="11"/>
        <v/>
      </c>
      <c r="O41" t="str">
        <f t="shared" si="12"/>
        <v/>
      </c>
      <c r="P41" t="str">
        <f t="shared" si="18"/>
        <v/>
      </c>
      <c r="Q41" t="str">
        <f t="shared" si="14"/>
        <v/>
      </c>
      <c r="S41" t="str">
        <f>""</f>
        <v/>
      </c>
      <c r="X41" s="47" t="s">
        <v>4</v>
      </c>
      <c r="Y41" s="45">
        <f>SUMIFS(N:N,G:G, "Yes")</f>
        <v>0</v>
      </c>
      <c r="Z41" s="40">
        <f>COUNTIF(G:G,"Yes")</f>
        <v>0</v>
      </c>
      <c r="AA41" s="41">
        <f>IFERROR(COUNTIFS(G:G, "Yes")/COUNTA($G$2:$G$994),0)</f>
        <v>0</v>
      </c>
      <c r="AD41" s="7"/>
      <c r="AE41" s="7"/>
      <c r="AL41" s="18" t="str">
        <f>IF(COUNTIF($A$2:A40, A40) = 1, A40, "")</f>
        <v/>
      </c>
    </row>
    <row r="42" spans="6:38" x14ac:dyDescent="0.2">
      <c r="F42" t="str">
        <f t="shared" si="9"/>
        <v/>
      </c>
      <c r="L42" s="7" t="str">
        <f t="shared" si="10"/>
        <v/>
      </c>
      <c r="N42" s="7" t="str">
        <f t="shared" si="11"/>
        <v/>
      </c>
      <c r="O42" t="str">
        <f t="shared" si="12"/>
        <v/>
      </c>
      <c r="P42" t="str">
        <f t="shared" si="18"/>
        <v/>
      </c>
      <c r="Q42" t="str">
        <f t="shared" si="14"/>
        <v/>
      </c>
      <c r="S42" t="str">
        <f>""</f>
        <v/>
      </c>
      <c r="X42" s="48" t="s">
        <v>5</v>
      </c>
      <c r="Y42" s="45">
        <f>SUMIFS(N:N,H:H, "Yes")</f>
        <v>0</v>
      </c>
      <c r="Z42" s="34">
        <f>COUNTIF(H:H,"Yes")</f>
        <v>0</v>
      </c>
      <c r="AA42" s="38">
        <f>IFERROR(COUNTIFS(H:H, "Yes")/COUNTA($G$2:$G$994),0)</f>
        <v>0</v>
      </c>
      <c r="AD42" s="7"/>
      <c r="AE42" s="7"/>
      <c r="AL42" s="18" t="str">
        <f>IF(COUNTIF($A$2:A41, A41) = 1, A41, "")</f>
        <v/>
      </c>
    </row>
    <row r="43" spans="6:38" ht="17" thickBot="1" x14ac:dyDescent="0.25">
      <c r="F43" t="str">
        <f t="shared" si="9"/>
        <v/>
      </c>
      <c r="L43" s="7" t="str">
        <f t="shared" si="10"/>
        <v/>
      </c>
      <c r="N43" s="7" t="str">
        <f t="shared" si="11"/>
        <v/>
      </c>
      <c r="O43" t="str">
        <f t="shared" si="12"/>
        <v/>
      </c>
      <c r="P43" t="str">
        <f t="shared" si="18"/>
        <v/>
      </c>
      <c r="Q43" t="str">
        <f t="shared" si="14"/>
        <v/>
      </c>
      <c r="S43" t="str">
        <f>""</f>
        <v/>
      </c>
      <c r="X43" s="50" t="s">
        <v>6</v>
      </c>
      <c r="Y43" s="45">
        <f>SUMIFS(N:N,I:I, "Yes")</f>
        <v>0</v>
      </c>
      <c r="Z43" s="42">
        <f>COUNTIF(I:I,"Yes")</f>
        <v>0</v>
      </c>
      <c r="AA43" s="39">
        <f>IFERROR(COUNTIFS(I:I, "Yes")/COUNTA($G$2:$G$994),0)</f>
        <v>0</v>
      </c>
      <c r="AD43" s="7"/>
      <c r="AE43" s="7"/>
      <c r="AL43" s="18" t="str">
        <f>IF(COUNTIF($A$2:A42, A42) = 1, A42, "")</f>
        <v/>
      </c>
    </row>
    <row r="44" spans="6:38" ht="17" thickBot="1" x14ac:dyDescent="0.25">
      <c r="F44" t="str">
        <f t="shared" si="9"/>
        <v/>
      </c>
      <c r="L44" s="7" t="str">
        <f t="shared" si="10"/>
        <v/>
      </c>
      <c r="N44" s="7" t="str">
        <f t="shared" si="11"/>
        <v/>
      </c>
      <c r="O44" t="str">
        <f t="shared" si="12"/>
        <v/>
      </c>
      <c r="P44" t="str">
        <f t="shared" si="18"/>
        <v/>
      </c>
      <c r="Q44" t="str">
        <f t="shared" si="14"/>
        <v/>
      </c>
      <c r="S44" t="str">
        <f>""</f>
        <v/>
      </c>
      <c r="Y44" s="60"/>
      <c r="AD44" s="7"/>
      <c r="AE44" s="7"/>
      <c r="AL44" s="18" t="str">
        <f>IF(COUNTIF($A$2:A43, A43) = 1, A43, "")</f>
        <v/>
      </c>
    </row>
    <row r="45" spans="6:38" ht="17" thickBot="1" x14ac:dyDescent="0.25">
      <c r="F45" t="str">
        <f t="shared" si="9"/>
        <v/>
      </c>
      <c r="L45" s="7" t="str">
        <f t="shared" si="10"/>
        <v/>
      </c>
      <c r="N45" s="7" t="str">
        <f t="shared" si="11"/>
        <v/>
      </c>
      <c r="O45" t="str">
        <f t="shared" si="12"/>
        <v/>
      </c>
      <c r="P45" t="str">
        <f t="shared" si="18"/>
        <v/>
      </c>
      <c r="Q45" t="str">
        <f t="shared" si="14"/>
        <v/>
      </c>
      <c r="S45" t="str">
        <f>""</f>
        <v/>
      </c>
      <c r="X45" s="79" t="s">
        <v>74</v>
      </c>
      <c r="Y45" s="83" t="s">
        <v>9</v>
      </c>
      <c r="Z45" s="81" t="s">
        <v>84</v>
      </c>
      <c r="AA45" s="82" t="s">
        <v>39</v>
      </c>
      <c r="AD45" s="7"/>
      <c r="AE45" s="7"/>
      <c r="AL45" s="18" t="str">
        <f>IF(COUNTIF($A$2:A44, A44) = 1, A44, "")</f>
        <v/>
      </c>
    </row>
    <row r="46" spans="6:38" x14ac:dyDescent="0.2">
      <c r="F46" t="str">
        <f t="shared" si="9"/>
        <v/>
      </c>
      <c r="L46" s="7" t="str">
        <f t="shared" si="10"/>
        <v/>
      </c>
      <c r="N46" s="7" t="str">
        <f t="shared" si="11"/>
        <v/>
      </c>
      <c r="O46" t="str">
        <f t="shared" si="12"/>
        <v/>
      </c>
      <c r="P46" t="str">
        <f t="shared" si="18"/>
        <v/>
      </c>
      <c r="Q46" t="str">
        <f t="shared" si="14"/>
        <v/>
      </c>
      <c r="S46" t="str">
        <f>""</f>
        <v/>
      </c>
      <c r="X46" s="47" t="s">
        <v>75</v>
      </c>
      <c r="Y46" s="45">
        <f>SUMIFS(N:N,J:J,"No")</f>
        <v>0</v>
      </c>
      <c r="Z46" s="40">
        <f>COUNTIF(J:J,"No")</f>
        <v>0</v>
      </c>
      <c r="AA46" s="46">
        <f>IFERROR(COUNTIFS($J$2:$J$1048576, "No")/COUNTA($G$2:$G$994), 0)</f>
        <v>0</v>
      </c>
      <c r="AD46" s="7"/>
      <c r="AE46" s="7"/>
      <c r="AL46" s="18" t="str">
        <f>IF(COUNTIF($A$2:A45, A45) = 1, A45, "")</f>
        <v/>
      </c>
    </row>
    <row r="47" spans="6:38" ht="17" thickBot="1" x14ac:dyDescent="0.25">
      <c r="F47" t="str">
        <f t="shared" si="9"/>
        <v/>
      </c>
      <c r="L47" s="7" t="str">
        <f t="shared" si="10"/>
        <v/>
      </c>
      <c r="N47" s="7" t="str">
        <f t="shared" si="11"/>
        <v/>
      </c>
      <c r="O47" t="str">
        <f t="shared" si="12"/>
        <v/>
      </c>
      <c r="P47" t="str">
        <f t="shared" si="18"/>
        <v/>
      </c>
      <c r="Q47" t="str">
        <f t="shared" si="14"/>
        <v/>
      </c>
      <c r="S47" t="str">
        <f>""</f>
        <v/>
      </c>
      <c r="X47" s="49" t="s">
        <v>69</v>
      </c>
      <c r="Y47" s="44">
        <f>SUMIFS(N:N,J:J,"Yes")</f>
        <v>0</v>
      </c>
      <c r="Z47" s="35">
        <f>COUNTIF(J:J,"Yes")</f>
        <v>0</v>
      </c>
      <c r="AA47" s="53">
        <f>IFERROR(COUNTIFS($J$2:$J$1048576, "Yes")/COUNTA($G$2:$G$994), 0)</f>
        <v>0</v>
      </c>
      <c r="AD47" s="7"/>
      <c r="AE47" s="7"/>
      <c r="AL47" s="18" t="str">
        <f>IF(COUNTIF($A$2:A46, A46) = 1, A46, "")</f>
        <v/>
      </c>
    </row>
    <row r="48" spans="6:38" ht="17" thickBot="1" x14ac:dyDescent="0.25">
      <c r="F48" t="str">
        <f t="shared" si="9"/>
        <v/>
      </c>
      <c r="L48" s="7" t="str">
        <f t="shared" si="10"/>
        <v/>
      </c>
      <c r="N48" s="7" t="str">
        <f t="shared" si="11"/>
        <v/>
      </c>
      <c r="O48" t="str">
        <f t="shared" si="12"/>
        <v/>
      </c>
      <c r="P48" t="str">
        <f t="shared" si="18"/>
        <v/>
      </c>
      <c r="Q48" t="str">
        <f t="shared" si="14"/>
        <v/>
      </c>
      <c r="S48" t="str">
        <f>""</f>
        <v/>
      </c>
      <c r="AD48" s="7"/>
      <c r="AE48" s="7"/>
      <c r="AL48" s="18" t="str">
        <f>IF(COUNTIF($A$2:A47, A47) = 1, A47, "")</f>
        <v/>
      </c>
    </row>
    <row r="49" spans="6:38" ht="17" thickBot="1" x14ac:dyDescent="0.25">
      <c r="F49" t="str">
        <f t="shared" si="9"/>
        <v/>
      </c>
      <c r="L49" s="7" t="str">
        <f t="shared" si="10"/>
        <v/>
      </c>
      <c r="N49" s="7" t="str">
        <f t="shared" si="11"/>
        <v/>
      </c>
      <c r="O49" t="str">
        <f t="shared" si="12"/>
        <v/>
      </c>
      <c r="P49" t="str">
        <f t="shared" si="18"/>
        <v/>
      </c>
      <c r="Q49" t="str">
        <f t="shared" si="14"/>
        <v/>
      </c>
      <c r="S49" t="str">
        <f>""</f>
        <v/>
      </c>
      <c r="X49" s="92" t="s">
        <v>89</v>
      </c>
      <c r="Y49" s="83" t="s">
        <v>9</v>
      </c>
      <c r="Z49" s="81" t="s">
        <v>84</v>
      </c>
      <c r="AA49" s="82" t="s">
        <v>39</v>
      </c>
      <c r="AD49" s="7"/>
      <c r="AE49" s="7"/>
      <c r="AL49" s="18" t="str">
        <f>IF(COUNTIF($A$2:A48, A48) = 1, A48, "")</f>
        <v/>
      </c>
    </row>
    <row r="50" spans="6:38" x14ac:dyDescent="0.2">
      <c r="F50" t="str">
        <f t="shared" si="9"/>
        <v/>
      </c>
      <c r="L50" s="7" t="str">
        <f t="shared" si="10"/>
        <v/>
      </c>
      <c r="N50" s="7" t="str">
        <f t="shared" si="11"/>
        <v/>
      </c>
      <c r="O50" t="str">
        <f t="shared" si="12"/>
        <v/>
      </c>
      <c r="P50" t="str">
        <f t="shared" si="18"/>
        <v/>
      </c>
      <c r="Q50" t="str">
        <f t="shared" si="14"/>
        <v/>
      </c>
      <c r="S50" t="str">
        <f>""</f>
        <v/>
      </c>
      <c r="X50" s="48" t="str">
        <f>Master!F50</f>
        <v>Source 1</v>
      </c>
      <c r="Y50" s="62">
        <f>SUMIFS(N:N,R:R,X50)</f>
        <v>0</v>
      </c>
      <c r="Z50" s="63">
        <f t="shared" ref="Z50:Z58" si="19">COUNTIF(R:R,X50)</f>
        <v>0</v>
      </c>
      <c r="AA50" s="54">
        <f>IFERROR(COUNTIFS(R:R, X50)/COUNTA($R$2:$R$994), 0)</f>
        <v>0</v>
      </c>
      <c r="AD50" s="7"/>
      <c r="AE50" s="7"/>
      <c r="AL50" s="18" t="str">
        <f>IF(COUNTIF($A$2:A49, A49) = 1, A49, "")</f>
        <v/>
      </c>
    </row>
    <row r="51" spans="6:38" x14ac:dyDescent="0.2">
      <c r="F51" t="str">
        <f t="shared" si="9"/>
        <v/>
      </c>
      <c r="L51" s="7" t="str">
        <f t="shared" si="10"/>
        <v/>
      </c>
      <c r="N51" s="7" t="str">
        <f t="shared" si="11"/>
        <v/>
      </c>
      <c r="O51" t="str">
        <f t="shared" si="12"/>
        <v/>
      </c>
      <c r="P51" t="str">
        <f t="shared" si="18"/>
        <v/>
      </c>
      <c r="Q51" t="str">
        <f t="shared" si="14"/>
        <v/>
      </c>
      <c r="S51" t="str">
        <f>""</f>
        <v/>
      </c>
      <c r="X51" s="48" t="str">
        <f>Master!F51</f>
        <v>Source 2</v>
      </c>
      <c r="Y51" s="45">
        <f t="shared" ref="Y51:Y58" si="20">SUMIFS(N:N,R:R,X51)</f>
        <v>0</v>
      </c>
      <c r="Z51" s="64">
        <f t="shared" si="19"/>
        <v>0</v>
      </c>
      <c r="AA51" s="46">
        <f t="shared" ref="AA51:AA56" si="21">IFERROR(COUNTIFS(R:R, X51)/COUNTA($R$2:$R$994), 0)</f>
        <v>0</v>
      </c>
      <c r="AD51" s="7"/>
      <c r="AE51" s="7"/>
      <c r="AL51" s="18" t="str">
        <f>IF(COUNTIF($A$2:A50, A50) = 1, A50, "")</f>
        <v/>
      </c>
    </row>
    <row r="52" spans="6:38" x14ac:dyDescent="0.2">
      <c r="F52" t="str">
        <f t="shared" si="9"/>
        <v/>
      </c>
      <c r="L52" s="7" t="str">
        <f t="shared" si="10"/>
        <v/>
      </c>
      <c r="N52" s="7" t="str">
        <f t="shared" si="11"/>
        <v/>
      </c>
      <c r="O52" t="str">
        <f t="shared" si="12"/>
        <v/>
      </c>
      <c r="P52" t="str">
        <f t="shared" si="18"/>
        <v/>
      </c>
      <c r="Q52" t="str">
        <f t="shared" si="14"/>
        <v/>
      </c>
      <c r="S52" t="str">
        <f>""</f>
        <v/>
      </c>
      <c r="X52" s="48" t="str">
        <f>Master!F52</f>
        <v>Source 3</v>
      </c>
      <c r="Y52" s="45">
        <f t="shared" si="20"/>
        <v>0</v>
      </c>
      <c r="Z52" s="64">
        <f t="shared" si="19"/>
        <v>0</v>
      </c>
      <c r="AA52" s="46">
        <f t="shared" si="21"/>
        <v>0</v>
      </c>
      <c r="AD52" s="7"/>
      <c r="AE52" s="7"/>
      <c r="AL52" s="18" t="str">
        <f>IF(COUNTIF($A$2:A51, A51) = 1, A51, "")</f>
        <v/>
      </c>
    </row>
    <row r="53" spans="6:38" x14ac:dyDescent="0.2">
      <c r="F53" t="str">
        <f t="shared" si="9"/>
        <v/>
      </c>
      <c r="L53" s="7" t="str">
        <f t="shared" si="10"/>
        <v/>
      </c>
      <c r="N53" s="7" t="str">
        <f t="shared" si="11"/>
        <v/>
      </c>
      <c r="O53" t="str">
        <f t="shared" si="12"/>
        <v/>
      </c>
      <c r="P53" t="str">
        <f t="shared" si="18"/>
        <v/>
      </c>
      <c r="Q53" t="str">
        <f t="shared" si="14"/>
        <v/>
      </c>
      <c r="S53" t="str">
        <f>""</f>
        <v/>
      </c>
      <c r="X53" s="48" t="str">
        <f>Master!F53</f>
        <v>Source 4</v>
      </c>
      <c r="Y53" s="45">
        <f t="shared" si="20"/>
        <v>0</v>
      </c>
      <c r="Z53" s="64">
        <f t="shared" si="19"/>
        <v>0</v>
      </c>
      <c r="AA53" s="46">
        <f t="shared" si="21"/>
        <v>0</v>
      </c>
      <c r="AD53" s="7"/>
      <c r="AE53" s="7"/>
      <c r="AL53" s="18" t="str">
        <f>IF(COUNTIF($A$2:A52, A52) = 1, A52, "")</f>
        <v/>
      </c>
    </row>
    <row r="54" spans="6:38" x14ac:dyDescent="0.2">
      <c r="F54" t="str">
        <f t="shared" si="9"/>
        <v/>
      </c>
      <c r="L54" s="7" t="str">
        <f t="shared" si="10"/>
        <v/>
      </c>
      <c r="N54" s="7" t="str">
        <f t="shared" si="11"/>
        <v/>
      </c>
      <c r="O54" t="str">
        <f t="shared" si="12"/>
        <v/>
      </c>
      <c r="P54" t="str">
        <f t="shared" si="18"/>
        <v/>
      </c>
      <c r="Q54" t="str">
        <f t="shared" si="14"/>
        <v/>
      </c>
      <c r="S54" t="str">
        <f>""</f>
        <v/>
      </c>
      <c r="X54" s="48" t="str">
        <f>Master!F54</f>
        <v>Source 5</v>
      </c>
      <c r="Y54" s="45">
        <f t="shared" si="20"/>
        <v>0</v>
      </c>
      <c r="Z54" s="64">
        <f t="shared" si="19"/>
        <v>0</v>
      </c>
      <c r="AA54" s="46">
        <f t="shared" si="21"/>
        <v>0</v>
      </c>
      <c r="AD54" s="7"/>
      <c r="AE54" s="7"/>
      <c r="AL54" s="18" t="str">
        <f>IF(COUNTIF($A$2:A53, A53) = 1, A53, "")</f>
        <v/>
      </c>
    </row>
    <row r="55" spans="6:38" x14ac:dyDescent="0.2">
      <c r="F55" t="str">
        <f t="shared" si="9"/>
        <v/>
      </c>
      <c r="L55" s="7" t="str">
        <f t="shared" si="10"/>
        <v/>
      </c>
      <c r="N55" s="7" t="str">
        <f t="shared" si="11"/>
        <v/>
      </c>
      <c r="O55" t="str">
        <f t="shared" si="12"/>
        <v/>
      </c>
      <c r="P55" t="str">
        <f t="shared" si="18"/>
        <v/>
      </c>
      <c r="Q55" t="str">
        <f t="shared" si="14"/>
        <v/>
      </c>
      <c r="S55" t="str">
        <f>""</f>
        <v/>
      </c>
      <c r="X55" s="48" t="str">
        <f>Master!F55</f>
        <v>Source 6</v>
      </c>
      <c r="Y55" s="45">
        <f t="shared" si="20"/>
        <v>0</v>
      </c>
      <c r="Z55" s="64">
        <f t="shared" si="19"/>
        <v>0</v>
      </c>
      <c r="AA55" s="46">
        <f>IFERROR(COUNTIFS(R:R, X55)/COUNTA($R$2:$R$994), 0)</f>
        <v>0</v>
      </c>
      <c r="AD55" s="7"/>
      <c r="AE55" s="7"/>
      <c r="AL55" s="18" t="str">
        <f>IF(COUNTIF($A$2:A54, A54) = 1, A54, "")</f>
        <v/>
      </c>
    </row>
    <row r="56" spans="6:38" x14ac:dyDescent="0.2">
      <c r="F56" t="str">
        <f t="shared" si="9"/>
        <v/>
      </c>
      <c r="L56" s="7" t="str">
        <f t="shared" si="10"/>
        <v/>
      </c>
      <c r="N56" s="7" t="str">
        <f t="shared" si="11"/>
        <v/>
      </c>
      <c r="O56" t="str">
        <f t="shared" si="12"/>
        <v/>
      </c>
      <c r="P56" t="str">
        <f t="shared" si="18"/>
        <v/>
      </c>
      <c r="Q56" t="str">
        <f t="shared" si="14"/>
        <v/>
      </c>
      <c r="S56" t="str">
        <f>""</f>
        <v/>
      </c>
      <c r="X56" s="48" t="str">
        <f>Master!F56</f>
        <v>Source 7</v>
      </c>
      <c r="Y56" s="45">
        <f t="shared" si="20"/>
        <v>0</v>
      </c>
      <c r="Z56" s="64">
        <f t="shared" si="19"/>
        <v>0</v>
      </c>
      <c r="AA56" s="46">
        <f t="shared" si="21"/>
        <v>0</v>
      </c>
      <c r="AD56" s="7"/>
      <c r="AE56" s="7"/>
      <c r="AL56" s="18" t="str">
        <f>IF(COUNTIF($A$2:A55, A55) = 1, A55, "")</f>
        <v/>
      </c>
    </row>
    <row r="57" spans="6:38" x14ac:dyDescent="0.2">
      <c r="F57" t="str">
        <f t="shared" si="9"/>
        <v/>
      </c>
      <c r="L57" s="7" t="str">
        <f t="shared" si="10"/>
        <v/>
      </c>
      <c r="N57" s="7" t="str">
        <f t="shared" si="11"/>
        <v/>
      </c>
      <c r="O57" t="str">
        <f t="shared" si="12"/>
        <v/>
      </c>
      <c r="P57" t="str">
        <f t="shared" si="18"/>
        <v/>
      </c>
      <c r="Q57" t="str">
        <f t="shared" si="14"/>
        <v/>
      </c>
      <c r="S57" t="str">
        <f>""</f>
        <v/>
      </c>
      <c r="X57" s="48" t="str">
        <f>Master!F57</f>
        <v>Source 8</v>
      </c>
      <c r="Y57" s="45">
        <f t="shared" si="20"/>
        <v>0</v>
      </c>
      <c r="Z57" s="64">
        <f t="shared" si="19"/>
        <v>0</v>
      </c>
      <c r="AA57" s="46">
        <f>IFERROR(COUNTIFS(R:R, X57)/COUNTA($R$2:$R$994), 0)</f>
        <v>0</v>
      </c>
      <c r="AD57" s="7"/>
      <c r="AE57" s="7"/>
      <c r="AL57" s="18" t="str">
        <f>IF(COUNTIF($A$2:A56, A56) = 1, A56, "")</f>
        <v/>
      </c>
    </row>
    <row r="58" spans="6:38" ht="17" thickBot="1" x14ac:dyDescent="0.25">
      <c r="F58" t="str">
        <f t="shared" si="9"/>
        <v/>
      </c>
      <c r="L58" s="7" t="str">
        <f t="shared" si="10"/>
        <v/>
      </c>
      <c r="N58" s="7" t="str">
        <f t="shared" si="11"/>
        <v/>
      </c>
      <c r="O58" t="str">
        <f t="shared" si="12"/>
        <v/>
      </c>
      <c r="P58" t="str">
        <f t="shared" si="18"/>
        <v/>
      </c>
      <c r="Q58" t="str">
        <f t="shared" si="14"/>
        <v/>
      </c>
      <c r="S58" t="str">
        <f>""</f>
        <v/>
      </c>
      <c r="X58" s="49" t="s">
        <v>90</v>
      </c>
      <c r="Y58" s="44">
        <f t="shared" si="20"/>
        <v>0</v>
      </c>
      <c r="Z58" s="65">
        <f t="shared" si="19"/>
        <v>0</v>
      </c>
      <c r="AA58" s="53">
        <f>IFERROR(COUNTIFS(R:R, X58)/COUNTA($R$2:$R$994), 0)</f>
        <v>0</v>
      </c>
      <c r="AD58" s="7"/>
      <c r="AE58" s="7"/>
      <c r="AL58" s="18" t="str">
        <f>IF(COUNTIF($A$2:A57, A57) = 1, A57, "")</f>
        <v/>
      </c>
    </row>
    <row r="59" spans="6:38" x14ac:dyDescent="0.2">
      <c r="F59" t="str">
        <f t="shared" si="9"/>
        <v/>
      </c>
      <c r="L59" s="7" t="str">
        <f t="shared" si="10"/>
        <v/>
      </c>
      <c r="N59" s="7" t="str">
        <f t="shared" si="11"/>
        <v/>
      </c>
      <c r="O59" t="str">
        <f t="shared" si="12"/>
        <v/>
      </c>
      <c r="P59" t="str">
        <f t="shared" si="18"/>
        <v/>
      </c>
      <c r="Q59" t="str">
        <f t="shared" si="14"/>
        <v/>
      </c>
      <c r="S59" t="str">
        <f>""</f>
        <v/>
      </c>
      <c r="AL59" s="18" t="str">
        <f>IF(COUNTIF($A$2:A58, A58) = 1, A58, "")</f>
        <v/>
      </c>
    </row>
    <row r="60" spans="6:38" x14ac:dyDescent="0.2">
      <c r="F60" t="str">
        <f t="shared" si="9"/>
        <v/>
      </c>
      <c r="L60" s="7" t="str">
        <f t="shared" si="10"/>
        <v/>
      </c>
      <c r="N60" s="7" t="str">
        <f t="shared" si="11"/>
        <v/>
      </c>
      <c r="O60" t="str">
        <f t="shared" si="12"/>
        <v/>
      </c>
      <c r="P60" t="str">
        <f t="shared" si="18"/>
        <v/>
      </c>
      <c r="Q60" t="str">
        <f t="shared" si="14"/>
        <v/>
      </c>
      <c r="S60" t="str">
        <f>""</f>
        <v/>
      </c>
      <c r="AL60" s="18" t="str">
        <f>IF(COUNTIF($A$2:A59, A59) = 1, A59, "")</f>
        <v/>
      </c>
    </row>
    <row r="61" spans="6:38" x14ac:dyDescent="0.2">
      <c r="F61" t="str">
        <f t="shared" si="9"/>
        <v/>
      </c>
      <c r="L61" s="7" t="str">
        <f t="shared" si="10"/>
        <v/>
      </c>
      <c r="N61" s="7" t="str">
        <f t="shared" si="11"/>
        <v/>
      </c>
      <c r="O61" t="str">
        <f t="shared" si="12"/>
        <v/>
      </c>
      <c r="P61" t="str">
        <f t="shared" si="18"/>
        <v/>
      </c>
      <c r="Q61" t="str">
        <f t="shared" si="14"/>
        <v/>
      </c>
      <c r="S61" t="str">
        <f>""</f>
        <v/>
      </c>
      <c r="AL61" s="18" t="str">
        <f>IF(COUNTIF($A$2:A60, A60) = 1, A60, "")</f>
        <v/>
      </c>
    </row>
    <row r="62" spans="6:38" x14ac:dyDescent="0.2">
      <c r="F62" t="str">
        <f t="shared" si="9"/>
        <v/>
      </c>
      <c r="L62" s="7" t="str">
        <f t="shared" si="10"/>
        <v/>
      </c>
      <c r="N62" s="7" t="str">
        <f t="shared" si="11"/>
        <v/>
      </c>
      <c r="O62" t="str">
        <f t="shared" si="12"/>
        <v/>
      </c>
      <c r="P62" t="str">
        <f t="shared" si="18"/>
        <v/>
      </c>
      <c r="Q62" t="str">
        <f t="shared" si="14"/>
        <v/>
      </c>
      <c r="S62" t="str">
        <f>""</f>
        <v/>
      </c>
      <c r="AL62" s="18" t="str">
        <f>IF(COUNTIF($A$2:A61, A61) = 1, A61, "")</f>
        <v/>
      </c>
    </row>
    <row r="63" spans="6:38" x14ac:dyDescent="0.2">
      <c r="F63" t="str">
        <f t="shared" si="9"/>
        <v/>
      </c>
      <c r="L63" s="7" t="str">
        <f t="shared" si="10"/>
        <v/>
      </c>
      <c r="N63" s="7" t="str">
        <f t="shared" si="11"/>
        <v/>
      </c>
      <c r="O63" t="str">
        <f t="shared" si="12"/>
        <v/>
      </c>
      <c r="P63" t="str">
        <f t="shared" si="18"/>
        <v/>
      </c>
      <c r="Q63" t="str">
        <f t="shared" si="14"/>
        <v/>
      </c>
      <c r="S63" t="str">
        <f>""</f>
        <v/>
      </c>
      <c r="AL63" s="18" t="str">
        <f>IF(COUNTIF($A$2:A62, A62) = 1, A62, "")</f>
        <v/>
      </c>
    </row>
    <row r="64" spans="6:38" x14ac:dyDescent="0.2">
      <c r="F64" t="str">
        <f t="shared" si="9"/>
        <v/>
      </c>
      <c r="L64" s="7" t="str">
        <f t="shared" si="10"/>
        <v/>
      </c>
      <c r="N64" s="7" t="str">
        <f t="shared" si="11"/>
        <v/>
      </c>
      <c r="O64" t="str">
        <f t="shared" si="12"/>
        <v/>
      </c>
      <c r="P64" t="str">
        <f t="shared" si="18"/>
        <v/>
      </c>
      <c r="Q64" t="str">
        <f t="shared" si="14"/>
        <v/>
      </c>
      <c r="S64" t="str">
        <f>""</f>
        <v/>
      </c>
      <c r="AL64" s="18" t="str">
        <f>IF(COUNTIF($A$2:A63, A63) = 1, A63, "")</f>
        <v/>
      </c>
    </row>
    <row r="65" spans="6:38" x14ac:dyDescent="0.2">
      <c r="F65" t="str">
        <f t="shared" si="9"/>
        <v/>
      </c>
      <c r="L65" s="7" t="str">
        <f t="shared" si="10"/>
        <v/>
      </c>
      <c r="N65" s="7" t="str">
        <f t="shared" si="11"/>
        <v/>
      </c>
      <c r="O65" t="str">
        <f t="shared" si="12"/>
        <v/>
      </c>
      <c r="P65" t="str">
        <f t="shared" si="18"/>
        <v/>
      </c>
      <c r="Q65" t="str">
        <f t="shared" si="14"/>
        <v/>
      </c>
      <c r="S65" t="str">
        <f>""</f>
        <v/>
      </c>
      <c r="AL65" s="18" t="str">
        <f>IF(COUNTIF($A$2:A64, A64) = 1, A64, "")</f>
        <v/>
      </c>
    </row>
    <row r="66" spans="6:38" x14ac:dyDescent="0.2">
      <c r="F66" t="str">
        <f t="shared" ref="F66:F129" si="22">IF(OR(O66="", P66=""), "", SUM(IF((O66&lt;&gt;"None")*(O66&lt;&gt;""),LEN(O66)-LEN(SUBSTITUTE(O66,",",""))+1,0)) + SUM(IF((P66&lt;&gt;"None")*(P66&lt;&gt;""),LEN(P66)-LEN(SUBSTITUTE(P66,",",""))+1,0)))</f>
        <v/>
      </c>
      <c r="L66" s="7" t="str">
        <f t="shared" ref="L66:L129" si="23">IF(LEN(E66)=0, "", IFERROR(IF(E66&gt;=0, K66 * (1 + E66/100) - K66, K66 / (ABS(E66)/100))+K66, ""))</f>
        <v/>
      </c>
      <c r="N66" s="7" t="str">
        <f t="shared" ref="N66:N129" si="24">IF(M66="Yes",L66-K66,IF(M66="No",-K66,""))</f>
        <v/>
      </c>
      <c r="O66" t="str">
        <f t="shared" ref="O66:O129" si="25">IF(AND(G66="No",H66="No"), "None", "")</f>
        <v/>
      </c>
      <c r="P66" t="str">
        <f t="shared" si="18"/>
        <v/>
      </c>
      <c r="Q66" t="str">
        <f t="shared" ref="Q66:Q129" si="26">IF(AND(D66="Straight", M66 = "No"),IF(O66="None",P66,IF(P66="None",O66) ),"")</f>
        <v/>
      </c>
      <c r="S66" t="str">
        <f>""</f>
        <v/>
      </c>
      <c r="AL66" s="18" t="str">
        <f>IF(COUNTIF($A$2:A65, A65) = 1, A65, "")</f>
        <v/>
      </c>
    </row>
    <row r="67" spans="6:38" x14ac:dyDescent="0.2">
      <c r="F67" t="str">
        <f t="shared" si="22"/>
        <v/>
      </c>
      <c r="L67" s="7" t="str">
        <f t="shared" si="23"/>
        <v/>
      </c>
      <c r="N67" s="7" t="str">
        <f t="shared" si="24"/>
        <v/>
      </c>
      <c r="O67" t="str">
        <f t="shared" si="25"/>
        <v/>
      </c>
      <c r="P67" t="str">
        <f t="shared" si="18"/>
        <v/>
      </c>
      <c r="Q67" t="str">
        <f t="shared" si="26"/>
        <v/>
      </c>
      <c r="S67" t="str">
        <f>""</f>
        <v/>
      </c>
      <c r="AL67" s="18" t="str">
        <f>IF(COUNTIF($A$2:A66, A66) = 1, A66, "")</f>
        <v/>
      </c>
    </row>
    <row r="68" spans="6:38" x14ac:dyDescent="0.2">
      <c r="F68" t="str">
        <f t="shared" si="22"/>
        <v/>
      </c>
      <c r="L68" s="7" t="str">
        <f t="shared" si="23"/>
        <v/>
      </c>
      <c r="N68" s="7" t="str">
        <f t="shared" si="24"/>
        <v/>
      </c>
      <c r="O68" t="str">
        <f t="shared" si="25"/>
        <v/>
      </c>
      <c r="P68" t="str">
        <f t="shared" si="18"/>
        <v/>
      </c>
      <c r="Q68" t="str">
        <f t="shared" si="26"/>
        <v/>
      </c>
      <c r="S68" t="str">
        <f>""</f>
        <v/>
      </c>
      <c r="AL68" s="18" t="str">
        <f>IF(COUNTIF($A$2:A67, A67) = 1, A67, "")</f>
        <v/>
      </c>
    </row>
    <row r="69" spans="6:38" x14ac:dyDescent="0.2">
      <c r="F69" t="str">
        <f t="shared" si="22"/>
        <v/>
      </c>
      <c r="L69" s="7" t="str">
        <f t="shared" si="23"/>
        <v/>
      </c>
      <c r="N69" s="7" t="str">
        <f t="shared" si="24"/>
        <v/>
      </c>
      <c r="O69" t="str">
        <f t="shared" si="25"/>
        <v/>
      </c>
      <c r="P69" t="str">
        <f t="shared" si="18"/>
        <v/>
      </c>
      <c r="Q69" t="str">
        <f t="shared" si="26"/>
        <v/>
      </c>
      <c r="S69" t="str">
        <f>""</f>
        <v/>
      </c>
      <c r="AL69" s="18" t="str">
        <f>IF(COUNTIF($A$2:A68, A68) = 1, A68, "")</f>
        <v/>
      </c>
    </row>
    <row r="70" spans="6:38" x14ac:dyDescent="0.2">
      <c r="F70" t="str">
        <f t="shared" si="22"/>
        <v/>
      </c>
      <c r="L70" s="7" t="str">
        <f t="shared" si="23"/>
        <v/>
      </c>
      <c r="N70" s="7" t="str">
        <f t="shared" si="24"/>
        <v/>
      </c>
      <c r="O70" t="str">
        <f t="shared" si="25"/>
        <v/>
      </c>
      <c r="P70" t="str">
        <f t="shared" si="18"/>
        <v/>
      </c>
      <c r="Q70" t="str">
        <f t="shared" si="26"/>
        <v/>
      </c>
      <c r="S70" t="str">
        <f>""</f>
        <v/>
      </c>
      <c r="AL70" s="18" t="str">
        <f>IF(COUNTIF($A$2:A69, A69) = 1, A69, "")</f>
        <v/>
      </c>
    </row>
    <row r="71" spans="6:38" x14ac:dyDescent="0.2">
      <c r="F71" t="str">
        <f t="shared" si="22"/>
        <v/>
      </c>
      <c r="L71" s="7" t="str">
        <f t="shared" si="23"/>
        <v/>
      </c>
      <c r="N71" s="7" t="str">
        <f t="shared" si="24"/>
        <v/>
      </c>
      <c r="O71" t="str">
        <f t="shared" si="25"/>
        <v/>
      </c>
      <c r="P71" t="str">
        <f t="shared" si="18"/>
        <v/>
      </c>
      <c r="Q71" t="str">
        <f t="shared" si="26"/>
        <v/>
      </c>
      <c r="S71" t="str">
        <f>""</f>
        <v/>
      </c>
      <c r="AL71" s="18" t="str">
        <f>IF(COUNTIF($A$2:A70, A70) = 1, A70, "")</f>
        <v/>
      </c>
    </row>
    <row r="72" spans="6:38" x14ac:dyDescent="0.2">
      <c r="F72" t="str">
        <f t="shared" si="22"/>
        <v/>
      </c>
      <c r="L72" s="7" t="str">
        <f t="shared" si="23"/>
        <v/>
      </c>
      <c r="N72" s="7" t="str">
        <f t="shared" si="24"/>
        <v/>
      </c>
      <c r="O72" t="str">
        <f t="shared" si="25"/>
        <v/>
      </c>
      <c r="P72" t="str">
        <f t="shared" si="18"/>
        <v/>
      </c>
      <c r="Q72" t="str">
        <f t="shared" si="26"/>
        <v/>
      </c>
      <c r="S72" t="str">
        <f>""</f>
        <v/>
      </c>
      <c r="AL72" s="18" t="str">
        <f>IF(COUNTIF($A$2:A71, A71) = 1, A71, "")</f>
        <v/>
      </c>
    </row>
    <row r="73" spans="6:38" x14ac:dyDescent="0.2">
      <c r="F73" t="str">
        <f t="shared" si="22"/>
        <v/>
      </c>
      <c r="L73" s="7" t="str">
        <f t="shared" si="23"/>
        <v/>
      </c>
      <c r="N73" s="7" t="str">
        <f t="shared" si="24"/>
        <v/>
      </c>
      <c r="O73" t="str">
        <f t="shared" si="25"/>
        <v/>
      </c>
      <c r="P73" t="str">
        <f t="shared" si="18"/>
        <v/>
      </c>
      <c r="Q73" t="str">
        <f t="shared" si="26"/>
        <v/>
      </c>
      <c r="S73" t="str">
        <f>""</f>
        <v/>
      </c>
      <c r="AL73" s="18" t="str">
        <f>IF(COUNTIF($A$2:A72, A72) = 1, A72, "")</f>
        <v/>
      </c>
    </row>
    <row r="74" spans="6:38" x14ac:dyDescent="0.2">
      <c r="F74" t="str">
        <f t="shared" si="22"/>
        <v/>
      </c>
      <c r="L74" s="7" t="str">
        <f t="shared" si="23"/>
        <v/>
      </c>
      <c r="N74" s="7" t="str">
        <f t="shared" si="24"/>
        <v/>
      </c>
      <c r="O74" t="str">
        <f t="shared" si="25"/>
        <v/>
      </c>
      <c r="P74" t="str">
        <f t="shared" si="18"/>
        <v/>
      </c>
      <c r="Q74" t="str">
        <f t="shared" si="26"/>
        <v/>
      </c>
      <c r="S74" t="str">
        <f>""</f>
        <v/>
      </c>
      <c r="AL74" s="18" t="str">
        <f>IF(COUNTIF($A$2:A73, A73) = 1, A73, "")</f>
        <v/>
      </c>
    </row>
    <row r="75" spans="6:38" x14ac:dyDescent="0.2">
      <c r="F75" t="str">
        <f t="shared" si="22"/>
        <v/>
      </c>
      <c r="L75" s="7" t="str">
        <f t="shared" si="23"/>
        <v/>
      </c>
      <c r="N75" s="7" t="str">
        <f t="shared" si="24"/>
        <v/>
      </c>
      <c r="O75" t="str">
        <f t="shared" si="25"/>
        <v/>
      </c>
      <c r="P75" t="str">
        <f t="shared" si="18"/>
        <v/>
      </c>
      <c r="Q75" t="str">
        <f t="shared" si="26"/>
        <v/>
      </c>
      <c r="S75" t="str">
        <f>""</f>
        <v/>
      </c>
      <c r="AL75" s="18" t="str">
        <f>IF(COUNTIF($A$2:A74, A74) = 1, A74, "")</f>
        <v/>
      </c>
    </row>
    <row r="76" spans="6:38" x14ac:dyDescent="0.2">
      <c r="F76" t="str">
        <f t="shared" si="22"/>
        <v/>
      </c>
      <c r="L76" s="7" t="str">
        <f t="shared" si="23"/>
        <v/>
      </c>
      <c r="N76" s="7" t="str">
        <f t="shared" si="24"/>
        <v/>
      </c>
      <c r="O76" t="str">
        <f t="shared" si="25"/>
        <v/>
      </c>
      <c r="P76" t="str">
        <f t="shared" si="18"/>
        <v/>
      </c>
      <c r="Q76" t="str">
        <f t="shared" si="26"/>
        <v/>
      </c>
      <c r="S76" t="str">
        <f>""</f>
        <v/>
      </c>
      <c r="AL76" s="18" t="str">
        <f>IF(COUNTIF($A$2:A75, A75) = 1, A75, "")</f>
        <v/>
      </c>
    </row>
    <row r="77" spans="6:38" x14ac:dyDescent="0.2">
      <c r="F77" t="str">
        <f t="shared" si="22"/>
        <v/>
      </c>
      <c r="L77" s="7" t="str">
        <f t="shared" si="23"/>
        <v/>
      </c>
      <c r="N77" s="7" t="str">
        <f t="shared" si="24"/>
        <v/>
      </c>
      <c r="O77" t="str">
        <f t="shared" si="25"/>
        <v/>
      </c>
      <c r="P77" t="str">
        <f t="shared" si="18"/>
        <v/>
      </c>
      <c r="Q77" t="str">
        <f t="shared" si="26"/>
        <v/>
      </c>
      <c r="S77" t="str">
        <f>""</f>
        <v/>
      </c>
      <c r="AL77" s="18" t="str">
        <f>IF(COUNTIF($A$2:A76, A76) = 1, A76, "")</f>
        <v/>
      </c>
    </row>
    <row r="78" spans="6:38" x14ac:dyDescent="0.2">
      <c r="F78" t="str">
        <f t="shared" si="22"/>
        <v/>
      </c>
      <c r="L78" s="7" t="str">
        <f t="shared" si="23"/>
        <v/>
      </c>
      <c r="N78" s="7" t="str">
        <f t="shared" si="24"/>
        <v/>
      </c>
      <c r="O78" t="str">
        <f t="shared" si="25"/>
        <v/>
      </c>
      <c r="P78" t="str">
        <f t="shared" si="18"/>
        <v/>
      </c>
      <c r="Q78" t="str">
        <f t="shared" si="26"/>
        <v/>
      </c>
      <c r="S78" t="str">
        <f>""</f>
        <v/>
      </c>
      <c r="AL78" s="18" t="str">
        <f>IF(COUNTIF($A$2:A77, A77) = 1, A77, "")</f>
        <v/>
      </c>
    </row>
    <row r="79" spans="6:38" x14ac:dyDescent="0.2">
      <c r="F79" t="str">
        <f t="shared" si="22"/>
        <v/>
      </c>
      <c r="L79" s="7" t="str">
        <f t="shared" si="23"/>
        <v/>
      </c>
      <c r="N79" s="7" t="str">
        <f t="shared" si="24"/>
        <v/>
      </c>
      <c r="O79" t="str">
        <f t="shared" si="25"/>
        <v/>
      </c>
      <c r="P79" t="str">
        <f t="shared" si="18"/>
        <v/>
      </c>
      <c r="Q79" t="str">
        <f t="shared" si="26"/>
        <v/>
      </c>
      <c r="S79" t="str">
        <f>""</f>
        <v/>
      </c>
      <c r="AL79" s="18" t="str">
        <f>IF(COUNTIF($A$2:A78, A78) = 1, A78, "")</f>
        <v/>
      </c>
    </row>
    <row r="80" spans="6:38" x14ac:dyDescent="0.2">
      <c r="F80" t="str">
        <f t="shared" si="22"/>
        <v/>
      </c>
      <c r="L80" s="7" t="str">
        <f t="shared" si="23"/>
        <v/>
      </c>
      <c r="N80" s="7" t="str">
        <f t="shared" si="24"/>
        <v/>
      </c>
      <c r="O80" t="str">
        <f t="shared" si="25"/>
        <v/>
      </c>
      <c r="P80" t="str">
        <f t="shared" si="18"/>
        <v/>
      </c>
      <c r="Q80" t="str">
        <f t="shared" si="26"/>
        <v/>
      </c>
      <c r="S80" t="str">
        <f>""</f>
        <v/>
      </c>
      <c r="AL80" s="18" t="str">
        <f>IF(COUNTIF($A$2:A79, A79) = 1, A79, "")</f>
        <v/>
      </c>
    </row>
    <row r="81" spans="6:38" x14ac:dyDescent="0.2">
      <c r="F81" t="str">
        <f t="shared" si="22"/>
        <v/>
      </c>
      <c r="L81" s="7" t="str">
        <f t="shared" si="23"/>
        <v/>
      </c>
      <c r="N81" s="7" t="str">
        <f t="shared" si="24"/>
        <v/>
      </c>
      <c r="O81" t="str">
        <f t="shared" si="25"/>
        <v/>
      </c>
      <c r="P81" t="str">
        <f t="shared" si="18"/>
        <v/>
      </c>
      <c r="Q81" t="str">
        <f t="shared" si="26"/>
        <v/>
      </c>
      <c r="S81" t="str">
        <f>""</f>
        <v/>
      </c>
      <c r="AL81" s="18" t="str">
        <f>IF(COUNTIF($A$2:A80, A80) = 1, A80, "")</f>
        <v/>
      </c>
    </row>
    <row r="82" spans="6:38" x14ac:dyDescent="0.2">
      <c r="F82" t="str">
        <f t="shared" si="22"/>
        <v/>
      </c>
      <c r="L82" s="7" t="str">
        <f t="shared" si="23"/>
        <v/>
      </c>
      <c r="N82" s="7" t="str">
        <f t="shared" si="24"/>
        <v/>
      </c>
      <c r="O82" t="str">
        <f t="shared" si="25"/>
        <v/>
      </c>
      <c r="P82" t="str">
        <f t="shared" si="18"/>
        <v/>
      </c>
      <c r="Q82" t="str">
        <f t="shared" si="26"/>
        <v/>
      </c>
      <c r="S82" t="str">
        <f>""</f>
        <v/>
      </c>
      <c r="AL82" s="18" t="str">
        <f>IF(COUNTIF($A$2:A81, A81) = 1, A81, "")</f>
        <v/>
      </c>
    </row>
    <row r="83" spans="6:38" x14ac:dyDescent="0.2">
      <c r="F83" t="str">
        <f t="shared" si="22"/>
        <v/>
      </c>
      <c r="L83" s="7" t="str">
        <f t="shared" si="23"/>
        <v/>
      </c>
      <c r="N83" s="7" t="str">
        <f t="shared" si="24"/>
        <v/>
      </c>
      <c r="O83" t="str">
        <f t="shared" si="25"/>
        <v/>
      </c>
      <c r="P83" t="str">
        <f t="shared" ref="P83:P143" si="27">IF(I83="No", "None", "")</f>
        <v/>
      </c>
      <c r="Q83" t="str">
        <f t="shared" si="26"/>
        <v/>
      </c>
      <c r="S83" t="str">
        <f>""</f>
        <v/>
      </c>
      <c r="AL83" s="18" t="str">
        <f>IF(COUNTIF($A$2:A82, A82) = 1, A82, "")</f>
        <v/>
      </c>
    </row>
    <row r="84" spans="6:38" x14ac:dyDescent="0.2">
      <c r="F84" t="str">
        <f t="shared" si="22"/>
        <v/>
      </c>
      <c r="L84" s="7" t="str">
        <f t="shared" si="23"/>
        <v/>
      </c>
      <c r="N84" s="7" t="str">
        <f t="shared" si="24"/>
        <v/>
      </c>
      <c r="O84" t="str">
        <f t="shared" si="25"/>
        <v/>
      </c>
      <c r="P84" t="str">
        <f t="shared" si="27"/>
        <v/>
      </c>
      <c r="Q84" t="str">
        <f t="shared" si="26"/>
        <v/>
      </c>
      <c r="S84" t="str">
        <f>""</f>
        <v/>
      </c>
      <c r="AL84" s="18" t="str">
        <f>IF(COUNTIF($A$2:A83, A83) = 1, A83, "")</f>
        <v/>
      </c>
    </row>
    <row r="85" spans="6:38" x14ac:dyDescent="0.2">
      <c r="F85" t="str">
        <f t="shared" si="22"/>
        <v/>
      </c>
      <c r="L85" s="7" t="str">
        <f t="shared" si="23"/>
        <v/>
      </c>
      <c r="N85" s="7" t="str">
        <f t="shared" si="24"/>
        <v/>
      </c>
      <c r="O85" t="str">
        <f t="shared" si="25"/>
        <v/>
      </c>
      <c r="P85" t="str">
        <f t="shared" si="27"/>
        <v/>
      </c>
      <c r="Q85" t="str">
        <f t="shared" si="26"/>
        <v/>
      </c>
      <c r="S85" t="str">
        <f>""</f>
        <v/>
      </c>
      <c r="AL85" s="18" t="str">
        <f>IF(COUNTIF($A$2:A84, A84) = 1, A84, "")</f>
        <v/>
      </c>
    </row>
    <row r="86" spans="6:38" x14ac:dyDescent="0.2">
      <c r="F86" t="str">
        <f t="shared" si="22"/>
        <v/>
      </c>
      <c r="L86" s="7" t="str">
        <f t="shared" si="23"/>
        <v/>
      </c>
      <c r="N86" s="7" t="str">
        <f t="shared" si="24"/>
        <v/>
      </c>
      <c r="O86" t="str">
        <f t="shared" si="25"/>
        <v/>
      </c>
      <c r="P86" t="str">
        <f t="shared" si="27"/>
        <v/>
      </c>
      <c r="Q86" t="str">
        <f t="shared" si="26"/>
        <v/>
      </c>
      <c r="S86" t="str">
        <f>""</f>
        <v/>
      </c>
      <c r="AL86" s="18" t="str">
        <f>IF(COUNTIF($A$2:A85, A85) = 1, A85, "")</f>
        <v/>
      </c>
    </row>
    <row r="87" spans="6:38" x14ac:dyDescent="0.2">
      <c r="F87" t="str">
        <f t="shared" si="22"/>
        <v/>
      </c>
      <c r="L87" s="7" t="str">
        <f t="shared" si="23"/>
        <v/>
      </c>
      <c r="N87" s="7" t="str">
        <f t="shared" si="24"/>
        <v/>
      </c>
      <c r="O87" t="str">
        <f t="shared" si="25"/>
        <v/>
      </c>
      <c r="P87" t="str">
        <f t="shared" si="27"/>
        <v/>
      </c>
      <c r="Q87" t="str">
        <f t="shared" si="26"/>
        <v/>
      </c>
      <c r="S87" t="str">
        <f>""</f>
        <v/>
      </c>
      <c r="AL87" s="18" t="str">
        <f>IF(COUNTIF($A$2:A86, A86) = 1, A86, "")</f>
        <v/>
      </c>
    </row>
    <row r="88" spans="6:38" x14ac:dyDescent="0.2">
      <c r="F88" t="str">
        <f t="shared" si="22"/>
        <v/>
      </c>
      <c r="L88" s="7" t="str">
        <f t="shared" si="23"/>
        <v/>
      </c>
      <c r="N88" s="7" t="str">
        <f t="shared" si="24"/>
        <v/>
      </c>
      <c r="O88" t="str">
        <f t="shared" si="25"/>
        <v/>
      </c>
      <c r="P88" t="str">
        <f t="shared" si="27"/>
        <v/>
      </c>
      <c r="Q88" t="str">
        <f t="shared" si="26"/>
        <v/>
      </c>
      <c r="S88" t="str">
        <f>""</f>
        <v/>
      </c>
      <c r="AL88" s="18" t="str">
        <f>IF(COUNTIF($A$2:A87, A87) = 1, A87, "")</f>
        <v/>
      </c>
    </row>
    <row r="89" spans="6:38" x14ac:dyDescent="0.2">
      <c r="F89" t="str">
        <f t="shared" si="22"/>
        <v/>
      </c>
      <c r="L89" s="7" t="str">
        <f t="shared" si="23"/>
        <v/>
      </c>
      <c r="N89" s="7" t="str">
        <f t="shared" si="24"/>
        <v/>
      </c>
      <c r="O89" t="str">
        <f t="shared" si="25"/>
        <v/>
      </c>
      <c r="P89" t="str">
        <f t="shared" si="27"/>
        <v/>
      </c>
      <c r="Q89" t="str">
        <f t="shared" si="26"/>
        <v/>
      </c>
      <c r="S89" t="str">
        <f>""</f>
        <v/>
      </c>
      <c r="AL89" s="18" t="str">
        <f>IF(COUNTIF($A$2:A88, A88) = 1, A88, "")</f>
        <v/>
      </c>
    </row>
    <row r="90" spans="6:38" x14ac:dyDescent="0.2">
      <c r="F90" t="str">
        <f t="shared" si="22"/>
        <v/>
      </c>
      <c r="L90" s="7" t="str">
        <f t="shared" si="23"/>
        <v/>
      </c>
      <c r="N90" s="7" t="str">
        <f t="shared" si="24"/>
        <v/>
      </c>
      <c r="O90" t="str">
        <f t="shared" si="25"/>
        <v/>
      </c>
      <c r="P90" t="str">
        <f t="shared" si="27"/>
        <v/>
      </c>
      <c r="Q90" t="str">
        <f t="shared" si="26"/>
        <v/>
      </c>
      <c r="S90" t="str">
        <f>""</f>
        <v/>
      </c>
      <c r="AL90" s="18" t="str">
        <f>IF(COUNTIF($A$2:A89, A89) = 1, A89, "")</f>
        <v/>
      </c>
    </row>
    <row r="91" spans="6:38" x14ac:dyDescent="0.2">
      <c r="F91" t="str">
        <f t="shared" si="22"/>
        <v/>
      </c>
      <c r="L91" s="7" t="str">
        <f t="shared" si="23"/>
        <v/>
      </c>
      <c r="N91" s="7" t="str">
        <f t="shared" si="24"/>
        <v/>
      </c>
      <c r="O91" t="str">
        <f t="shared" si="25"/>
        <v/>
      </c>
      <c r="P91" t="str">
        <f t="shared" si="27"/>
        <v/>
      </c>
      <c r="Q91" t="str">
        <f t="shared" si="26"/>
        <v/>
      </c>
      <c r="S91" t="str">
        <f>""</f>
        <v/>
      </c>
      <c r="AL91" s="18" t="str">
        <f>IF(COUNTIF($A$2:A90, A90) = 1, A90, "")</f>
        <v/>
      </c>
    </row>
    <row r="92" spans="6:38" x14ac:dyDescent="0.2">
      <c r="F92" t="str">
        <f t="shared" si="22"/>
        <v/>
      </c>
      <c r="L92" s="7" t="str">
        <f t="shared" si="23"/>
        <v/>
      </c>
      <c r="N92" s="7" t="str">
        <f t="shared" si="24"/>
        <v/>
      </c>
      <c r="O92" t="str">
        <f t="shared" si="25"/>
        <v/>
      </c>
      <c r="P92" t="str">
        <f t="shared" si="27"/>
        <v/>
      </c>
      <c r="Q92" t="str">
        <f t="shared" si="26"/>
        <v/>
      </c>
      <c r="S92" t="str">
        <f>""</f>
        <v/>
      </c>
      <c r="AL92" s="18" t="str">
        <f>IF(COUNTIF($A$2:A91, A91) = 1, A91, "")</f>
        <v/>
      </c>
    </row>
    <row r="93" spans="6:38" x14ac:dyDescent="0.2">
      <c r="F93" t="str">
        <f t="shared" si="22"/>
        <v/>
      </c>
      <c r="L93" s="7" t="str">
        <f t="shared" si="23"/>
        <v/>
      </c>
      <c r="N93" s="7" t="str">
        <f t="shared" si="24"/>
        <v/>
      </c>
      <c r="O93" t="str">
        <f t="shared" si="25"/>
        <v/>
      </c>
      <c r="P93" t="str">
        <f t="shared" si="27"/>
        <v/>
      </c>
      <c r="Q93" t="str">
        <f t="shared" si="26"/>
        <v/>
      </c>
      <c r="S93" t="str">
        <f>""</f>
        <v/>
      </c>
      <c r="AL93" s="18" t="str">
        <f>IF(COUNTIF($A$2:A92, A92) = 1, A92, "")</f>
        <v/>
      </c>
    </row>
    <row r="94" spans="6:38" x14ac:dyDescent="0.2">
      <c r="F94" t="str">
        <f t="shared" si="22"/>
        <v/>
      </c>
      <c r="L94" s="7" t="str">
        <f t="shared" si="23"/>
        <v/>
      </c>
      <c r="N94" s="7" t="str">
        <f t="shared" si="24"/>
        <v/>
      </c>
      <c r="O94" t="str">
        <f t="shared" si="25"/>
        <v/>
      </c>
      <c r="P94" t="str">
        <f t="shared" si="27"/>
        <v/>
      </c>
      <c r="Q94" t="str">
        <f t="shared" si="26"/>
        <v/>
      </c>
      <c r="S94" t="str">
        <f>""</f>
        <v/>
      </c>
      <c r="AL94" s="18" t="str">
        <f>IF(COUNTIF($A$2:A93, A93) = 1, A93, "")</f>
        <v/>
      </c>
    </row>
    <row r="95" spans="6:38" x14ac:dyDescent="0.2">
      <c r="F95" t="str">
        <f t="shared" si="22"/>
        <v/>
      </c>
      <c r="L95" s="7" t="str">
        <f t="shared" si="23"/>
        <v/>
      </c>
      <c r="N95" s="7" t="str">
        <f t="shared" si="24"/>
        <v/>
      </c>
      <c r="O95" t="str">
        <f t="shared" si="25"/>
        <v/>
      </c>
      <c r="P95" t="str">
        <f t="shared" si="27"/>
        <v/>
      </c>
      <c r="Q95" t="str">
        <f t="shared" si="26"/>
        <v/>
      </c>
      <c r="S95" t="str">
        <f>""</f>
        <v/>
      </c>
      <c r="AL95" s="18" t="str">
        <f>IF(COUNTIF($A$2:A94, A94) = 1, A94, "")</f>
        <v/>
      </c>
    </row>
    <row r="96" spans="6:38" x14ac:dyDescent="0.2">
      <c r="F96" t="str">
        <f t="shared" si="22"/>
        <v/>
      </c>
      <c r="L96" s="7" t="str">
        <f t="shared" si="23"/>
        <v/>
      </c>
      <c r="N96" s="7" t="str">
        <f t="shared" si="24"/>
        <v/>
      </c>
      <c r="O96" t="str">
        <f t="shared" si="25"/>
        <v/>
      </c>
      <c r="P96" t="str">
        <f t="shared" si="27"/>
        <v/>
      </c>
      <c r="Q96" t="str">
        <f t="shared" si="26"/>
        <v/>
      </c>
      <c r="S96" t="str">
        <f>""</f>
        <v/>
      </c>
      <c r="AL96" s="18" t="str">
        <f>IF(COUNTIF($A$2:A95, A95) = 1, A95, "")</f>
        <v/>
      </c>
    </row>
    <row r="97" spans="6:38" x14ac:dyDescent="0.2">
      <c r="F97" t="str">
        <f t="shared" si="22"/>
        <v/>
      </c>
      <c r="L97" s="7" t="str">
        <f t="shared" si="23"/>
        <v/>
      </c>
      <c r="N97" s="7" t="str">
        <f t="shared" si="24"/>
        <v/>
      </c>
      <c r="O97" t="str">
        <f t="shared" si="25"/>
        <v/>
      </c>
      <c r="P97" t="str">
        <f t="shared" si="27"/>
        <v/>
      </c>
      <c r="Q97" t="str">
        <f t="shared" si="26"/>
        <v/>
      </c>
      <c r="S97" t="str">
        <f>""</f>
        <v/>
      </c>
      <c r="AL97" s="18" t="str">
        <f>IF(COUNTIF($A$2:A96, A96) = 1, A96, "")</f>
        <v/>
      </c>
    </row>
    <row r="98" spans="6:38" x14ac:dyDescent="0.2">
      <c r="F98" t="str">
        <f t="shared" si="22"/>
        <v/>
      </c>
      <c r="L98" s="7" t="str">
        <f t="shared" si="23"/>
        <v/>
      </c>
      <c r="N98" s="7" t="str">
        <f t="shared" si="24"/>
        <v/>
      </c>
      <c r="O98" t="str">
        <f t="shared" si="25"/>
        <v/>
      </c>
      <c r="P98" t="str">
        <f t="shared" si="27"/>
        <v/>
      </c>
      <c r="Q98" t="str">
        <f t="shared" si="26"/>
        <v/>
      </c>
      <c r="S98" t="str">
        <f>""</f>
        <v/>
      </c>
      <c r="AL98" s="18" t="str">
        <f>IF(COUNTIF($A$2:A97, A97) = 1, A97, "")</f>
        <v/>
      </c>
    </row>
    <row r="99" spans="6:38" x14ac:dyDescent="0.2">
      <c r="F99" t="str">
        <f t="shared" si="22"/>
        <v/>
      </c>
      <c r="L99" s="7" t="str">
        <f t="shared" si="23"/>
        <v/>
      </c>
      <c r="N99" s="7" t="str">
        <f t="shared" si="24"/>
        <v/>
      </c>
      <c r="O99" t="str">
        <f t="shared" si="25"/>
        <v/>
      </c>
      <c r="P99" t="str">
        <f t="shared" si="27"/>
        <v/>
      </c>
      <c r="Q99" t="str">
        <f t="shared" si="26"/>
        <v/>
      </c>
      <c r="S99" t="str">
        <f>""</f>
        <v/>
      </c>
      <c r="AL99" s="18" t="str">
        <f>IF(COUNTIF($A$2:A98, A98) = 1, A98, "")</f>
        <v/>
      </c>
    </row>
    <row r="100" spans="6:38" x14ac:dyDescent="0.2">
      <c r="F100" t="str">
        <f t="shared" si="22"/>
        <v/>
      </c>
      <c r="L100" s="7" t="str">
        <f t="shared" si="23"/>
        <v/>
      </c>
      <c r="N100" s="7" t="str">
        <f t="shared" si="24"/>
        <v/>
      </c>
      <c r="O100" t="str">
        <f t="shared" si="25"/>
        <v/>
      </c>
      <c r="P100" t="str">
        <f t="shared" si="27"/>
        <v/>
      </c>
      <c r="Q100" t="str">
        <f t="shared" si="26"/>
        <v/>
      </c>
      <c r="S100" t="str">
        <f>""</f>
        <v/>
      </c>
      <c r="AL100" s="18" t="str">
        <f>IF(COUNTIF($A$2:A99, A99) = 1, A99, "")</f>
        <v/>
      </c>
    </row>
    <row r="101" spans="6:38" x14ac:dyDescent="0.2">
      <c r="F101" t="str">
        <f t="shared" si="22"/>
        <v/>
      </c>
      <c r="L101" s="7" t="str">
        <f t="shared" si="23"/>
        <v/>
      </c>
      <c r="N101" s="7" t="str">
        <f t="shared" si="24"/>
        <v/>
      </c>
      <c r="O101" t="str">
        <f t="shared" si="25"/>
        <v/>
      </c>
      <c r="P101" t="str">
        <f t="shared" si="27"/>
        <v/>
      </c>
      <c r="Q101" t="str">
        <f t="shared" si="26"/>
        <v/>
      </c>
      <c r="S101" t="str">
        <f>""</f>
        <v/>
      </c>
      <c r="AL101" s="18" t="str">
        <f>IF(COUNTIF($A$2:A100, A100) = 1, A100, "")</f>
        <v/>
      </c>
    </row>
    <row r="102" spans="6:38" x14ac:dyDescent="0.2">
      <c r="F102" t="str">
        <f t="shared" si="22"/>
        <v/>
      </c>
      <c r="L102" s="7" t="str">
        <f t="shared" si="23"/>
        <v/>
      </c>
      <c r="N102" s="7" t="str">
        <f t="shared" si="24"/>
        <v/>
      </c>
      <c r="O102" t="str">
        <f t="shared" si="25"/>
        <v/>
      </c>
      <c r="P102" t="str">
        <f t="shared" si="27"/>
        <v/>
      </c>
      <c r="Q102" t="str">
        <f t="shared" si="26"/>
        <v/>
      </c>
      <c r="S102" t="str">
        <f>""</f>
        <v/>
      </c>
      <c r="AL102" s="18" t="str">
        <f>IF(COUNTIF($A$2:A101, A101) = 1, A101, "")</f>
        <v/>
      </c>
    </row>
    <row r="103" spans="6:38" x14ac:dyDescent="0.2">
      <c r="F103" t="str">
        <f t="shared" si="22"/>
        <v/>
      </c>
      <c r="L103" s="7" t="str">
        <f t="shared" si="23"/>
        <v/>
      </c>
      <c r="N103" s="7" t="str">
        <f t="shared" si="24"/>
        <v/>
      </c>
      <c r="O103" t="str">
        <f t="shared" si="25"/>
        <v/>
      </c>
      <c r="P103" t="str">
        <f t="shared" si="27"/>
        <v/>
      </c>
      <c r="Q103" t="str">
        <f t="shared" si="26"/>
        <v/>
      </c>
      <c r="S103" t="str">
        <f>""</f>
        <v/>
      </c>
      <c r="AL103" s="18" t="str">
        <f>IF(COUNTIF($A$2:A102, A102) = 1, A102, "")</f>
        <v/>
      </c>
    </row>
    <row r="104" spans="6:38" x14ac:dyDescent="0.2">
      <c r="F104" t="str">
        <f t="shared" si="22"/>
        <v/>
      </c>
      <c r="L104" s="7" t="str">
        <f t="shared" si="23"/>
        <v/>
      </c>
      <c r="N104" s="7" t="str">
        <f t="shared" si="24"/>
        <v/>
      </c>
      <c r="O104" t="str">
        <f t="shared" si="25"/>
        <v/>
      </c>
      <c r="P104" t="str">
        <f t="shared" si="27"/>
        <v/>
      </c>
      <c r="Q104" t="str">
        <f t="shared" si="26"/>
        <v/>
      </c>
      <c r="S104" t="str">
        <f>""</f>
        <v/>
      </c>
      <c r="AL104" s="18" t="str">
        <f>IF(COUNTIF($A$2:A103, A103) = 1, A103, "")</f>
        <v/>
      </c>
    </row>
    <row r="105" spans="6:38" x14ac:dyDescent="0.2">
      <c r="F105" t="str">
        <f t="shared" si="22"/>
        <v/>
      </c>
      <c r="L105" s="7" t="str">
        <f t="shared" si="23"/>
        <v/>
      </c>
      <c r="N105" s="7" t="str">
        <f t="shared" si="24"/>
        <v/>
      </c>
      <c r="O105" t="str">
        <f t="shared" si="25"/>
        <v/>
      </c>
      <c r="P105" t="str">
        <f t="shared" si="27"/>
        <v/>
      </c>
      <c r="Q105" t="str">
        <f t="shared" si="26"/>
        <v/>
      </c>
      <c r="S105" t="str">
        <f>""</f>
        <v/>
      </c>
      <c r="AL105" s="18" t="str">
        <f>IF(COUNTIF($A$2:A104, A104) = 1, A104, "")</f>
        <v/>
      </c>
    </row>
    <row r="106" spans="6:38" x14ac:dyDescent="0.2">
      <c r="F106" t="str">
        <f t="shared" si="22"/>
        <v/>
      </c>
      <c r="L106" s="7" t="str">
        <f t="shared" si="23"/>
        <v/>
      </c>
      <c r="N106" s="7" t="str">
        <f t="shared" si="24"/>
        <v/>
      </c>
      <c r="O106" t="str">
        <f t="shared" si="25"/>
        <v/>
      </c>
      <c r="P106" t="str">
        <f t="shared" si="27"/>
        <v/>
      </c>
      <c r="Q106" t="str">
        <f t="shared" si="26"/>
        <v/>
      </c>
      <c r="S106" t="str">
        <f>""</f>
        <v/>
      </c>
      <c r="AL106" s="18" t="str">
        <f>IF(COUNTIF($A$2:A105, A105) = 1, A105, "")</f>
        <v/>
      </c>
    </row>
    <row r="107" spans="6:38" x14ac:dyDescent="0.2">
      <c r="F107" t="str">
        <f t="shared" si="22"/>
        <v/>
      </c>
      <c r="L107" s="7" t="str">
        <f t="shared" si="23"/>
        <v/>
      </c>
      <c r="N107" s="7" t="str">
        <f t="shared" si="24"/>
        <v/>
      </c>
      <c r="O107" t="str">
        <f t="shared" si="25"/>
        <v/>
      </c>
      <c r="P107" t="str">
        <f t="shared" si="27"/>
        <v/>
      </c>
      <c r="Q107" t="str">
        <f t="shared" si="26"/>
        <v/>
      </c>
      <c r="S107" t="str">
        <f>""</f>
        <v/>
      </c>
      <c r="AL107" s="18" t="str">
        <f>IF(COUNTIF($A$2:A106, A106) = 1, A106, "")</f>
        <v/>
      </c>
    </row>
    <row r="108" spans="6:38" x14ac:dyDescent="0.2">
      <c r="F108" t="str">
        <f t="shared" si="22"/>
        <v/>
      </c>
      <c r="L108" s="7" t="str">
        <f t="shared" si="23"/>
        <v/>
      </c>
      <c r="N108" s="7" t="str">
        <f t="shared" si="24"/>
        <v/>
      </c>
      <c r="O108" t="str">
        <f t="shared" si="25"/>
        <v/>
      </c>
      <c r="P108" t="str">
        <f t="shared" si="27"/>
        <v/>
      </c>
      <c r="Q108" t="str">
        <f t="shared" si="26"/>
        <v/>
      </c>
      <c r="S108" t="str">
        <f>""</f>
        <v/>
      </c>
      <c r="AL108" s="18" t="str">
        <f>IF(COUNTIF($A$2:A107, A107) = 1, A107, "")</f>
        <v/>
      </c>
    </row>
    <row r="109" spans="6:38" x14ac:dyDescent="0.2">
      <c r="F109" t="str">
        <f t="shared" si="22"/>
        <v/>
      </c>
      <c r="L109" s="7" t="str">
        <f t="shared" si="23"/>
        <v/>
      </c>
      <c r="N109" s="7" t="str">
        <f t="shared" si="24"/>
        <v/>
      </c>
      <c r="O109" t="str">
        <f t="shared" si="25"/>
        <v/>
      </c>
      <c r="P109" t="str">
        <f t="shared" si="27"/>
        <v/>
      </c>
      <c r="Q109" t="str">
        <f t="shared" si="26"/>
        <v/>
      </c>
      <c r="S109" t="str">
        <f>""</f>
        <v/>
      </c>
      <c r="AL109" s="18" t="str">
        <f>IF(COUNTIF($A$2:A108, A108) = 1, A108, "")</f>
        <v/>
      </c>
    </row>
    <row r="110" spans="6:38" x14ac:dyDescent="0.2">
      <c r="F110" t="str">
        <f t="shared" si="22"/>
        <v/>
      </c>
      <c r="L110" s="7" t="str">
        <f t="shared" si="23"/>
        <v/>
      </c>
      <c r="N110" s="7" t="str">
        <f t="shared" si="24"/>
        <v/>
      </c>
      <c r="O110" t="str">
        <f t="shared" si="25"/>
        <v/>
      </c>
      <c r="P110" t="str">
        <f t="shared" si="27"/>
        <v/>
      </c>
      <c r="Q110" t="str">
        <f t="shared" si="26"/>
        <v/>
      </c>
      <c r="S110" t="str">
        <f>""</f>
        <v/>
      </c>
      <c r="AL110" s="18" t="str">
        <f>IF(COUNTIF($A$2:A109, A109) = 1, A109, "")</f>
        <v/>
      </c>
    </row>
    <row r="111" spans="6:38" x14ac:dyDescent="0.2">
      <c r="F111" t="str">
        <f t="shared" si="22"/>
        <v/>
      </c>
      <c r="L111" s="7" t="str">
        <f t="shared" si="23"/>
        <v/>
      </c>
      <c r="N111" s="7" t="str">
        <f t="shared" si="24"/>
        <v/>
      </c>
      <c r="O111" t="str">
        <f t="shared" si="25"/>
        <v/>
      </c>
      <c r="P111" t="str">
        <f t="shared" si="27"/>
        <v/>
      </c>
      <c r="Q111" t="str">
        <f t="shared" si="26"/>
        <v/>
      </c>
      <c r="S111" t="str">
        <f>""</f>
        <v/>
      </c>
      <c r="AL111" s="18" t="str">
        <f>IF(COUNTIF($A$2:A110, A110) = 1, A110, "")</f>
        <v/>
      </c>
    </row>
    <row r="112" spans="6:38" x14ac:dyDescent="0.2">
      <c r="F112" t="str">
        <f t="shared" si="22"/>
        <v/>
      </c>
      <c r="L112" s="7" t="str">
        <f t="shared" si="23"/>
        <v/>
      </c>
      <c r="N112" s="7" t="str">
        <f t="shared" si="24"/>
        <v/>
      </c>
      <c r="O112" t="str">
        <f t="shared" si="25"/>
        <v/>
      </c>
      <c r="P112" t="str">
        <f t="shared" si="27"/>
        <v/>
      </c>
      <c r="Q112" t="str">
        <f t="shared" si="26"/>
        <v/>
      </c>
      <c r="S112" t="str">
        <f>""</f>
        <v/>
      </c>
      <c r="AL112" s="18" t="str">
        <f>IF(COUNTIF($A$2:A111, A111) = 1, A111, "")</f>
        <v/>
      </c>
    </row>
    <row r="113" spans="6:38" x14ac:dyDescent="0.2">
      <c r="F113" t="str">
        <f t="shared" si="22"/>
        <v/>
      </c>
      <c r="L113" s="7" t="str">
        <f t="shared" si="23"/>
        <v/>
      </c>
      <c r="N113" s="7" t="str">
        <f t="shared" si="24"/>
        <v/>
      </c>
      <c r="O113" t="str">
        <f t="shared" si="25"/>
        <v/>
      </c>
      <c r="P113" t="str">
        <f t="shared" si="27"/>
        <v/>
      </c>
      <c r="Q113" t="str">
        <f t="shared" si="26"/>
        <v/>
      </c>
      <c r="S113" t="str">
        <f>""</f>
        <v/>
      </c>
      <c r="AL113" s="18" t="str">
        <f>IF(COUNTIF($A$2:A112, A112) = 1, A112, "")</f>
        <v/>
      </c>
    </row>
    <row r="114" spans="6:38" x14ac:dyDescent="0.2">
      <c r="F114" t="str">
        <f t="shared" si="22"/>
        <v/>
      </c>
      <c r="L114" s="7" t="str">
        <f t="shared" si="23"/>
        <v/>
      </c>
      <c r="N114" s="7" t="str">
        <f t="shared" si="24"/>
        <v/>
      </c>
      <c r="O114" t="str">
        <f t="shared" si="25"/>
        <v/>
      </c>
      <c r="P114" t="str">
        <f t="shared" si="27"/>
        <v/>
      </c>
      <c r="Q114" t="str">
        <f t="shared" si="26"/>
        <v/>
      </c>
      <c r="S114" t="str">
        <f>""</f>
        <v/>
      </c>
      <c r="AL114" s="18" t="str">
        <f>IF(COUNTIF($A$2:A113, A113) = 1, A113, "")</f>
        <v/>
      </c>
    </row>
    <row r="115" spans="6:38" x14ac:dyDescent="0.2">
      <c r="F115" t="str">
        <f t="shared" si="22"/>
        <v/>
      </c>
      <c r="L115" s="7" t="str">
        <f t="shared" si="23"/>
        <v/>
      </c>
      <c r="N115" s="7" t="str">
        <f t="shared" si="24"/>
        <v/>
      </c>
      <c r="O115" t="str">
        <f t="shared" si="25"/>
        <v/>
      </c>
      <c r="P115" t="str">
        <f t="shared" si="27"/>
        <v/>
      </c>
      <c r="Q115" t="str">
        <f t="shared" si="26"/>
        <v/>
      </c>
      <c r="S115" t="str">
        <f>""</f>
        <v/>
      </c>
      <c r="AL115" s="18" t="str">
        <f>IF(COUNTIF($A$2:A114, A114) = 1, A114, "")</f>
        <v/>
      </c>
    </row>
    <row r="116" spans="6:38" x14ac:dyDescent="0.2">
      <c r="F116" t="str">
        <f t="shared" si="22"/>
        <v/>
      </c>
      <c r="L116" s="7" t="str">
        <f t="shared" si="23"/>
        <v/>
      </c>
      <c r="N116" s="7" t="str">
        <f t="shared" si="24"/>
        <v/>
      </c>
      <c r="O116" t="str">
        <f t="shared" si="25"/>
        <v/>
      </c>
      <c r="P116" t="str">
        <f t="shared" si="27"/>
        <v/>
      </c>
      <c r="Q116" t="str">
        <f t="shared" si="26"/>
        <v/>
      </c>
      <c r="S116" t="str">
        <f>""</f>
        <v/>
      </c>
      <c r="AL116" s="18" t="str">
        <f>IF(COUNTIF($A$2:A115, A115) = 1, A115, "")</f>
        <v/>
      </c>
    </row>
    <row r="117" spans="6:38" x14ac:dyDescent="0.2">
      <c r="F117" t="str">
        <f t="shared" si="22"/>
        <v/>
      </c>
      <c r="L117" s="7" t="str">
        <f t="shared" si="23"/>
        <v/>
      </c>
      <c r="N117" s="7" t="str">
        <f t="shared" si="24"/>
        <v/>
      </c>
      <c r="O117" t="str">
        <f t="shared" si="25"/>
        <v/>
      </c>
      <c r="P117" t="str">
        <f t="shared" si="27"/>
        <v/>
      </c>
      <c r="Q117" t="str">
        <f t="shared" si="26"/>
        <v/>
      </c>
      <c r="S117" t="str">
        <f>""</f>
        <v/>
      </c>
      <c r="AL117" s="18" t="str">
        <f>IF(COUNTIF($A$2:A116, A116) = 1, A116, "")</f>
        <v/>
      </c>
    </row>
    <row r="118" spans="6:38" x14ac:dyDescent="0.2">
      <c r="F118" t="str">
        <f t="shared" si="22"/>
        <v/>
      </c>
      <c r="L118" s="7" t="str">
        <f t="shared" si="23"/>
        <v/>
      </c>
      <c r="N118" s="7" t="str">
        <f t="shared" si="24"/>
        <v/>
      </c>
      <c r="O118" t="str">
        <f t="shared" si="25"/>
        <v/>
      </c>
      <c r="P118" t="str">
        <f t="shared" si="27"/>
        <v/>
      </c>
      <c r="Q118" t="str">
        <f t="shared" si="26"/>
        <v/>
      </c>
      <c r="S118" t="str">
        <f>""</f>
        <v/>
      </c>
      <c r="AL118" s="18" t="str">
        <f>IF(COUNTIF($A$2:A117, A117) = 1, A117, "")</f>
        <v/>
      </c>
    </row>
    <row r="119" spans="6:38" x14ac:dyDescent="0.2">
      <c r="F119" t="str">
        <f t="shared" si="22"/>
        <v/>
      </c>
      <c r="L119" s="7" t="str">
        <f t="shared" si="23"/>
        <v/>
      </c>
      <c r="N119" s="7" t="str">
        <f t="shared" si="24"/>
        <v/>
      </c>
      <c r="O119" t="str">
        <f t="shared" si="25"/>
        <v/>
      </c>
      <c r="P119" t="str">
        <f t="shared" si="27"/>
        <v/>
      </c>
      <c r="Q119" t="str">
        <f t="shared" si="26"/>
        <v/>
      </c>
      <c r="S119" t="str">
        <f>""</f>
        <v/>
      </c>
      <c r="AL119" s="18" t="str">
        <f>IF(COUNTIF($A$2:A118, A118) = 1, A118, "")</f>
        <v/>
      </c>
    </row>
    <row r="120" spans="6:38" x14ac:dyDescent="0.2">
      <c r="F120" t="str">
        <f t="shared" si="22"/>
        <v/>
      </c>
      <c r="L120" s="7" t="str">
        <f t="shared" si="23"/>
        <v/>
      </c>
      <c r="N120" s="7" t="str">
        <f t="shared" si="24"/>
        <v/>
      </c>
      <c r="O120" t="str">
        <f t="shared" si="25"/>
        <v/>
      </c>
      <c r="P120" t="str">
        <f t="shared" si="27"/>
        <v/>
      </c>
      <c r="Q120" t="str">
        <f t="shared" si="26"/>
        <v/>
      </c>
      <c r="S120" t="str">
        <f>""</f>
        <v/>
      </c>
      <c r="AL120" s="18" t="str">
        <f>IF(COUNTIF($A$2:A119, A119) = 1, A119, "")</f>
        <v/>
      </c>
    </row>
    <row r="121" spans="6:38" x14ac:dyDescent="0.2">
      <c r="F121" t="str">
        <f t="shared" si="22"/>
        <v/>
      </c>
      <c r="L121" s="7" t="str">
        <f t="shared" si="23"/>
        <v/>
      </c>
      <c r="N121" s="7" t="str">
        <f t="shared" si="24"/>
        <v/>
      </c>
      <c r="O121" t="str">
        <f t="shared" si="25"/>
        <v/>
      </c>
      <c r="P121" t="str">
        <f t="shared" si="27"/>
        <v/>
      </c>
      <c r="Q121" t="str">
        <f t="shared" si="26"/>
        <v/>
      </c>
      <c r="S121" t="str">
        <f>""</f>
        <v/>
      </c>
      <c r="AL121" s="18" t="str">
        <f>IF(COUNTIF($A$2:A120, A120) = 1, A120, "")</f>
        <v/>
      </c>
    </row>
    <row r="122" spans="6:38" x14ac:dyDescent="0.2">
      <c r="F122" t="str">
        <f t="shared" si="22"/>
        <v/>
      </c>
      <c r="L122" s="7" t="str">
        <f t="shared" si="23"/>
        <v/>
      </c>
      <c r="N122" s="7" t="str">
        <f t="shared" si="24"/>
        <v/>
      </c>
      <c r="O122" t="str">
        <f t="shared" si="25"/>
        <v/>
      </c>
      <c r="P122" t="str">
        <f t="shared" si="27"/>
        <v/>
      </c>
      <c r="Q122" t="str">
        <f t="shared" si="26"/>
        <v/>
      </c>
      <c r="S122" t="str">
        <f>""</f>
        <v/>
      </c>
      <c r="AL122" s="18" t="str">
        <f>IF(COUNTIF($A$2:A121, A121) = 1, A121, "")</f>
        <v/>
      </c>
    </row>
    <row r="123" spans="6:38" x14ac:dyDescent="0.2">
      <c r="F123" t="str">
        <f t="shared" si="22"/>
        <v/>
      </c>
      <c r="L123" s="7" t="str">
        <f t="shared" si="23"/>
        <v/>
      </c>
      <c r="N123" s="7" t="str">
        <f t="shared" si="24"/>
        <v/>
      </c>
      <c r="O123" t="str">
        <f t="shared" si="25"/>
        <v/>
      </c>
      <c r="P123" t="str">
        <f t="shared" si="27"/>
        <v/>
      </c>
      <c r="Q123" t="str">
        <f t="shared" si="26"/>
        <v/>
      </c>
      <c r="S123" t="str">
        <f>""</f>
        <v/>
      </c>
      <c r="AL123" s="18" t="str">
        <f>IF(COUNTIF($A$2:A122, A122) = 1, A122, "")</f>
        <v/>
      </c>
    </row>
    <row r="124" spans="6:38" x14ac:dyDescent="0.2">
      <c r="F124" t="str">
        <f t="shared" si="22"/>
        <v/>
      </c>
      <c r="L124" s="7" t="str">
        <f t="shared" si="23"/>
        <v/>
      </c>
      <c r="N124" s="7" t="str">
        <f t="shared" si="24"/>
        <v/>
      </c>
      <c r="O124" t="str">
        <f t="shared" si="25"/>
        <v/>
      </c>
      <c r="P124" t="str">
        <f t="shared" si="27"/>
        <v/>
      </c>
      <c r="Q124" t="str">
        <f t="shared" si="26"/>
        <v/>
      </c>
      <c r="S124" t="str">
        <f>""</f>
        <v/>
      </c>
      <c r="AL124" s="18" t="str">
        <f>IF(COUNTIF($A$2:A123, A123) = 1, A123, "")</f>
        <v/>
      </c>
    </row>
    <row r="125" spans="6:38" x14ac:dyDescent="0.2">
      <c r="F125" t="str">
        <f t="shared" si="22"/>
        <v/>
      </c>
      <c r="L125" s="7" t="str">
        <f t="shared" si="23"/>
        <v/>
      </c>
      <c r="N125" s="7" t="str">
        <f t="shared" si="24"/>
        <v/>
      </c>
      <c r="O125" t="str">
        <f t="shared" si="25"/>
        <v/>
      </c>
      <c r="P125" t="str">
        <f t="shared" si="27"/>
        <v/>
      </c>
      <c r="Q125" t="str">
        <f t="shared" si="26"/>
        <v/>
      </c>
      <c r="S125" t="str">
        <f>""</f>
        <v/>
      </c>
      <c r="AL125" s="18" t="str">
        <f>IF(COUNTIF($A$2:A124, A124) = 1, A124, "")</f>
        <v/>
      </c>
    </row>
    <row r="126" spans="6:38" x14ac:dyDescent="0.2">
      <c r="F126" t="str">
        <f t="shared" si="22"/>
        <v/>
      </c>
      <c r="L126" s="7" t="str">
        <f t="shared" si="23"/>
        <v/>
      </c>
      <c r="N126" s="7" t="str">
        <f t="shared" si="24"/>
        <v/>
      </c>
      <c r="O126" t="str">
        <f t="shared" si="25"/>
        <v/>
      </c>
      <c r="P126" t="str">
        <f t="shared" si="27"/>
        <v/>
      </c>
      <c r="Q126" t="str">
        <f t="shared" si="26"/>
        <v/>
      </c>
      <c r="S126" t="str">
        <f>""</f>
        <v/>
      </c>
      <c r="AL126" s="18" t="str">
        <f>IF(COUNTIF($A$2:A125, A125) = 1, A125, "")</f>
        <v/>
      </c>
    </row>
    <row r="127" spans="6:38" x14ac:dyDescent="0.2">
      <c r="F127" t="str">
        <f t="shared" si="22"/>
        <v/>
      </c>
      <c r="L127" s="7" t="str">
        <f t="shared" si="23"/>
        <v/>
      </c>
      <c r="N127" s="7" t="str">
        <f t="shared" si="24"/>
        <v/>
      </c>
      <c r="O127" t="str">
        <f t="shared" si="25"/>
        <v/>
      </c>
      <c r="P127" t="str">
        <f t="shared" si="27"/>
        <v/>
      </c>
      <c r="Q127" t="str">
        <f t="shared" si="26"/>
        <v/>
      </c>
      <c r="S127" t="str">
        <f>""</f>
        <v/>
      </c>
      <c r="AL127" s="18" t="str">
        <f>IF(COUNTIF($A$2:A126, A126) = 1, A126, "")</f>
        <v/>
      </c>
    </row>
    <row r="128" spans="6:38" x14ac:dyDescent="0.2">
      <c r="F128" t="str">
        <f t="shared" si="22"/>
        <v/>
      </c>
      <c r="L128" s="7" t="str">
        <f t="shared" si="23"/>
        <v/>
      </c>
      <c r="N128" s="7" t="str">
        <f t="shared" si="24"/>
        <v/>
      </c>
      <c r="O128" t="str">
        <f t="shared" si="25"/>
        <v/>
      </c>
      <c r="P128" t="str">
        <f t="shared" si="27"/>
        <v/>
      </c>
      <c r="Q128" t="str">
        <f t="shared" si="26"/>
        <v/>
      </c>
      <c r="S128" t="str">
        <f>""</f>
        <v/>
      </c>
      <c r="AL128" s="18" t="str">
        <f>IF(COUNTIF($A$2:A127, A127) = 1, A127, "")</f>
        <v/>
      </c>
    </row>
    <row r="129" spans="6:38" x14ac:dyDescent="0.2">
      <c r="F129" t="str">
        <f t="shared" si="22"/>
        <v/>
      </c>
      <c r="L129" s="7" t="str">
        <f t="shared" si="23"/>
        <v/>
      </c>
      <c r="N129" s="7" t="str">
        <f t="shared" si="24"/>
        <v/>
      </c>
      <c r="O129" t="str">
        <f t="shared" si="25"/>
        <v/>
      </c>
      <c r="P129" t="str">
        <f t="shared" si="27"/>
        <v/>
      </c>
      <c r="Q129" t="str">
        <f t="shared" si="26"/>
        <v/>
      </c>
      <c r="S129" t="str">
        <f>""</f>
        <v/>
      </c>
      <c r="AL129" s="18" t="str">
        <f>IF(COUNTIF($A$2:A128, A128) = 1, A128, "")</f>
        <v/>
      </c>
    </row>
    <row r="130" spans="6:38" x14ac:dyDescent="0.2">
      <c r="F130" t="str">
        <f t="shared" ref="F130:F143" si="28">IF(OR(O130="", P130=""), "", SUM(IF((O130&lt;&gt;"None")*(O130&lt;&gt;""),LEN(O130)-LEN(SUBSTITUTE(O130,",",""))+1,0)) + SUM(IF((P130&lt;&gt;"None")*(P130&lt;&gt;""),LEN(P130)-LEN(SUBSTITUTE(P130,",",""))+1,0)))</f>
        <v/>
      </c>
      <c r="L130" s="7" t="str">
        <f t="shared" ref="L130:L143" si="29">IF(LEN(E130)=0, "", IFERROR(IF(E130&gt;=0, K130 * (1 + E130/100) - K130, K130 / (ABS(E130)/100))+K130, ""))</f>
        <v/>
      </c>
      <c r="N130" s="7" t="str">
        <f t="shared" ref="N130:N143" si="30">IF(M130="Yes",L130-K130,IF(M130="No",-K130,""))</f>
        <v/>
      </c>
      <c r="O130" t="str">
        <f t="shared" ref="O130:O143" si="31">IF(AND(G130="No",H130="No"), "None", "")</f>
        <v/>
      </c>
      <c r="P130" t="str">
        <f t="shared" si="27"/>
        <v/>
      </c>
      <c r="Q130" t="str">
        <f t="shared" ref="Q130:Q143" si="32">IF(AND(D130="Straight", M130 = "No"),IF(O130="None",P130,IF(P130="None",O130) ),"")</f>
        <v/>
      </c>
      <c r="S130" t="str">
        <f>""</f>
        <v/>
      </c>
      <c r="AL130" s="18" t="str">
        <f>IF(COUNTIF($A$2:A129, A129) = 1, A129, "")</f>
        <v/>
      </c>
    </row>
    <row r="131" spans="6:38" x14ac:dyDescent="0.2">
      <c r="F131" t="str">
        <f t="shared" si="28"/>
        <v/>
      </c>
      <c r="L131" s="7" t="str">
        <f t="shared" si="29"/>
        <v/>
      </c>
      <c r="N131" s="7" t="str">
        <f t="shared" si="30"/>
        <v/>
      </c>
      <c r="O131" t="str">
        <f t="shared" si="31"/>
        <v/>
      </c>
      <c r="P131" t="str">
        <f t="shared" si="27"/>
        <v/>
      </c>
      <c r="Q131" t="str">
        <f t="shared" si="32"/>
        <v/>
      </c>
      <c r="S131" t="str">
        <f>""</f>
        <v/>
      </c>
      <c r="AL131" s="18" t="str">
        <f>IF(COUNTIF($A$2:A130, A130) = 1, A130, "")</f>
        <v/>
      </c>
    </row>
    <row r="132" spans="6:38" x14ac:dyDescent="0.2">
      <c r="F132" t="str">
        <f t="shared" si="28"/>
        <v/>
      </c>
      <c r="L132" s="7" t="str">
        <f t="shared" si="29"/>
        <v/>
      </c>
      <c r="N132" s="7" t="str">
        <f t="shared" si="30"/>
        <v/>
      </c>
      <c r="O132" t="str">
        <f t="shared" si="31"/>
        <v/>
      </c>
      <c r="P132" t="str">
        <f t="shared" si="27"/>
        <v/>
      </c>
      <c r="Q132" t="str">
        <f t="shared" si="32"/>
        <v/>
      </c>
      <c r="S132" t="str">
        <f>""</f>
        <v/>
      </c>
      <c r="AL132" s="18" t="str">
        <f>IF(COUNTIF($A$2:A131, A131) = 1, A131, "")</f>
        <v/>
      </c>
    </row>
    <row r="133" spans="6:38" x14ac:dyDescent="0.2">
      <c r="F133" t="str">
        <f t="shared" si="28"/>
        <v/>
      </c>
      <c r="L133" s="7" t="str">
        <f t="shared" si="29"/>
        <v/>
      </c>
      <c r="N133" s="7" t="str">
        <f t="shared" si="30"/>
        <v/>
      </c>
      <c r="O133" t="str">
        <f t="shared" si="31"/>
        <v/>
      </c>
      <c r="P133" t="str">
        <f t="shared" si="27"/>
        <v/>
      </c>
      <c r="Q133" t="str">
        <f t="shared" si="32"/>
        <v/>
      </c>
      <c r="S133" t="str">
        <f>""</f>
        <v/>
      </c>
      <c r="AL133" s="18" t="str">
        <f>IF(COUNTIF($A$2:A132, A132) = 1, A132, "")</f>
        <v/>
      </c>
    </row>
    <row r="134" spans="6:38" x14ac:dyDescent="0.2">
      <c r="F134" t="str">
        <f t="shared" si="28"/>
        <v/>
      </c>
      <c r="L134" s="7" t="str">
        <f t="shared" si="29"/>
        <v/>
      </c>
      <c r="N134" s="7" t="str">
        <f t="shared" si="30"/>
        <v/>
      </c>
      <c r="O134" t="str">
        <f t="shared" si="31"/>
        <v/>
      </c>
      <c r="P134" t="str">
        <f t="shared" si="27"/>
        <v/>
      </c>
      <c r="Q134" t="str">
        <f t="shared" si="32"/>
        <v/>
      </c>
      <c r="S134" t="str">
        <f>""</f>
        <v/>
      </c>
      <c r="AL134" s="18" t="str">
        <f>IF(COUNTIF($A$2:A133, A133) = 1, A133, "")</f>
        <v/>
      </c>
    </row>
    <row r="135" spans="6:38" x14ac:dyDescent="0.2">
      <c r="F135" t="str">
        <f t="shared" si="28"/>
        <v/>
      </c>
      <c r="L135" s="7" t="str">
        <f t="shared" si="29"/>
        <v/>
      </c>
      <c r="N135" s="7" t="str">
        <f t="shared" si="30"/>
        <v/>
      </c>
      <c r="O135" t="str">
        <f t="shared" si="31"/>
        <v/>
      </c>
      <c r="P135" t="str">
        <f t="shared" si="27"/>
        <v/>
      </c>
      <c r="Q135" t="str">
        <f t="shared" si="32"/>
        <v/>
      </c>
      <c r="S135" t="str">
        <f>""</f>
        <v/>
      </c>
      <c r="AL135" s="18" t="str">
        <f>IF(COUNTIF($A$2:A134, A134) = 1, A134, "")</f>
        <v/>
      </c>
    </row>
    <row r="136" spans="6:38" x14ac:dyDescent="0.2">
      <c r="F136" t="str">
        <f t="shared" si="28"/>
        <v/>
      </c>
      <c r="L136" s="7" t="str">
        <f t="shared" si="29"/>
        <v/>
      </c>
      <c r="N136" s="7" t="str">
        <f t="shared" si="30"/>
        <v/>
      </c>
      <c r="O136" t="str">
        <f t="shared" si="31"/>
        <v/>
      </c>
      <c r="P136" t="str">
        <f t="shared" si="27"/>
        <v/>
      </c>
      <c r="Q136" t="str">
        <f t="shared" si="32"/>
        <v/>
      </c>
      <c r="S136" t="str">
        <f>""</f>
        <v/>
      </c>
      <c r="AL136" s="18" t="str">
        <f>IF(COUNTIF($A$2:A135, A135) = 1, A135, "")</f>
        <v/>
      </c>
    </row>
    <row r="137" spans="6:38" x14ac:dyDescent="0.2">
      <c r="F137" t="str">
        <f t="shared" si="28"/>
        <v/>
      </c>
      <c r="L137" s="7" t="str">
        <f t="shared" si="29"/>
        <v/>
      </c>
      <c r="N137" s="7" t="str">
        <f t="shared" si="30"/>
        <v/>
      </c>
      <c r="O137" t="str">
        <f t="shared" si="31"/>
        <v/>
      </c>
      <c r="P137" t="str">
        <f t="shared" si="27"/>
        <v/>
      </c>
      <c r="Q137" t="str">
        <f t="shared" si="32"/>
        <v/>
      </c>
      <c r="S137" t="str">
        <f>""</f>
        <v/>
      </c>
      <c r="AL137" s="18" t="str">
        <f>IF(COUNTIF($A$2:A136, A136) = 1, A136, "")</f>
        <v/>
      </c>
    </row>
    <row r="138" spans="6:38" x14ac:dyDescent="0.2">
      <c r="F138" t="str">
        <f t="shared" si="28"/>
        <v/>
      </c>
      <c r="L138" s="7" t="str">
        <f t="shared" si="29"/>
        <v/>
      </c>
      <c r="N138" s="7" t="str">
        <f t="shared" si="30"/>
        <v/>
      </c>
      <c r="O138" t="str">
        <f t="shared" si="31"/>
        <v/>
      </c>
      <c r="P138" t="str">
        <f t="shared" si="27"/>
        <v/>
      </c>
      <c r="Q138" t="str">
        <f t="shared" si="32"/>
        <v/>
      </c>
      <c r="S138" t="str">
        <f>""</f>
        <v/>
      </c>
      <c r="AL138" s="18" t="str">
        <f>IF(COUNTIF($A$2:A137, A137) = 1, A137, "")</f>
        <v/>
      </c>
    </row>
    <row r="139" spans="6:38" x14ac:dyDescent="0.2">
      <c r="F139" t="str">
        <f t="shared" si="28"/>
        <v/>
      </c>
      <c r="L139" s="7" t="str">
        <f t="shared" si="29"/>
        <v/>
      </c>
      <c r="N139" s="7" t="str">
        <f t="shared" si="30"/>
        <v/>
      </c>
      <c r="O139" t="str">
        <f t="shared" si="31"/>
        <v/>
      </c>
      <c r="P139" t="str">
        <f t="shared" si="27"/>
        <v/>
      </c>
      <c r="Q139" t="str">
        <f t="shared" si="32"/>
        <v/>
      </c>
      <c r="S139" t="str">
        <f>""</f>
        <v/>
      </c>
      <c r="AL139" s="18" t="str">
        <f>IF(COUNTIF($A$2:A138, A138) = 1, A138, "")</f>
        <v/>
      </c>
    </row>
    <row r="140" spans="6:38" x14ac:dyDescent="0.2">
      <c r="F140" t="str">
        <f t="shared" si="28"/>
        <v/>
      </c>
      <c r="L140" s="7" t="str">
        <f t="shared" si="29"/>
        <v/>
      </c>
      <c r="N140" s="7" t="str">
        <f t="shared" si="30"/>
        <v/>
      </c>
      <c r="O140" t="str">
        <f t="shared" si="31"/>
        <v/>
      </c>
      <c r="P140" t="str">
        <f t="shared" si="27"/>
        <v/>
      </c>
      <c r="Q140" t="str">
        <f t="shared" si="32"/>
        <v/>
      </c>
      <c r="S140" t="str">
        <f>""</f>
        <v/>
      </c>
      <c r="AL140" s="18" t="str">
        <f>IF(COUNTIF($A$2:A139, A139) = 1, A139, "")</f>
        <v/>
      </c>
    </row>
    <row r="141" spans="6:38" x14ac:dyDescent="0.2">
      <c r="F141" t="str">
        <f t="shared" si="28"/>
        <v/>
      </c>
      <c r="L141" s="7" t="str">
        <f t="shared" si="29"/>
        <v/>
      </c>
      <c r="N141" s="7" t="str">
        <f t="shared" si="30"/>
        <v/>
      </c>
      <c r="O141" t="str">
        <f t="shared" si="31"/>
        <v/>
      </c>
      <c r="P141" t="str">
        <f t="shared" si="27"/>
        <v/>
      </c>
      <c r="Q141" t="str">
        <f t="shared" si="32"/>
        <v/>
      </c>
      <c r="S141" t="str">
        <f>""</f>
        <v/>
      </c>
      <c r="AL141" s="18" t="str">
        <f>IF(COUNTIF($A$2:A140, A140) = 1, A140, "")</f>
        <v/>
      </c>
    </row>
    <row r="142" spans="6:38" x14ac:dyDescent="0.2">
      <c r="F142" t="str">
        <f t="shared" si="28"/>
        <v/>
      </c>
      <c r="L142" s="7" t="str">
        <f t="shared" si="29"/>
        <v/>
      </c>
      <c r="N142" s="7" t="str">
        <f t="shared" si="30"/>
        <v/>
      </c>
      <c r="O142" t="str">
        <f t="shared" si="31"/>
        <v/>
      </c>
      <c r="P142" t="str">
        <f t="shared" si="27"/>
        <v/>
      </c>
      <c r="Q142" t="str">
        <f t="shared" si="32"/>
        <v/>
      </c>
      <c r="S142" t="str">
        <f>""</f>
        <v/>
      </c>
      <c r="AL142" s="18" t="str">
        <f>IF(COUNTIF($A$2:A141, A141) = 1, A141, "")</f>
        <v/>
      </c>
    </row>
    <row r="143" spans="6:38" x14ac:dyDescent="0.2">
      <c r="F143" t="str">
        <f t="shared" si="28"/>
        <v/>
      </c>
      <c r="L143" s="7" t="str">
        <f t="shared" si="29"/>
        <v/>
      </c>
      <c r="N143" s="7" t="str">
        <f t="shared" si="30"/>
        <v/>
      </c>
      <c r="O143" t="str">
        <f t="shared" si="31"/>
        <v/>
      </c>
      <c r="P143" t="str">
        <f t="shared" si="27"/>
        <v/>
      </c>
      <c r="Q143" t="str">
        <f t="shared" si="32"/>
        <v/>
      </c>
      <c r="S143" t="str">
        <f>""</f>
        <v/>
      </c>
      <c r="AL143" s="18" t="str">
        <f>IF(COUNTIF($A$2:A142, A142) = 1, A142, "")</f>
        <v/>
      </c>
    </row>
    <row r="144" spans="6:38" x14ac:dyDescent="0.2">
      <c r="F144" t="str">
        <f t="shared" ref="F144:F207" si="33">IF(OR(O144="", P144=""), "", SUM(IF((O144&lt;&gt;"None")*(O144&lt;&gt;""),LEN(O144)-LEN(SUBSTITUTE(O144,",",""))+1,0)) + SUM(IF((P144&lt;&gt;"None")*(P144&lt;&gt;""),LEN(P144)-LEN(SUBSTITUTE(P144,",",""))+1,0)))</f>
        <v/>
      </c>
      <c r="L144" s="7" t="str">
        <f t="shared" ref="L144:L207" si="34">IF(LEN(E144)=0, "", IFERROR(IF(E144&gt;=0, K144 * (1 + E144/100) - K144, K144 / (ABS(E144)/100))+K144, ""))</f>
        <v/>
      </c>
      <c r="N144" s="7" t="str">
        <f t="shared" ref="N144:N207" si="35">IF(M144="Yes",L144-K144,IF(M144="No",-K144,""))</f>
        <v/>
      </c>
      <c r="O144" t="str">
        <f t="shared" ref="O144:O207" si="36">IF(AND(G144="No",H144="No"), "None", "")</f>
        <v/>
      </c>
      <c r="P144" t="str">
        <f t="shared" ref="P144:P207" si="37">IF(I144="No", "None", "")</f>
        <v/>
      </c>
      <c r="Q144" t="str">
        <f t="shared" ref="Q144:Q207" si="38">IF(AND(D144="Straight", M144 = "No"),IF(O144="None",P144,IF(P144="None",O144) ),"")</f>
        <v/>
      </c>
      <c r="S144" t="str">
        <f>""</f>
        <v/>
      </c>
      <c r="AL144" s="18" t="str">
        <f>IF(COUNTIF($A$2:A143, A143) = 1, A143, "")</f>
        <v/>
      </c>
    </row>
    <row r="145" spans="6:38" x14ac:dyDescent="0.2">
      <c r="F145" t="str">
        <f t="shared" si="33"/>
        <v/>
      </c>
      <c r="L145" s="7" t="str">
        <f t="shared" si="34"/>
        <v/>
      </c>
      <c r="N145" s="7" t="str">
        <f t="shared" si="35"/>
        <v/>
      </c>
      <c r="O145" t="str">
        <f t="shared" si="36"/>
        <v/>
      </c>
      <c r="P145" t="str">
        <f t="shared" si="37"/>
        <v/>
      </c>
      <c r="Q145" t="str">
        <f t="shared" si="38"/>
        <v/>
      </c>
      <c r="S145" t="str">
        <f>""</f>
        <v/>
      </c>
      <c r="AL145" s="18" t="str">
        <f>IF(COUNTIF($A$2:A144, A144) = 1, A144, "")</f>
        <v/>
      </c>
    </row>
    <row r="146" spans="6:38" x14ac:dyDescent="0.2">
      <c r="F146" t="str">
        <f t="shared" si="33"/>
        <v/>
      </c>
      <c r="L146" s="7" t="str">
        <f t="shared" si="34"/>
        <v/>
      </c>
      <c r="N146" s="7" t="str">
        <f t="shared" si="35"/>
        <v/>
      </c>
      <c r="O146" t="str">
        <f t="shared" si="36"/>
        <v/>
      </c>
      <c r="P146" t="str">
        <f t="shared" si="37"/>
        <v/>
      </c>
      <c r="Q146" t="str">
        <f t="shared" si="38"/>
        <v/>
      </c>
      <c r="S146" t="str">
        <f>""</f>
        <v/>
      </c>
      <c r="AL146" s="18" t="str">
        <f>IF(COUNTIF($A$2:A145, A145) = 1, A145, "")</f>
        <v/>
      </c>
    </row>
    <row r="147" spans="6:38" x14ac:dyDescent="0.2">
      <c r="F147" t="str">
        <f t="shared" si="33"/>
        <v/>
      </c>
      <c r="L147" s="7" t="str">
        <f t="shared" si="34"/>
        <v/>
      </c>
      <c r="N147" s="7" t="str">
        <f t="shared" si="35"/>
        <v/>
      </c>
      <c r="O147" t="str">
        <f t="shared" si="36"/>
        <v/>
      </c>
      <c r="P147" t="str">
        <f t="shared" si="37"/>
        <v/>
      </c>
      <c r="Q147" t="str">
        <f t="shared" si="38"/>
        <v/>
      </c>
      <c r="S147" t="str">
        <f>""</f>
        <v/>
      </c>
      <c r="AL147" s="18" t="str">
        <f>IF(COUNTIF($A$2:A146, A146) = 1, A146, "")</f>
        <v/>
      </c>
    </row>
    <row r="148" spans="6:38" x14ac:dyDescent="0.2">
      <c r="F148" t="str">
        <f t="shared" si="33"/>
        <v/>
      </c>
      <c r="L148" s="7" t="str">
        <f t="shared" si="34"/>
        <v/>
      </c>
      <c r="N148" s="7" t="str">
        <f t="shared" si="35"/>
        <v/>
      </c>
      <c r="O148" t="str">
        <f t="shared" si="36"/>
        <v/>
      </c>
      <c r="P148" t="str">
        <f t="shared" si="37"/>
        <v/>
      </c>
      <c r="Q148" t="str">
        <f t="shared" si="38"/>
        <v/>
      </c>
      <c r="S148" t="str">
        <f>""</f>
        <v/>
      </c>
      <c r="AL148" s="18" t="str">
        <f>IF(COUNTIF($A$2:A147, A147) = 1, A147, "")</f>
        <v/>
      </c>
    </row>
    <row r="149" spans="6:38" x14ac:dyDescent="0.2">
      <c r="F149" t="str">
        <f t="shared" si="33"/>
        <v/>
      </c>
      <c r="L149" s="7" t="str">
        <f t="shared" si="34"/>
        <v/>
      </c>
      <c r="N149" s="7" t="str">
        <f t="shared" si="35"/>
        <v/>
      </c>
      <c r="O149" t="str">
        <f t="shared" si="36"/>
        <v/>
      </c>
      <c r="P149" t="str">
        <f t="shared" si="37"/>
        <v/>
      </c>
      <c r="Q149" t="str">
        <f t="shared" si="38"/>
        <v/>
      </c>
      <c r="S149" t="str">
        <f>""</f>
        <v/>
      </c>
      <c r="AL149" s="18" t="str">
        <f>IF(COUNTIF($A$2:A148, A148) = 1, A148, "")</f>
        <v/>
      </c>
    </row>
    <row r="150" spans="6:38" x14ac:dyDescent="0.2">
      <c r="F150" t="str">
        <f t="shared" si="33"/>
        <v/>
      </c>
      <c r="L150" s="7" t="str">
        <f t="shared" si="34"/>
        <v/>
      </c>
      <c r="N150" s="7" t="str">
        <f t="shared" si="35"/>
        <v/>
      </c>
      <c r="O150" t="str">
        <f t="shared" si="36"/>
        <v/>
      </c>
      <c r="P150" t="str">
        <f t="shared" si="37"/>
        <v/>
      </c>
      <c r="Q150" t="str">
        <f t="shared" si="38"/>
        <v/>
      </c>
      <c r="S150" t="str">
        <f>""</f>
        <v/>
      </c>
      <c r="AL150" s="18" t="str">
        <f>IF(COUNTIF($A$2:A149, A149) = 1, A149, "")</f>
        <v/>
      </c>
    </row>
    <row r="151" spans="6:38" x14ac:dyDescent="0.2">
      <c r="F151" t="str">
        <f t="shared" si="33"/>
        <v/>
      </c>
      <c r="L151" s="7" t="str">
        <f t="shared" si="34"/>
        <v/>
      </c>
      <c r="N151" s="7" t="str">
        <f t="shared" si="35"/>
        <v/>
      </c>
      <c r="O151" t="str">
        <f t="shared" si="36"/>
        <v/>
      </c>
      <c r="P151" t="str">
        <f t="shared" si="37"/>
        <v/>
      </c>
      <c r="Q151" t="str">
        <f t="shared" si="38"/>
        <v/>
      </c>
      <c r="S151" t="str">
        <f>""</f>
        <v/>
      </c>
      <c r="AL151" s="18" t="str">
        <f>IF(COUNTIF($A$2:A150, A150) = 1, A150, "")</f>
        <v/>
      </c>
    </row>
    <row r="152" spans="6:38" x14ac:dyDescent="0.2">
      <c r="F152" t="str">
        <f t="shared" si="33"/>
        <v/>
      </c>
      <c r="L152" s="7" t="str">
        <f t="shared" si="34"/>
        <v/>
      </c>
      <c r="N152" s="7" t="str">
        <f t="shared" si="35"/>
        <v/>
      </c>
      <c r="O152" t="str">
        <f t="shared" si="36"/>
        <v/>
      </c>
      <c r="P152" t="str">
        <f t="shared" si="37"/>
        <v/>
      </c>
      <c r="Q152" t="str">
        <f t="shared" si="38"/>
        <v/>
      </c>
      <c r="S152" t="str">
        <f>""</f>
        <v/>
      </c>
      <c r="AL152" s="18" t="str">
        <f>IF(COUNTIF($A$2:A151, A151) = 1, A151, "")</f>
        <v/>
      </c>
    </row>
    <row r="153" spans="6:38" x14ac:dyDescent="0.2">
      <c r="F153" t="str">
        <f t="shared" si="33"/>
        <v/>
      </c>
      <c r="L153" s="7" t="str">
        <f t="shared" si="34"/>
        <v/>
      </c>
      <c r="N153" s="7" t="str">
        <f t="shared" si="35"/>
        <v/>
      </c>
      <c r="O153" t="str">
        <f t="shared" si="36"/>
        <v/>
      </c>
      <c r="P153" t="str">
        <f t="shared" si="37"/>
        <v/>
      </c>
      <c r="Q153" t="str">
        <f t="shared" si="38"/>
        <v/>
      </c>
      <c r="S153" t="str">
        <f>""</f>
        <v/>
      </c>
      <c r="AL153" s="18" t="str">
        <f>IF(COUNTIF($A$2:A152, A152) = 1, A152, "")</f>
        <v/>
      </c>
    </row>
    <row r="154" spans="6:38" x14ac:dyDescent="0.2">
      <c r="F154" t="str">
        <f t="shared" si="33"/>
        <v/>
      </c>
      <c r="L154" s="7" t="str">
        <f t="shared" si="34"/>
        <v/>
      </c>
      <c r="N154" s="7" t="str">
        <f t="shared" si="35"/>
        <v/>
      </c>
      <c r="O154" t="str">
        <f t="shared" si="36"/>
        <v/>
      </c>
      <c r="P154" t="str">
        <f t="shared" si="37"/>
        <v/>
      </c>
      <c r="Q154" t="str">
        <f t="shared" si="38"/>
        <v/>
      </c>
      <c r="S154" t="str">
        <f>""</f>
        <v/>
      </c>
      <c r="AL154" s="18" t="str">
        <f>IF(COUNTIF($A$2:A153, A153) = 1, A153, "")</f>
        <v/>
      </c>
    </row>
    <row r="155" spans="6:38" x14ac:dyDescent="0.2">
      <c r="F155" t="str">
        <f t="shared" si="33"/>
        <v/>
      </c>
      <c r="L155" s="7" t="str">
        <f t="shared" si="34"/>
        <v/>
      </c>
      <c r="N155" s="7" t="str">
        <f t="shared" si="35"/>
        <v/>
      </c>
      <c r="O155" t="str">
        <f t="shared" si="36"/>
        <v/>
      </c>
      <c r="P155" t="str">
        <f t="shared" si="37"/>
        <v/>
      </c>
      <c r="Q155" t="str">
        <f t="shared" si="38"/>
        <v/>
      </c>
      <c r="S155" t="str">
        <f>""</f>
        <v/>
      </c>
      <c r="AL155" s="18" t="str">
        <f>IF(COUNTIF($A$2:A154, A154) = 1, A154, "")</f>
        <v/>
      </c>
    </row>
    <row r="156" spans="6:38" x14ac:dyDescent="0.2">
      <c r="F156" t="str">
        <f t="shared" si="33"/>
        <v/>
      </c>
      <c r="L156" s="7" t="str">
        <f t="shared" si="34"/>
        <v/>
      </c>
      <c r="N156" s="7" t="str">
        <f t="shared" si="35"/>
        <v/>
      </c>
      <c r="O156" t="str">
        <f t="shared" si="36"/>
        <v/>
      </c>
      <c r="P156" t="str">
        <f t="shared" si="37"/>
        <v/>
      </c>
      <c r="Q156" t="str">
        <f t="shared" si="38"/>
        <v/>
      </c>
      <c r="S156" t="str">
        <f>""</f>
        <v/>
      </c>
      <c r="AL156" s="18" t="str">
        <f>IF(COUNTIF($A$2:A155, A155) = 1, A155, "")</f>
        <v/>
      </c>
    </row>
    <row r="157" spans="6:38" x14ac:dyDescent="0.2">
      <c r="F157" t="str">
        <f t="shared" si="33"/>
        <v/>
      </c>
      <c r="L157" s="7" t="str">
        <f t="shared" si="34"/>
        <v/>
      </c>
      <c r="N157" s="7" t="str">
        <f t="shared" si="35"/>
        <v/>
      </c>
      <c r="O157" t="str">
        <f t="shared" si="36"/>
        <v/>
      </c>
      <c r="P157" t="str">
        <f t="shared" si="37"/>
        <v/>
      </c>
      <c r="Q157" t="str">
        <f t="shared" si="38"/>
        <v/>
      </c>
      <c r="S157" t="str">
        <f>""</f>
        <v/>
      </c>
      <c r="AL157" s="18" t="str">
        <f>IF(COUNTIF($A$2:A156, A156) = 1, A156, "")</f>
        <v/>
      </c>
    </row>
    <row r="158" spans="6:38" x14ac:dyDescent="0.2">
      <c r="F158" t="str">
        <f t="shared" si="33"/>
        <v/>
      </c>
      <c r="L158" s="7" t="str">
        <f t="shared" si="34"/>
        <v/>
      </c>
      <c r="N158" s="7" t="str">
        <f t="shared" si="35"/>
        <v/>
      </c>
      <c r="O158" t="str">
        <f t="shared" si="36"/>
        <v/>
      </c>
      <c r="P158" t="str">
        <f t="shared" si="37"/>
        <v/>
      </c>
      <c r="Q158" t="str">
        <f t="shared" si="38"/>
        <v/>
      </c>
      <c r="S158" t="str">
        <f>""</f>
        <v/>
      </c>
      <c r="AL158" s="18" t="str">
        <f>IF(COUNTIF($A$2:A157, A157) = 1, A157, "")</f>
        <v/>
      </c>
    </row>
    <row r="159" spans="6:38" x14ac:dyDescent="0.2">
      <c r="F159" t="str">
        <f t="shared" si="33"/>
        <v/>
      </c>
      <c r="L159" s="7" t="str">
        <f t="shared" si="34"/>
        <v/>
      </c>
      <c r="N159" s="7" t="str">
        <f t="shared" si="35"/>
        <v/>
      </c>
      <c r="O159" t="str">
        <f t="shared" si="36"/>
        <v/>
      </c>
      <c r="P159" t="str">
        <f t="shared" si="37"/>
        <v/>
      </c>
      <c r="Q159" t="str">
        <f t="shared" si="38"/>
        <v/>
      </c>
      <c r="S159" t="str">
        <f>""</f>
        <v/>
      </c>
      <c r="AL159" s="18" t="str">
        <f>IF(COUNTIF($A$2:A158, A158) = 1, A158, "")</f>
        <v/>
      </c>
    </row>
    <row r="160" spans="6:38" x14ac:dyDescent="0.2">
      <c r="F160" t="str">
        <f t="shared" si="33"/>
        <v/>
      </c>
      <c r="L160" s="7" t="str">
        <f t="shared" si="34"/>
        <v/>
      </c>
      <c r="N160" s="7" t="str">
        <f t="shared" si="35"/>
        <v/>
      </c>
      <c r="O160" t="str">
        <f t="shared" si="36"/>
        <v/>
      </c>
      <c r="P160" t="str">
        <f t="shared" si="37"/>
        <v/>
      </c>
      <c r="Q160" t="str">
        <f t="shared" si="38"/>
        <v/>
      </c>
      <c r="S160" t="str">
        <f>""</f>
        <v/>
      </c>
      <c r="AL160" s="18" t="str">
        <f>IF(COUNTIF($A$2:A159, A159) = 1, A159, "")</f>
        <v/>
      </c>
    </row>
    <row r="161" spans="6:38" x14ac:dyDescent="0.2">
      <c r="F161" t="str">
        <f t="shared" si="33"/>
        <v/>
      </c>
      <c r="L161" s="7" t="str">
        <f t="shared" si="34"/>
        <v/>
      </c>
      <c r="N161" s="7" t="str">
        <f t="shared" si="35"/>
        <v/>
      </c>
      <c r="O161" t="str">
        <f t="shared" si="36"/>
        <v/>
      </c>
      <c r="P161" t="str">
        <f t="shared" si="37"/>
        <v/>
      </c>
      <c r="Q161" t="str">
        <f t="shared" si="38"/>
        <v/>
      </c>
      <c r="S161" t="str">
        <f>""</f>
        <v/>
      </c>
      <c r="AL161" s="18" t="str">
        <f>IF(COUNTIF($A$2:A160, A160) = 1, A160, "")</f>
        <v/>
      </c>
    </row>
    <row r="162" spans="6:38" x14ac:dyDescent="0.2">
      <c r="F162" t="str">
        <f t="shared" si="33"/>
        <v/>
      </c>
      <c r="L162" s="7" t="str">
        <f t="shared" si="34"/>
        <v/>
      </c>
      <c r="N162" s="7" t="str">
        <f t="shared" si="35"/>
        <v/>
      </c>
      <c r="O162" t="str">
        <f t="shared" si="36"/>
        <v/>
      </c>
      <c r="P162" t="str">
        <f t="shared" si="37"/>
        <v/>
      </c>
      <c r="Q162" t="str">
        <f t="shared" si="38"/>
        <v/>
      </c>
      <c r="S162" t="str">
        <f>""</f>
        <v/>
      </c>
      <c r="AL162" s="18" t="str">
        <f>IF(COUNTIF($A$2:A161, A161) = 1, A161, "")</f>
        <v/>
      </c>
    </row>
    <row r="163" spans="6:38" x14ac:dyDescent="0.2">
      <c r="F163" t="str">
        <f t="shared" si="33"/>
        <v/>
      </c>
      <c r="L163" s="7" t="str">
        <f t="shared" si="34"/>
        <v/>
      </c>
      <c r="N163" s="7" t="str">
        <f t="shared" si="35"/>
        <v/>
      </c>
      <c r="O163" t="str">
        <f t="shared" si="36"/>
        <v/>
      </c>
      <c r="P163" t="str">
        <f t="shared" si="37"/>
        <v/>
      </c>
      <c r="Q163" t="str">
        <f t="shared" si="38"/>
        <v/>
      </c>
      <c r="S163" t="str">
        <f>""</f>
        <v/>
      </c>
      <c r="AL163" s="18" t="str">
        <f>IF(COUNTIF($A$2:A162, A162) = 1, A162, "")</f>
        <v/>
      </c>
    </row>
    <row r="164" spans="6:38" x14ac:dyDescent="0.2">
      <c r="F164" t="str">
        <f t="shared" si="33"/>
        <v/>
      </c>
      <c r="L164" s="7" t="str">
        <f t="shared" si="34"/>
        <v/>
      </c>
      <c r="N164" s="7" t="str">
        <f t="shared" si="35"/>
        <v/>
      </c>
      <c r="O164" t="str">
        <f t="shared" si="36"/>
        <v/>
      </c>
      <c r="P164" t="str">
        <f t="shared" si="37"/>
        <v/>
      </c>
      <c r="Q164" t="str">
        <f t="shared" si="38"/>
        <v/>
      </c>
      <c r="S164" t="str">
        <f>""</f>
        <v/>
      </c>
      <c r="AL164" s="18" t="str">
        <f>IF(COUNTIF($A$2:A163, A163) = 1, A163, "")</f>
        <v/>
      </c>
    </row>
    <row r="165" spans="6:38" x14ac:dyDescent="0.2">
      <c r="F165" t="str">
        <f t="shared" si="33"/>
        <v/>
      </c>
      <c r="L165" s="7" t="str">
        <f t="shared" si="34"/>
        <v/>
      </c>
      <c r="N165" s="7" t="str">
        <f t="shared" si="35"/>
        <v/>
      </c>
      <c r="O165" t="str">
        <f t="shared" si="36"/>
        <v/>
      </c>
      <c r="P165" t="str">
        <f t="shared" si="37"/>
        <v/>
      </c>
      <c r="Q165" t="str">
        <f t="shared" si="38"/>
        <v/>
      </c>
      <c r="S165" t="str">
        <f>""</f>
        <v/>
      </c>
      <c r="AL165" s="18" t="str">
        <f>IF(COUNTIF($A$2:A164, A164) = 1, A164, "")</f>
        <v/>
      </c>
    </row>
    <row r="166" spans="6:38" x14ac:dyDescent="0.2">
      <c r="F166" t="str">
        <f t="shared" si="33"/>
        <v/>
      </c>
      <c r="L166" s="7" t="str">
        <f t="shared" si="34"/>
        <v/>
      </c>
      <c r="N166" s="7" t="str">
        <f t="shared" si="35"/>
        <v/>
      </c>
      <c r="O166" t="str">
        <f t="shared" si="36"/>
        <v/>
      </c>
      <c r="P166" t="str">
        <f t="shared" si="37"/>
        <v/>
      </c>
      <c r="Q166" t="str">
        <f t="shared" si="38"/>
        <v/>
      </c>
      <c r="S166" t="str">
        <f>""</f>
        <v/>
      </c>
      <c r="AL166" s="18" t="str">
        <f>IF(COUNTIF($A$2:A165, A165) = 1, A165, "")</f>
        <v/>
      </c>
    </row>
    <row r="167" spans="6:38" x14ac:dyDescent="0.2">
      <c r="F167" t="str">
        <f t="shared" si="33"/>
        <v/>
      </c>
      <c r="L167" s="7" t="str">
        <f t="shared" si="34"/>
        <v/>
      </c>
      <c r="N167" s="7" t="str">
        <f t="shared" si="35"/>
        <v/>
      </c>
      <c r="O167" t="str">
        <f t="shared" si="36"/>
        <v/>
      </c>
      <c r="P167" t="str">
        <f t="shared" si="37"/>
        <v/>
      </c>
      <c r="Q167" t="str">
        <f t="shared" si="38"/>
        <v/>
      </c>
      <c r="S167" t="str">
        <f>""</f>
        <v/>
      </c>
      <c r="AL167" s="18" t="str">
        <f>IF(COUNTIF($A$2:A166, A166) = 1, A166, "")</f>
        <v/>
      </c>
    </row>
    <row r="168" spans="6:38" x14ac:dyDescent="0.2">
      <c r="F168" t="str">
        <f t="shared" si="33"/>
        <v/>
      </c>
      <c r="L168" s="7" t="str">
        <f t="shared" si="34"/>
        <v/>
      </c>
      <c r="N168" s="7" t="str">
        <f t="shared" si="35"/>
        <v/>
      </c>
      <c r="O168" t="str">
        <f t="shared" si="36"/>
        <v/>
      </c>
      <c r="P168" t="str">
        <f t="shared" si="37"/>
        <v/>
      </c>
      <c r="Q168" t="str">
        <f t="shared" si="38"/>
        <v/>
      </c>
      <c r="S168" t="str">
        <f>""</f>
        <v/>
      </c>
      <c r="AL168" s="18" t="str">
        <f>IF(COUNTIF($A$2:A167, A167) = 1, A167, "")</f>
        <v/>
      </c>
    </row>
    <row r="169" spans="6:38" x14ac:dyDescent="0.2">
      <c r="F169" t="str">
        <f t="shared" si="33"/>
        <v/>
      </c>
      <c r="L169" s="7" t="str">
        <f t="shared" si="34"/>
        <v/>
      </c>
      <c r="N169" s="7" t="str">
        <f t="shared" si="35"/>
        <v/>
      </c>
      <c r="O169" t="str">
        <f t="shared" si="36"/>
        <v/>
      </c>
      <c r="P169" t="str">
        <f t="shared" si="37"/>
        <v/>
      </c>
      <c r="Q169" t="str">
        <f t="shared" si="38"/>
        <v/>
      </c>
      <c r="S169" t="str">
        <f>""</f>
        <v/>
      </c>
      <c r="AL169" s="18" t="str">
        <f>IF(COUNTIF($A$2:A168, A168) = 1, A168, "")</f>
        <v/>
      </c>
    </row>
    <row r="170" spans="6:38" x14ac:dyDescent="0.2">
      <c r="F170" t="str">
        <f t="shared" si="33"/>
        <v/>
      </c>
      <c r="L170" s="7" t="str">
        <f t="shared" si="34"/>
        <v/>
      </c>
      <c r="N170" s="7" t="str">
        <f t="shared" si="35"/>
        <v/>
      </c>
      <c r="O170" t="str">
        <f t="shared" si="36"/>
        <v/>
      </c>
      <c r="P170" t="str">
        <f t="shared" si="37"/>
        <v/>
      </c>
      <c r="Q170" t="str">
        <f t="shared" si="38"/>
        <v/>
      </c>
      <c r="S170" t="str">
        <f>""</f>
        <v/>
      </c>
      <c r="AL170" s="18" t="str">
        <f>IF(COUNTIF($A$2:A169, A169) = 1, A169, "")</f>
        <v/>
      </c>
    </row>
    <row r="171" spans="6:38" x14ac:dyDescent="0.2">
      <c r="F171" t="str">
        <f t="shared" si="33"/>
        <v/>
      </c>
      <c r="L171" s="7" t="str">
        <f t="shared" si="34"/>
        <v/>
      </c>
      <c r="N171" s="7" t="str">
        <f t="shared" si="35"/>
        <v/>
      </c>
      <c r="O171" t="str">
        <f t="shared" si="36"/>
        <v/>
      </c>
      <c r="P171" t="str">
        <f t="shared" si="37"/>
        <v/>
      </c>
      <c r="Q171" t="str">
        <f t="shared" si="38"/>
        <v/>
      </c>
      <c r="S171" t="str">
        <f>""</f>
        <v/>
      </c>
      <c r="AL171" s="18" t="str">
        <f>IF(COUNTIF($A$2:A170, A170) = 1, A170, "")</f>
        <v/>
      </c>
    </row>
    <row r="172" spans="6:38" x14ac:dyDescent="0.2">
      <c r="F172" t="str">
        <f t="shared" si="33"/>
        <v/>
      </c>
      <c r="L172" s="7" t="str">
        <f t="shared" si="34"/>
        <v/>
      </c>
      <c r="N172" s="7" t="str">
        <f t="shared" si="35"/>
        <v/>
      </c>
      <c r="O172" t="str">
        <f t="shared" si="36"/>
        <v/>
      </c>
      <c r="P172" t="str">
        <f t="shared" si="37"/>
        <v/>
      </c>
      <c r="Q172" t="str">
        <f t="shared" si="38"/>
        <v/>
      </c>
      <c r="S172" t="str">
        <f>""</f>
        <v/>
      </c>
      <c r="AL172" s="18" t="str">
        <f>IF(COUNTIF($A$2:A171, A171) = 1, A171, "")</f>
        <v/>
      </c>
    </row>
    <row r="173" spans="6:38" x14ac:dyDescent="0.2">
      <c r="F173" t="str">
        <f t="shared" si="33"/>
        <v/>
      </c>
      <c r="L173" s="7" t="str">
        <f t="shared" si="34"/>
        <v/>
      </c>
      <c r="N173" s="7" t="str">
        <f t="shared" si="35"/>
        <v/>
      </c>
      <c r="O173" t="str">
        <f t="shared" si="36"/>
        <v/>
      </c>
      <c r="P173" t="str">
        <f t="shared" si="37"/>
        <v/>
      </c>
      <c r="Q173" t="str">
        <f t="shared" si="38"/>
        <v/>
      </c>
      <c r="S173" t="str">
        <f>""</f>
        <v/>
      </c>
      <c r="AL173" s="18" t="str">
        <f>IF(COUNTIF($A$2:A172, A172) = 1, A172, "")</f>
        <v/>
      </c>
    </row>
    <row r="174" spans="6:38" x14ac:dyDescent="0.2">
      <c r="F174" t="str">
        <f t="shared" si="33"/>
        <v/>
      </c>
      <c r="L174" s="7" t="str">
        <f t="shared" si="34"/>
        <v/>
      </c>
      <c r="N174" s="7" t="str">
        <f t="shared" si="35"/>
        <v/>
      </c>
      <c r="O174" t="str">
        <f t="shared" si="36"/>
        <v/>
      </c>
      <c r="P174" t="str">
        <f t="shared" si="37"/>
        <v/>
      </c>
      <c r="Q174" t="str">
        <f t="shared" si="38"/>
        <v/>
      </c>
      <c r="S174" t="str">
        <f>""</f>
        <v/>
      </c>
      <c r="AL174" s="18" t="str">
        <f>IF(COUNTIF($A$2:A173, A173) = 1, A173, "")</f>
        <v/>
      </c>
    </row>
    <row r="175" spans="6:38" x14ac:dyDescent="0.2">
      <c r="F175" t="str">
        <f t="shared" si="33"/>
        <v/>
      </c>
      <c r="L175" s="7" t="str">
        <f t="shared" si="34"/>
        <v/>
      </c>
      <c r="N175" s="7" t="str">
        <f t="shared" si="35"/>
        <v/>
      </c>
      <c r="O175" t="str">
        <f t="shared" si="36"/>
        <v/>
      </c>
      <c r="P175" t="str">
        <f t="shared" si="37"/>
        <v/>
      </c>
      <c r="Q175" t="str">
        <f t="shared" si="38"/>
        <v/>
      </c>
      <c r="S175" t="str">
        <f>""</f>
        <v/>
      </c>
      <c r="AL175" s="18" t="str">
        <f>IF(COUNTIF($A$2:A174, A174) = 1, A174, "")</f>
        <v/>
      </c>
    </row>
    <row r="176" spans="6:38" x14ac:dyDescent="0.2">
      <c r="F176" t="str">
        <f t="shared" si="33"/>
        <v/>
      </c>
      <c r="L176" s="7" t="str">
        <f t="shared" si="34"/>
        <v/>
      </c>
      <c r="N176" s="7" t="str">
        <f t="shared" si="35"/>
        <v/>
      </c>
      <c r="O176" t="str">
        <f t="shared" si="36"/>
        <v/>
      </c>
      <c r="P176" t="str">
        <f t="shared" si="37"/>
        <v/>
      </c>
      <c r="Q176" t="str">
        <f t="shared" si="38"/>
        <v/>
      </c>
      <c r="S176" t="str">
        <f>""</f>
        <v/>
      </c>
      <c r="AL176" s="18" t="str">
        <f>IF(COUNTIF($A$2:A175, A175) = 1, A175, "")</f>
        <v/>
      </c>
    </row>
    <row r="177" spans="6:38" x14ac:dyDescent="0.2">
      <c r="F177" t="str">
        <f t="shared" si="33"/>
        <v/>
      </c>
      <c r="L177" s="7" t="str">
        <f t="shared" si="34"/>
        <v/>
      </c>
      <c r="N177" s="7" t="str">
        <f t="shared" si="35"/>
        <v/>
      </c>
      <c r="O177" t="str">
        <f t="shared" si="36"/>
        <v/>
      </c>
      <c r="P177" t="str">
        <f t="shared" si="37"/>
        <v/>
      </c>
      <c r="Q177" t="str">
        <f t="shared" si="38"/>
        <v/>
      </c>
      <c r="S177" t="str">
        <f>""</f>
        <v/>
      </c>
      <c r="AL177" s="18" t="str">
        <f>IF(COUNTIF($A$2:A176, A176) = 1, A176, "")</f>
        <v/>
      </c>
    </row>
    <row r="178" spans="6:38" x14ac:dyDescent="0.2">
      <c r="F178" t="str">
        <f t="shared" si="33"/>
        <v/>
      </c>
      <c r="L178" s="7" t="str">
        <f t="shared" si="34"/>
        <v/>
      </c>
      <c r="N178" s="7" t="str">
        <f t="shared" si="35"/>
        <v/>
      </c>
      <c r="O178" t="str">
        <f t="shared" si="36"/>
        <v/>
      </c>
      <c r="P178" t="str">
        <f t="shared" si="37"/>
        <v/>
      </c>
      <c r="Q178" t="str">
        <f t="shared" si="38"/>
        <v/>
      </c>
      <c r="S178" t="str">
        <f>""</f>
        <v/>
      </c>
      <c r="AL178" s="18" t="str">
        <f>IF(COUNTIF($A$2:A177, A177) = 1, A177, "")</f>
        <v/>
      </c>
    </row>
    <row r="179" spans="6:38" x14ac:dyDescent="0.2">
      <c r="F179" t="str">
        <f t="shared" si="33"/>
        <v/>
      </c>
      <c r="L179" s="7" t="str">
        <f t="shared" si="34"/>
        <v/>
      </c>
      <c r="N179" s="7" t="str">
        <f t="shared" si="35"/>
        <v/>
      </c>
      <c r="O179" t="str">
        <f t="shared" si="36"/>
        <v/>
      </c>
      <c r="P179" t="str">
        <f t="shared" si="37"/>
        <v/>
      </c>
      <c r="Q179" t="str">
        <f t="shared" si="38"/>
        <v/>
      </c>
      <c r="S179" t="str">
        <f>""</f>
        <v/>
      </c>
      <c r="AL179" s="18" t="str">
        <f>IF(COUNTIF($A$2:A178, A178) = 1, A178, "")</f>
        <v/>
      </c>
    </row>
    <row r="180" spans="6:38" x14ac:dyDescent="0.2">
      <c r="F180" t="str">
        <f t="shared" si="33"/>
        <v/>
      </c>
      <c r="L180" s="7" t="str">
        <f t="shared" si="34"/>
        <v/>
      </c>
      <c r="N180" s="7" t="str">
        <f t="shared" si="35"/>
        <v/>
      </c>
      <c r="O180" t="str">
        <f t="shared" si="36"/>
        <v/>
      </c>
      <c r="P180" t="str">
        <f t="shared" si="37"/>
        <v/>
      </c>
      <c r="Q180" t="str">
        <f t="shared" si="38"/>
        <v/>
      </c>
      <c r="S180" t="str">
        <f>""</f>
        <v/>
      </c>
      <c r="AL180" s="18" t="str">
        <f>IF(COUNTIF($A$2:A179, A179) = 1, A179, "")</f>
        <v/>
      </c>
    </row>
    <row r="181" spans="6:38" x14ac:dyDescent="0.2">
      <c r="F181" t="str">
        <f t="shared" si="33"/>
        <v/>
      </c>
      <c r="L181" s="7" t="str">
        <f t="shared" si="34"/>
        <v/>
      </c>
      <c r="N181" s="7" t="str">
        <f t="shared" si="35"/>
        <v/>
      </c>
      <c r="O181" t="str">
        <f t="shared" si="36"/>
        <v/>
      </c>
      <c r="P181" t="str">
        <f t="shared" si="37"/>
        <v/>
      </c>
      <c r="Q181" t="str">
        <f t="shared" si="38"/>
        <v/>
      </c>
      <c r="S181" t="str">
        <f>""</f>
        <v/>
      </c>
      <c r="AL181" s="18" t="str">
        <f>IF(COUNTIF($A$2:A180, A180) = 1, A180, "")</f>
        <v/>
      </c>
    </row>
    <row r="182" spans="6:38" x14ac:dyDescent="0.2">
      <c r="F182" t="str">
        <f t="shared" si="33"/>
        <v/>
      </c>
      <c r="L182" s="7" t="str">
        <f t="shared" si="34"/>
        <v/>
      </c>
      <c r="N182" s="7" t="str">
        <f t="shared" si="35"/>
        <v/>
      </c>
      <c r="O182" t="str">
        <f t="shared" si="36"/>
        <v/>
      </c>
      <c r="P182" t="str">
        <f t="shared" si="37"/>
        <v/>
      </c>
      <c r="Q182" t="str">
        <f t="shared" si="38"/>
        <v/>
      </c>
      <c r="S182" t="str">
        <f>""</f>
        <v/>
      </c>
      <c r="AL182" s="18" t="str">
        <f>IF(COUNTIF($A$2:A181, A181) = 1, A181, "")</f>
        <v/>
      </c>
    </row>
    <row r="183" spans="6:38" x14ac:dyDescent="0.2">
      <c r="F183" t="str">
        <f t="shared" si="33"/>
        <v/>
      </c>
      <c r="L183" s="7" t="str">
        <f t="shared" si="34"/>
        <v/>
      </c>
      <c r="N183" s="7" t="str">
        <f t="shared" si="35"/>
        <v/>
      </c>
      <c r="O183" t="str">
        <f t="shared" si="36"/>
        <v/>
      </c>
      <c r="P183" t="str">
        <f t="shared" si="37"/>
        <v/>
      </c>
      <c r="Q183" t="str">
        <f t="shared" si="38"/>
        <v/>
      </c>
      <c r="S183" t="str">
        <f>""</f>
        <v/>
      </c>
      <c r="AL183" s="18" t="str">
        <f>IF(COUNTIF($A$2:A182, A182) = 1, A182, "")</f>
        <v/>
      </c>
    </row>
    <row r="184" spans="6:38" x14ac:dyDescent="0.2">
      <c r="F184" t="str">
        <f t="shared" si="33"/>
        <v/>
      </c>
      <c r="L184" s="7" t="str">
        <f t="shared" si="34"/>
        <v/>
      </c>
      <c r="N184" s="7" t="str">
        <f t="shared" si="35"/>
        <v/>
      </c>
      <c r="O184" t="str">
        <f t="shared" si="36"/>
        <v/>
      </c>
      <c r="P184" t="str">
        <f t="shared" si="37"/>
        <v/>
      </c>
      <c r="Q184" t="str">
        <f t="shared" si="38"/>
        <v/>
      </c>
      <c r="S184" t="str">
        <f>""</f>
        <v/>
      </c>
      <c r="AL184" s="18" t="str">
        <f>IF(COUNTIF($A$2:A183, A183) = 1, A183, "")</f>
        <v/>
      </c>
    </row>
    <row r="185" spans="6:38" x14ac:dyDescent="0.2">
      <c r="F185" t="str">
        <f t="shared" si="33"/>
        <v/>
      </c>
      <c r="L185" s="7" t="str">
        <f t="shared" si="34"/>
        <v/>
      </c>
      <c r="N185" s="7" t="str">
        <f t="shared" si="35"/>
        <v/>
      </c>
      <c r="O185" t="str">
        <f t="shared" si="36"/>
        <v/>
      </c>
      <c r="P185" t="str">
        <f t="shared" si="37"/>
        <v/>
      </c>
      <c r="Q185" t="str">
        <f t="shared" si="38"/>
        <v/>
      </c>
      <c r="S185" t="str">
        <f>""</f>
        <v/>
      </c>
      <c r="AL185" s="18" t="str">
        <f>IF(COUNTIF($A$2:A184, A184) = 1, A184, "")</f>
        <v/>
      </c>
    </row>
    <row r="186" spans="6:38" x14ac:dyDescent="0.2">
      <c r="F186" t="str">
        <f t="shared" si="33"/>
        <v/>
      </c>
      <c r="L186" s="7" t="str">
        <f t="shared" si="34"/>
        <v/>
      </c>
      <c r="N186" s="7" t="str">
        <f t="shared" si="35"/>
        <v/>
      </c>
      <c r="O186" t="str">
        <f t="shared" si="36"/>
        <v/>
      </c>
      <c r="P186" t="str">
        <f t="shared" si="37"/>
        <v/>
      </c>
      <c r="Q186" t="str">
        <f t="shared" si="38"/>
        <v/>
      </c>
      <c r="S186" t="str">
        <f>""</f>
        <v/>
      </c>
      <c r="AL186" s="18" t="str">
        <f>IF(COUNTIF($A$2:A185, A185) = 1, A185, "")</f>
        <v/>
      </c>
    </row>
    <row r="187" spans="6:38" x14ac:dyDescent="0.2">
      <c r="F187" t="str">
        <f t="shared" si="33"/>
        <v/>
      </c>
      <c r="L187" s="7" t="str">
        <f t="shared" si="34"/>
        <v/>
      </c>
      <c r="N187" s="7" t="str">
        <f t="shared" si="35"/>
        <v/>
      </c>
      <c r="O187" t="str">
        <f t="shared" si="36"/>
        <v/>
      </c>
      <c r="P187" t="str">
        <f t="shared" si="37"/>
        <v/>
      </c>
      <c r="Q187" t="str">
        <f t="shared" si="38"/>
        <v/>
      </c>
      <c r="S187" t="str">
        <f>""</f>
        <v/>
      </c>
      <c r="AL187" s="18" t="str">
        <f>IF(COUNTIF($A$2:A186, A186) = 1, A186, "")</f>
        <v/>
      </c>
    </row>
    <row r="188" spans="6:38" x14ac:dyDescent="0.2">
      <c r="F188" t="str">
        <f t="shared" si="33"/>
        <v/>
      </c>
      <c r="L188" s="7" t="str">
        <f t="shared" si="34"/>
        <v/>
      </c>
      <c r="N188" s="7" t="str">
        <f t="shared" si="35"/>
        <v/>
      </c>
      <c r="O188" t="str">
        <f t="shared" si="36"/>
        <v/>
      </c>
      <c r="P188" t="str">
        <f t="shared" si="37"/>
        <v/>
      </c>
      <c r="Q188" t="str">
        <f t="shared" si="38"/>
        <v/>
      </c>
      <c r="S188" t="str">
        <f>""</f>
        <v/>
      </c>
      <c r="AL188" s="18" t="str">
        <f>IF(COUNTIF($A$2:A187, A187) = 1, A187, "")</f>
        <v/>
      </c>
    </row>
    <row r="189" spans="6:38" x14ac:dyDescent="0.2">
      <c r="F189" t="str">
        <f t="shared" si="33"/>
        <v/>
      </c>
      <c r="L189" s="7" t="str">
        <f t="shared" si="34"/>
        <v/>
      </c>
      <c r="N189" s="7" t="str">
        <f t="shared" si="35"/>
        <v/>
      </c>
      <c r="O189" t="str">
        <f t="shared" si="36"/>
        <v/>
      </c>
      <c r="P189" t="str">
        <f t="shared" si="37"/>
        <v/>
      </c>
      <c r="Q189" t="str">
        <f t="shared" si="38"/>
        <v/>
      </c>
      <c r="S189" t="str">
        <f>""</f>
        <v/>
      </c>
      <c r="AL189" s="18" t="str">
        <f>IF(COUNTIF($A$2:A188, A188) = 1, A188, "")</f>
        <v/>
      </c>
    </row>
    <row r="190" spans="6:38" x14ac:dyDescent="0.2">
      <c r="F190" t="str">
        <f t="shared" si="33"/>
        <v/>
      </c>
      <c r="L190" s="7" t="str">
        <f t="shared" si="34"/>
        <v/>
      </c>
      <c r="N190" s="7" t="str">
        <f t="shared" si="35"/>
        <v/>
      </c>
      <c r="O190" t="str">
        <f t="shared" si="36"/>
        <v/>
      </c>
      <c r="P190" t="str">
        <f t="shared" si="37"/>
        <v/>
      </c>
      <c r="Q190" t="str">
        <f t="shared" si="38"/>
        <v/>
      </c>
      <c r="S190" t="str">
        <f>""</f>
        <v/>
      </c>
      <c r="AL190" s="18" t="str">
        <f>IF(COUNTIF($A$2:A189, A189) = 1, A189, "")</f>
        <v/>
      </c>
    </row>
    <row r="191" spans="6:38" x14ac:dyDescent="0.2">
      <c r="F191" t="str">
        <f t="shared" si="33"/>
        <v/>
      </c>
      <c r="L191" s="7" t="str">
        <f t="shared" si="34"/>
        <v/>
      </c>
      <c r="N191" s="7" t="str">
        <f t="shared" si="35"/>
        <v/>
      </c>
      <c r="O191" t="str">
        <f t="shared" si="36"/>
        <v/>
      </c>
      <c r="P191" t="str">
        <f t="shared" si="37"/>
        <v/>
      </c>
      <c r="Q191" t="str">
        <f t="shared" si="38"/>
        <v/>
      </c>
      <c r="S191" t="str">
        <f>""</f>
        <v/>
      </c>
      <c r="AL191" s="18" t="str">
        <f>IF(COUNTIF($A$2:A190, A190) = 1, A190, "")</f>
        <v/>
      </c>
    </row>
    <row r="192" spans="6:38" x14ac:dyDescent="0.2">
      <c r="F192" t="str">
        <f t="shared" si="33"/>
        <v/>
      </c>
      <c r="L192" s="7" t="str">
        <f t="shared" si="34"/>
        <v/>
      </c>
      <c r="N192" s="7" t="str">
        <f t="shared" si="35"/>
        <v/>
      </c>
      <c r="O192" t="str">
        <f t="shared" si="36"/>
        <v/>
      </c>
      <c r="P192" t="str">
        <f t="shared" si="37"/>
        <v/>
      </c>
      <c r="Q192" t="str">
        <f t="shared" si="38"/>
        <v/>
      </c>
      <c r="S192" t="str">
        <f>""</f>
        <v/>
      </c>
      <c r="AL192" s="18" t="str">
        <f>IF(COUNTIF($A$2:A191, A191) = 1, A191, "")</f>
        <v/>
      </c>
    </row>
    <row r="193" spans="6:38" x14ac:dyDescent="0.2">
      <c r="F193" t="str">
        <f t="shared" si="33"/>
        <v/>
      </c>
      <c r="L193" s="7" t="str">
        <f t="shared" si="34"/>
        <v/>
      </c>
      <c r="N193" s="7" t="str">
        <f t="shared" si="35"/>
        <v/>
      </c>
      <c r="O193" t="str">
        <f t="shared" si="36"/>
        <v/>
      </c>
      <c r="P193" t="str">
        <f t="shared" si="37"/>
        <v/>
      </c>
      <c r="Q193" t="str">
        <f t="shared" si="38"/>
        <v/>
      </c>
      <c r="S193" t="str">
        <f>""</f>
        <v/>
      </c>
      <c r="AL193" s="18" t="str">
        <f>IF(COUNTIF($A$2:A192, A192) = 1, A192, "")</f>
        <v/>
      </c>
    </row>
    <row r="194" spans="6:38" x14ac:dyDescent="0.2">
      <c r="F194" t="str">
        <f t="shared" si="33"/>
        <v/>
      </c>
      <c r="L194" s="7" t="str">
        <f t="shared" si="34"/>
        <v/>
      </c>
      <c r="N194" s="7" t="str">
        <f t="shared" si="35"/>
        <v/>
      </c>
      <c r="O194" t="str">
        <f t="shared" si="36"/>
        <v/>
      </c>
      <c r="P194" t="str">
        <f t="shared" si="37"/>
        <v/>
      </c>
      <c r="Q194" t="str">
        <f t="shared" si="38"/>
        <v/>
      </c>
      <c r="S194" t="str">
        <f>""</f>
        <v/>
      </c>
      <c r="AL194" s="18" t="str">
        <f>IF(COUNTIF($A$2:A193, A193) = 1, A193, "")</f>
        <v/>
      </c>
    </row>
    <row r="195" spans="6:38" x14ac:dyDescent="0.2">
      <c r="F195" t="str">
        <f t="shared" si="33"/>
        <v/>
      </c>
      <c r="L195" s="7" t="str">
        <f t="shared" si="34"/>
        <v/>
      </c>
      <c r="N195" s="7" t="str">
        <f t="shared" si="35"/>
        <v/>
      </c>
      <c r="O195" t="str">
        <f t="shared" si="36"/>
        <v/>
      </c>
      <c r="P195" t="str">
        <f t="shared" si="37"/>
        <v/>
      </c>
      <c r="Q195" t="str">
        <f t="shared" si="38"/>
        <v/>
      </c>
      <c r="S195" t="str">
        <f>""</f>
        <v/>
      </c>
      <c r="AL195" s="18" t="str">
        <f>IF(COUNTIF($A$2:A194, A194) = 1, A194, "")</f>
        <v/>
      </c>
    </row>
    <row r="196" spans="6:38" x14ac:dyDescent="0.2">
      <c r="F196" t="str">
        <f t="shared" si="33"/>
        <v/>
      </c>
      <c r="L196" s="7" t="str">
        <f t="shared" si="34"/>
        <v/>
      </c>
      <c r="N196" s="7" t="str">
        <f t="shared" si="35"/>
        <v/>
      </c>
      <c r="O196" t="str">
        <f t="shared" si="36"/>
        <v/>
      </c>
      <c r="P196" t="str">
        <f t="shared" si="37"/>
        <v/>
      </c>
      <c r="Q196" t="str">
        <f t="shared" si="38"/>
        <v/>
      </c>
      <c r="S196" t="str">
        <f>""</f>
        <v/>
      </c>
      <c r="AL196" s="18" t="str">
        <f>IF(COUNTIF($A$2:A195, A195) = 1, A195, "")</f>
        <v/>
      </c>
    </row>
    <row r="197" spans="6:38" x14ac:dyDescent="0.2">
      <c r="F197" t="str">
        <f t="shared" si="33"/>
        <v/>
      </c>
      <c r="L197" s="7" t="str">
        <f t="shared" si="34"/>
        <v/>
      </c>
      <c r="N197" s="7" t="str">
        <f t="shared" si="35"/>
        <v/>
      </c>
      <c r="O197" t="str">
        <f t="shared" si="36"/>
        <v/>
      </c>
      <c r="P197" t="str">
        <f t="shared" si="37"/>
        <v/>
      </c>
      <c r="Q197" t="str">
        <f t="shared" si="38"/>
        <v/>
      </c>
      <c r="S197" t="str">
        <f>""</f>
        <v/>
      </c>
      <c r="AL197" s="18" t="str">
        <f>IF(COUNTIF($A$2:A196, A196) = 1, A196, "")</f>
        <v/>
      </c>
    </row>
    <row r="198" spans="6:38" x14ac:dyDescent="0.2">
      <c r="F198" t="str">
        <f t="shared" si="33"/>
        <v/>
      </c>
      <c r="L198" s="7" t="str">
        <f t="shared" si="34"/>
        <v/>
      </c>
      <c r="N198" s="7" t="str">
        <f t="shared" si="35"/>
        <v/>
      </c>
      <c r="O198" t="str">
        <f t="shared" si="36"/>
        <v/>
      </c>
      <c r="P198" t="str">
        <f t="shared" si="37"/>
        <v/>
      </c>
      <c r="Q198" t="str">
        <f t="shared" si="38"/>
        <v/>
      </c>
      <c r="S198" t="str">
        <f>""</f>
        <v/>
      </c>
      <c r="AL198" s="18" t="str">
        <f>IF(COUNTIF($A$2:A197, A197) = 1, A197, "")</f>
        <v/>
      </c>
    </row>
    <row r="199" spans="6:38" x14ac:dyDescent="0.2">
      <c r="F199" t="str">
        <f t="shared" si="33"/>
        <v/>
      </c>
      <c r="L199" s="7" t="str">
        <f t="shared" si="34"/>
        <v/>
      </c>
      <c r="N199" s="7" t="str">
        <f t="shared" si="35"/>
        <v/>
      </c>
      <c r="O199" t="str">
        <f t="shared" si="36"/>
        <v/>
      </c>
      <c r="P199" t="str">
        <f t="shared" si="37"/>
        <v/>
      </c>
      <c r="Q199" t="str">
        <f t="shared" si="38"/>
        <v/>
      </c>
      <c r="S199" t="str">
        <f>""</f>
        <v/>
      </c>
      <c r="AL199" s="18" t="str">
        <f>IF(COUNTIF($A$2:A198, A198) = 1, A198, "")</f>
        <v/>
      </c>
    </row>
    <row r="200" spans="6:38" x14ac:dyDescent="0.2">
      <c r="F200" t="str">
        <f t="shared" si="33"/>
        <v/>
      </c>
      <c r="L200" s="7" t="str">
        <f t="shared" si="34"/>
        <v/>
      </c>
      <c r="N200" s="7" t="str">
        <f t="shared" si="35"/>
        <v/>
      </c>
      <c r="O200" t="str">
        <f t="shared" si="36"/>
        <v/>
      </c>
      <c r="P200" t="str">
        <f t="shared" si="37"/>
        <v/>
      </c>
      <c r="Q200" t="str">
        <f t="shared" si="38"/>
        <v/>
      </c>
      <c r="S200" t="str">
        <f>""</f>
        <v/>
      </c>
      <c r="AL200" s="18" t="str">
        <f>IF(COUNTIF($A$2:A199, A199) = 1, A199, "")</f>
        <v/>
      </c>
    </row>
    <row r="201" spans="6:38" x14ac:dyDescent="0.2">
      <c r="F201" t="str">
        <f t="shared" si="33"/>
        <v/>
      </c>
      <c r="L201" s="7" t="str">
        <f t="shared" si="34"/>
        <v/>
      </c>
      <c r="N201" s="7" t="str">
        <f t="shared" si="35"/>
        <v/>
      </c>
      <c r="O201" t="str">
        <f t="shared" si="36"/>
        <v/>
      </c>
      <c r="P201" t="str">
        <f t="shared" si="37"/>
        <v/>
      </c>
      <c r="Q201" t="str">
        <f t="shared" si="38"/>
        <v/>
      </c>
      <c r="S201" t="str">
        <f>""</f>
        <v/>
      </c>
      <c r="AL201" s="18" t="str">
        <f>IF(COUNTIF($A$2:A200, A200) = 1, A200, "")</f>
        <v/>
      </c>
    </row>
    <row r="202" spans="6:38" x14ac:dyDescent="0.2">
      <c r="F202" t="str">
        <f t="shared" si="33"/>
        <v/>
      </c>
      <c r="L202" s="7" t="str">
        <f t="shared" si="34"/>
        <v/>
      </c>
      <c r="N202" s="7" t="str">
        <f t="shared" si="35"/>
        <v/>
      </c>
      <c r="O202" t="str">
        <f t="shared" si="36"/>
        <v/>
      </c>
      <c r="P202" t="str">
        <f t="shared" si="37"/>
        <v/>
      </c>
      <c r="Q202" t="str">
        <f t="shared" si="38"/>
        <v/>
      </c>
      <c r="S202" t="str">
        <f>""</f>
        <v/>
      </c>
      <c r="AL202" s="18" t="str">
        <f>IF(COUNTIF($A$2:A201, A201) = 1, A201, "")</f>
        <v/>
      </c>
    </row>
    <row r="203" spans="6:38" x14ac:dyDescent="0.2">
      <c r="F203" t="str">
        <f t="shared" si="33"/>
        <v/>
      </c>
      <c r="L203" s="7" t="str">
        <f t="shared" si="34"/>
        <v/>
      </c>
      <c r="N203" s="7" t="str">
        <f t="shared" si="35"/>
        <v/>
      </c>
      <c r="O203" t="str">
        <f t="shared" si="36"/>
        <v/>
      </c>
      <c r="P203" t="str">
        <f t="shared" si="37"/>
        <v/>
      </c>
      <c r="Q203" t="str">
        <f t="shared" si="38"/>
        <v/>
      </c>
      <c r="S203" t="str">
        <f>""</f>
        <v/>
      </c>
      <c r="AL203" s="18" t="str">
        <f>IF(COUNTIF($A$2:A202, A202) = 1, A202, "")</f>
        <v/>
      </c>
    </row>
    <row r="204" spans="6:38" x14ac:dyDescent="0.2">
      <c r="F204" t="str">
        <f t="shared" si="33"/>
        <v/>
      </c>
      <c r="L204" s="7" t="str">
        <f t="shared" si="34"/>
        <v/>
      </c>
      <c r="N204" s="7" t="str">
        <f t="shared" si="35"/>
        <v/>
      </c>
      <c r="O204" t="str">
        <f t="shared" si="36"/>
        <v/>
      </c>
      <c r="P204" t="str">
        <f t="shared" si="37"/>
        <v/>
      </c>
      <c r="Q204" t="str">
        <f t="shared" si="38"/>
        <v/>
      </c>
      <c r="S204" t="str">
        <f>""</f>
        <v/>
      </c>
      <c r="AL204" s="18" t="str">
        <f>IF(COUNTIF($A$2:A203, A203) = 1, A203, "")</f>
        <v/>
      </c>
    </row>
    <row r="205" spans="6:38" x14ac:dyDescent="0.2">
      <c r="F205" t="str">
        <f t="shared" si="33"/>
        <v/>
      </c>
      <c r="L205" s="7" t="str">
        <f t="shared" si="34"/>
        <v/>
      </c>
      <c r="N205" s="7" t="str">
        <f t="shared" si="35"/>
        <v/>
      </c>
      <c r="O205" t="str">
        <f t="shared" si="36"/>
        <v/>
      </c>
      <c r="P205" t="str">
        <f t="shared" si="37"/>
        <v/>
      </c>
      <c r="Q205" t="str">
        <f t="shared" si="38"/>
        <v/>
      </c>
      <c r="S205" t="str">
        <f>""</f>
        <v/>
      </c>
      <c r="AL205" s="18" t="str">
        <f>IF(COUNTIF($A$2:A204, A204) = 1, A204, "")</f>
        <v/>
      </c>
    </row>
    <row r="206" spans="6:38" x14ac:dyDescent="0.2">
      <c r="F206" t="str">
        <f t="shared" si="33"/>
        <v/>
      </c>
      <c r="L206" s="7" t="str">
        <f t="shared" si="34"/>
        <v/>
      </c>
      <c r="N206" s="7" t="str">
        <f t="shared" si="35"/>
        <v/>
      </c>
      <c r="O206" t="str">
        <f t="shared" si="36"/>
        <v/>
      </c>
      <c r="P206" t="str">
        <f t="shared" si="37"/>
        <v/>
      </c>
      <c r="Q206" t="str">
        <f t="shared" si="38"/>
        <v/>
      </c>
      <c r="S206" t="str">
        <f>""</f>
        <v/>
      </c>
      <c r="AL206" s="18" t="str">
        <f>IF(COUNTIF($A$2:A205, A205) = 1, A205, "")</f>
        <v/>
      </c>
    </row>
    <row r="207" spans="6:38" x14ac:dyDescent="0.2">
      <c r="F207" t="str">
        <f t="shared" si="33"/>
        <v/>
      </c>
      <c r="L207" s="7" t="str">
        <f t="shared" si="34"/>
        <v/>
      </c>
      <c r="N207" s="7" t="str">
        <f t="shared" si="35"/>
        <v/>
      </c>
      <c r="O207" t="str">
        <f t="shared" si="36"/>
        <v/>
      </c>
      <c r="P207" t="str">
        <f t="shared" si="37"/>
        <v/>
      </c>
      <c r="Q207" t="str">
        <f t="shared" si="38"/>
        <v/>
      </c>
      <c r="S207" t="str">
        <f>""</f>
        <v/>
      </c>
      <c r="AL207" s="18" t="str">
        <f>IF(COUNTIF($A$2:A206, A206) = 1, A206, "")</f>
        <v/>
      </c>
    </row>
    <row r="208" spans="6:38" x14ac:dyDescent="0.2">
      <c r="F208" t="str">
        <f t="shared" ref="F208:F271" si="39">IF(OR(O208="", P208=""), "", SUM(IF((O208&lt;&gt;"None")*(O208&lt;&gt;""),LEN(O208)-LEN(SUBSTITUTE(O208,",",""))+1,0)) + SUM(IF((P208&lt;&gt;"None")*(P208&lt;&gt;""),LEN(P208)-LEN(SUBSTITUTE(P208,",",""))+1,0)))</f>
        <v/>
      </c>
      <c r="L208" s="7" t="str">
        <f t="shared" ref="L208:L271" si="40">IF(LEN(E208)=0, "", IFERROR(IF(E208&gt;=0, K208 * (1 + E208/100) - K208, K208 / (ABS(E208)/100))+K208, ""))</f>
        <v/>
      </c>
      <c r="N208" s="7" t="str">
        <f t="shared" ref="N208:N271" si="41">IF(M208="Yes",L208-K208,IF(M208="No",-K208,""))</f>
        <v/>
      </c>
      <c r="O208" t="str">
        <f t="shared" ref="O208:O271" si="42">IF(AND(G208="No",H208="No"), "None", "")</f>
        <v/>
      </c>
      <c r="P208" t="str">
        <f t="shared" ref="P208:P271" si="43">IF(I208="No", "None", "")</f>
        <v/>
      </c>
      <c r="Q208" t="str">
        <f t="shared" ref="Q208:Q271" si="44">IF(AND(D208="Straight", M208 = "No"),IF(O208="None",P208,IF(P208="None",O208) ),"")</f>
        <v/>
      </c>
      <c r="S208" t="str">
        <f>""</f>
        <v/>
      </c>
      <c r="AL208" s="18" t="str">
        <f>IF(COUNTIF($A$2:A207, A207) = 1, A207, "")</f>
        <v/>
      </c>
    </row>
    <row r="209" spans="6:38" x14ac:dyDescent="0.2">
      <c r="F209" t="str">
        <f t="shared" si="39"/>
        <v/>
      </c>
      <c r="L209" s="7" t="str">
        <f t="shared" si="40"/>
        <v/>
      </c>
      <c r="N209" s="7" t="str">
        <f t="shared" si="41"/>
        <v/>
      </c>
      <c r="O209" t="str">
        <f t="shared" si="42"/>
        <v/>
      </c>
      <c r="P209" t="str">
        <f t="shared" si="43"/>
        <v/>
      </c>
      <c r="Q209" t="str">
        <f t="shared" si="44"/>
        <v/>
      </c>
      <c r="S209" t="str">
        <f>""</f>
        <v/>
      </c>
      <c r="AL209" s="18" t="str">
        <f>IF(COUNTIF($A$2:A208, A208) = 1, A208, "")</f>
        <v/>
      </c>
    </row>
    <row r="210" spans="6:38" x14ac:dyDescent="0.2">
      <c r="F210" t="str">
        <f t="shared" si="39"/>
        <v/>
      </c>
      <c r="L210" s="7" t="str">
        <f t="shared" si="40"/>
        <v/>
      </c>
      <c r="N210" s="7" t="str">
        <f t="shared" si="41"/>
        <v/>
      </c>
      <c r="O210" t="str">
        <f t="shared" si="42"/>
        <v/>
      </c>
      <c r="P210" t="str">
        <f t="shared" si="43"/>
        <v/>
      </c>
      <c r="Q210" t="str">
        <f t="shared" si="44"/>
        <v/>
      </c>
      <c r="S210" t="str">
        <f>""</f>
        <v/>
      </c>
      <c r="AL210" s="18" t="str">
        <f>IF(COUNTIF($A$2:A209, A209) = 1, A209, "")</f>
        <v/>
      </c>
    </row>
    <row r="211" spans="6:38" x14ac:dyDescent="0.2">
      <c r="F211" t="str">
        <f t="shared" si="39"/>
        <v/>
      </c>
      <c r="L211" s="7" t="str">
        <f t="shared" si="40"/>
        <v/>
      </c>
      <c r="N211" s="7" t="str">
        <f t="shared" si="41"/>
        <v/>
      </c>
      <c r="O211" t="str">
        <f t="shared" si="42"/>
        <v/>
      </c>
      <c r="P211" t="str">
        <f t="shared" si="43"/>
        <v/>
      </c>
      <c r="Q211" t="str">
        <f t="shared" si="44"/>
        <v/>
      </c>
      <c r="S211" t="str">
        <f>""</f>
        <v/>
      </c>
      <c r="AL211" s="18" t="str">
        <f>IF(COUNTIF($A$2:A210, A210) = 1, A210, "")</f>
        <v/>
      </c>
    </row>
    <row r="212" spans="6:38" x14ac:dyDescent="0.2">
      <c r="F212" t="str">
        <f t="shared" si="39"/>
        <v/>
      </c>
      <c r="L212" s="7" t="str">
        <f t="shared" si="40"/>
        <v/>
      </c>
      <c r="N212" s="7" t="str">
        <f t="shared" si="41"/>
        <v/>
      </c>
      <c r="O212" t="str">
        <f t="shared" si="42"/>
        <v/>
      </c>
      <c r="P212" t="str">
        <f t="shared" si="43"/>
        <v/>
      </c>
      <c r="Q212" t="str">
        <f t="shared" si="44"/>
        <v/>
      </c>
      <c r="S212" t="str">
        <f>""</f>
        <v/>
      </c>
      <c r="AL212" s="18" t="str">
        <f>IF(COUNTIF($A$2:A211, A211) = 1, A211, "")</f>
        <v/>
      </c>
    </row>
    <row r="213" spans="6:38" x14ac:dyDescent="0.2">
      <c r="F213" t="str">
        <f t="shared" si="39"/>
        <v/>
      </c>
      <c r="L213" s="7" t="str">
        <f t="shared" si="40"/>
        <v/>
      </c>
      <c r="N213" s="7" t="str">
        <f t="shared" si="41"/>
        <v/>
      </c>
      <c r="O213" t="str">
        <f t="shared" si="42"/>
        <v/>
      </c>
      <c r="P213" t="str">
        <f t="shared" si="43"/>
        <v/>
      </c>
      <c r="Q213" t="str">
        <f t="shared" si="44"/>
        <v/>
      </c>
      <c r="S213" t="str">
        <f>""</f>
        <v/>
      </c>
      <c r="AL213" s="18" t="str">
        <f>IF(COUNTIF($A$2:A212, A212) = 1, A212, "")</f>
        <v/>
      </c>
    </row>
    <row r="214" spans="6:38" x14ac:dyDescent="0.2">
      <c r="F214" t="str">
        <f t="shared" si="39"/>
        <v/>
      </c>
      <c r="L214" s="7" t="str">
        <f t="shared" si="40"/>
        <v/>
      </c>
      <c r="N214" s="7" t="str">
        <f t="shared" si="41"/>
        <v/>
      </c>
      <c r="O214" t="str">
        <f t="shared" si="42"/>
        <v/>
      </c>
      <c r="P214" t="str">
        <f t="shared" si="43"/>
        <v/>
      </c>
      <c r="Q214" t="str">
        <f t="shared" si="44"/>
        <v/>
      </c>
      <c r="S214" t="str">
        <f>""</f>
        <v/>
      </c>
      <c r="AL214" s="18" t="str">
        <f>IF(COUNTIF($A$2:A213, A213) = 1, A213, "")</f>
        <v/>
      </c>
    </row>
    <row r="215" spans="6:38" x14ac:dyDescent="0.2">
      <c r="F215" t="str">
        <f t="shared" si="39"/>
        <v/>
      </c>
      <c r="L215" s="7" t="str">
        <f t="shared" si="40"/>
        <v/>
      </c>
      <c r="N215" s="7" t="str">
        <f t="shared" si="41"/>
        <v/>
      </c>
      <c r="O215" t="str">
        <f t="shared" si="42"/>
        <v/>
      </c>
      <c r="P215" t="str">
        <f t="shared" si="43"/>
        <v/>
      </c>
      <c r="Q215" t="str">
        <f t="shared" si="44"/>
        <v/>
      </c>
      <c r="S215" t="str">
        <f>""</f>
        <v/>
      </c>
      <c r="AL215" s="18" t="str">
        <f>IF(COUNTIF($A$2:A214, A214) = 1, A214, "")</f>
        <v/>
      </c>
    </row>
    <row r="216" spans="6:38" x14ac:dyDescent="0.2">
      <c r="F216" t="str">
        <f t="shared" si="39"/>
        <v/>
      </c>
      <c r="L216" s="7" t="str">
        <f t="shared" si="40"/>
        <v/>
      </c>
      <c r="N216" s="7" t="str">
        <f t="shared" si="41"/>
        <v/>
      </c>
      <c r="O216" t="str">
        <f t="shared" si="42"/>
        <v/>
      </c>
      <c r="P216" t="str">
        <f t="shared" si="43"/>
        <v/>
      </c>
      <c r="Q216" t="str">
        <f t="shared" si="44"/>
        <v/>
      </c>
      <c r="S216" t="str">
        <f>""</f>
        <v/>
      </c>
      <c r="AL216" s="18" t="str">
        <f>IF(COUNTIF($A$2:A215, A215) = 1, A215, "")</f>
        <v/>
      </c>
    </row>
    <row r="217" spans="6:38" x14ac:dyDescent="0.2">
      <c r="F217" t="str">
        <f t="shared" si="39"/>
        <v/>
      </c>
      <c r="L217" s="7" t="str">
        <f t="shared" si="40"/>
        <v/>
      </c>
      <c r="N217" s="7" t="str">
        <f t="shared" si="41"/>
        <v/>
      </c>
      <c r="O217" t="str">
        <f t="shared" si="42"/>
        <v/>
      </c>
      <c r="P217" t="str">
        <f t="shared" si="43"/>
        <v/>
      </c>
      <c r="Q217" t="str">
        <f t="shared" si="44"/>
        <v/>
      </c>
      <c r="S217" t="str">
        <f>""</f>
        <v/>
      </c>
      <c r="AL217" s="18" t="str">
        <f>IF(COUNTIF($A$2:A216, A216) = 1, A216, "")</f>
        <v/>
      </c>
    </row>
    <row r="218" spans="6:38" x14ac:dyDescent="0.2">
      <c r="F218" t="str">
        <f t="shared" si="39"/>
        <v/>
      </c>
      <c r="L218" s="7" t="str">
        <f t="shared" si="40"/>
        <v/>
      </c>
      <c r="N218" s="7" t="str">
        <f t="shared" si="41"/>
        <v/>
      </c>
      <c r="O218" t="str">
        <f t="shared" si="42"/>
        <v/>
      </c>
      <c r="P218" t="str">
        <f t="shared" si="43"/>
        <v/>
      </c>
      <c r="Q218" t="str">
        <f t="shared" si="44"/>
        <v/>
      </c>
      <c r="S218" t="str">
        <f>""</f>
        <v/>
      </c>
      <c r="AL218" s="18" t="str">
        <f>IF(COUNTIF($A$2:A217, A217) = 1, A217, "")</f>
        <v/>
      </c>
    </row>
    <row r="219" spans="6:38" x14ac:dyDescent="0.2">
      <c r="F219" t="str">
        <f t="shared" si="39"/>
        <v/>
      </c>
      <c r="L219" s="7" t="str">
        <f t="shared" si="40"/>
        <v/>
      </c>
      <c r="N219" s="7" t="str">
        <f t="shared" si="41"/>
        <v/>
      </c>
      <c r="O219" t="str">
        <f t="shared" si="42"/>
        <v/>
      </c>
      <c r="P219" t="str">
        <f t="shared" si="43"/>
        <v/>
      </c>
      <c r="Q219" t="str">
        <f t="shared" si="44"/>
        <v/>
      </c>
      <c r="S219" t="str">
        <f>""</f>
        <v/>
      </c>
      <c r="AL219" s="18" t="str">
        <f>IF(COUNTIF($A$2:A218, A218) = 1, A218, "")</f>
        <v/>
      </c>
    </row>
    <row r="220" spans="6:38" x14ac:dyDescent="0.2">
      <c r="F220" t="str">
        <f t="shared" si="39"/>
        <v/>
      </c>
      <c r="L220" s="7" t="str">
        <f t="shared" si="40"/>
        <v/>
      </c>
      <c r="N220" s="7" t="str">
        <f t="shared" si="41"/>
        <v/>
      </c>
      <c r="O220" t="str">
        <f t="shared" si="42"/>
        <v/>
      </c>
      <c r="P220" t="str">
        <f t="shared" si="43"/>
        <v/>
      </c>
      <c r="Q220" t="str">
        <f t="shared" si="44"/>
        <v/>
      </c>
      <c r="S220" t="str">
        <f>""</f>
        <v/>
      </c>
      <c r="AL220" s="18" t="str">
        <f>IF(COUNTIF($A$2:A219, A219) = 1, A219, "")</f>
        <v/>
      </c>
    </row>
    <row r="221" spans="6:38" x14ac:dyDescent="0.2">
      <c r="F221" t="str">
        <f t="shared" si="39"/>
        <v/>
      </c>
      <c r="L221" s="7" t="str">
        <f t="shared" si="40"/>
        <v/>
      </c>
      <c r="N221" s="7" t="str">
        <f t="shared" si="41"/>
        <v/>
      </c>
      <c r="O221" t="str">
        <f t="shared" si="42"/>
        <v/>
      </c>
      <c r="P221" t="str">
        <f t="shared" si="43"/>
        <v/>
      </c>
      <c r="Q221" t="str">
        <f t="shared" si="44"/>
        <v/>
      </c>
      <c r="S221" t="str">
        <f>""</f>
        <v/>
      </c>
      <c r="AL221" s="18" t="str">
        <f>IF(COUNTIF($A$2:A220, A220) = 1, A220, "")</f>
        <v/>
      </c>
    </row>
    <row r="222" spans="6:38" x14ac:dyDescent="0.2">
      <c r="F222" t="str">
        <f t="shared" si="39"/>
        <v/>
      </c>
      <c r="L222" s="7" t="str">
        <f t="shared" si="40"/>
        <v/>
      </c>
      <c r="N222" s="7" t="str">
        <f t="shared" si="41"/>
        <v/>
      </c>
      <c r="O222" t="str">
        <f t="shared" si="42"/>
        <v/>
      </c>
      <c r="P222" t="str">
        <f t="shared" si="43"/>
        <v/>
      </c>
      <c r="Q222" t="str">
        <f t="shared" si="44"/>
        <v/>
      </c>
      <c r="S222" t="str">
        <f>""</f>
        <v/>
      </c>
      <c r="AL222" s="18" t="str">
        <f>IF(COUNTIF($A$2:A221, A221) = 1, A221, "")</f>
        <v/>
      </c>
    </row>
    <row r="223" spans="6:38" x14ac:dyDescent="0.2">
      <c r="F223" t="str">
        <f t="shared" si="39"/>
        <v/>
      </c>
      <c r="L223" s="7" t="str">
        <f t="shared" si="40"/>
        <v/>
      </c>
      <c r="N223" s="7" t="str">
        <f t="shared" si="41"/>
        <v/>
      </c>
      <c r="O223" t="str">
        <f t="shared" si="42"/>
        <v/>
      </c>
      <c r="P223" t="str">
        <f t="shared" si="43"/>
        <v/>
      </c>
      <c r="Q223" t="str">
        <f t="shared" si="44"/>
        <v/>
      </c>
      <c r="S223" t="str">
        <f>""</f>
        <v/>
      </c>
      <c r="AL223" s="18" t="str">
        <f>IF(COUNTIF($A$2:A222, A222) = 1, A222, "")</f>
        <v/>
      </c>
    </row>
    <row r="224" spans="6:38" x14ac:dyDescent="0.2">
      <c r="F224" t="str">
        <f t="shared" si="39"/>
        <v/>
      </c>
      <c r="L224" s="7" t="str">
        <f t="shared" si="40"/>
        <v/>
      </c>
      <c r="N224" s="7" t="str">
        <f t="shared" si="41"/>
        <v/>
      </c>
      <c r="O224" t="str">
        <f t="shared" si="42"/>
        <v/>
      </c>
      <c r="P224" t="str">
        <f t="shared" si="43"/>
        <v/>
      </c>
      <c r="Q224" t="str">
        <f t="shared" si="44"/>
        <v/>
      </c>
      <c r="S224" t="str">
        <f>""</f>
        <v/>
      </c>
      <c r="AL224" s="18" t="str">
        <f>IF(COUNTIF($A$2:A223, A223) = 1, A223, "")</f>
        <v/>
      </c>
    </row>
    <row r="225" spans="6:38" x14ac:dyDescent="0.2">
      <c r="F225" t="str">
        <f t="shared" si="39"/>
        <v/>
      </c>
      <c r="L225" s="7" t="str">
        <f t="shared" si="40"/>
        <v/>
      </c>
      <c r="N225" s="7" t="str">
        <f t="shared" si="41"/>
        <v/>
      </c>
      <c r="O225" t="str">
        <f t="shared" si="42"/>
        <v/>
      </c>
      <c r="P225" t="str">
        <f t="shared" si="43"/>
        <v/>
      </c>
      <c r="Q225" t="str">
        <f t="shared" si="44"/>
        <v/>
      </c>
      <c r="S225" t="str">
        <f>""</f>
        <v/>
      </c>
      <c r="AL225" s="18" t="str">
        <f>IF(COUNTIF($A$2:A224, A224) = 1, A224, "")</f>
        <v/>
      </c>
    </row>
    <row r="226" spans="6:38" x14ac:dyDescent="0.2">
      <c r="F226" t="str">
        <f t="shared" si="39"/>
        <v/>
      </c>
      <c r="L226" s="7" t="str">
        <f t="shared" si="40"/>
        <v/>
      </c>
      <c r="N226" s="7" t="str">
        <f t="shared" si="41"/>
        <v/>
      </c>
      <c r="O226" t="str">
        <f t="shared" si="42"/>
        <v/>
      </c>
      <c r="P226" t="str">
        <f t="shared" si="43"/>
        <v/>
      </c>
      <c r="Q226" t="str">
        <f t="shared" si="44"/>
        <v/>
      </c>
      <c r="S226" t="str">
        <f>""</f>
        <v/>
      </c>
      <c r="AL226" s="18" t="str">
        <f>IF(COUNTIF($A$2:A225, A225) = 1, A225, "")</f>
        <v/>
      </c>
    </row>
    <row r="227" spans="6:38" x14ac:dyDescent="0.2">
      <c r="F227" t="str">
        <f t="shared" si="39"/>
        <v/>
      </c>
      <c r="L227" s="7" t="str">
        <f t="shared" si="40"/>
        <v/>
      </c>
      <c r="N227" s="7" t="str">
        <f t="shared" si="41"/>
        <v/>
      </c>
      <c r="O227" t="str">
        <f t="shared" si="42"/>
        <v/>
      </c>
      <c r="P227" t="str">
        <f t="shared" si="43"/>
        <v/>
      </c>
      <c r="Q227" t="str">
        <f t="shared" si="44"/>
        <v/>
      </c>
      <c r="S227" t="str">
        <f>""</f>
        <v/>
      </c>
      <c r="AL227" s="18" t="str">
        <f>IF(COUNTIF($A$2:A226, A226) = 1, A226, "")</f>
        <v/>
      </c>
    </row>
    <row r="228" spans="6:38" x14ac:dyDescent="0.2">
      <c r="F228" t="str">
        <f t="shared" si="39"/>
        <v/>
      </c>
      <c r="L228" s="7" t="str">
        <f t="shared" si="40"/>
        <v/>
      </c>
      <c r="N228" s="7" t="str">
        <f t="shared" si="41"/>
        <v/>
      </c>
      <c r="O228" t="str">
        <f t="shared" si="42"/>
        <v/>
      </c>
      <c r="P228" t="str">
        <f t="shared" si="43"/>
        <v/>
      </c>
      <c r="Q228" t="str">
        <f t="shared" si="44"/>
        <v/>
      </c>
      <c r="S228" t="str">
        <f>""</f>
        <v/>
      </c>
      <c r="AL228" s="18" t="str">
        <f>IF(COUNTIF($A$2:A227, A227) = 1, A227, "")</f>
        <v/>
      </c>
    </row>
    <row r="229" spans="6:38" x14ac:dyDescent="0.2">
      <c r="F229" t="str">
        <f t="shared" si="39"/>
        <v/>
      </c>
      <c r="L229" s="7" t="str">
        <f t="shared" si="40"/>
        <v/>
      </c>
      <c r="N229" s="7" t="str">
        <f t="shared" si="41"/>
        <v/>
      </c>
      <c r="O229" t="str">
        <f t="shared" si="42"/>
        <v/>
      </c>
      <c r="P229" t="str">
        <f t="shared" si="43"/>
        <v/>
      </c>
      <c r="Q229" t="str">
        <f t="shared" si="44"/>
        <v/>
      </c>
      <c r="S229" t="str">
        <f>""</f>
        <v/>
      </c>
      <c r="AL229" s="18" t="str">
        <f>IF(COUNTIF($A$2:A228, A228) = 1, A228, "")</f>
        <v/>
      </c>
    </row>
    <row r="230" spans="6:38" x14ac:dyDescent="0.2">
      <c r="F230" t="str">
        <f t="shared" si="39"/>
        <v/>
      </c>
      <c r="L230" s="7" t="str">
        <f t="shared" si="40"/>
        <v/>
      </c>
      <c r="N230" s="7" t="str">
        <f t="shared" si="41"/>
        <v/>
      </c>
      <c r="O230" t="str">
        <f t="shared" si="42"/>
        <v/>
      </c>
      <c r="P230" t="str">
        <f t="shared" si="43"/>
        <v/>
      </c>
      <c r="Q230" t="str">
        <f t="shared" si="44"/>
        <v/>
      </c>
      <c r="S230" t="str">
        <f>""</f>
        <v/>
      </c>
      <c r="AL230" s="18" t="str">
        <f>IF(COUNTIF($A$2:A229, A229) = 1, A229, "")</f>
        <v/>
      </c>
    </row>
    <row r="231" spans="6:38" x14ac:dyDescent="0.2">
      <c r="F231" t="str">
        <f t="shared" si="39"/>
        <v/>
      </c>
      <c r="L231" s="7" t="str">
        <f t="shared" si="40"/>
        <v/>
      </c>
      <c r="N231" s="7" t="str">
        <f t="shared" si="41"/>
        <v/>
      </c>
      <c r="O231" t="str">
        <f t="shared" si="42"/>
        <v/>
      </c>
      <c r="P231" t="str">
        <f t="shared" si="43"/>
        <v/>
      </c>
      <c r="Q231" t="str">
        <f t="shared" si="44"/>
        <v/>
      </c>
      <c r="S231" t="str">
        <f>""</f>
        <v/>
      </c>
      <c r="AL231" s="18" t="str">
        <f>IF(COUNTIF($A$2:A230, A230) = 1, A230, "")</f>
        <v/>
      </c>
    </row>
    <row r="232" spans="6:38" x14ac:dyDescent="0.2">
      <c r="F232" t="str">
        <f t="shared" si="39"/>
        <v/>
      </c>
      <c r="L232" s="7" t="str">
        <f t="shared" si="40"/>
        <v/>
      </c>
      <c r="N232" s="7" t="str">
        <f t="shared" si="41"/>
        <v/>
      </c>
      <c r="O232" t="str">
        <f t="shared" si="42"/>
        <v/>
      </c>
      <c r="P232" t="str">
        <f t="shared" si="43"/>
        <v/>
      </c>
      <c r="Q232" t="str">
        <f t="shared" si="44"/>
        <v/>
      </c>
      <c r="S232" t="str">
        <f>""</f>
        <v/>
      </c>
      <c r="AL232" s="18" t="str">
        <f>IF(COUNTIF($A$2:A231, A231) = 1, A231, "")</f>
        <v/>
      </c>
    </row>
    <row r="233" spans="6:38" x14ac:dyDescent="0.2">
      <c r="F233" t="str">
        <f t="shared" si="39"/>
        <v/>
      </c>
      <c r="L233" s="7" t="str">
        <f t="shared" si="40"/>
        <v/>
      </c>
      <c r="N233" s="7" t="str">
        <f t="shared" si="41"/>
        <v/>
      </c>
      <c r="O233" t="str">
        <f t="shared" si="42"/>
        <v/>
      </c>
      <c r="P233" t="str">
        <f t="shared" si="43"/>
        <v/>
      </c>
      <c r="Q233" t="str">
        <f t="shared" si="44"/>
        <v/>
      </c>
      <c r="S233" t="str">
        <f>""</f>
        <v/>
      </c>
      <c r="AL233" s="18" t="str">
        <f>IF(COUNTIF($A$2:A232, A232) = 1, A232, "")</f>
        <v/>
      </c>
    </row>
    <row r="234" spans="6:38" x14ac:dyDescent="0.2">
      <c r="F234" t="str">
        <f t="shared" si="39"/>
        <v/>
      </c>
      <c r="L234" s="7" t="str">
        <f t="shared" si="40"/>
        <v/>
      </c>
      <c r="N234" s="7" t="str">
        <f t="shared" si="41"/>
        <v/>
      </c>
      <c r="O234" t="str">
        <f t="shared" si="42"/>
        <v/>
      </c>
      <c r="P234" t="str">
        <f t="shared" si="43"/>
        <v/>
      </c>
      <c r="Q234" t="str">
        <f t="shared" si="44"/>
        <v/>
      </c>
      <c r="S234" t="str">
        <f>""</f>
        <v/>
      </c>
      <c r="AL234" s="18" t="str">
        <f>IF(COUNTIF($A$2:A233, A233) = 1, A233, "")</f>
        <v/>
      </c>
    </row>
    <row r="235" spans="6:38" x14ac:dyDescent="0.2">
      <c r="F235" t="str">
        <f t="shared" si="39"/>
        <v/>
      </c>
      <c r="L235" s="7" t="str">
        <f t="shared" si="40"/>
        <v/>
      </c>
      <c r="N235" s="7" t="str">
        <f t="shared" si="41"/>
        <v/>
      </c>
      <c r="O235" t="str">
        <f t="shared" si="42"/>
        <v/>
      </c>
      <c r="P235" t="str">
        <f t="shared" si="43"/>
        <v/>
      </c>
      <c r="Q235" t="str">
        <f t="shared" si="44"/>
        <v/>
      </c>
      <c r="S235" t="str">
        <f>""</f>
        <v/>
      </c>
      <c r="AL235" s="18" t="str">
        <f>IF(COUNTIF($A$2:A234, A234) = 1, A234, "")</f>
        <v/>
      </c>
    </row>
    <row r="236" spans="6:38" x14ac:dyDescent="0.2">
      <c r="F236" t="str">
        <f t="shared" si="39"/>
        <v/>
      </c>
      <c r="L236" s="7" t="str">
        <f t="shared" si="40"/>
        <v/>
      </c>
      <c r="N236" s="7" t="str">
        <f t="shared" si="41"/>
        <v/>
      </c>
      <c r="O236" t="str">
        <f t="shared" si="42"/>
        <v/>
      </c>
      <c r="P236" t="str">
        <f t="shared" si="43"/>
        <v/>
      </c>
      <c r="Q236" t="str">
        <f t="shared" si="44"/>
        <v/>
      </c>
      <c r="S236" t="str">
        <f>""</f>
        <v/>
      </c>
      <c r="AL236" s="18" t="str">
        <f>IF(COUNTIF($A$2:A235, A235) = 1, A235, "")</f>
        <v/>
      </c>
    </row>
    <row r="237" spans="6:38" x14ac:dyDescent="0.2">
      <c r="F237" t="str">
        <f t="shared" si="39"/>
        <v/>
      </c>
      <c r="L237" s="7" t="str">
        <f t="shared" si="40"/>
        <v/>
      </c>
      <c r="N237" s="7" t="str">
        <f t="shared" si="41"/>
        <v/>
      </c>
      <c r="O237" t="str">
        <f t="shared" si="42"/>
        <v/>
      </c>
      <c r="P237" t="str">
        <f t="shared" si="43"/>
        <v/>
      </c>
      <c r="Q237" t="str">
        <f t="shared" si="44"/>
        <v/>
      </c>
      <c r="S237" t="str">
        <f>""</f>
        <v/>
      </c>
      <c r="AL237" s="18" t="str">
        <f>IF(COUNTIF($A$2:A236, A236) = 1, A236, "")</f>
        <v/>
      </c>
    </row>
    <row r="238" spans="6:38" x14ac:dyDescent="0.2">
      <c r="F238" t="str">
        <f t="shared" si="39"/>
        <v/>
      </c>
      <c r="L238" s="7" t="str">
        <f t="shared" si="40"/>
        <v/>
      </c>
      <c r="N238" s="7" t="str">
        <f t="shared" si="41"/>
        <v/>
      </c>
      <c r="O238" t="str">
        <f t="shared" si="42"/>
        <v/>
      </c>
      <c r="P238" t="str">
        <f t="shared" si="43"/>
        <v/>
      </c>
      <c r="Q238" t="str">
        <f t="shared" si="44"/>
        <v/>
      </c>
      <c r="S238" t="str">
        <f>""</f>
        <v/>
      </c>
      <c r="AL238" s="18" t="str">
        <f>IF(COUNTIF($A$2:A237, A237) = 1, A237, "")</f>
        <v/>
      </c>
    </row>
    <row r="239" spans="6:38" x14ac:dyDescent="0.2">
      <c r="F239" t="str">
        <f t="shared" si="39"/>
        <v/>
      </c>
      <c r="L239" s="7" t="str">
        <f t="shared" si="40"/>
        <v/>
      </c>
      <c r="N239" s="7" t="str">
        <f t="shared" si="41"/>
        <v/>
      </c>
      <c r="O239" t="str">
        <f t="shared" si="42"/>
        <v/>
      </c>
      <c r="P239" t="str">
        <f t="shared" si="43"/>
        <v/>
      </c>
      <c r="Q239" t="str">
        <f t="shared" si="44"/>
        <v/>
      </c>
      <c r="S239" t="str">
        <f>""</f>
        <v/>
      </c>
      <c r="AL239" s="18" t="str">
        <f>IF(COUNTIF($A$2:A238, A238) = 1, A238, "")</f>
        <v/>
      </c>
    </row>
    <row r="240" spans="6:38" x14ac:dyDescent="0.2">
      <c r="F240" t="str">
        <f t="shared" si="39"/>
        <v/>
      </c>
      <c r="L240" s="7" t="str">
        <f t="shared" si="40"/>
        <v/>
      </c>
      <c r="N240" s="7" t="str">
        <f t="shared" si="41"/>
        <v/>
      </c>
      <c r="O240" t="str">
        <f t="shared" si="42"/>
        <v/>
      </c>
      <c r="P240" t="str">
        <f t="shared" si="43"/>
        <v/>
      </c>
      <c r="Q240" t="str">
        <f t="shared" si="44"/>
        <v/>
      </c>
      <c r="S240" t="str">
        <f>""</f>
        <v/>
      </c>
      <c r="AL240" s="18" t="str">
        <f>IF(COUNTIF($A$2:A239, A239) = 1, A239, "")</f>
        <v/>
      </c>
    </row>
    <row r="241" spans="6:38" x14ac:dyDescent="0.2">
      <c r="F241" t="str">
        <f t="shared" si="39"/>
        <v/>
      </c>
      <c r="L241" s="7" t="str">
        <f t="shared" si="40"/>
        <v/>
      </c>
      <c r="N241" s="7" t="str">
        <f t="shared" si="41"/>
        <v/>
      </c>
      <c r="O241" t="str">
        <f t="shared" si="42"/>
        <v/>
      </c>
      <c r="P241" t="str">
        <f t="shared" si="43"/>
        <v/>
      </c>
      <c r="Q241" t="str">
        <f t="shared" si="44"/>
        <v/>
      </c>
      <c r="S241" t="str">
        <f>""</f>
        <v/>
      </c>
      <c r="AL241" s="18" t="str">
        <f>IF(COUNTIF($A$2:A240, A240) = 1, A240, "")</f>
        <v/>
      </c>
    </row>
    <row r="242" spans="6:38" x14ac:dyDescent="0.2">
      <c r="F242" t="str">
        <f t="shared" si="39"/>
        <v/>
      </c>
      <c r="L242" s="7" t="str">
        <f t="shared" si="40"/>
        <v/>
      </c>
      <c r="N242" s="7" t="str">
        <f t="shared" si="41"/>
        <v/>
      </c>
      <c r="O242" t="str">
        <f t="shared" si="42"/>
        <v/>
      </c>
      <c r="P242" t="str">
        <f t="shared" si="43"/>
        <v/>
      </c>
      <c r="Q242" t="str">
        <f t="shared" si="44"/>
        <v/>
      </c>
      <c r="S242" t="str">
        <f>""</f>
        <v/>
      </c>
      <c r="AL242" s="18" t="str">
        <f>IF(COUNTIF($A$2:A241, A241) = 1, A241, "")</f>
        <v/>
      </c>
    </row>
    <row r="243" spans="6:38" x14ac:dyDescent="0.2">
      <c r="F243" t="str">
        <f t="shared" si="39"/>
        <v/>
      </c>
      <c r="L243" s="7" t="str">
        <f t="shared" si="40"/>
        <v/>
      </c>
      <c r="N243" s="7" t="str">
        <f t="shared" si="41"/>
        <v/>
      </c>
      <c r="O243" t="str">
        <f t="shared" si="42"/>
        <v/>
      </c>
      <c r="P243" t="str">
        <f t="shared" si="43"/>
        <v/>
      </c>
      <c r="Q243" t="str">
        <f t="shared" si="44"/>
        <v/>
      </c>
      <c r="S243" t="str">
        <f>""</f>
        <v/>
      </c>
      <c r="AL243" s="18" t="str">
        <f>IF(COUNTIF($A$2:A242, A242) = 1, A242, "")</f>
        <v/>
      </c>
    </row>
    <row r="244" spans="6:38" x14ac:dyDescent="0.2">
      <c r="F244" t="str">
        <f t="shared" si="39"/>
        <v/>
      </c>
      <c r="L244" s="7" t="str">
        <f t="shared" si="40"/>
        <v/>
      </c>
      <c r="N244" s="7" t="str">
        <f t="shared" si="41"/>
        <v/>
      </c>
      <c r="O244" t="str">
        <f t="shared" si="42"/>
        <v/>
      </c>
      <c r="P244" t="str">
        <f t="shared" si="43"/>
        <v/>
      </c>
      <c r="Q244" t="str">
        <f t="shared" si="44"/>
        <v/>
      </c>
      <c r="S244" t="str">
        <f>""</f>
        <v/>
      </c>
      <c r="AL244" s="18" t="str">
        <f>IF(COUNTIF($A$2:A243, A243) = 1, A243, "")</f>
        <v/>
      </c>
    </row>
    <row r="245" spans="6:38" x14ac:dyDescent="0.2">
      <c r="F245" t="str">
        <f t="shared" si="39"/>
        <v/>
      </c>
      <c r="L245" s="7" t="str">
        <f t="shared" si="40"/>
        <v/>
      </c>
      <c r="N245" s="7" t="str">
        <f t="shared" si="41"/>
        <v/>
      </c>
      <c r="O245" t="str">
        <f t="shared" si="42"/>
        <v/>
      </c>
      <c r="P245" t="str">
        <f t="shared" si="43"/>
        <v/>
      </c>
      <c r="Q245" t="str">
        <f t="shared" si="44"/>
        <v/>
      </c>
      <c r="S245" t="str">
        <f>""</f>
        <v/>
      </c>
      <c r="AL245" s="18" t="str">
        <f>IF(COUNTIF($A$2:A244, A244) = 1, A244, "")</f>
        <v/>
      </c>
    </row>
    <row r="246" spans="6:38" x14ac:dyDescent="0.2">
      <c r="F246" t="str">
        <f t="shared" si="39"/>
        <v/>
      </c>
      <c r="L246" s="7" t="str">
        <f t="shared" si="40"/>
        <v/>
      </c>
      <c r="N246" s="7" t="str">
        <f t="shared" si="41"/>
        <v/>
      </c>
      <c r="O246" t="str">
        <f t="shared" si="42"/>
        <v/>
      </c>
      <c r="P246" t="str">
        <f t="shared" si="43"/>
        <v/>
      </c>
      <c r="Q246" t="str">
        <f t="shared" si="44"/>
        <v/>
      </c>
      <c r="S246" t="str">
        <f>""</f>
        <v/>
      </c>
      <c r="AL246" s="18" t="str">
        <f>IF(COUNTIF($A$2:A245, A245) = 1, A245, "")</f>
        <v/>
      </c>
    </row>
    <row r="247" spans="6:38" x14ac:dyDescent="0.2">
      <c r="F247" t="str">
        <f t="shared" si="39"/>
        <v/>
      </c>
      <c r="L247" s="7" t="str">
        <f t="shared" si="40"/>
        <v/>
      </c>
      <c r="N247" s="7" t="str">
        <f t="shared" si="41"/>
        <v/>
      </c>
      <c r="O247" t="str">
        <f t="shared" si="42"/>
        <v/>
      </c>
      <c r="P247" t="str">
        <f t="shared" si="43"/>
        <v/>
      </c>
      <c r="Q247" t="str">
        <f t="shared" si="44"/>
        <v/>
      </c>
      <c r="S247" t="str">
        <f>""</f>
        <v/>
      </c>
      <c r="AL247" s="18" t="str">
        <f>IF(COUNTIF($A$2:A246, A246) = 1, A246, "")</f>
        <v/>
      </c>
    </row>
    <row r="248" spans="6:38" x14ac:dyDescent="0.2">
      <c r="F248" t="str">
        <f t="shared" si="39"/>
        <v/>
      </c>
      <c r="L248" s="7" t="str">
        <f t="shared" si="40"/>
        <v/>
      </c>
      <c r="N248" s="7" t="str">
        <f t="shared" si="41"/>
        <v/>
      </c>
      <c r="O248" t="str">
        <f t="shared" si="42"/>
        <v/>
      </c>
      <c r="P248" t="str">
        <f t="shared" si="43"/>
        <v/>
      </c>
      <c r="Q248" t="str">
        <f t="shared" si="44"/>
        <v/>
      </c>
      <c r="S248" t="str">
        <f>""</f>
        <v/>
      </c>
      <c r="AL248" s="18" t="str">
        <f>IF(COUNTIF($A$2:A247, A247) = 1, A247, "")</f>
        <v/>
      </c>
    </row>
    <row r="249" spans="6:38" x14ac:dyDescent="0.2">
      <c r="F249" t="str">
        <f t="shared" si="39"/>
        <v/>
      </c>
      <c r="L249" s="7" t="str">
        <f t="shared" si="40"/>
        <v/>
      </c>
      <c r="N249" s="7" t="str">
        <f t="shared" si="41"/>
        <v/>
      </c>
      <c r="O249" t="str">
        <f t="shared" si="42"/>
        <v/>
      </c>
      <c r="P249" t="str">
        <f t="shared" si="43"/>
        <v/>
      </c>
      <c r="Q249" t="str">
        <f t="shared" si="44"/>
        <v/>
      </c>
      <c r="S249" t="str">
        <f>""</f>
        <v/>
      </c>
      <c r="AL249" s="18" t="str">
        <f>IF(COUNTIF($A$2:A248, A248) = 1, A248, "")</f>
        <v/>
      </c>
    </row>
    <row r="250" spans="6:38" x14ac:dyDescent="0.2">
      <c r="F250" t="str">
        <f t="shared" si="39"/>
        <v/>
      </c>
      <c r="L250" s="7" t="str">
        <f t="shared" si="40"/>
        <v/>
      </c>
      <c r="N250" s="7" t="str">
        <f t="shared" si="41"/>
        <v/>
      </c>
      <c r="O250" t="str">
        <f t="shared" si="42"/>
        <v/>
      </c>
      <c r="P250" t="str">
        <f t="shared" si="43"/>
        <v/>
      </c>
      <c r="Q250" t="str">
        <f t="shared" si="44"/>
        <v/>
      </c>
      <c r="S250" t="str">
        <f>""</f>
        <v/>
      </c>
      <c r="AL250" s="18" t="str">
        <f>IF(COUNTIF($A$2:A249, A249) = 1, A249, "")</f>
        <v/>
      </c>
    </row>
    <row r="251" spans="6:38" x14ac:dyDescent="0.2">
      <c r="F251" t="str">
        <f t="shared" si="39"/>
        <v/>
      </c>
      <c r="L251" s="7" t="str">
        <f t="shared" si="40"/>
        <v/>
      </c>
      <c r="N251" s="7" t="str">
        <f t="shared" si="41"/>
        <v/>
      </c>
      <c r="O251" t="str">
        <f t="shared" si="42"/>
        <v/>
      </c>
      <c r="P251" t="str">
        <f t="shared" si="43"/>
        <v/>
      </c>
      <c r="Q251" t="str">
        <f t="shared" si="44"/>
        <v/>
      </c>
      <c r="S251" t="str">
        <f>""</f>
        <v/>
      </c>
      <c r="AL251" s="18" t="str">
        <f>IF(COUNTIF($A$2:A250, A250) = 1, A250, "")</f>
        <v/>
      </c>
    </row>
    <row r="252" spans="6:38" x14ac:dyDescent="0.2">
      <c r="F252" t="str">
        <f t="shared" si="39"/>
        <v/>
      </c>
      <c r="L252" s="7" t="str">
        <f t="shared" si="40"/>
        <v/>
      </c>
      <c r="N252" s="7" t="str">
        <f t="shared" si="41"/>
        <v/>
      </c>
      <c r="O252" t="str">
        <f t="shared" si="42"/>
        <v/>
      </c>
      <c r="P252" t="str">
        <f t="shared" si="43"/>
        <v/>
      </c>
      <c r="Q252" t="str">
        <f t="shared" si="44"/>
        <v/>
      </c>
      <c r="S252" t="str">
        <f>""</f>
        <v/>
      </c>
      <c r="AL252" s="18" t="str">
        <f>IF(COUNTIF($A$2:A251, A251) = 1, A251, "")</f>
        <v/>
      </c>
    </row>
    <row r="253" spans="6:38" x14ac:dyDescent="0.2">
      <c r="F253" t="str">
        <f t="shared" si="39"/>
        <v/>
      </c>
      <c r="L253" s="7" t="str">
        <f t="shared" si="40"/>
        <v/>
      </c>
      <c r="N253" s="7" t="str">
        <f t="shared" si="41"/>
        <v/>
      </c>
      <c r="O253" t="str">
        <f t="shared" si="42"/>
        <v/>
      </c>
      <c r="P253" t="str">
        <f t="shared" si="43"/>
        <v/>
      </c>
      <c r="Q253" t="str">
        <f t="shared" si="44"/>
        <v/>
      </c>
      <c r="S253" t="str">
        <f>""</f>
        <v/>
      </c>
      <c r="AL253" s="18" t="str">
        <f>IF(COUNTIF($A$2:A252, A252) = 1, A252, "")</f>
        <v/>
      </c>
    </row>
    <row r="254" spans="6:38" x14ac:dyDescent="0.2">
      <c r="F254" t="str">
        <f t="shared" si="39"/>
        <v/>
      </c>
      <c r="L254" s="7" t="str">
        <f t="shared" si="40"/>
        <v/>
      </c>
      <c r="N254" s="7" t="str">
        <f t="shared" si="41"/>
        <v/>
      </c>
      <c r="O254" t="str">
        <f t="shared" si="42"/>
        <v/>
      </c>
      <c r="P254" t="str">
        <f t="shared" si="43"/>
        <v/>
      </c>
      <c r="Q254" t="str">
        <f t="shared" si="44"/>
        <v/>
      </c>
      <c r="S254" t="str">
        <f>""</f>
        <v/>
      </c>
      <c r="AL254" s="18" t="str">
        <f>IF(COUNTIF($A$2:A253, A253) = 1, A253, "")</f>
        <v/>
      </c>
    </row>
    <row r="255" spans="6:38" x14ac:dyDescent="0.2">
      <c r="F255" t="str">
        <f t="shared" si="39"/>
        <v/>
      </c>
      <c r="L255" s="7" t="str">
        <f t="shared" si="40"/>
        <v/>
      </c>
      <c r="N255" s="7" t="str">
        <f t="shared" si="41"/>
        <v/>
      </c>
      <c r="O255" t="str">
        <f t="shared" si="42"/>
        <v/>
      </c>
      <c r="P255" t="str">
        <f t="shared" si="43"/>
        <v/>
      </c>
      <c r="Q255" t="str">
        <f t="shared" si="44"/>
        <v/>
      </c>
      <c r="S255" t="str">
        <f>""</f>
        <v/>
      </c>
      <c r="AL255" s="18" t="str">
        <f>IF(COUNTIF($A$2:A254, A254) = 1, A254, "")</f>
        <v/>
      </c>
    </row>
    <row r="256" spans="6:38" x14ac:dyDescent="0.2">
      <c r="F256" t="str">
        <f t="shared" si="39"/>
        <v/>
      </c>
      <c r="L256" s="7" t="str">
        <f t="shared" si="40"/>
        <v/>
      </c>
      <c r="N256" s="7" t="str">
        <f t="shared" si="41"/>
        <v/>
      </c>
      <c r="O256" t="str">
        <f t="shared" si="42"/>
        <v/>
      </c>
      <c r="P256" t="str">
        <f t="shared" si="43"/>
        <v/>
      </c>
      <c r="Q256" t="str">
        <f t="shared" si="44"/>
        <v/>
      </c>
      <c r="S256" t="str">
        <f>""</f>
        <v/>
      </c>
      <c r="AL256" s="18" t="str">
        <f>IF(COUNTIF($A$2:A255, A255) = 1, A255, "")</f>
        <v/>
      </c>
    </row>
    <row r="257" spans="6:38" x14ac:dyDescent="0.2">
      <c r="F257" t="str">
        <f t="shared" si="39"/>
        <v/>
      </c>
      <c r="L257" s="7" t="str">
        <f t="shared" si="40"/>
        <v/>
      </c>
      <c r="N257" s="7" t="str">
        <f t="shared" si="41"/>
        <v/>
      </c>
      <c r="O257" t="str">
        <f t="shared" si="42"/>
        <v/>
      </c>
      <c r="P257" t="str">
        <f t="shared" si="43"/>
        <v/>
      </c>
      <c r="Q257" t="str">
        <f t="shared" si="44"/>
        <v/>
      </c>
      <c r="S257" t="str">
        <f>""</f>
        <v/>
      </c>
      <c r="AL257" s="18" t="str">
        <f>IF(COUNTIF($A$2:A256, A256) = 1, A256, "")</f>
        <v/>
      </c>
    </row>
    <row r="258" spans="6:38" x14ac:dyDescent="0.2">
      <c r="F258" t="str">
        <f t="shared" si="39"/>
        <v/>
      </c>
      <c r="L258" s="7" t="str">
        <f t="shared" si="40"/>
        <v/>
      </c>
      <c r="N258" s="7" t="str">
        <f t="shared" si="41"/>
        <v/>
      </c>
      <c r="O258" t="str">
        <f t="shared" si="42"/>
        <v/>
      </c>
      <c r="P258" t="str">
        <f t="shared" si="43"/>
        <v/>
      </c>
      <c r="Q258" t="str">
        <f t="shared" si="44"/>
        <v/>
      </c>
      <c r="S258" t="str">
        <f>""</f>
        <v/>
      </c>
      <c r="AL258" s="18" t="str">
        <f>IF(COUNTIF($A$2:A257, A257) = 1, A257, "")</f>
        <v/>
      </c>
    </row>
    <row r="259" spans="6:38" x14ac:dyDescent="0.2">
      <c r="F259" t="str">
        <f t="shared" si="39"/>
        <v/>
      </c>
      <c r="L259" s="7" t="str">
        <f t="shared" si="40"/>
        <v/>
      </c>
      <c r="N259" s="7" t="str">
        <f t="shared" si="41"/>
        <v/>
      </c>
      <c r="O259" t="str">
        <f t="shared" si="42"/>
        <v/>
      </c>
      <c r="P259" t="str">
        <f t="shared" si="43"/>
        <v/>
      </c>
      <c r="Q259" t="str">
        <f t="shared" si="44"/>
        <v/>
      </c>
      <c r="S259" t="str">
        <f>""</f>
        <v/>
      </c>
      <c r="AL259" s="18" t="str">
        <f>IF(COUNTIF($A$2:A258, A258) = 1, A258, "")</f>
        <v/>
      </c>
    </row>
    <row r="260" spans="6:38" x14ac:dyDescent="0.2">
      <c r="F260" t="str">
        <f t="shared" si="39"/>
        <v/>
      </c>
      <c r="L260" s="7" t="str">
        <f t="shared" si="40"/>
        <v/>
      </c>
      <c r="N260" s="7" t="str">
        <f t="shared" si="41"/>
        <v/>
      </c>
      <c r="O260" t="str">
        <f t="shared" si="42"/>
        <v/>
      </c>
      <c r="P260" t="str">
        <f t="shared" si="43"/>
        <v/>
      </c>
      <c r="Q260" t="str">
        <f t="shared" si="44"/>
        <v/>
      </c>
      <c r="S260" t="str">
        <f>""</f>
        <v/>
      </c>
      <c r="AL260" s="18" t="str">
        <f>IF(COUNTIF($A$2:A259, A259) = 1, A259, "")</f>
        <v/>
      </c>
    </row>
    <row r="261" spans="6:38" x14ac:dyDescent="0.2">
      <c r="F261" t="str">
        <f t="shared" si="39"/>
        <v/>
      </c>
      <c r="L261" s="7" t="str">
        <f t="shared" si="40"/>
        <v/>
      </c>
      <c r="N261" s="7" t="str">
        <f t="shared" si="41"/>
        <v/>
      </c>
      <c r="O261" t="str">
        <f t="shared" si="42"/>
        <v/>
      </c>
      <c r="P261" t="str">
        <f t="shared" si="43"/>
        <v/>
      </c>
      <c r="Q261" t="str">
        <f t="shared" si="44"/>
        <v/>
      </c>
      <c r="S261" t="str">
        <f>""</f>
        <v/>
      </c>
      <c r="AL261" s="18" t="str">
        <f>IF(COUNTIF($A$2:A260, A260) = 1, A260, "")</f>
        <v/>
      </c>
    </row>
    <row r="262" spans="6:38" x14ac:dyDescent="0.2">
      <c r="F262" t="str">
        <f t="shared" si="39"/>
        <v/>
      </c>
      <c r="L262" s="7" t="str">
        <f t="shared" si="40"/>
        <v/>
      </c>
      <c r="N262" s="7" t="str">
        <f t="shared" si="41"/>
        <v/>
      </c>
      <c r="O262" t="str">
        <f t="shared" si="42"/>
        <v/>
      </c>
      <c r="P262" t="str">
        <f t="shared" si="43"/>
        <v/>
      </c>
      <c r="Q262" t="str">
        <f t="shared" si="44"/>
        <v/>
      </c>
      <c r="S262" t="str">
        <f>""</f>
        <v/>
      </c>
      <c r="AL262" s="18" t="str">
        <f>IF(COUNTIF($A$2:A261, A261) = 1, A261, "")</f>
        <v/>
      </c>
    </row>
    <row r="263" spans="6:38" x14ac:dyDescent="0.2">
      <c r="F263" t="str">
        <f t="shared" si="39"/>
        <v/>
      </c>
      <c r="L263" s="7" t="str">
        <f t="shared" si="40"/>
        <v/>
      </c>
      <c r="N263" s="7" t="str">
        <f t="shared" si="41"/>
        <v/>
      </c>
      <c r="O263" t="str">
        <f t="shared" si="42"/>
        <v/>
      </c>
      <c r="P263" t="str">
        <f t="shared" si="43"/>
        <v/>
      </c>
      <c r="Q263" t="str">
        <f t="shared" si="44"/>
        <v/>
      </c>
      <c r="S263" t="str">
        <f>""</f>
        <v/>
      </c>
      <c r="AL263" s="18" t="str">
        <f>IF(COUNTIF($A$2:A262, A262) = 1, A262, "")</f>
        <v/>
      </c>
    </row>
    <row r="264" spans="6:38" x14ac:dyDescent="0.2">
      <c r="F264" t="str">
        <f t="shared" si="39"/>
        <v/>
      </c>
      <c r="L264" s="7" t="str">
        <f t="shared" si="40"/>
        <v/>
      </c>
      <c r="N264" s="7" t="str">
        <f t="shared" si="41"/>
        <v/>
      </c>
      <c r="O264" t="str">
        <f t="shared" si="42"/>
        <v/>
      </c>
      <c r="P264" t="str">
        <f t="shared" si="43"/>
        <v/>
      </c>
      <c r="Q264" t="str">
        <f t="shared" si="44"/>
        <v/>
      </c>
      <c r="S264" t="str">
        <f>""</f>
        <v/>
      </c>
      <c r="AL264" s="18" t="str">
        <f>IF(COUNTIF($A$2:A263, A263) = 1, A263, "")</f>
        <v/>
      </c>
    </row>
    <row r="265" spans="6:38" x14ac:dyDescent="0.2">
      <c r="F265" t="str">
        <f t="shared" si="39"/>
        <v/>
      </c>
      <c r="L265" s="7" t="str">
        <f t="shared" si="40"/>
        <v/>
      </c>
      <c r="N265" s="7" t="str">
        <f t="shared" si="41"/>
        <v/>
      </c>
      <c r="O265" t="str">
        <f t="shared" si="42"/>
        <v/>
      </c>
      <c r="P265" t="str">
        <f t="shared" si="43"/>
        <v/>
      </c>
      <c r="Q265" t="str">
        <f t="shared" si="44"/>
        <v/>
      </c>
      <c r="S265" t="str">
        <f>""</f>
        <v/>
      </c>
      <c r="AL265" s="18" t="str">
        <f>IF(COUNTIF($A$2:A264, A264) = 1, A264, "")</f>
        <v/>
      </c>
    </row>
    <row r="266" spans="6:38" x14ac:dyDescent="0.2">
      <c r="F266" t="str">
        <f t="shared" si="39"/>
        <v/>
      </c>
      <c r="L266" s="7" t="str">
        <f t="shared" si="40"/>
        <v/>
      </c>
      <c r="N266" s="7" t="str">
        <f t="shared" si="41"/>
        <v/>
      </c>
      <c r="O266" t="str">
        <f t="shared" si="42"/>
        <v/>
      </c>
      <c r="P266" t="str">
        <f t="shared" si="43"/>
        <v/>
      </c>
      <c r="Q266" t="str">
        <f t="shared" si="44"/>
        <v/>
      </c>
      <c r="S266" t="str">
        <f>""</f>
        <v/>
      </c>
      <c r="AL266" s="18" t="str">
        <f>IF(COUNTIF($A$2:A265, A265) = 1, A265, "")</f>
        <v/>
      </c>
    </row>
    <row r="267" spans="6:38" x14ac:dyDescent="0.2">
      <c r="F267" t="str">
        <f t="shared" si="39"/>
        <v/>
      </c>
      <c r="L267" s="7" t="str">
        <f t="shared" si="40"/>
        <v/>
      </c>
      <c r="N267" s="7" t="str">
        <f t="shared" si="41"/>
        <v/>
      </c>
      <c r="O267" t="str">
        <f t="shared" si="42"/>
        <v/>
      </c>
      <c r="P267" t="str">
        <f t="shared" si="43"/>
        <v/>
      </c>
      <c r="Q267" t="str">
        <f t="shared" si="44"/>
        <v/>
      </c>
      <c r="S267" t="str">
        <f>""</f>
        <v/>
      </c>
      <c r="AL267" s="18" t="str">
        <f>IF(COUNTIF($A$2:A266, A266) = 1, A266, "")</f>
        <v/>
      </c>
    </row>
    <row r="268" spans="6:38" x14ac:dyDescent="0.2">
      <c r="F268" t="str">
        <f t="shared" si="39"/>
        <v/>
      </c>
      <c r="L268" s="7" t="str">
        <f t="shared" si="40"/>
        <v/>
      </c>
      <c r="N268" s="7" t="str">
        <f t="shared" si="41"/>
        <v/>
      </c>
      <c r="O268" t="str">
        <f t="shared" si="42"/>
        <v/>
      </c>
      <c r="P268" t="str">
        <f t="shared" si="43"/>
        <v/>
      </c>
      <c r="Q268" t="str">
        <f t="shared" si="44"/>
        <v/>
      </c>
      <c r="S268" t="str">
        <f>""</f>
        <v/>
      </c>
      <c r="AL268" s="18" t="str">
        <f>IF(COUNTIF($A$2:A267, A267) = 1, A267, "")</f>
        <v/>
      </c>
    </row>
    <row r="269" spans="6:38" x14ac:dyDescent="0.2">
      <c r="F269" t="str">
        <f t="shared" si="39"/>
        <v/>
      </c>
      <c r="L269" s="7" t="str">
        <f t="shared" si="40"/>
        <v/>
      </c>
      <c r="N269" s="7" t="str">
        <f t="shared" si="41"/>
        <v/>
      </c>
      <c r="O269" t="str">
        <f t="shared" si="42"/>
        <v/>
      </c>
      <c r="P269" t="str">
        <f t="shared" si="43"/>
        <v/>
      </c>
      <c r="Q269" t="str">
        <f t="shared" si="44"/>
        <v/>
      </c>
      <c r="S269" t="str">
        <f>""</f>
        <v/>
      </c>
      <c r="AL269" s="18" t="str">
        <f>IF(COUNTIF($A$2:A268, A268) = 1, A268, "")</f>
        <v/>
      </c>
    </row>
    <row r="270" spans="6:38" x14ac:dyDescent="0.2">
      <c r="F270" t="str">
        <f t="shared" si="39"/>
        <v/>
      </c>
      <c r="L270" s="7" t="str">
        <f t="shared" si="40"/>
        <v/>
      </c>
      <c r="N270" s="7" t="str">
        <f t="shared" si="41"/>
        <v/>
      </c>
      <c r="O270" t="str">
        <f t="shared" si="42"/>
        <v/>
      </c>
      <c r="P270" t="str">
        <f t="shared" si="43"/>
        <v/>
      </c>
      <c r="Q270" t="str">
        <f t="shared" si="44"/>
        <v/>
      </c>
      <c r="S270" t="str">
        <f>""</f>
        <v/>
      </c>
      <c r="AL270" s="18" t="str">
        <f>IF(COUNTIF($A$2:A269, A269) = 1, A269, "")</f>
        <v/>
      </c>
    </row>
    <row r="271" spans="6:38" x14ac:dyDescent="0.2">
      <c r="F271" t="str">
        <f t="shared" si="39"/>
        <v/>
      </c>
      <c r="L271" s="7" t="str">
        <f t="shared" si="40"/>
        <v/>
      </c>
      <c r="N271" s="7" t="str">
        <f t="shared" si="41"/>
        <v/>
      </c>
      <c r="O271" t="str">
        <f t="shared" si="42"/>
        <v/>
      </c>
      <c r="P271" t="str">
        <f t="shared" si="43"/>
        <v/>
      </c>
      <c r="Q271" t="str">
        <f t="shared" si="44"/>
        <v/>
      </c>
      <c r="S271" t="str">
        <f>""</f>
        <v/>
      </c>
      <c r="AL271" s="18" t="str">
        <f>IF(COUNTIF($A$2:A270, A270) = 1, A270, "")</f>
        <v/>
      </c>
    </row>
    <row r="272" spans="6:38" x14ac:dyDescent="0.2">
      <c r="F272" t="str">
        <f t="shared" ref="F272:F335" si="45">IF(OR(O272="", P272=""), "", SUM(IF((O272&lt;&gt;"None")*(O272&lt;&gt;""),LEN(O272)-LEN(SUBSTITUTE(O272,",",""))+1,0)) + SUM(IF((P272&lt;&gt;"None")*(P272&lt;&gt;""),LEN(P272)-LEN(SUBSTITUTE(P272,",",""))+1,0)))</f>
        <v/>
      </c>
      <c r="L272" s="7" t="str">
        <f t="shared" ref="L272:L335" si="46">IF(LEN(E272)=0, "", IFERROR(IF(E272&gt;=0, K272 * (1 + E272/100) - K272, K272 / (ABS(E272)/100))+K272, ""))</f>
        <v/>
      </c>
      <c r="N272" s="7" t="str">
        <f t="shared" ref="N272:N335" si="47">IF(M272="Yes",L272-K272,IF(M272="No",-K272,""))</f>
        <v/>
      </c>
      <c r="O272" t="str">
        <f t="shared" ref="O272:O335" si="48">IF(AND(G272="No",H272="No"), "None", "")</f>
        <v/>
      </c>
      <c r="P272" t="str">
        <f t="shared" ref="P272:P335" si="49">IF(I272="No", "None", "")</f>
        <v/>
      </c>
      <c r="Q272" t="str">
        <f t="shared" ref="Q272:Q335" si="50">IF(AND(D272="Straight", M272 = "No"),IF(O272="None",P272,IF(P272="None",O272) ),"")</f>
        <v/>
      </c>
      <c r="S272" t="str">
        <f>""</f>
        <v/>
      </c>
      <c r="AL272" s="18" t="str">
        <f>IF(COUNTIF($A$2:A271, A271) = 1, A271, "")</f>
        <v/>
      </c>
    </row>
    <row r="273" spans="6:38" x14ac:dyDescent="0.2">
      <c r="F273" t="str">
        <f t="shared" si="45"/>
        <v/>
      </c>
      <c r="L273" s="7" t="str">
        <f t="shared" si="46"/>
        <v/>
      </c>
      <c r="N273" s="7" t="str">
        <f t="shared" si="47"/>
        <v/>
      </c>
      <c r="O273" t="str">
        <f t="shared" si="48"/>
        <v/>
      </c>
      <c r="P273" t="str">
        <f t="shared" si="49"/>
        <v/>
      </c>
      <c r="Q273" t="str">
        <f t="shared" si="50"/>
        <v/>
      </c>
      <c r="S273" t="str">
        <f>""</f>
        <v/>
      </c>
      <c r="AL273" s="18" t="str">
        <f>IF(COUNTIF($A$2:A272, A272) = 1, A272, "")</f>
        <v/>
      </c>
    </row>
    <row r="274" spans="6:38" x14ac:dyDescent="0.2">
      <c r="F274" t="str">
        <f t="shared" si="45"/>
        <v/>
      </c>
      <c r="L274" s="7" t="str">
        <f t="shared" si="46"/>
        <v/>
      </c>
      <c r="N274" s="7" t="str">
        <f t="shared" si="47"/>
        <v/>
      </c>
      <c r="O274" t="str">
        <f t="shared" si="48"/>
        <v/>
      </c>
      <c r="P274" t="str">
        <f t="shared" si="49"/>
        <v/>
      </c>
      <c r="Q274" t="str">
        <f t="shared" si="50"/>
        <v/>
      </c>
      <c r="S274" t="str">
        <f>""</f>
        <v/>
      </c>
      <c r="AL274" s="18" t="str">
        <f>IF(COUNTIF($A$2:A273, A273) = 1, A273, "")</f>
        <v/>
      </c>
    </row>
    <row r="275" spans="6:38" x14ac:dyDescent="0.2">
      <c r="F275" t="str">
        <f t="shared" si="45"/>
        <v/>
      </c>
      <c r="L275" s="7" t="str">
        <f t="shared" si="46"/>
        <v/>
      </c>
      <c r="N275" s="7" t="str">
        <f t="shared" si="47"/>
        <v/>
      </c>
      <c r="O275" t="str">
        <f t="shared" si="48"/>
        <v/>
      </c>
      <c r="P275" t="str">
        <f t="shared" si="49"/>
        <v/>
      </c>
      <c r="Q275" t="str">
        <f t="shared" si="50"/>
        <v/>
      </c>
      <c r="S275" t="str">
        <f>""</f>
        <v/>
      </c>
      <c r="AL275" s="18" t="str">
        <f>IF(COUNTIF($A$2:A274, A274) = 1, A274, "")</f>
        <v/>
      </c>
    </row>
    <row r="276" spans="6:38" x14ac:dyDescent="0.2">
      <c r="F276" t="str">
        <f t="shared" si="45"/>
        <v/>
      </c>
      <c r="L276" s="7" t="str">
        <f t="shared" si="46"/>
        <v/>
      </c>
      <c r="N276" s="7" t="str">
        <f t="shared" si="47"/>
        <v/>
      </c>
      <c r="O276" t="str">
        <f t="shared" si="48"/>
        <v/>
      </c>
      <c r="P276" t="str">
        <f t="shared" si="49"/>
        <v/>
      </c>
      <c r="Q276" t="str">
        <f t="shared" si="50"/>
        <v/>
      </c>
      <c r="S276" t="str">
        <f>""</f>
        <v/>
      </c>
      <c r="AL276" s="18" t="str">
        <f>IF(COUNTIF($A$2:A275, A275) = 1, A275, "")</f>
        <v/>
      </c>
    </row>
    <row r="277" spans="6:38" x14ac:dyDescent="0.2">
      <c r="F277" t="str">
        <f t="shared" si="45"/>
        <v/>
      </c>
      <c r="L277" s="7" t="str">
        <f t="shared" si="46"/>
        <v/>
      </c>
      <c r="N277" s="7" t="str">
        <f t="shared" si="47"/>
        <v/>
      </c>
      <c r="O277" t="str">
        <f t="shared" si="48"/>
        <v/>
      </c>
      <c r="P277" t="str">
        <f t="shared" si="49"/>
        <v/>
      </c>
      <c r="Q277" t="str">
        <f t="shared" si="50"/>
        <v/>
      </c>
      <c r="S277" t="str">
        <f>""</f>
        <v/>
      </c>
      <c r="AL277" s="18" t="str">
        <f>IF(COUNTIF($A$2:A276, A276) = 1, A276, "")</f>
        <v/>
      </c>
    </row>
    <row r="278" spans="6:38" x14ac:dyDescent="0.2">
      <c r="F278" t="str">
        <f t="shared" si="45"/>
        <v/>
      </c>
      <c r="L278" s="7" t="str">
        <f t="shared" si="46"/>
        <v/>
      </c>
      <c r="N278" s="7" t="str">
        <f t="shared" si="47"/>
        <v/>
      </c>
      <c r="O278" t="str">
        <f t="shared" si="48"/>
        <v/>
      </c>
      <c r="P278" t="str">
        <f t="shared" si="49"/>
        <v/>
      </c>
      <c r="Q278" t="str">
        <f t="shared" si="50"/>
        <v/>
      </c>
      <c r="S278" t="str">
        <f>""</f>
        <v/>
      </c>
      <c r="AL278" s="18" t="str">
        <f>IF(COUNTIF($A$2:A277, A277) = 1, A277, "")</f>
        <v/>
      </c>
    </row>
    <row r="279" spans="6:38" x14ac:dyDescent="0.2">
      <c r="F279" t="str">
        <f t="shared" si="45"/>
        <v/>
      </c>
      <c r="L279" s="7" t="str">
        <f t="shared" si="46"/>
        <v/>
      </c>
      <c r="N279" s="7" t="str">
        <f t="shared" si="47"/>
        <v/>
      </c>
      <c r="O279" t="str">
        <f t="shared" si="48"/>
        <v/>
      </c>
      <c r="P279" t="str">
        <f t="shared" si="49"/>
        <v/>
      </c>
      <c r="Q279" t="str">
        <f t="shared" si="50"/>
        <v/>
      </c>
      <c r="S279" t="str">
        <f>""</f>
        <v/>
      </c>
      <c r="AL279" s="18" t="str">
        <f>IF(COUNTIF($A$2:A278, A278) = 1, A278, "")</f>
        <v/>
      </c>
    </row>
    <row r="280" spans="6:38" x14ac:dyDescent="0.2">
      <c r="F280" t="str">
        <f t="shared" si="45"/>
        <v/>
      </c>
      <c r="L280" s="7" t="str">
        <f t="shared" si="46"/>
        <v/>
      </c>
      <c r="N280" s="7" t="str">
        <f t="shared" si="47"/>
        <v/>
      </c>
      <c r="O280" t="str">
        <f t="shared" si="48"/>
        <v/>
      </c>
      <c r="P280" t="str">
        <f t="shared" si="49"/>
        <v/>
      </c>
      <c r="Q280" t="str">
        <f t="shared" si="50"/>
        <v/>
      </c>
      <c r="S280" t="str">
        <f>""</f>
        <v/>
      </c>
      <c r="AL280" s="18" t="str">
        <f>IF(COUNTIF($A$2:A279, A279) = 1, A279, "")</f>
        <v/>
      </c>
    </row>
    <row r="281" spans="6:38" x14ac:dyDescent="0.2">
      <c r="F281" t="str">
        <f t="shared" si="45"/>
        <v/>
      </c>
      <c r="L281" s="7" t="str">
        <f t="shared" si="46"/>
        <v/>
      </c>
      <c r="N281" s="7" t="str">
        <f t="shared" si="47"/>
        <v/>
      </c>
      <c r="O281" t="str">
        <f t="shared" si="48"/>
        <v/>
      </c>
      <c r="P281" t="str">
        <f t="shared" si="49"/>
        <v/>
      </c>
      <c r="Q281" t="str">
        <f t="shared" si="50"/>
        <v/>
      </c>
      <c r="S281" t="str">
        <f>""</f>
        <v/>
      </c>
      <c r="AL281" s="18" t="str">
        <f>IF(COUNTIF($A$2:A280, A280) = 1, A280, "")</f>
        <v/>
      </c>
    </row>
    <row r="282" spans="6:38" x14ac:dyDescent="0.2">
      <c r="F282" t="str">
        <f t="shared" si="45"/>
        <v/>
      </c>
      <c r="L282" s="7" t="str">
        <f t="shared" si="46"/>
        <v/>
      </c>
      <c r="N282" s="7" t="str">
        <f t="shared" si="47"/>
        <v/>
      </c>
      <c r="O282" t="str">
        <f t="shared" si="48"/>
        <v/>
      </c>
      <c r="P282" t="str">
        <f t="shared" si="49"/>
        <v/>
      </c>
      <c r="Q282" t="str">
        <f t="shared" si="50"/>
        <v/>
      </c>
      <c r="S282" t="str">
        <f>""</f>
        <v/>
      </c>
      <c r="AL282" s="18" t="str">
        <f>IF(COUNTIF($A$2:A281, A281) = 1, A281, "")</f>
        <v/>
      </c>
    </row>
    <row r="283" spans="6:38" x14ac:dyDescent="0.2">
      <c r="F283" t="str">
        <f t="shared" si="45"/>
        <v/>
      </c>
      <c r="L283" s="7" t="str">
        <f t="shared" si="46"/>
        <v/>
      </c>
      <c r="N283" s="7" t="str">
        <f t="shared" si="47"/>
        <v/>
      </c>
      <c r="O283" t="str">
        <f t="shared" si="48"/>
        <v/>
      </c>
      <c r="P283" t="str">
        <f t="shared" si="49"/>
        <v/>
      </c>
      <c r="Q283" t="str">
        <f t="shared" si="50"/>
        <v/>
      </c>
      <c r="S283" t="str">
        <f>""</f>
        <v/>
      </c>
      <c r="AL283" s="18" t="str">
        <f>IF(COUNTIF($A$2:A282, A282) = 1, A282, "")</f>
        <v/>
      </c>
    </row>
    <row r="284" spans="6:38" x14ac:dyDescent="0.2">
      <c r="F284" t="str">
        <f t="shared" si="45"/>
        <v/>
      </c>
      <c r="L284" s="7" t="str">
        <f t="shared" si="46"/>
        <v/>
      </c>
      <c r="N284" s="7" t="str">
        <f t="shared" si="47"/>
        <v/>
      </c>
      <c r="O284" t="str">
        <f t="shared" si="48"/>
        <v/>
      </c>
      <c r="P284" t="str">
        <f t="shared" si="49"/>
        <v/>
      </c>
      <c r="Q284" t="str">
        <f t="shared" si="50"/>
        <v/>
      </c>
      <c r="S284" t="str">
        <f>""</f>
        <v/>
      </c>
      <c r="AL284" s="18" t="str">
        <f>IF(COUNTIF($A$2:A283, A283) = 1, A283, "")</f>
        <v/>
      </c>
    </row>
    <row r="285" spans="6:38" x14ac:dyDescent="0.2">
      <c r="F285" t="str">
        <f t="shared" si="45"/>
        <v/>
      </c>
      <c r="L285" s="7" t="str">
        <f t="shared" si="46"/>
        <v/>
      </c>
      <c r="N285" s="7" t="str">
        <f t="shared" si="47"/>
        <v/>
      </c>
      <c r="O285" t="str">
        <f t="shared" si="48"/>
        <v/>
      </c>
      <c r="P285" t="str">
        <f t="shared" si="49"/>
        <v/>
      </c>
      <c r="Q285" t="str">
        <f t="shared" si="50"/>
        <v/>
      </c>
      <c r="S285" t="str">
        <f>""</f>
        <v/>
      </c>
      <c r="AL285" s="18" t="str">
        <f>IF(COUNTIF($A$2:A284, A284) = 1, A284, "")</f>
        <v/>
      </c>
    </row>
    <row r="286" spans="6:38" x14ac:dyDescent="0.2">
      <c r="F286" t="str">
        <f t="shared" si="45"/>
        <v/>
      </c>
      <c r="L286" s="7" t="str">
        <f t="shared" si="46"/>
        <v/>
      </c>
      <c r="N286" s="7" t="str">
        <f t="shared" si="47"/>
        <v/>
      </c>
      <c r="O286" t="str">
        <f t="shared" si="48"/>
        <v/>
      </c>
      <c r="P286" t="str">
        <f t="shared" si="49"/>
        <v/>
      </c>
      <c r="Q286" t="str">
        <f t="shared" si="50"/>
        <v/>
      </c>
      <c r="S286" t="str">
        <f>""</f>
        <v/>
      </c>
      <c r="AL286" s="18" t="str">
        <f>IF(COUNTIF($A$2:A285, A285) = 1, A285, "")</f>
        <v/>
      </c>
    </row>
    <row r="287" spans="6:38" x14ac:dyDescent="0.2">
      <c r="F287" t="str">
        <f t="shared" si="45"/>
        <v/>
      </c>
      <c r="L287" s="7" t="str">
        <f t="shared" si="46"/>
        <v/>
      </c>
      <c r="N287" s="7" t="str">
        <f t="shared" si="47"/>
        <v/>
      </c>
      <c r="O287" t="str">
        <f t="shared" si="48"/>
        <v/>
      </c>
      <c r="P287" t="str">
        <f t="shared" si="49"/>
        <v/>
      </c>
      <c r="Q287" t="str">
        <f t="shared" si="50"/>
        <v/>
      </c>
      <c r="S287" t="str">
        <f>""</f>
        <v/>
      </c>
      <c r="AL287" s="18" t="str">
        <f>IF(COUNTIF($A$2:A286, A286) = 1, A286, "")</f>
        <v/>
      </c>
    </row>
    <row r="288" spans="6:38" x14ac:dyDescent="0.2">
      <c r="F288" t="str">
        <f t="shared" si="45"/>
        <v/>
      </c>
      <c r="L288" s="7" t="str">
        <f t="shared" si="46"/>
        <v/>
      </c>
      <c r="N288" s="7" t="str">
        <f t="shared" si="47"/>
        <v/>
      </c>
      <c r="O288" t="str">
        <f t="shared" si="48"/>
        <v/>
      </c>
      <c r="P288" t="str">
        <f t="shared" si="49"/>
        <v/>
      </c>
      <c r="Q288" t="str">
        <f t="shared" si="50"/>
        <v/>
      </c>
      <c r="S288" t="str">
        <f>""</f>
        <v/>
      </c>
      <c r="AL288" s="18" t="str">
        <f>IF(COUNTIF($A$2:A287, A287) = 1, A287, "")</f>
        <v/>
      </c>
    </row>
    <row r="289" spans="6:38" x14ac:dyDescent="0.2">
      <c r="F289" t="str">
        <f t="shared" si="45"/>
        <v/>
      </c>
      <c r="L289" s="7" t="str">
        <f t="shared" si="46"/>
        <v/>
      </c>
      <c r="N289" s="7" t="str">
        <f t="shared" si="47"/>
        <v/>
      </c>
      <c r="O289" t="str">
        <f t="shared" si="48"/>
        <v/>
      </c>
      <c r="P289" t="str">
        <f t="shared" si="49"/>
        <v/>
      </c>
      <c r="Q289" t="str">
        <f t="shared" si="50"/>
        <v/>
      </c>
      <c r="S289" t="str">
        <f>""</f>
        <v/>
      </c>
      <c r="AL289" s="18" t="str">
        <f>IF(COUNTIF($A$2:A288, A288) = 1, A288, "")</f>
        <v/>
      </c>
    </row>
    <row r="290" spans="6:38" x14ac:dyDescent="0.2">
      <c r="F290" t="str">
        <f t="shared" si="45"/>
        <v/>
      </c>
      <c r="L290" s="7" t="str">
        <f t="shared" si="46"/>
        <v/>
      </c>
      <c r="N290" s="7" t="str">
        <f t="shared" si="47"/>
        <v/>
      </c>
      <c r="O290" t="str">
        <f t="shared" si="48"/>
        <v/>
      </c>
      <c r="P290" t="str">
        <f t="shared" si="49"/>
        <v/>
      </c>
      <c r="Q290" t="str">
        <f t="shared" si="50"/>
        <v/>
      </c>
      <c r="S290" t="str">
        <f>""</f>
        <v/>
      </c>
      <c r="AL290" s="18" t="str">
        <f>IF(COUNTIF($A$2:A289, A289) = 1, A289, "")</f>
        <v/>
      </c>
    </row>
    <row r="291" spans="6:38" x14ac:dyDescent="0.2">
      <c r="F291" t="str">
        <f t="shared" si="45"/>
        <v/>
      </c>
      <c r="L291" s="7" t="str">
        <f t="shared" si="46"/>
        <v/>
      </c>
      <c r="N291" s="7" t="str">
        <f t="shared" si="47"/>
        <v/>
      </c>
      <c r="O291" t="str">
        <f t="shared" si="48"/>
        <v/>
      </c>
      <c r="P291" t="str">
        <f t="shared" si="49"/>
        <v/>
      </c>
      <c r="Q291" t="str">
        <f t="shared" si="50"/>
        <v/>
      </c>
      <c r="S291" t="str">
        <f>""</f>
        <v/>
      </c>
      <c r="AL291" s="18" t="str">
        <f>IF(COUNTIF($A$2:A290, A290) = 1, A290, "")</f>
        <v/>
      </c>
    </row>
    <row r="292" spans="6:38" x14ac:dyDescent="0.2">
      <c r="F292" t="str">
        <f t="shared" si="45"/>
        <v/>
      </c>
      <c r="L292" s="7" t="str">
        <f t="shared" si="46"/>
        <v/>
      </c>
      <c r="N292" s="7" t="str">
        <f t="shared" si="47"/>
        <v/>
      </c>
      <c r="O292" t="str">
        <f t="shared" si="48"/>
        <v/>
      </c>
      <c r="P292" t="str">
        <f t="shared" si="49"/>
        <v/>
      </c>
      <c r="Q292" t="str">
        <f t="shared" si="50"/>
        <v/>
      </c>
      <c r="S292" t="str">
        <f>""</f>
        <v/>
      </c>
      <c r="AL292" s="18" t="str">
        <f>IF(COUNTIF($A$2:A291, A291) = 1, A291, "")</f>
        <v/>
      </c>
    </row>
    <row r="293" spans="6:38" x14ac:dyDescent="0.2">
      <c r="F293" t="str">
        <f t="shared" si="45"/>
        <v/>
      </c>
      <c r="L293" s="7" t="str">
        <f t="shared" si="46"/>
        <v/>
      </c>
      <c r="N293" s="7" t="str">
        <f t="shared" si="47"/>
        <v/>
      </c>
      <c r="O293" t="str">
        <f t="shared" si="48"/>
        <v/>
      </c>
      <c r="P293" t="str">
        <f t="shared" si="49"/>
        <v/>
      </c>
      <c r="Q293" t="str">
        <f t="shared" si="50"/>
        <v/>
      </c>
      <c r="S293" t="str">
        <f>""</f>
        <v/>
      </c>
      <c r="AL293" s="18" t="str">
        <f>IF(COUNTIF($A$2:A292, A292) = 1, A292, "")</f>
        <v/>
      </c>
    </row>
    <row r="294" spans="6:38" x14ac:dyDescent="0.2">
      <c r="F294" t="str">
        <f t="shared" si="45"/>
        <v/>
      </c>
      <c r="L294" s="7" t="str">
        <f t="shared" si="46"/>
        <v/>
      </c>
      <c r="N294" s="7" t="str">
        <f t="shared" si="47"/>
        <v/>
      </c>
      <c r="O294" t="str">
        <f t="shared" si="48"/>
        <v/>
      </c>
      <c r="P294" t="str">
        <f t="shared" si="49"/>
        <v/>
      </c>
      <c r="Q294" t="str">
        <f t="shared" si="50"/>
        <v/>
      </c>
      <c r="S294" t="str">
        <f>""</f>
        <v/>
      </c>
      <c r="AL294" s="18" t="str">
        <f>IF(COUNTIF($A$2:A293, A293) = 1, A293, "")</f>
        <v/>
      </c>
    </row>
    <row r="295" spans="6:38" x14ac:dyDescent="0.2">
      <c r="F295" t="str">
        <f t="shared" si="45"/>
        <v/>
      </c>
      <c r="L295" s="7" t="str">
        <f t="shared" si="46"/>
        <v/>
      </c>
      <c r="N295" s="7" t="str">
        <f t="shared" si="47"/>
        <v/>
      </c>
      <c r="O295" t="str">
        <f t="shared" si="48"/>
        <v/>
      </c>
      <c r="P295" t="str">
        <f t="shared" si="49"/>
        <v/>
      </c>
      <c r="Q295" t="str">
        <f t="shared" si="50"/>
        <v/>
      </c>
      <c r="S295" t="str">
        <f>""</f>
        <v/>
      </c>
      <c r="AL295" s="18" t="str">
        <f>IF(COUNTIF($A$2:A294, A294) = 1, A294, "")</f>
        <v/>
      </c>
    </row>
    <row r="296" spans="6:38" x14ac:dyDescent="0.2">
      <c r="F296" t="str">
        <f t="shared" si="45"/>
        <v/>
      </c>
      <c r="L296" s="7" t="str">
        <f t="shared" si="46"/>
        <v/>
      </c>
      <c r="N296" s="7" t="str">
        <f t="shared" si="47"/>
        <v/>
      </c>
      <c r="O296" t="str">
        <f t="shared" si="48"/>
        <v/>
      </c>
      <c r="P296" t="str">
        <f t="shared" si="49"/>
        <v/>
      </c>
      <c r="Q296" t="str">
        <f t="shared" si="50"/>
        <v/>
      </c>
      <c r="S296" t="str">
        <f>""</f>
        <v/>
      </c>
      <c r="AL296" s="18" t="str">
        <f>IF(COUNTIF($A$2:A295, A295) = 1, A295, "")</f>
        <v/>
      </c>
    </row>
    <row r="297" spans="6:38" x14ac:dyDescent="0.2">
      <c r="F297" t="str">
        <f t="shared" si="45"/>
        <v/>
      </c>
      <c r="L297" s="7" t="str">
        <f t="shared" si="46"/>
        <v/>
      </c>
      <c r="N297" s="7" t="str">
        <f t="shared" si="47"/>
        <v/>
      </c>
      <c r="O297" t="str">
        <f t="shared" si="48"/>
        <v/>
      </c>
      <c r="P297" t="str">
        <f t="shared" si="49"/>
        <v/>
      </c>
      <c r="Q297" t="str">
        <f t="shared" si="50"/>
        <v/>
      </c>
      <c r="S297" t="str">
        <f>""</f>
        <v/>
      </c>
      <c r="AL297" s="18" t="str">
        <f>IF(COUNTIF($A$2:A296, A296) = 1, A296, "")</f>
        <v/>
      </c>
    </row>
    <row r="298" spans="6:38" x14ac:dyDescent="0.2">
      <c r="F298" t="str">
        <f t="shared" si="45"/>
        <v/>
      </c>
      <c r="L298" s="7" t="str">
        <f t="shared" si="46"/>
        <v/>
      </c>
      <c r="N298" s="7" t="str">
        <f t="shared" si="47"/>
        <v/>
      </c>
      <c r="O298" t="str">
        <f t="shared" si="48"/>
        <v/>
      </c>
      <c r="P298" t="str">
        <f t="shared" si="49"/>
        <v/>
      </c>
      <c r="Q298" t="str">
        <f t="shared" si="50"/>
        <v/>
      </c>
      <c r="S298" t="str">
        <f>""</f>
        <v/>
      </c>
      <c r="AL298" s="18" t="str">
        <f>IF(COUNTIF($A$2:A297, A297) = 1, A297, "")</f>
        <v/>
      </c>
    </row>
    <row r="299" spans="6:38" x14ac:dyDescent="0.2">
      <c r="F299" t="str">
        <f t="shared" si="45"/>
        <v/>
      </c>
      <c r="L299" s="7" t="str">
        <f t="shared" si="46"/>
        <v/>
      </c>
      <c r="N299" s="7" t="str">
        <f t="shared" si="47"/>
        <v/>
      </c>
      <c r="O299" t="str">
        <f t="shared" si="48"/>
        <v/>
      </c>
      <c r="P299" t="str">
        <f t="shared" si="49"/>
        <v/>
      </c>
      <c r="Q299" t="str">
        <f t="shared" si="50"/>
        <v/>
      </c>
      <c r="S299" t="str">
        <f>""</f>
        <v/>
      </c>
      <c r="AL299" s="18" t="str">
        <f>IF(COUNTIF($A$2:A298, A298) = 1, A298, "")</f>
        <v/>
      </c>
    </row>
    <row r="300" spans="6:38" x14ac:dyDescent="0.2">
      <c r="F300" t="str">
        <f t="shared" si="45"/>
        <v/>
      </c>
      <c r="L300" s="7" t="str">
        <f t="shared" si="46"/>
        <v/>
      </c>
      <c r="N300" s="7" t="str">
        <f t="shared" si="47"/>
        <v/>
      </c>
      <c r="O300" t="str">
        <f t="shared" si="48"/>
        <v/>
      </c>
      <c r="P300" t="str">
        <f t="shared" si="49"/>
        <v/>
      </c>
      <c r="Q300" t="str">
        <f t="shared" si="50"/>
        <v/>
      </c>
      <c r="S300" t="str">
        <f>""</f>
        <v/>
      </c>
      <c r="AL300" s="18" t="str">
        <f>IF(COUNTIF($A$2:A299, A299) = 1, A299, "")</f>
        <v/>
      </c>
    </row>
    <row r="301" spans="6:38" x14ac:dyDescent="0.2">
      <c r="F301" t="str">
        <f t="shared" si="45"/>
        <v/>
      </c>
      <c r="L301" s="7" t="str">
        <f t="shared" si="46"/>
        <v/>
      </c>
      <c r="N301" s="7" t="str">
        <f t="shared" si="47"/>
        <v/>
      </c>
      <c r="O301" t="str">
        <f t="shared" si="48"/>
        <v/>
      </c>
      <c r="P301" t="str">
        <f t="shared" si="49"/>
        <v/>
      </c>
      <c r="Q301" t="str">
        <f t="shared" si="50"/>
        <v/>
      </c>
      <c r="S301" t="str">
        <f>""</f>
        <v/>
      </c>
      <c r="AL301" s="18" t="str">
        <f>IF(COUNTIF($A$2:A300, A300) = 1, A300, "")</f>
        <v/>
      </c>
    </row>
    <row r="302" spans="6:38" x14ac:dyDescent="0.2">
      <c r="F302" t="str">
        <f t="shared" si="45"/>
        <v/>
      </c>
      <c r="L302" s="7" t="str">
        <f t="shared" si="46"/>
        <v/>
      </c>
      <c r="N302" s="7" t="str">
        <f t="shared" si="47"/>
        <v/>
      </c>
      <c r="O302" t="str">
        <f t="shared" si="48"/>
        <v/>
      </c>
      <c r="P302" t="str">
        <f t="shared" si="49"/>
        <v/>
      </c>
      <c r="Q302" t="str">
        <f t="shared" si="50"/>
        <v/>
      </c>
      <c r="S302" t="str">
        <f>""</f>
        <v/>
      </c>
      <c r="AL302" s="18" t="str">
        <f>IF(COUNTIF($A$2:A301, A301) = 1, A301, "")</f>
        <v/>
      </c>
    </row>
    <row r="303" spans="6:38" x14ac:dyDescent="0.2">
      <c r="F303" t="str">
        <f t="shared" si="45"/>
        <v/>
      </c>
      <c r="L303" s="7" t="str">
        <f t="shared" si="46"/>
        <v/>
      </c>
      <c r="N303" s="7" t="str">
        <f t="shared" si="47"/>
        <v/>
      </c>
      <c r="O303" t="str">
        <f t="shared" si="48"/>
        <v/>
      </c>
      <c r="P303" t="str">
        <f t="shared" si="49"/>
        <v/>
      </c>
      <c r="Q303" t="str">
        <f t="shared" si="50"/>
        <v/>
      </c>
      <c r="S303" t="str">
        <f>""</f>
        <v/>
      </c>
      <c r="AL303" s="18" t="str">
        <f>IF(COUNTIF($A$2:A302, A302) = 1, A302, "")</f>
        <v/>
      </c>
    </row>
    <row r="304" spans="6:38" x14ac:dyDescent="0.2">
      <c r="F304" t="str">
        <f t="shared" si="45"/>
        <v/>
      </c>
      <c r="L304" s="7" t="str">
        <f t="shared" si="46"/>
        <v/>
      </c>
      <c r="N304" s="7" t="str">
        <f t="shared" si="47"/>
        <v/>
      </c>
      <c r="O304" t="str">
        <f t="shared" si="48"/>
        <v/>
      </c>
      <c r="P304" t="str">
        <f t="shared" si="49"/>
        <v/>
      </c>
      <c r="Q304" t="str">
        <f t="shared" si="50"/>
        <v/>
      </c>
      <c r="S304" t="str">
        <f>""</f>
        <v/>
      </c>
      <c r="AL304" s="18" t="str">
        <f>IF(COUNTIF($A$2:A303, A303) = 1, A303, "")</f>
        <v/>
      </c>
    </row>
    <row r="305" spans="6:38" x14ac:dyDescent="0.2">
      <c r="F305" t="str">
        <f t="shared" si="45"/>
        <v/>
      </c>
      <c r="L305" s="7" t="str">
        <f t="shared" si="46"/>
        <v/>
      </c>
      <c r="N305" s="7" t="str">
        <f t="shared" si="47"/>
        <v/>
      </c>
      <c r="O305" t="str">
        <f t="shared" si="48"/>
        <v/>
      </c>
      <c r="P305" t="str">
        <f t="shared" si="49"/>
        <v/>
      </c>
      <c r="Q305" t="str">
        <f t="shared" si="50"/>
        <v/>
      </c>
      <c r="S305" t="str">
        <f>""</f>
        <v/>
      </c>
      <c r="AL305" s="18" t="str">
        <f>IF(COUNTIF($A$2:A304, A304) = 1, A304, "")</f>
        <v/>
      </c>
    </row>
    <row r="306" spans="6:38" x14ac:dyDescent="0.2">
      <c r="F306" t="str">
        <f t="shared" si="45"/>
        <v/>
      </c>
      <c r="L306" s="7" t="str">
        <f t="shared" si="46"/>
        <v/>
      </c>
      <c r="N306" s="7" t="str">
        <f t="shared" si="47"/>
        <v/>
      </c>
      <c r="O306" t="str">
        <f t="shared" si="48"/>
        <v/>
      </c>
      <c r="P306" t="str">
        <f t="shared" si="49"/>
        <v/>
      </c>
      <c r="Q306" t="str">
        <f t="shared" si="50"/>
        <v/>
      </c>
      <c r="S306" t="str">
        <f>""</f>
        <v/>
      </c>
      <c r="AL306" s="18" t="str">
        <f>IF(COUNTIF($A$2:A305, A305) = 1, A305, "")</f>
        <v/>
      </c>
    </row>
    <row r="307" spans="6:38" x14ac:dyDescent="0.2">
      <c r="F307" t="str">
        <f t="shared" si="45"/>
        <v/>
      </c>
      <c r="L307" s="7" t="str">
        <f t="shared" si="46"/>
        <v/>
      </c>
      <c r="N307" s="7" t="str">
        <f t="shared" si="47"/>
        <v/>
      </c>
      <c r="O307" t="str">
        <f t="shared" si="48"/>
        <v/>
      </c>
      <c r="P307" t="str">
        <f t="shared" si="49"/>
        <v/>
      </c>
      <c r="Q307" t="str">
        <f t="shared" si="50"/>
        <v/>
      </c>
      <c r="S307" t="str">
        <f>""</f>
        <v/>
      </c>
      <c r="AL307" s="18" t="str">
        <f>IF(COUNTIF($A$2:A306, A306) = 1, A306, "")</f>
        <v/>
      </c>
    </row>
    <row r="308" spans="6:38" x14ac:dyDescent="0.2">
      <c r="F308" t="str">
        <f t="shared" si="45"/>
        <v/>
      </c>
      <c r="L308" s="7" t="str">
        <f t="shared" si="46"/>
        <v/>
      </c>
      <c r="N308" s="7" t="str">
        <f t="shared" si="47"/>
        <v/>
      </c>
      <c r="O308" t="str">
        <f t="shared" si="48"/>
        <v/>
      </c>
      <c r="P308" t="str">
        <f t="shared" si="49"/>
        <v/>
      </c>
      <c r="Q308" t="str">
        <f t="shared" si="50"/>
        <v/>
      </c>
      <c r="S308" t="str">
        <f>""</f>
        <v/>
      </c>
      <c r="AL308" s="18" t="str">
        <f>IF(COUNTIF($A$2:A307, A307) = 1, A307, "")</f>
        <v/>
      </c>
    </row>
    <row r="309" spans="6:38" x14ac:dyDescent="0.2">
      <c r="F309" t="str">
        <f t="shared" si="45"/>
        <v/>
      </c>
      <c r="L309" s="7" t="str">
        <f t="shared" si="46"/>
        <v/>
      </c>
      <c r="N309" s="7" t="str">
        <f t="shared" si="47"/>
        <v/>
      </c>
      <c r="O309" t="str">
        <f t="shared" si="48"/>
        <v/>
      </c>
      <c r="P309" t="str">
        <f t="shared" si="49"/>
        <v/>
      </c>
      <c r="Q309" t="str">
        <f t="shared" si="50"/>
        <v/>
      </c>
      <c r="S309" t="str">
        <f>""</f>
        <v/>
      </c>
      <c r="AL309" s="18" t="str">
        <f>IF(COUNTIF($A$2:A308, A308) = 1, A308, "")</f>
        <v/>
      </c>
    </row>
    <row r="310" spans="6:38" x14ac:dyDescent="0.2">
      <c r="F310" t="str">
        <f t="shared" si="45"/>
        <v/>
      </c>
      <c r="L310" s="7" t="str">
        <f t="shared" si="46"/>
        <v/>
      </c>
      <c r="N310" s="7" t="str">
        <f t="shared" si="47"/>
        <v/>
      </c>
      <c r="O310" t="str">
        <f t="shared" si="48"/>
        <v/>
      </c>
      <c r="P310" t="str">
        <f t="shared" si="49"/>
        <v/>
      </c>
      <c r="Q310" t="str">
        <f t="shared" si="50"/>
        <v/>
      </c>
      <c r="S310" t="str">
        <f>""</f>
        <v/>
      </c>
      <c r="AL310" s="18" t="str">
        <f>IF(COUNTIF($A$2:A309, A309) = 1, A309, "")</f>
        <v/>
      </c>
    </row>
    <row r="311" spans="6:38" x14ac:dyDescent="0.2">
      <c r="F311" t="str">
        <f t="shared" si="45"/>
        <v/>
      </c>
      <c r="L311" s="7" t="str">
        <f t="shared" si="46"/>
        <v/>
      </c>
      <c r="N311" s="7" t="str">
        <f t="shared" si="47"/>
        <v/>
      </c>
      <c r="O311" t="str">
        <f t="shared" si="48"/>
        <v/>
      </c>
      <c r="P311" t="str">
        <f t="shared" si="49"/>
        <v/>
      </c>
      <c r="Q311" t="str">
        <f t="shared" si="50"/>
        <v/>
      </c>
      <c r="S311" t="str">
        <f>""</f>
        <v/>
      </c>
      <c r="AL311" s="18" t="str">
        <f>IF(COUNTIF($A$2:A310, A310) = 1, A310, "")</f>
        <v/>
      </c>
    </row>
    <row r="312" spans="6:38" x14ac:dyDescent="0.2">
      <c r="F312" t="str">
        <f t="shared" si="45"/>
        <v/>
      </c>
      <c r="L312" s="7" t="str">
        <f t="shared" si="46"/>
        <v/>
      </c>
      <c r="N312" s="7" t="str">
        <f t="shared" si="47"/>
        <v/>
      </c>
      <c r="O312" t="str">
        <f t="shared" si="48"/>
        <v/>
      </c>
      <c r="P312" t="str">
        <f t="shared" si="49"/>
        <v/>
      </c>
      <c r="Q312" t="str">
        <f t="shared" si="50"/>
        <v/>
      </c>
      <c r="S312" t="str">
        <f>""</f>
        <v/>
      </c>
      <c r="AL312" s="18" t="str">
        <f>IF(COUNTIF($A$2:A311, A311) = 1, A311, "")</f>
        <v/>
      </c>
    </row>
    <row r="313" spans="6:38" x14ac:dyDescent="0.2">
      <c r="F313" t="str">
        <f t="shared" si="45"/>
        <v/>
      </c>
      <c r="L313" s="7" t="str">
        <f t="shared" si="46"/>
        <v/>
      </c>
      <c r="N313" s="7" t="str">
        <f t="shared" si="47"/>
        <v/>
      </c>
      <c r="O313" t="str">
        <f t="shared" si="48"/>
        <v/>
      </c>
      <c r="P313" t="str">
        <f t="shared" si="49"/>
        <v/>
      </c>
      <c r="Q313" t="str">
        <f t="shared" si="50"/>
        <v/>
      </c>
      <c r="S313" t="str">
        <f>""</f>
        <v/>
      </c>
      <c r="AL313" s="18" t="str">
        <f>IF(COUNTIF($A$2:A312, A312) = 1, A312, "")</f>
        <v/>
      </c>
    </row>
    <row r="314" spans="6:38" x14ac:dyDescent="0.2">
      <c r="F314" t="str">
        <f t="shared" si="45"/>
        <v/>
      </c>
      <c r="L314" s="7" t="str">
        <f t="shared" si="46"/>
        <v/>
      </c>
      <c r="N314" s="7" t="str">
        <f t="shared" si="47"/>
        <v/>
      </c>
      <c r="O314" t="str">
        <f t="shared" si="48"/>
        <v/>
      </c>
      <c r="P314" t="str">
        <f t="shared" si="49"/>
        <v/>
      </c>
      <c r="Q314" t="str">
        <f t="shared" si="50"/>
        <v/>
      </c>
      <c r="S314" t="str">
        <f>""</f>
        <v/>
      </c>
      <c r="AL314" s="18" t="str">
        <f>IF(COUNTIF($A$2:A313, A313) = 1, A313, "")</f>
        <v/>
      </c>
    </row>
    <row r="315" spans="6:38" x14ac:dyDescent="0.2">
      <c r="F315" t="str">
        <f t="shared" si="45"/>
        <v/>
      </c>
      <c r="L315" s="7" t="str">
        <f t="shared" si="46"/>
        <v/>
      </c>
      <c r="N315" s="7" t="str">
        <f t="shared" si="47"/>
        <v/>
      </c>
      <c r="O315" t="str">
        <f t="shared" si="48"/>
        <v/>
      </c>
      <c r="P315" t="str">
        <f t="shared" si="49"/>
        <v/>
      </c>
      <c r="Q315" t="str">
        <f t="shared" si="50"/>
        <v/>
      </c>
      <c r="S315" t="str">
        <f>""</f>
        <v/>
      </c>
      <c r="AL315" s="18" t="str">
        <f>IF(COUNTIF($A$2:A314, A314) = 1, A314, "")</f>
        <v/>
      </c>
    </row>
    <row r="316" spans="6:38" x14ac:dyDescent="0.2">
      <c r="F316" t="str">
        <f t="shared" si="45"/>
        <v/>
      </c>
      <c r="L316" s="7" t="str">
        <f t="shared" si="46"/>
        <v/>
      </c>
      <c r="N316" s="7" t="str">
        <f t="shared" si="47"/>
        <v/>
      </c>
      <c r="O316" t="str">
        <f t="shared" si="48"/>
        <v/>
      </c>
      <c r="P316" t="str">
        <f t="shared" si="49"/>
        <v/>
      </c>
      <c r="Q316" t="str">
        <f t="shared" si="50"/>
        <v/>
      </c>
      <c r="S316" t="str">
        <f>""</f>
        <v/>
      </c>
      <c r="AL316" s="18" t="str">
        <f>IF(COUNTIF($A$2:A315, A315) = 1, A315, "")</f>
        <v/>
      </c>
    </row>
    <row r="317" spans="6:38" x14ac:dyDescent="0.2">
      <c r="F317" t="str">
        <f t="shared" si="45"/>
        <v/>
      </c>
      <c r="L317" s="7" t="str">
        <f t="shared" si="46"/>
        <v/>
      </c>
      <c r="N317" s="7" t="str">
        <f t="shared" si="47"/>
        <v/>
      </c>
      <c r="O317" t="str">
        <f t="shared" si="48"/>
        <v/>
      </c>
      <c r="P317" t="str">
        <f t="shared" si="49"/>
        <v/>
      </c>
      <c r="Q317" t="str">
        <f t="shared" si="50"/>
        <v/>
      </c>
      <c r="S317" t="str">
        <f>""</f>
        <v/>
      </c>
      <c r="AL317" s="18" t="str">
        <f>IF(COUNTIF($A$2:A316, A316) = 1, A316, "")</f>
        <v/>
      </c>
    </row>
    <row r="318" spans="6:38" x14ac:dyDescent="0.2">
      <c r="F318" t="str">
        <f t="shared" si="45"/>
        <v/>
      </c>
      <c r="L318" s="7" t="str">
        <f t="shared" si="46"/>
        <v/>
      </c>
      <c r="N318" s="7" t="str">
        <f t="shared" si="47"/>
        <v/>
      </c>
      <c r="O318" t="str">
        <f t="shared" si="48"/>
        <v/>
      </c>
      <c r="P318" t="str">
        <f t="shared" si="49"/>
        <v/>
      </c>
      <c r="Q318" t="str">
        <f t="shared" si="50"/>
        <v/>
      </c>
      <c r="S318" t="str">
        <f>""</f>
        <v/>
      </c>
      <c r="AL318" s="18" t="str">
        <f>IF(COUNTIF($A$2:A317, A317) = 1, A317, "")</f>
        <v/>
      </c>
    </row>
    <row r="319" spans="6:38" x14ac:dyDescent="0.2">
      <c r="F319" t="str">
        <f t="shared" si="45"/>
        <v/>
      </c>
      <c r="L319" s="7" t="str">
        <f t="shared" si="46"/>
        <v/>
      </c>
      <c r="N319" s="7" t="str">
        <f t="shared" si="47"/>
        <v/>
      </c>
      <c r="O319" t="str">
        <f t="shared" si="48"/>
        <v/>
      </c>
      <c r="P319" t="str">
        <f t="shared" si="49"/>
        <v/>
      </c>
      <c r="Q319" t="str">
        <f t="shared" si="50"/>
        <v/>
      </c>
      <c r="S319" t="str">
        <f>""</f>
        <v/>
      </c>
      <c r="AL319" s="18" t="str">
        <f>IF(COUNTIF($A$2:A318, A318) = 1, A318, "")</f>
        <v/>
      </c>
    </row>
    <row r="320" spans="6:38" x14ac:dyDescent="0.2">
      <c r="F320" t="str">
        <f t="shared" si="45"/>
        <v/>
      </c>
      <c r="L320" s="7" t="str">
        <f t="shared" si="46"/>
        <v/>
      </c>
      <c r="N320" s="7" t="str">
        <f t="shared" si="47"/>
        <v/>
      </c>
      <c r="O320" t="str">
        <f t="shared" si="48"/>
        <v/>
      </c>
      <c r="P320" t="str">
        <f t="shared" si="49"/>
        <v/>
      </c>
      <c r="Q320" t="str">
        <f t="shared" si="50"/>
        <v/>
      </c>
      <c r="S320" t="str">
        <f>""</f>
        <v/>
      </c>
      <c r="AL320" s="18" t="str">
        <f>IF(COUNTIF($A$2:A319, A319) = 1, A319, "")</f>
        <v/>
      </c>
    </row>
    <row r="321" spans="6:38" x14ac:dyDescent="0.2">
      <c r="F321" t="str">
        <f t="shared" si="45"/>
        <v/>
      </c>
      <c r="L321" s="7" t="str">
        <f t="shared" si="46"/>
        <v/>
      </c>
      <c r="N321" s="7" t="str">
        <f t="shared" si="47"/>
        <v/>
      </c>
      <c r="O321" t="str">
        <f t="shared" si="48"/>
        <v/>
      </c>
      <c r="P321" t="str">
        <f t="shared" si="49"/>
        <v/>
      </c>
      <c r="Q321" t="str">
        <f t="shared" si="50"/>
        <v/>
      </c>
      <c r="S321" t="str">
        <f>""</f>
        <v/>
      </c>
      <c r="AL321" s="18" t="str">
        <f>IF(COUNTIF($A$2:A320, A320) = 1, A320, "")</f>
        <v/>
      </c>
    </row>
    <row r="322" spans="6:38" x14ac:dyDescent="0.2">
      <c r="F322" t="str">
        <f t="shared" si="45"/>
        <v/>
      </c>
      <c r="L322" s="7" t="str">
        <f t="shared" si="46"/>
        <v/>
      </c>
      <c r="N322" s="7" t="str">
        <f t="shared" si="47"/>
        <v/>
      </c>
      <c r="O322" t="str">
        <f t="shared" si="48"/>
        <v/>
      </c>
      <c r="P322" t="str">
        <f t="shared" si="49"/>
        <v/>
      </c>
      <c r="Q322" t="str">
        <f t="shared" si="50"/>
        <v/>
      </c>
      <c r="S322" t="str">
        <f>""</f>
        <v/>
      </c>
      <c r="AL322" s="18" t="str">
        <f>IF(COUNTIF($A$2:A321, A321) = 1, A321, "")</f>
        <v/>
      </c>
    </row>
    <row r="323" spans="6:38" x14ac:dyDescent="0.2">
      <c r="F323" t="str">
        <f t="shared" si="45"/>
        <v/>
      </c>
      <c r="L323" s="7" t="str">
        <f t="shared" si="46"/>
        <v/>
      </c>
      <c r="N323" s="7" t="str">
        <f t="shared" si="47"/>
        <v/>
      </c>
      <c r="O323" t="str">
        <f t="shared" si="48"/>
        <v/>
      </c>
      <c r="P323" t="str">
        <f t="shared" si="49"/>
        <v/>
      </c>
      <c r="Q323" t="str">
        <f t="shared" si="50"/>
        <v/>
      </c>
      <c r="S323" t="str">
        <f>""</f>
        <v/>
      </c>
      <c r="AL323" s="18" t="str">
        <f>IF(COUNTIF($A$2:A322, A322) = 1, A322, "")</f>
        <v/>
      </c>
    </row>
    <row r="324" spans="6:38" x14ac:dyDescent="0.2">
      <c r="F324" t="str">
        <f t="shared" si="45"/>
        <v/>
      </c>
      <c r="L324" s="7" t="str">
        <f t="shared" si="46"/>
        <v/>
      </c>
      <c r="N324" s="7" t="str">
        <f t="shared" si="47"/>
        <v/>
      </c>
      <c r="O324" t="str">
        <f t="shared" si="48"/>
        <v/>
      </c>
      <c r="P324" t="str">
        <f t="shared" si="49"/>
        <v/>
      </c>
      <c r="Q324" t="str">
        <f t="shared" si="50"/>
        <v/>
      </c>
      <c r="S324" t="str">
        <f>""</f>
        <v/>
      </c>
      <c r="AL324" s="18" t="str">
        <f>IF(COUNTIF($A$2:A323, A323) = 1, A323, "")</f>
        <v/>
      </c>
    </row>
    <row r="325" spans="6:38" x14ac:dyDescent="0.2">
      <c r="F325" t="str">
        <f t="shared" si="45"/>
        <v/>
      </c>
      <c r="L325" s="7" t="str">
        <f t="shared" si="46"/>
        <v/>
      </c>
      <c r="N325" s="7" t="str">
        <f t="shared" si="47"/>
        <v/>
      </c>
      <c r="O325" t="str">
        <f t="shared" si="48"/>
        <v/>
      </c>
      <c r="P325" t="str">
        <f t="shared" si="49"/>
        <v/>
      </c>
      <c r="Q325" t="str">
        <f t="shared" si="50"/>
        <v/>
      </c>
      <c r="S325" t="str">
        <f>""</f>
        <v/>
      </c>
      <c r="AL325" s="18" t="str">
        <f>IF(COUNTIF($A$2:A324, A324) = 1, A324, "")</f>
        <v/>
      </c>
    </row>
    <row r="326" spans="6:38" x14ac:dyDescent="0.2">
      <c r="F326" t="str">
        <f t="shared" si="45"/>
        <v/>
      </c>
      <c r="L326" s="7" t="str">
        <f t="shared" si="46"/>
        <v/>
      </c>
      <c r="N326" s="7" t="str">
        <f t="shared" si="47"/>
        <v/>
      </c>
      <c r="O326" t="str">
        <f t="shared" si="48"/>
        <v/>
      </c>
      <c r="P326" t="str">
        <f t="shared" si="49"/>
        <v/>
      </c>
      <c r="Q326" t="str">
        <f t="shared" si="50"/>
        <v/>
      </c>
      <c r="S326" t="str">
        <f>""</f>
        <v/>
      </c>
      <c r="AL326" s="18" t="str">
        <f>IF(COUNTIF($A$2:A325, A325) = 1, A325, "")</f>
        <v/>
      </c>
    </row>
    <row r="327" spans="6:38" x14ac:dyDescent="0.2">
      <c r="F327" t="str">
        <f t="shared" si="45"/>
        <v/>
      </c>
      <c r="L327" s="7" t="str">
        <f t="shared" si="46"/>
        <v/>
      </c>
      <c r="N327" s="7" t="str">
        <f t="shared" si="47"/>
        <v/>
      </c>
      <c r="O327" t="str">
        <f t="shared" si="48"/>
        <v/>
      </c>
      <c r="P327" t="str">
        <f t="shared" si="49"/>
        <v/>
      </c>
      <c r="Q327" t="str">
        <f t="shared" si="50"/>
        <v/>
      </c>
      <c r="S327" t="str">
        <f>""</f>
        <v/>
      </c>
      <c r="AL327" s="18" t="str">
        <f>IF(COUNTIF($A$2:A326, A326) = 1, A326, "")</f>
        <v/>
      </c>
    </row>
    <row r="328" spans="6:38" x14ac:dyDescent="0.2">
      <c r="F328" t="str">
        <f t="shared" si="45"/>
        <v/>
      </c>
      <c r="L328" s="7" t="str">
        <f t="shared" si="46"/>
        <v/>
      </c>
      <c r="N328" s="7" t="str">
        <f t="shared" si="47"/>
        <v/>
      </c>
      <c r="O328" t="str">
        <f t="shared" si="48"/>
        <v/>
      </c>
      <c r="P328" t="str">
        <f t="shared" si="49"/>
        <v/>
      </c>
      <c r="Q328" t="str">
        <f t="shared" si="50"/>
        <v/>
      </c>
      <c r="S328" t="str">
        <f>""</f>
        <v/>
      </c>
      <c r="AL328" s="18" t="str">
        <f>IF(COUNTIF($A$2:A327, A327) = 1, A327, "")</f>
        <v/>
      </c>
    </row>
    <row r="329" spans="6:38" x14ac:dyDescent="0.2">
      <c r="F329" t="str">
        <f t="shared" si="45"/>
        <v/>
      </c>
      <c r="L329" s="7" t="str">
        <f t="shared" si="46"/>
        <v/>
      </c>
      <c r="N329" s="7" t="str">
        <f t="shared" si="47"/>
        <v/>
      </c>
      <c r="O329" t="str">
        <f t="shared" si="48"/>
        <v/>
      </c>
      <c r="P329" t="str">
        <f t="shared" si="49"/>
        <v/>
      </c>
      <c r="Q329" t="str">
        <f t="shared" si="50"/>
        <v/>
      </c>
      <c r="S329" t="str">
        <f>""</f>
        <v/>
      </c>
      <c r="AL329" s="18" t="str">
        <f>IF(COUNTIF($A$2:A328, A328) = 1, A328, "")</f>
        <v/>
      </c>
    </row>
    <row r="330" spans="6:38" x14ac:dyDescent="0.2">
      <c r="F330" t="str">
        <f t="shared" si="45"/>
        <v/>
      </c>
      <c r="L330" s="7" t="str">
        <f t="shared" si="46"/>
        <v/>
      </c>
      <c r="N330" s="7" t="str">
        <f t="shared" si="47"/>
        <v/>
      </c>
      <c r="O330" t="str">
        <f t="shared" si="48"/>
        <v/>
      </c>
      <c r="P330" t="str">
        <f t="shared" si="49"/>
        <v/>
      </c>
      <c r="Q330" t="str">
        <f t="shared" si="50"/>
        <v/>
      </c>
      <c r="S330" t="str">
        <f>""</f>
        <v/>
      </c>
      <c r="AL330" s="18" t="str">
        <f>IF(COUNTIF($A$2:A329, A329) = 1, A329, "")</f>
        <v/>
      </c>
    </row>
    <row r="331" spans="6:38" x14ac:dyDescent="0.2">
      <c r="F331" t="str">
        <f t="shared" si="45"/>
        <v/>
      </c>
      <c r="L331" s="7" t="str">
        <f t="shared" si="46"/>
        <v/>
      </c>
      <c r="N331" s="7" t="str">
        <f t="shared" si="47"/>
        <v/>
      </c>
      <c r="O331" t="str">
        <f t="shared" si="48"/>
        <v/>
      </c>
      <c r="P331" t="str">
        <f t="shared" si="49"/>
        <v/>
      </c>
      <c r="Q331" t="str">
        <f t="shared" si="50"/>
        <v/>
      </c>
      <c r="S331" t="str">
        <f>""</f>
        <v/>
      </c>
      <c r="AL331" s="18" t="str">
        <f>IF(COUNTIF($A$2:A330, A330) = 1, A330, "")</f>
        <v/>
      </c>
    </row>
    <row r="332" spans="6:38" x14ac:dyDescent="0.2">
      <c r="F332" t="str">
        <f t="shared" si="45"/>
        <v/>
      </c>
      <c r="L332" s="7" t="str">
        <f t="shared" si="46"/>
        <v/>
      </c>
      <c r="N332" s="7" t="str">
        <f t="shared" si="47"/>
        <v/>
      </c>
      <c r="O332" t="str">
        <f t="shared" si="48"/>
        <v/>
      </c>
      <c r="P332" t="str">
        <f t="shared" si="49"/>
        <v/>
      </c>
      <c r="Q332" t="str">
        <f t="shared" si="50"/>
        <v/>
      </c>
      <c r="S332" t="str">
        <f>""</f>
        <v/>
      </c>
      <c r="AL332" s="18" t="str">
        <f>IF(COUNTIF($A$2:A331, A331) = 1, A331, "")</f>
        <v/>
      </c>
    </row>
    <row r="333" spans="6:38" x14ac:dyDescent="0.2">
      <c r="F333" t="str">
        <f t="shared" si="45"/>
        <v/>
      </c>
      <c r="L333" s="7" t="str">
        <f t="shared" si="46"/>
        <v/>
      </c>
      <c r="N333" s="7" t="str">
        <f t="shared" si="47"/>
        <v/>
      </c>
      <c r="O333" t="str">
        <f t="shared" si="48"/>
        <v/>
      </c>
      <c r="P333" t="str">
        <f t="shared" si="49"/>
        <v/>
      </c>
      <c r="Q333" t="str">
        <f t="shared" si="50"/>
        <v/>
      </c>
      <c r="S333" t="str">
        <f>""</f>
        <v/>
      </c>
      <c r="AL333" s="18" t="str">
        <f>IF(COUNTIF($A$2:A332, A332) = 1, A332, "")</f>
        <v/>
      </c>
    </row>
    <row r="334" spans="6:38" x14ac:dyDescent="0.2">
      <c r="F334" t="str">
        <f t="shared" si="45"/>
        <v/>
      </c>
      <c r="L334" s="7" t="str">
        <f t="shared" si="46"/>
        <v/>
      </c>
      <c r="N334" s="7" t="str">
        <f t="shared" si="47"/>
        <v/>
      </c>
      <c r="O334" t="str">
        <f t="shared" si="48"/>
        <v/>
      </c>
      <c r="P334" t="str">
        <f t="shared" si="49"/>
        <v/>
      </c>
      <c r="Q334" t="str">
        <f t="shared" si="50"/>
        <v/>
      </c>
      <c r="S334" t="str">
        <f>""</f>
        <v/>
      </c>
      <c r="AL334" s="18" t="str">
        <f>IF(COUNTIF($A$2:A333, A333) = 1, A333, "")</f>
        <v/>
      </c>
    </row>
    <row r="335" spans="6:38" x14ac:dyDescent="0.2">
      <c r="F335" t="str">
        <f t="shared" si="45"/>
        <v/>
      </c>
      <c r="L335" s="7" t="str">
        <f t="shared" si="46"/>
        <v/>
      </c>
      <c r="N335" s="7" t="str">
        <f t="shared" si="47"/>
        <v/>
      </c>
      <c r="O335" t="str">
        <f t="shared" si="48"/>
        <v/>
      </c>
      <c r="P335" t="str">
        <f t="shared" si="49"/>
        <v/>
      </c>
      <c r="Q335" t="str">
        <f t="shared" si="50"/>
        <v/>
      </c>
      <c r="S335" t="str">
        <f>""</f>
        <v/>
      </c>
      <c r="AL335" s="18" t="str">
        <f>IF(COUNTIF($A$2:A334, A334) = 1, A334, "")</f>
        <v/>
      </c>
    </row>
    <row r="336" spans="6:38" x14ac:dyDescent="0.2">
      <c r="F336" t="str">
        <f t="shared" ref="F336:F399" si="51">IF(OR(O336="", P336=""), "", SUM(IF((O336&lt;&gt;"None")*(O336&lt;&gt;""),LEN(O336)-LEN(SUBSTITUTE(O336,",",""))+1,0)) + SUM(IF((P336&lt;&gt;"None")*(P336&lt;&gt;""),LEN(P336)-LEN(SUBSTITUTE(P336,",",""))+1,0)))</f>
        <v/>
      </c>
      <c r="L336" s="7" t="str">
        <f t="shared" ref="L336:L399" si="52">IF(LEN(E336)=0, "", IFERROR(IF(E336&gt;=0, K336 * (1 + E336/100) - K336, K336 / (ABS(E336)/100))+K336, ""))</f>
        <v/>
      </c>
      <c r="N336" s="7" t="str">
        <f t="shared" ref="N336:N399" si="53">IF(M336="Yes",L336-K336,IF(M336="No",-K336,""))</f>
        <v/>
      </c>
      <c r="O336" t="str">
        <f t="shared" ref="O336:O399" si="54">IF(AND(G336="No",H336="No"), "None", "")</f>
        <v/>
      </c>
      <c r="P336" t="str">
        <f t="shared" ref="P336:P399" si="55">IF(I336="No", "None", "")</f>
        <v/>
      </c>
      <c r="Q336" t="str">
        <f t="shared" ref="Q336:Q399" si="56">IF(AND(D336="Straight", M336 = "No"),IF(O336="None",P336,IF(P336="None",O336) ),"")</f>
        <v/>
      </c>
      <c r="S336" t="str">
        <f>""</f>
        <v/>
      </c>
      <c r="AL336" s="18" t="str">
        <f>IF(COUNTIF($A$2:A335, A335) = 1, A335, "")</f>
        <v/>
      </c>
    </row>
    <row r="337" spans="6:38" x14ac:dyDescent="0.2">
      <c r="F337" t="str">
        <f t="shared" si="51"/>
        <v/>
      </c>
      <c r="L337" s="7" t="str">
        <f t="shared" si="52"/>
        <v/>
      </c>
      <c r="N337" s="7" t="str">
        <f t="shared" si="53"/>
        <v/>
      </c>
      <c r="O337" t="str">
        <f t="shared" si="54"/>
        <v/>
      </c>
      <c r="P337" t="str">
        <f t="shared" si="55"/>
        <v/>
      </c>
      <c r="Q337" t="str">
        <f t="shared" si="56"/>
        <v/>
      </c>
      <c r="S337" t="str">
        <f>""</f>
        <v/>
      </c>
      <c r="AL337" s="18" t="str">
        <f>IF(COUNTIF($A$2:A336, A336) = 1, A336, "")</f>
        <v/>
      </c>
    </row>
    <row r="338" spans="6:38" x14ac:dyDescent="0.2">
      <c r="F338" t="str">
        <f t="shared" si="51"/>
        <v/>
      </c>
      <c r="L338" s="7" t="str">
        <f t="shared" si="52"/>
        <v/>
      </c>
      <c r="N338" s="7" t="str">
        <f t="shared" si="53"/>
        <v/>
      </c>
      <c r="O338" t="str">
        <f t="shared" si="54"/>
        <v/>
      </c>
      <c r="P338" t="str">
        <f t="shared" si="55"/>
        <v/>
      </c>
      <c r="Q338" t="str">
        <f t="shared" si="56"/>
        <v/>
      </c>
      <c r="S338" t="str">
        <f>""</f>
        <v/>
      </c>
      <c r="AL338" s="18" t="str">
        <f>IF(COUNTIF($A$2:A337, A337) = 1, A337, "")</f>
        <v/>
      </c>
    </row>
    <row r="339" spans="6:38" x14ac:dyDescent="0.2">
      <c r="F339" t="str">
        <f t="shared" si="51"/>
        <v/>
      </c>
      <c r="L339" s="7" t="str">
        <f t="shared" si="52"/>
        <v/>
      </c>
      <c r="N339" s="7" t="str">
        <f t="shared" si="53"/>
        <v/>
      </c>
      <c r="O339" t="str">
        <f t="shared" si="54"/>
        <v/>
      </c>
      <c r="P339" t="str">
        <f t="shared" si="55"/>
        <v/>
      </c>
      <c r="Q339" t="str">
        <f t="shared" si="56"/>
        <v/>
      </c>
      <c r="S339" t="str">
        <f>""</f>
        <v/>
      </c>
      <c r="AL339" s="18" t="str">
        <f>IF(COUNTIF($A$2:A338, A338) = 1, A338, "")</f>
        <v/>
      </c>
    </row>
    <row r="340" spans="6:38" x14ac:dyDescent="0.2">
      <c r="F340" t="str">
        <f t="shared" si="51"/>
        <v/>
      </c>
      <c r="L340" s="7" t="str">
        <f t="shared" si="52"/>
        <v/>
      </c>
      <c r="N340" s="7" t="str">
        <f t="shared" si="53"/>
        <v/>
      </c>
      <c r="O340" t="str">
        <f t="shared" si="54"/>
        <v/>
      </c>
      <c r="P340" t="str">
        <f t="shared" si="55"/>
        <v/>
      </c>
      <c r="Q340" t="str">
        <f t="shared" si="56"/>
        <v/>
      </c>
      <c r="S340" t="str">
        <f>""</f>
        <v/>
      </c>
      <c r="AL340" s="18" t="str">
        <f>IF(COUNTIF($A$2:A339, A339) = 1, A339, "")</f>
        <v/>
      </c>
    </row>
    <row r="341" spans="6:38" x14ac:dyDescent="0.2">
      <c r="F341" t="str">
        <f t="shared" si="51"/>
        <v/>
      </c>
      <c r="L341" s="7" t="str">
        <f t="shared" si="52"/>
        <v/>
      </c>
      <c r="N341" s="7" t="str">
        <f t="shared" si="53"/>
        <v/>
      </c>
      <c r="O341" t="str">
        <f t="shared" si="54"/>
        <v/>
      </c>
      <c r="P341" t="str">
        <f t="shared" si="55"/>
        <v/>
      </c>
      <c r="Q341" t="str">
        <f t="shared" si="56"/>
        <v/>
      </c>
      <c r="S341" t="str">
        <f>""</f>
        <v/>
      </c>
      <c r="AL341" s="18" t="str">
        <f>IF(COUNTIF($A$2:A340, A340) = 1, A340, "")</f>
        <v/>
      </c>
    </row>
    <row r="342" spans="6:38" x14ac:dyDescent="0.2">
      <c r="F342" t="str">
        <f t="shared" si="51"/>
        <v/>
      </c>
      <c r="L342" s="7" t="str">
        <f t="shared" si="52"/>
        <v/>
      </c>
      <c r="N342" s="7" t="str">
        <f t="shared" si="53"/>
        <v/>
      </c>
      <c r="O342" t="str">
        <f t="shared" si="54"/>
        <v/>
      </c>
      <c r="P342" t="str">
        <f t="shared" si="55"/>
        <v/>
      </c>
      <c r="Q342" t="str">
        <f t="shared" si="56"/>
        <v/>
      </c>
      <c r="S342" t="str">
        <f>""</f>
        <v/>
      </c>
      <c r="AL342" s="18" t="str">
        <f>IF(COUNTIF($A$2:A341, A341) = 1, A341, "")</f>
        <v/>
      </c>
    </row>
    <row r="343" spans="6:38" x14ac:dyDescent="0.2">
      <c r="F343" t="str">
        <f t="shared" si="51"/>
        <v/>
      </c>
      <c r="L343" s="7" t="str">
        <f t="shared" si="52"/>
        <v/>
      </c>
      <c r="N343" s="7" t="str">
        <f t="shared" si="53"/>
        <v/>
      </c>
      <c r="O343" t="str">
        <f t="shared" si="54"/>
        <v/>
      </c>
      <c r="P343" t="str">
        <f t="shared" si="55"/>
        <v/>
      </c>
      <c r="Q343" t="str">
        <f t="shared" si="56"/>
        <v/>
      </c>
      <c r="S343" t="str">
        <f>""</f>
        <v/>
      </c>
      <c r="AL343" s="18" t="str">
        <f>IF(COUNTIF($A$2:A342, A342) = 1, A342, "")</f>
        <v/>
      </c>
    </row>
    <row r="344" spans="6:38" x14ac:dyDescent="0.2">
      <c r="F344" t="str">
        <f t="shared" si="51"/>
        <v/>
      </c>
      <c r="L344" s="7" t="str">
        <f t="shared" si="52"/>
        <v/>
      </c>
      <c r="N344" s="7" t="str">
        <f t="shared" si="53"/>
        <v/>
      </c>
      <c r="O344" t="str">
        <f t="shared" si="54"/>
        <v/>
      </c>
      <c r="P344" t="str">
        <f t="shared" si="55"/>
        <v/>
      </c>
      <c r="Q344" t="str">
        <f t="shared" si="56"/>
        <v/>
      </c>
      <c r="S344" t="str">
        <f>""</f>
        <v/>
      </c>
      <c r="AL344" s="18" t="str">
        <f>IF(COUNTIF($A$2:A343, A343) = 1, A343, "")</f>
        <v/>
      </c>
    </row>
    <row r="345" spans="6:38" x14ac:dyDescent="0.2">
      <c r="F345" t="str">
        <f t="shared" si="51"/>
        <v/>
      </c>
      <c r="L345" s="7" t="str">
        <f t="shared" si="52"/>
        <v/>
      </c>
      <c r="N345" s="7" t="str">
        <f t="shared" si="53"/>
        <v/>
      </c>
      <c r="O345" t="str">
        <f t="shared" si="54"/>
        <v/>
      </c>
      <c r="P345" t="str">
        <f t="shared" si="55"/>
        <v/>
      </c>
      <c r="Q345" t="str">
        <f t="shared" si="56"/>
        <v/>
      </c>
      <c r="S345" t="str">
        <f>""</f>
        <v/>
      </c>
      <c r="AL345" s="18" t="str">
        <f>IF(COUNTIF($A$2:A344, A344) = 1, A344, "")</f>
        <v/>
      </c>
    </row>
    <row r="346" spans="6:38" x14ac:dyDescent="0.2">
      <c r="F346" t="str">
        <f t="shared" si="51"/>
        <v/>
      </c>
      <c r="L346" s="7" t="str">
        <f t="shared" si="52"/>
        <v/>
      </c>
      <c r="N346" s="7" t="str">
        <f t="shared" si="53"/>
        <v/>
      </c>
      <c r="O346" t="str">
        <f t="shared" si="54"/>
        <v/>
      </c>
      <c r="P346" t="str">
        <f t="shared" si="55"/>
        <v/>
      </c>
      <c r="Q346" t="str">
        <f t="shared" si="56"/>
        <v/>
      </c>
      <c r="S346" t="str">
        <f>""</f>
        <v/>
      </c>
      <c r="AL346" s="18" t="str">
        <f>IF(COUNTIF($A$2:A345, A345) = 1, A345, "")</f>
        <v/>
      </c>
    </row>
    <row r="347" spans="6:38" x14ac:dyDescent="0.2">
      <c r="F347" t="str">
        <f t="shared" si="51"/>
        <v/>
      </c>
      <c r="L347" s="7" t="str">
        <f t="shared" si="52"/>
        <v/>
      </c>
      <c r="N347" s="7" t="str">
        <f t="shared" si="53"/>
        <v/>
      </c>
      <c r="O347" t="str">
        <f t="shared" si="54"/>
        <v/>
      </c>
      <c r="P347" t="str">
        <f t="shared" si="55"/>
        <v/>
      </c>
      <c r="Q347" t="str">
        <f t="shared" si="56"/>
        <v/>
      </c>
      <c r="S347" t="str">
        <f>""</f>
        <v/>
      </c>
      <c r="AL347" s="18" t="str">
        <f>IF(COUNTIF($A$2:A346, A346) = 1, A346, "")</f>
        <v/>
      </c>
    </row>
    <row r="348" spans="6:38" x14ac:dyDescent="0.2">
      <c r="F348" t="str">
        <f t="shared" si="51"/>
        <v/>
      </c>
      <c r="L348" s="7" t="str">
        <f t="shared" si="52"/>
        <v/>
      </c>
      <c r="N348" s="7" t="str">
        <f t="shared" si="53"/>
        <v/>
      </c>
      <c r="O348" t="str">
        <f t="shared" si="54"/>
        <v/>
      </c>
      <c r="P348" t="str">
        <f t="shared" si="55"/>
        <v/>
      </c>
      <c r="Q348" t="str">
        <f t="shared" si="56"/>
        <v/>
      </c>
      <c r="S348" t="str">
        <f>""</f>
        <v/>
      </c>
      <c r="AL348" s="18" t="str">
        <f>IF(COUNTIF($A$2:A347, A347) = 1, A347, "")</f>
        <v/>
      </c>
    </row>
    <row r="349" spans="6:38" x14ac:dyDescent="0.2">
      <c r="F349" t="str">
        <f t="shared" si="51"/>
        <v/>
      </c>
      <c r="L349" s="7" t="str">
        <f t="shared" si="52"/>
        <v/>
      </c>
      <c r="N349" s="7" t="str">
        <f t="shared" si="53"/>
        <v/>
      </c>
      <c r="O349" t="str">
        <f t="shared" si="54"/>
        <v/>
      </c>
      <c r="P349" t="str">
        <f t="shared" si="55"/>
        <v/>
      </c>
      <c r="Q349" t="str">
        <f t="shared" si="56"/>
        <v/>
      </c>
      <c r="S349" t="str">
        <f>""</f>
        <v/>
      </c>
      <c r="AL349" s="18" t="str">
        <f>IF(COUNTIF($A$2:A348, A348) = 1, A348, "")</f>
        <v/>
      </c>
    </row>
    <row r="350" spans="6:38" x14ac:dyDescent="0.2">
      <c r="F350" t="str">
        <f t="shared" si="51"/>
        <v/>
      </c>
      <c r="L350" s="7" t="str">
        <f t="shared" si="52"/>
        <v/>
      </c>
      <c r="N350" s="7" t="str">
        <f t="shared" si="53"/>
        <v/>
      </c>
      <c r="O350" t="str">
        <f t="shared" si="54"/>
        <v/>
      </c>
      <c r="P350" t="str">
        <f t="shared" si="55"/>
        <v/>
      </c>
      <c r="Q350" t="str">
        <f t="shared" si="56"/>
        <v/>
      </c>
      <c r="S350" t="str">
        <f>""</f>
        <v/>
      </c>
      <c r="AL350" s="18" t="str">
        <f>IF(COUNTIF($A$2:A349, A349) = 1, A349, "")</f>
        <v/>
      </c>
    </row>
    <row r="351" spans="6:38" x14ac:dyDescent="0.2">
      <c r="F351" t="str">
        <f t="shared" si="51"/>
        <v/>
      </c>
      <c r="L351" s="7" t="str">
        <f t="shared" si="52"/>
        <v/>
      </c>
      <c r="N351" s="7" t="str">
        <f t="shared" si="53"/>
        <v/>
      </c>
      <c r="O351" t="str">
        <f t="shared" si="54"/>
        <v/>
      </c>
      <c r="P351" t="str">
        <f t="shared" si="55"/>
        <v/>
      </c>
      <c r="Q351" t="str">
        <f t="shared" si="56"/>
        <v/>
      </c>
      <c r="S351" t="str">
        <f>""</f>
        <v/>
      </c>
      <c r="AL351" s="18" t="str">
        <f>IF(COUNTIF($A$2:A350, A350) = 1, A350, "")</f>
        <v/>
      </c>
    </row>
    <row r="352" spans="6:38" x14ac:dyDescent="0.2">
      <c r="F352" t="str">
        <f t="shared" si="51"/>
        <v/>
      </c>
      <c r="L352" s="7" t="str">
        <f t="shared" si="52"/>
        <v/>
      </c>
      <c r="N352" s="7" t="str">
        <f t="shared" si="53"/>
        <v/>
      </c>
      <c r="O352" t="str">
        <f t="shared" si="54"/>
        <v/>
      </c>
      <c r="P352" t="str">
        <f t="shared" si="55"/>
        <v/>
      </c>
      <c r="Q352" t="str">
        <f t="shared" si="56"/>
        <v/>
      </c>
      <c r="S352" t="str">
        <f>""</f>
        <v/>
      </c>
      <c r="AL352" s="18" t="str">
        <f>IF(COUNTIF($A$2:A351, A351) = 1, A351, "")</f>
        <v/>
      </c>
    </row>
    <row r="353" spans="6:38" x14ac:dyDescent="0.2">
      <c r="F353" t="str">
        <f t="shared" si="51"/>
        <v/>
      </c>
      <c r="L353" s="7" t="str">
        <f t="shared" si="52"/>
        <v/>
      </c>
      <c r="N353" s="7" t="str">
        <f t="shared" si="53"/>
        <v/>
      </c>
      <c r="O353" t="str">
        <f t="shared" si="54"/>
        <v/>
      </c>
      <c r="P353" t="str">
        <f t="shared" si="55"/>
        <v/>
      </c>
      <c r="Q353" t="str">
        <f t="shared" si="56"/>
        <v/>
      </c>
      <c r="S353" t="str">
        <f>""</f>
        <v/>
      </c>
      <c r="AL353" s="18" t="str">
        <f>IF(COUNTIF($A$2:A352, A352) = 1, A352, "")</f>
        <v/>
      </c>
    </row>
    <row r="354" spans="6:38" x14ac:dyDescent="0.2">
      <c r="F354" t="str">
        <f t="shared" si="51"/>
        <v/>
      </c>
      <c r="L354" s="7" t="str">
        <f t="shared" si="52"/>
        <v/>
      </c>
      <c r="N354" s="7" t="str">
        <f t="shared" si="53"/>
        <v/>
      </c>
      <c r="O354" t="str">
        <f t="shared" si="54"/>
        <v/>
      </c>
      <c r="P354" t="str">
        <f t="shared" si="55"/>
        <v/>
      </c>
      <c r="Q354" t="str">
        <f t="shared" si="56"/>
        <v/>
      </c>
      <c r="S354" t="str">
        <f>""</f>
        <v/>
      </c>
      <c r="AL354" s="18" t="str">
        <f>IF(COUNTIF($A$2:A353, A353) = 1, A353, "")</f>
        <v/>
      </c>
    </row>
    <row r="355" spans="6:38" x14ac:dyDescent="0.2">
      <c r="F355" t="str">
        <f t="shared" si="51"/>
        <v/>
      </c>
      <c r="L355" s="7" t="str">
        <f t="shared" si="52"/>
        <v/>
      </c>
      <c r="N355" s="7" t="str">
        <f t="shared" si="53"/>
        <v/>
      </c>
      <c r="O355" t="str">
        <f t="shared" si="54"/>
        <v/>
      </c>
      <c r="P355" t="str">
        <f t="shared" si="55"/>
        <v/>
      </c>
      <c r="Q355" t="str">
        <f t="shared" si="56"/>
        <v/>
      </c>
      <c r="S355" t="str">
        <f>""</f>
        <v/>
      </c>
      <c r="AL355" s="18" t="str">
        <f>IF(COUNTIF($A$2:A354, A354) = 1, A354, "")</f>
        <v/>
      </c>
    </row>
    <row r="356" spans="6:38" x14ac:dyDescent="0.2">
      <c r="F356" t="str">
        <f t="shared" si="51"/>
        <v/>
      </c>
      <c r="L356" s="7" t="str">
        <f t="shared" si="52"/>
        <v/>
      </c>
      <c r="N356" s="7" t="str">
        <f t="shared" si="53"/>
        <v/>
      </c>
      <c r="O356" t="str">
        <f t="shared" si="54"/>
        <v/>
      </c>
      <c r="P356" t="str">
        <f t="shared" si="55"/>
        <v/>
      </c>
      <c r="Q356" t="str">
        <f t="shared" si="56"/>
        <v/>
      </c>
      <c r="S356" t="str">
        <f>""</f>
        <v/>
      </c>
      <c r="AL356" s="18" t="str">
        <f>IF(COUNTIF($A$2:A355, A355) = 1, A355, "")</f>
        <v/>
      </c>
    </row>
    <row r="357" spans="6:38" x14ac:dyDescent="0.2">
      <c r="F357" t="str">
        <f t="shared" si="51"/>
        <v/>
      </c>
      <c r="L357" s="7" t="str">
        <f t="shared" si="52"/>
        <v/>
      </c>
      <c r="N357" s="7" t="str">
        <f t="shared" si="53"/>
        <v/>
      </c>
      <c r="O357" t="str">
        <f t="shared" si="54"/>
        <v/>
      </c>
      <c r="P357" t="str">
        <f t="shared" si="55"/>
        <v/>
      </c>
      <c r="Q357" t="str">
        <f t="shared" si="56"/>
        <v/>
      </c>
      <c r="S357" t="str">
        <f>""</f>
        <v/>
      </c>
      <c r="AL357" s="18" t="str">
        <f>IF(COUNTIF($A$2:A356, A356) = 1, A356, "")</f>
        <v/>
      </c>
    </row>
    <row r="358" spans="6:38" x14ac:dyDescent="0.2">
      <c r="F358" t="str">
        <f t="shared" si="51"/>
        <v/>
      </c>
      <c r="L358" s="7" t="str">
        <f t="shared" si="52"/>
        <v/>
      </c>
      <c r="N358" s="7" t="str">
        <f t="shared" si="53"/>
        <v/>
      </c>
      <c r="O358" t="str">
        <f t="shared" si="54"/>
        <v/>
      </c>
      <c r="P358" t="str">
        <f t="shared" si="55"/>
        <v/>
      </c>
      <c r="Q358" t="str">
        <f t="shared" si="56"/>
        <v/>
      </c>
      <c r="S358" t="str">
        <f>""</f>
        <v/>
      </c>
      <c r="AL358" s="18" t="str">
        <f>IF(COUNTIF($A$2:A357, A357) = 1, A357, "")</f>
        <v/>
      </c>
    </row>
    <row r="359" spans="6:38" x14ac:dyDescent="0.2">
      <c r="F359" t="str">
        <f t="shared" si="51"/>
        <v/>
      </c>
      <c r="L359" s="7" t="str">
        <f t="shared" si="52"/>
        <v/>
      </c>
      <c r="N359" s="7" t="str">
        <f t="shared" si="53"/>
        <v/>
      </c>
      <c r="O359" t="str">
        <f t="shared" si="54"/>
        <v/>
      </c>
      <c r="P359" t="str">
        <f t="shared" si="55"/>
        <v/>
      </c>
      <c r="Q359" t="str">
        <f t="shared" si="56"/>
        <v/>
      </c>
      <c r="S359" t="str">
        <f>""</f>
        <v/>
      </c>
      <c r="AL359" s="18" t="str">
        <f>IF(COUNTIF($A$2:A358, A358) = 1, A358, "")</f>
        <v/>
      </c>
    </row>
    <row r="360" spans="6:38" x14ac:dyDescent="0.2">
      <c r="F360" t="str">
        <f t="shared" si="51"/>
        <v/>
      </c>
      <c r="L360" s="7" t="str">
        <f t="shared" si="52"/>
        <v/>
      </c>
      <c r="N360" s="7" t="str">
        <f t="shared" si="53"/>
        <v/>
      </c>
      <c r="O360" t="str">
        <f t="shared" si="54"/>
        <v/>
      </c>
      <c r="P360" t="str">
        <f t="shared" si="55"/>
        <v/>
      </c>
      <c r="Q360" t="str">
        <f t="shared" si="56"/>
        <v/>
      </c>
      <c r="S360" t="str">
        <f>""</f>
        <v/>
      </c>
      <c r="AL360" s="18" t="str">
        <f>IF(COUNTIF($A$2:A359, A359) = 1, A359, "")</f>
        <v/>
      </c>
    </row>
    <row r="361" spans="6:38" x14ac:dyDescent="0.2">
      <c r="F361" t="str">
        <f t="shared" si="51"/>
        <v/>
      </c>
      <c r="L361" s="7" t="str">
        <f t="shared" si="52"/>
        <v/>
      </c>
      <c r="N361" s="7" t="str">
        <f t="shared" si="53"/>
        <v/>
      </c>
      <c r="O361" t="str">
        <f t="shared" si="54"/>
        <v/>
      </c>
      <c r="P361" t="str">
        <f t="shared" si="55"/>
        <v/>
      </c>
      <c r="Q361" t="str">
        <f t="shared" si="56"/>
        <v/>
      </c>
      <c r="S361" t="str">
        <f>""</f>
        <v/>
      </c>
      <c r="AL361" s="18" t="str">
        <f>IF(COUNTIF($A$2:A360, A360) = 1, A360, "")</f>
        <v/>
      </c>
    </row>
    <row r="362" spans="6:38" x14ac:dyDescent="0.2">
      <c r="F362" t="str">
        <f t="shared" si="51"/>
        <v/>
      </c>
      <c r="L362" s="7" t="str">
        <f t="shared" si="52"/>
        <v/>
      </c>
      <c r="N362" s="7" t="str">
        <f t="shared" si="53"/>
        <v/>
      </c>
      <c r="O362" t="str">
        <f t="shared" si="54"/>
        <v/>
      </c>
      <c r="P362" t="str">
        <f t="shared" si="55"/>
        <v/>
      </c>
      <c r="Q362" t="str">
        <f t="shared" si="56"/>
        <v/>
      </c>
      <c r="S362" t="str">
        <f>""</f>
        <v/>
      </c>
      <c r="AL362" s="18" t="str">
        <f>IF(COUNTIF($A$2:A361, A361) = 1, A361, "")</f>
        <v/>
      </c>
    </row>
    <row r="363" spans="6:38" x14ac:dyDescent="0.2">
      <c r="F363" t="str">
        <f t="shared" si="51"/>
        <v/>
      </c>
      <c r="L363" s="7" t="str">
        <f t="shared" si="52"/>
        <v/>
      </c>
      <c r="N363" s="7" t="str">
        <f t="shared" si="53"/>
        <v/>
      </c>
      <c r="O363" t="str">
        <f t="shared" si="54"/>
        <v/>
      </c>
      <c r="P363" t="str">
        <f t="shared" si="55"/>
        <v/>
      </c>
      <c r="Q363" t="str">
        <f t="shared" si="56"/>
        <v/>
      </c>
      <c r="S363" t="str">
        <f>""</f>
        <v/>
      </c>
      <c r="AL363" s="18" t="str">
        <f>IF(COUNTIF($A$2:A362, A362) = 1, A362, "")</f>
        <v/>
      </c>
    </row>
    <row r="364" spans="6:38" x14ac:dyDescent="0.2">
      <c r="F364" t="str">
        <f t="shared" si="51"/>
        <v/>
      </c>
      <c r="L364" s="7" t="str">
        <f t="shared" si="52"/>
        <v/>
      </c>
      <c r="N364" s="7" t="str">
        <f t="shared" si="53"/>
        <v/>
      </c>
      <c r="O364" t="str">
        <f t="shared" si="54"/>
        <v/>
      </c>
      <c r="P364" t="str">
        <f t="shared" si="55"/>
        <v/>
      </c>
      <c r="Q364" t="str">
        <f t="shared" si="56"/>
        <v/>
      </c>
      <c r="S364" t="str">
        <f>""</f>
        <v/>
      </c>
      <c r="AL364" s="18" t="str">
        <f>IF(COUNTIF($A$2:A363, A363) = 1, A363, "")</f>
        <v/>
      </c>
    </row>
    <row r="365" spans="6:38" x14ac:dyDescent="0.2">
      <c r="F365" t="str">
        <f t="shared" si="51"/>
        <v/>
      </c>
      <c r="L365" s="7" t="str">
        <f t="shared" si="52"/>
        <v/>
      </c>
      <c r="N365" s="7" t="str">
        <f t="shared" si="53"/>
        <v/>
      </c>
      <c r="O365" t="str">
        <f t="shared" si="54"/>
        <v/>
      </c>
      <c r="P365" t="str">
        <f t="shared" si="55"/>
        <v/>
      </c>
      <c r="Q365" t="str">
        <f t="shared" si="56"/>
        <v/>
      </c>
      <c r="S365" t="str">
        <f>""</f>
        <v/>
      </c>
      <c r="AL365" s="18" t="str">
        <f>IF(COUNTIF($A$2:A364, A364) = 1, A364, "")</f>
        <v/>
      </c>
    </row>
    <row r="366" spans="6:38" x14ac:dyDescent="0.2">
      <c r="F366" t="str">
        <f t="shared" si="51"/>
        <v/>
      </c>
      <c r="L366" s="7" t="str">
        <f t="shared" si="52"/>
        <v/>
      </c>
      <c r="N366" s="7" t="str">
        <f t="shared" si="53"/>
        <v/>
      </c>
      <c r="O366" t="str">
        <f t="shared" si="54"/>
        <v/>
      </c>
      <c r="P366" t="str">
        <f t="shared" si="55"/>
        <v/>
      </c>
      <c r="Q366" t="str">
        <f t="shared" si="56"/>
        <v/>
      </c>
      <c r="S366" t="str">
        <f>""</f>
        <v/>
      </c>
      <c r="AL366" s="18" t="str">
        <f>IF(COUNTIF($A$2:A365, A365) = 1, A365, "")</f>
        <v/>
      </c>
    </row>
    <row r="367" spans="6:38" x14ac:dyDescent="0.2">
      <c r="F367" t="str">
        <f t="shared" si="51"/>
        <v/>
      </c>
      <c r="L367" s="7" t="str">
        <f t="shared" si="52"/>
        <v/>
      </c>
      <c r="N367" s="7" t="str">
        <f t="shared" si="53"/>
        <v/>
      </c>
      <c r="O367" t="str">
        <f t="shared" si="54"/>
        <v/>
      </c>
      <c r="P367" t="str">
        <f t="shared" si="55"/>
        <v/>
      </c>
      <c r="Q367" t="str">
        <f t="shared" si="56"/>
        <v/>
      </c>
      <c r="S367" t="str">
        <f>""</f>
        <v/>
      </c>
      <c r="AL367" s="18" t="str">
        <f>IF(COUNTIF($A$2:A366, A366) = 1, A366, "")</f>
        <v/>
      </c>
    </row>
    <row r="368" spans="6:38" x14ac:dyDescent="0.2">
      <c r="F368" t="str">
        <f t="shared" si="51"/>
        <v/>
      </c>
      <c r="L368" s="7" t="str">
        <f t="shared" si="52"/>
        <v/>
      </c>
      <c r="N368" s="7" t="str">
        <f t="shared" si="53"/>
        <v/>
      </c>
      <c r="O368" t="str">
        <f t="shared" si="54"/>
        <v/>
      </c>
      <c r="P368" t="str">
        <f t="shared" si="55"/>
        <v/>
      </c>
      <c r="Q368" t="str">
        <f t="shared" si="56"/>
        <v/>
      </c>
      <c r="S368" t="str">
        <f>""</f>
        <v/>
      </c>
      <c r="AL368" s="18" t="str">
        <f>IF(COUNTIF($A$2:A367, A367) = 1, A367, "")</f>
        <v/>
      </c>
    </row>
    <row r="369" spans="6:38" x14ac:dyDescent="0.2">
      <c r="F369" t="str">
        <f t="shared" si="51"/>
        <v/>
      </c>
      <c r="L369" s="7" t="str">
        <f t="shared" si="52"/>
        <v/>
      </c>
      <c r="N369" s="7" t="str">
        <f t="shared" si="53"/>
        <v/>
      </c>
      <c r="O369" t="str">
        <f t="shared" si="54"/>
        <v/>
      </c>
      <c r="P369" t="str">
        <f t="shared" si="55"/>
        <v/>
      </c>
      <c r="Q369" t="str">
        <f t="shared" si="56"/>
        <v/>
      </c>
      <c r="S369" t="str">
        <f>""</f>
        <v/>
      </c>
      <c r="AL369" s="18" t="str">
        <f>IF(COUNTIF($A$2:A368, A368) = 1, A368, "")</f>
        <v/>
      </c>
    </row>
    <row r="370" spans="6:38" x14ac:dyDescent="0.2">
      <c r="F370" t="str">
        <f t="shared" si="51"/>
        <v/>
      </c>
      <c r="L370" s="7" t="str">
        <f t="shared" si="52"/>
        <v/>
      </c>
      <c r="N370" s="7" t="str">
        <f t="shared" si="53"/>
        <v/>
      </c>
      <c r="O370" t="str">
        <f t="shared" si="54"/>
        <v/>
      </c>
      <c r="P370" t="str">
        <f t="shared" si="55"/>
        <v/>
      </c>
      <c r="Q370" t="str">
        <f t="shared" si="56"/>
        <v/>
      </c>
      <c r="S370" t="str">
        <f>""</f>
        <v/>
      </c>
      <c r="AL370" s="18" t="str">
        <f>IF(COUNTIF($A$2:A369, A369) = 1, A369, "")</f>
        <v/>
      </c>
    </row>
    <row r="371" spans="6:38" x14ac:dyDescent="0.2">
      <c r="F371" t="str">
        <f t="shared" si="51"/>
        <v/>
      </c>
      <c r="L371" s="7" t="str">
        <f t="shared" si="52"/>
        <v/>
      </c>
      <c r="N371" s="7" t="str">
        <f t="shared" si="53"/>
        <v/>
      </c>
      <c r="O371" t="str">
        <f t="shared" si="54"/>
        <v/>
      </c>
      <c r="P371" t="str">
        <f t="shared" si="55"/>
        <v/>
      </c>
      <c r="Q371" t="str">
        <f t="shared" si="56"/>
        <v/>
      </c>
      <c r="S371" t="str">
        <f>""</f>
        <v/>
      </c>
      <c r="AL371" s="18" t="str">
        <f>IF(COUNTIF($A$2:A370, A370) = 1, A370, "")</f>
        <v/>
      </c>
    </row>
    <row r="372" spans="6:38" x14ac:dyDescent="0.2">
      <c r="F372" t="str">
        <f t="shared" si="51"/>
        <v/>
      </c>
      <c r="L372" s="7" t="str">
        <f t="shared" si="52"/>
        <v/>
      </c>
      <c r="N372" s="7" t="str">
        <f t="shared" si="53"/>
        <v/>
      </c>
      <c r="O372" t="str">
        <f t="shared" si="54"/>
        <v/>
      </c>
      <c r="P372" t="str">
        <f t="shared" si="55"/>
        <v/>
      </c>
      <c r="Q372" t="str">
        <f t="shared" si="56"/>
        <v/>
      </c>
      <c r="S372" t="str">
        <f>""</f>
        <v/>
      </c>
      <c r="AL372" s="18" t="str">
        <f>IF(COUNTIF($A$2:A371, A371) = 1, A371, "")</f>
        <v/>
      </c>
    </row>
    <row r="373" spans="6:38" x14ac:dyDescent="0.2">
      <c r="F373" t="str">
        <f t="shared" si="51"/>
        <v/>
      </c>
      <c r="L373" s="7" t="str">
        <f t="shared" si="52"/>
        <v/>
      </c>
      <c r="N373" s="7" t="str">
        <f t="shared" si="53"/>
        <v/>
      </c>
      <c r="O373" t="str">
        <f t="shared" si="54"/>
        <v/>
      </c>
      <c r="P373" t="str">
        <f t="shared" si="55"/>
        <v/>
      </c>
      <c r="Q373" t="str">
        <f t="shared" si="56"/>
        <v/>
      </c>
      <c r="S373" t="str">
        <f>""</f>
        <v/>
      </c>
      <c r="AL373" s="18" t="str">
        <f>IF(COUNTIF($A$2:A372, A372) = 1, A372, "")</f>
        <v/>
      </c>
    </row>
    <row r="374" spans="6:38" x14ac:dyDescent="0.2">
      <c r="F374" t="str">
        <f t="shared" si="51"/>
        <v/>
      </c>
      <c r="L374" s="7" t="str">
        <f t="shared" si="52"/>
        <v/>
      </c>
      <c r="N374" s="7" t="str">
        <f t="shared" si="53"/>
        <v/>
      </c>
      <c r="O374" t="str">
        <f t="shared" si="54"/>
        <v/>
      </c>
      <c r="P374" t="str">
        <f t="shared" si="55"/>
        <v/>
      </c>
      <c r="Q374" t="str">
        <f t="shared" si="56"/>
        <v/>
      </c>
      <c r="S374" t="str">
        <f>""</f>
        <v/>
      </c>
      <c r="AL374" s="18" t="str">
        <f>IF(COUNTIF($A$2:A373, A373) = 1, A373, "")</f>
        <v/>
      </c>
    </row>
    <row r="375" spans="6:38" x14ac:dyDescent="0.2">
      <c r="F375" t="str">
        <f t="shared" si="51"/>
        <v/>
      </c>
      <c r="L375" s="7" t="str">
        <f t="shared" si="52"/>
        <v/>
      </c>
      <c r="N375" s="7" t="str">
        <f t="shared" si="53"/>
        <v/>
      </c>
      <c r="O375" t="str">
        <f t="shared" si="54"/>
        <v/>
      </c>
      <c r="P375" t="str">
        <f t="shared" si="55"/>
        <v/>
      </c>
      <c r="Q375" t="str">
        <f t="shared" si="56"/>
        <v/>
      </c>
      <c r="S375" t="str">
        <f>""</f>
        <v/>
      </c>
      <c r="AL375" s="18" t="str">
        <f>IF(COUNTIF($A$2:A374, A374) = 1, A374, "")</f>
        <v/>
      </c>
    </row>
    <row r="376" spans="6:38" x14ac:dyDescent="0.2">
      <c r="F376" t="str">
        <f t="shared" si="51"/>
        <v/>
      </c>
      <c r="L376" s="7" t="str">
        <f t="shared" si="52"/>
        <v/>
      </c>
      <c r="N376" s="7" t="str">
        <f t="shared" si="53"/>
        <v/>
      </c>
      <c r="O376" t="str">
        <f t="shared" si="54"/>
        <v/>
      </c>
      <c r="P376" t="str">
        <f t="shared" si="55"/>
        <v/>
      </c>
      <c r="Q376" t="str">
        <f t="shared" si="56"/>
        <v/>
      </c>
      <c r="S376" t="str">
        <f>""</f>
        <v/>
      </c>
      <c r="AL376" s="18" t="str">
        <f>IF(COUNTIF($A$2:A375, A375) = 1, A375, "")</f>
        <v/>
      </c>
    </row>
    <row r="377" spans="6:38" x14ac:dyDescent="0.2">
      <c r="F377" t="str">
        <f t="shared" si="51"/>
        <v/>
      </c>
      <c r="L377" s="7" t="str">
        <f t="shared" si="52"/>
        <v/>
      </c>
      <c r="N377" s="7" t="str">
        <f t="shared" si="53"/>
        <v/>
      </c>
      <c r="O377" t="str">
        <f t="shared" si="54"/>
        <v/>
      </c>
      <c r="P377" t="str">
        <f t="shared" si="55"/>
        <v/>
      </c>
      <c r="Q377" t="str">
        <f t="shared" si="56"/>
        <v/>
      </c>
      <c r="S377" t="str">
        <f>""</f>
        <v/>
      </c>
      <c r="AL377" s="18" t="str">
        <f>IF(COUNTIF($A$2:A376, A376) = 1, A376, "")</f>
        <v/>
      </c>
    </row>
    <row r="378" spans="6:38" x14ac:dyDescent="0.2">
      <c r="F378" t="str">
        <f t="shared" si="51"/>
        <v/>
      </c>
      <c r="L378" s="7" t="str">
        <f t="shared" si="52"/>
        <v/>
      </c>
      <c r="N378" s="7" t="str">
        <f t="shared" si="53"/>
        <v/>
      </c>
      <c r="O378" t="str">
        <f t="shared" si="54"/>
        <v/>
      </c>
      <c r="P378" t="str">
        <f t="shared" si="55"/>
        <v/>
      </c>
      <c r="Q378" t="str">
        <f t="shared" si="56"/>
        <v/>
      </c>
      <c r="S378" t="str">
        <f>""</f>
        <v/>
      </c>
      <c r="AL378" s="18" t="str">
        <f>IF(COUNTIF($A$2:A377, A377) = 1, A377, "")</f>
        <v/>
      </c>
    </row>
    <row r="379" spans="6:38" x14ac:dyDescent="0.2">
      <c r="F379" t="str">
        <f t="shared" si="51"/>
        <v/>
      </c>
      <c r="L379" s="7" t="str">
        <f t="shared" si="52"/>
        <v/>
      </c>
      <c r="N379" s="7" t="str">
        <f t="shared" si="53"/>
        <v/>
      </c>
      <c r="O379" t="str">
        <f t="shared" si="54"/>
        <v/>
      </c>
      <c r="P379" t="str">
        <f t="shared" si="55"/>
        <v/>
      </c>
      <c r="Q379" t="str">
        <f t="shared" si="56"/>
        <v/>
      </c>
      <c r="S379" t="str">
        <f>""</f>
        <v/>
      </c>
      <c r="AL379" s="18" t="str">
        <f>IF(COUNTIF($A$2:A378, A378) = 1, A378, "")</f>
        <v/>
      </c>
    </row>
    <row r="380" spans="6:38" x14ac:dyDescent="0.2">
      <c r="F380" t="str">
        <f t="shared" si="51"/>
        <v/>
      </c>
      <c r="L380" s="7" t="str">
        <f t="shared" si="52"/>
        <v/>
      </c>
      <c r="N380" s="7" t="str">
        <f t="shared" si="53"/>
        <v/>
      </c>
      <c r="O380" t="str">
        <f t="shared" si="54"/>
        <v/>
      </c>
      <c r="P380" t="str">
        <f t="shared" si="55"/>
        <v/>
      </c>
      <c r="Q380" t="str">
        <f t="shared" si="56"/>
        <v/>
      </c>
      <c r="S380" t="str">
        <f>""</f>
        <v/>
      </c>
      <c r="AL380" s="18" t="str">
        <f>IF(COUNTIF($A$2:A379, A379) = 1, A379, "")</f>
        <v/>
      </c>
    </row>
    <row r="381" spans="6:38" x14ac:dyDescent="0.2">
      <c r="F381" t="str">
        <f t="shared" si="51"/>
        <v/>
      </c>
      <c r="L381" s="7" t="str">
        <f t="shared" si="52"/>
        <v/>
      </c>
      <c r="N381" s="7" t="str">
        <f t="shared" si="53"/>
        <v/>
      </c>
      <c r="O381" t="str">
        <f t="shared" si="54"/>
        <v/>
      </c>
      <c r="P381" t="str">
        <f t="shared" si="55"/>
        <v/>
      </c>
      <c r="Q381" t="str">
        <f t="shared" si="56"/>
        <v/>
      </c>
      <c r="S381" t="str">
        <f>""</f>
        <v/>
      </c>
      <c r="AL381" s="18" t="str">
        <f>IF(COUNTIF($A$2:A380, A380) = 1, A380, "")</f>
        <v/>
      </c>
    </row>
    <row r="382" spans="6:38" x14ac:dyDescent="0.2">
      <c r="F382" t="str">
        <f t="shared" si="51"/>
        <v/>
      </c>
      <c r="L382" s="7" t="str">
        <f t="shared" si="52"/>
        <v/>
      </c>
      <c r="N382" s="7" t="str">
        <f t="shared" si="53"/>
        <v/>
      </c>
      <c r="O382" t="str">
        <f t="shared" si="54"/>
        <v/>
      </c>
      <c r="P382" t="str">
        <f t="shared" si="55"/>
        <v/>
      </c>
      <c r="Q382" t="str">
        <f t="shared" si="56"/>
        <v/>
      </c>
      <c r="S382" t="str">
        <f>""</f>
        <v/>
      </c>
      <c r="AL382" s="18" t="str">
        <f>IF(COUNTIF($A$2:A381, A381) = 1, A381, "")</f>
        <v/>
      </c>
    </row>
    <row r="383" spans="6:38" x14ac:dyDescent="0.2">
      <c r="F383" t="str">
        <f t="shared" si="51"/>
        <v/>
      </c>
      <c r="L383" s="7" t="str">
        <f t="shared" si="52"/>
        <v/>
      </c>
      <c r="N383" s="7" t="str">
        <f t="shared" si="53"/>
        <v/>
      </c>
      <c r="O383" t="str">
        <f t="shared" si="54"/>
        <v/>
      </c>
      <c r="P383" t="str">
        <f t="shared" si="55"/>
        <v/>
      </c>
      <c r="Q383" t="str">
        <f t="shared" si="56"/>
        <v/>
      </c>
      <c r="S383" t="str">
        <f>""</f>
        <v/>
      </c>
      <c r="AL383" s="18" t="str">
        <f>IF(COUNTIF($A$2:A382, A382) = 1, A382, "")</f>
        <v/>
      </c>
    </row>
    <row r="384" spans="6:38" x14ac:dyDescent="0.2">
      <c r="F384" t="str">
        <f t="shared" si="51"/>
        <v/>
      </c>
      <c r="L384" s="7" t="str">
        <f t="shared" si="52"/>
        <v/>
      </c>
      <c r="N384" s="7" t="str">
        <f t="shared" si="53"/>
        <v/>
      </c>
      <c r="O384" t="str">
        <f t="shared" si="54"/>
        <v/>
      </c>
      <c r="P384" t="str">
        <f t="shared" si="55"/>
        <v/>
      </c>
      <c r="Q384" t="str">
        <f t="shared" si="56"/>
        <v/>
      </c>
      <c r="S384" t="str">
        <f>""</f>
        <v/>
      </c>
      <c r="AL384" s="18" t="str">
        <f>IF(COUNTIF($A$2:A383, A383) = 1, A383, "")</f>
        <v/>
      </c>
    </row>
    <row r="385" spans="6:38" x14ac:dyDescent="0.2">
      <c r="F385" t="str">
        <f t="shared" si="51"/>
        <v/>
      </c>
      <c r="L385" s="7" t="str">
        <f t="shared" si="52"/>
        <v/>
      </c>
      <c r="N385" s="7" t="str">
        <f t="shared" si="53"/>
        <v/>
      </c>
      <c r="O385" t="str">
        <f t="shared" si="54"/>
        <v/>
      </c>
      <c r="P385" t="str">
        <f t="shared" si="55"/>
        <v/>
      </c>
      <c r="Q385" t="str">
        <f t="shared" si="56"/>
        <v/>
      </c>
      <c r="S385" t="str">
        <f>""</f>
        <v/>
      </c>
      <c r="AL385" s="18" t="str">
        <f>IF(COUNTIF($A$2:A384, A384) = 1, A384, "")</f>
        <v/>
      </c>
    </row>
    <row r="386" spans="6:38" x14ac:dyDescent="0.2">
      <c r="F386" t="str">
        <f t="shared" si="51"/>
        <v/>
      </c>
      <c r="L386" s="7" t="str">
        <f t="shared" si="52"/>
        <v/>
      </c>
      <c r="N386" s="7" t="str">
        <f t="shared" si="53"/>
        <v/>
      </c>
      <c r="O386" t="str">
        <f t="shared" si="54"/>
        <v/>
      </c>
      <c r="P386" t="str">
        <f t="shared" si="55"/>
        <v/>
      </c>
      <c r="Q386" t="str">
        <f t="shared" si="56"/>
        <v/>
      </c>
      <c r="S386" t="str">
        <f>""</f>
        <v/>
      </c>
      <c r="AL386" s="18" t="str">
        <f>IF(COUNTIF($A$2:A385, A385) = 1, A385, "")</f>
        <v/>
      </c>
    </row>
    <row r="387" spans="6:38" x14ac:dyDescent="0.2">
      <c r="F387" t="str">
        <f t="shared" si="51"/>
        <v/>
      </c>
      <c r="L387" s="7" t="str">
        <f t="shared" si="52"/>
        <v/>
      </c>
      <c r="N387" s="7" t="str">
        <f t="shared" si="53"/>
        <v/>
      </c>
      <c r="O387" t="str">
        <f t="shared" si="54"/>
        <v/>
      </c>
      <c r="P387" t="str">
        <f t="shared" si="55"/>
        <v/>
      </c>
      <c r="Q387" t="str">
        <f t="shared" si="56"/>
        <v/>
      </c>
      <c r="S387" t="str">
        <f>""</f>
        <v/>
      </c>
      <c r="AL387" s="18" t="str">
        <f>IF(COUNTIF($A$2:A386, A386) = 1, A386, "")</f>
        <v/>
      </c>
    </row>
    <row r="388" spans="6:38" x14ac:dyDescent="0.2">
      <c r="F388" t="str">
        <f t="shared" si="51"/>
        <v/>
      </c>
      <c r="L388" s="7" t="str">
        <f t="shared" si="52"/>
        <v/>
      </c>
      <c r="N388" s="7" t="str">
        <f t="shared" si="53"/>
        <v/>
      </c>
      <c r="O388" t="str">
        <f t="shared" si="54"/>
        <v/>
      </c>
      <c r="P388" t="str">
        <f t="shared" si="55"/>
        <v/>
      </c>
      <c r="Q388" t="str">
        <f t="shared" si="56"/>
        <v/>
      </c>
      <c r="S388" t="str">
        <f>""</f>
        <v/>
      </c>
      <c r="AL388" s="18" t="str">
        <f>IF(COUNTIF($A$2:A387, A387) = 1, A387, "")</f>
        <v/>
      </c>
    </row>
    <row r="389" spans="6:38" x14ac:dyDescent="0.2">
      <c r="F389" t="str">
        <f t="shared" si="51"/>
        <v/>
      </c>
      <c r="L389" s="7" t="str">
        <f t="shared" si="52"/>
        <v/>
      </c>
      <c r="N389" s="7" t="str">
        <f t="shared" si="53"/>
        <v/>
      </c>
      <c r="O389" t="str">
        <f t="shared" si="54"/>
        <v/>
      </c>
      <c r="P389" t="str">
        <f t="shared" si="55"/>
        <v/>
      </c>
      <c r="Q389" t="str">
        <f t="shared" si="56"/>
        <v/>
      </c>
      <c r="S389" t="str">
        <f>""</f>
        <v/>
      </c>
      <c r="AL389" s="18" t="str">
        <f>IF(COUNTIF($A$2:A388, A388) = 1, A388, "")</f>
        <v/>
      </c>
    </row>
    <row r="390" spans="6:38" x14ac:dyDescent="0.2">
      <c r="F390" t="str">
        <f t="shared" si="51"/>
        <v/>
      </c>
      <c r="L390" s="7" t="str">
        <f t="shared" si="52"/>
        <v/>
      </c>
      <c r="N390" s="7" t="str">
        <f t="shared" si="53"/>
        <v/>
      </c>
      <c r="O390" t="str">
        <f t="shared" si="54"/>
        <v/>
      </c>
      <c r="P390" t="str">
        <f t="shared" si="55"/>
        <v/>
      </c>
      <c r="Q390" t="str">
        <f t="shared" si="56"/>
        <v/>
      </c>
      <c r="S390" t="str">
        <f>""</f>
        <v/>
      </c>
      <c r="AL390" s="18" t="str">
        <f>IF(COUNTIF($A$2:A389, A389) = 1, A389, "")</f>
        <v/>
      </c>
    </row>
    <row r="391" spans="6:38" x14ac:dyDescent="0.2">
      <c r="F391" t="str">
        <f t="shared" si="51"/>
        <v/>
      </c>
      <c r="L391" s="7" t="str">
        <f t="shared" si="52"/>
        <v/>
      </c>
      <c r="N391" s="7" t="str">
        <f t="shared" si="53"/>
        <v/>
      </c>
      <c r="O391" t="str">
        <f t="shared" si="54"/>
        <v/>
      </c>
      <c r="P391" t="str">
        <f t="shared" si="55"/>
        <v/>
      </c>
      <c r="Q391" t="str">
        <f t="shared" si="56"/>
        <v/>
      </c>
      <c r="S391" t="str">
        <f>""</f>
        <v/>
      </c>
      <c r="AL391" s="18" t="str">
        <f>IF(COUNTIF($A$2:A390, A390) = 1, A390, "")</f>
        <v/>
      </c>
    </row>
    <row r="392" spans="6:38" x14ac:dyDescent="0.2">
      <c r="F392" t="str">
        <f t="shared" si="51"/>
        <v/>
      </c>
      <c r="L392" s="7" t="str">
        <f t="shared" si="52"/>
        <v/>
      </c>
      <c r="N392" s="7" t="str">
        <f t="shared" si="53"/>
        <v/>
      </c>
      <c r="O392" t="str">
        <f t="shared" si="54"/>
        <v/>
      </c>
      <c r="P392" t="str">
        <f t="shared" si="55"/>
        <v/>
      </c>
      <c r="Q392" t="str">
        <f t="shared" si="56"/>
        <v/>
      </c>
      <c r="S392" t="str">
        <f>""</f>
        <v/>
      </c>
      <c r="AL392" s="18" t="str">
        <f>IF(COUNTIF($A$2:A391, A391) = 1, A391, "")</f>
        <v/>
      </c>
    </row>
    <row r="393" spans="6:38" x14ac:dyDescent="0.2">
      <c r="F393" t="str">
        <f t="shared" si="51"/>
        <v/>
      </c>
      <c r="L393" s="7" t="str">
        <f t="shared" si="52"/>
        <v/>
      </c>
      <c r="N393" s="7" t="str">
        <f t="shared" si="53"/>
        <v/>
      </c>
      <c r="O393" t="str">
        <f t="shared" si="54"/>
        <v/>
      </c>
      <c r="P393" t="str">
        <f t="shared" si="55"/>
        <v/>
      </c>
      <c r="Q393" t="str">
        <f t="shared" si="56"/>
        <v/>
      </c>
      <c r="S393" t="str">
        <f>""</f>
        <v/>
      </c>
      <c r="AL393" s="18" t="str">
        <f>IF(COUNTIF($A$2:A392, A392) = 1, A392, "")</f>
        <v/>
      </c>
    </row>
    <row r="394" spans="6:38" x14ac:dyDescent="0.2">
      <c r="F394" t="str">
        <f t="shared" si="51"/>
        <v/>
      </c>
      <c r="L394" s="7" t="str">
        <f t="shared" si="52"/>
        <v/>
      </c>
      <c r="N394" s="7" t="str">
        <f t="shared" si="53"/>
        <v/>
      </c>
      <c r="O394" t="str">
        <f t="shared" si="54"/>
        <v/>
      </c>
      <c r="P394" t="str">
        <f t="shared" si="55"/>
        <v/>
      </c>
      <c r="Q394" t="str">
        <f t="shared" si="56"/>
        <v/>
      </c>
      <c r="S394" t="str">
        <f>""</f>
        <v/>
      </c>
      <c r="AL394" s="18" t="str">
        <f>IF(COUNTIF($A$2:A393, A393) = 1, A393, "")</f>
        <v/>
      </c>
    </row>
    <row r="395" spans="6:38" x14ac:dyDescent="0.2">
      <c r="F395" t="str">
        <f t="shared" si="51"/>
        <v/>
      </c>
      <c r="L395" s="7" t="str">
        <f t="shared" si="52"/>
        <v/>
      </c>
      <c r="N395" s="7" t="str">
        <f t="shared" si="53"/>
        <v/>
      </c>
      <c r="O395" t="str">
        <f t="shared" si="54"/>
        <v/>
      </c>
      <c r="P395" t="str">
        <f t="shared" si="55"/>
        <v/>
      </c>
      <c r="Q395" t="str">
        <f t="shared" si="56"/>
        <v/>
      </c>
      <c r="S395" t="str">
        <f>""</f>
        <v/>
      </c>
      <c r="AL395" s="18" t="str">
        <f>IF(COUNTIF($A$2:A394, A394) = 1, A394, "")</f>
        <v/>
      </c>
    </row>
    <row r="396" spans="6:38" x14ac:dyDescent="0.2">
      <c r="F396" t="str">
        <f t="shared" si="51"/>
        <v/>
      </c>
      <c r="L396" s="7" t="str">
        <f t="shared" si="52"/>
        <v/>
      </c>
      <c r="N396" s="7" t="str">
        <f t="shared" si="53"/>
        <v/>
      </c>
      <c r="O396" t="str">
        <f t="shared" si="54"/>
        <v/>
      </c>
      <c r="P396" t="str">
        <f t="shared" si="55"/>
        <v/>
      </c>
      <c r="Q396" t="str">
        <f t="shared" si="56"/>
        <v/>
      </c>
      <c r="S396" t="str">
        <f>""</f>
        <v/>
      </c>
      <c r="AL396" s="18" t="str">
        <f>IF(COUNTIF($A$2:A395, A395) = 1, A395, "")</f>
        <v/>
      </c>
    </row>
    <row r="397" spans="6:38" x14ac:dyDescent="0.2">
      <c r="F397" t="str">
        <f t="shared" si="51"/>
        <v/>
      </c>
      <c r="L397" s="7" t="str">
        <f t="shared" si="52"/>
        <v/>
      </c>
      <c r="N397" s="7" t="str">
        <f t="shared" si="53"/>
        <v/>
      </c>
      <c r="O397" t="str">
        <f t="shared" si="54"/>
        <v/>
      </c>
      <c r="P397" t="str">
        <f t="shared" si="55"/>
        <v/>
      </c>
      <c r="Q397" t="str">
        <f t="shared" si="56"/>
        <v/>
      </c>
      <c r="S397" t="str">
        <f>""</f>
        <v/>
      </c>
      <c r="AL397" s="18" t="str">
        <f>IF(COUNTIF($A$2:A396, A396) = 1, A396, "")</f>
        <v/>
      </c>
    </row>
    <row r="398" spans="6:38" x14ac:dyDescent="0.2">
      <c r="F398" t="str">
        <f t="shared" si="51"/>
        <v/>
      </c>
      <c r="L398" s="7" t="str">
        <f t="shared" si="52"/>
        <v/>
      </c>
      <c r="N398" s="7" t="str">
        <f t="shared" si="53"/>
        <v/>
      </c>
      <c r="O398" t="str">
        <f t="shared" si="54"/>
        <v/>
      </c>
      <c r="P398" t="str">
        <f t="shared" si="55"/>
        <v/>
      </c>
      <c r="Q398" t="str">
        <f t="shared" si="56"/>
        <v/>
      </c>
      <c r="S398" t="str">
        <f>""</f>
        <v/>
      </c>
      <c r="AL398" s="18" t="str">
        <f>IF(COUNTIF($A$2:A397, A397) = 1, A397, "")</f>
        <v/>
      </c>
    </row>
    <row r="399" spans="6:38" x14ac:dyDescent="0.2">
      <c r="F399" t="str">
        <f t="shared" si="51"/>
        <v/>
      </c>
      <c r="L399" s="7" t="str">
        <f t="shared" si="52"/>
        <v/>
      </c>
      <c r="N399" s="7" t="str">
        <f t="shared" si="53"/>
        <v/>
      </c>
      <c r="O399" t="str">
        <f t="shared" si="54"/>
        <v/>
      </c>
      <c r="P399" t="str">
        <f t="shared" si="55"/>
        <v/>
      </c>
      <c r="Q399" t="str">
        <f t="shared" si="56"/>
        <v/>
      </c>
      <c r="S399" t="str">
        <f>""</f>
        <v/>
      </c>
      <c r="AL399" s="18" t="str">
        <f>IF(COUNTIF($A$2:A398, A398) = 1, A398, "")</f>
        <v/>
      </c>
    </row>
    <row r="400" spans="6:38" x14ac:dyDescent="0.2">
      <c r="F400" t="str">
        <f t="shared" ref="F400:F463" si="57">IF(OR(O400="", P400=""), "", SUM(IF((O400&lt;&gt;"None")*(O400&lt;&gt;""),LEN(O400)-LEN(SUBSTITUTE(O400,",",""))+1,0)) + SUM(IF((P400&lt;&gt;"None")*(P400&lt;&gt;""),LEN(P400)-LEN(SUBSTITUTE(P400,",",""))+1,0)))</f>
        <v/>
      </c>
      <c r="L400" s="7" t="str">
        <f t="shared" ref="L400:L463" si="58">IF(LEN(E400)=0, "", IFERROR(IF(E400&gt;=0, K400 * (1 + E400/100) - K400, K400 / (ABS(E400)/100))+K400, ""))</f>
        <v/>
      </c>
      <c r="N400" s="7" t="str">
        <f t="shared" ref="N400:N463" si="59">IF(M400="Yes",L400-K400,IF(M400="No",-K400,""))</f>
        <v/>
      </c>
      <c r="O400" t="str">
        <f t="shared" ref="O400:O463" si="60">IF(AND(G400="No",H400="No"), "None", "")</f>
        <v/>
      </c>
      <c r="P400" t="str">
        <f t="shared" ref="P400:P463" si="61">IF(I400="No", "None", "")</f>
        <v/>
      </c>
      <c r="Q400" t="str">
        <f t="shared" ref="Q400:Q463" si="62">IF(AND(D400="Straight", M400 = "No"),IF(O400="None",P400,IF(P400="None",O400) ),"")</f>
        <v/>
      </c>
      <c r="S400" t="str">
        <f>""</f>
        <v/>
      </c>
      <c r="AL400" s="18" t="str">
        <f>IF(COUNTIF($A$2:A399, A399) = 1, A399, "")</f>
        <v/>
      </c>
    </row>
    <row r="401" spans="6:38" x14ac:dyDescent="0.2">
      <c r="F401" t="str">
        <f t="shared" si="57"/>
        <v/>
      </c>
      <c r="L401" s="7" t="str">
        <f t="shared" si="58"/>
        <v/>
      </c>
      <c r="N401" s="7" t="str">
        <f t="shared" si="59"/>
        <v/>
      </c>
      <c r="O401" t="str">
        <f t="shared" si="60"/>
        <v/>
      </c>
      <c r="P401" t="str">
        <f t="shared" si="61"/>
        <v/>
      </c>
      <c r="Q401" t="str">
        <f t="shared" si="62"/>
        <v/>
      </c>
      <c r="S401" t="str">
        <f>""</f>
        <v/>
      </c>
      <c r="AL401" s="18" t="str">
        <f>IF(COUNTIF($A$2:A400, A400) = 1, A400, "")</f>
        <v/>
      </c>
    </row>
    <row r="402" spans="6:38" x14ac:dyDescent="0.2">
      <c r="F402" t="str">
        <f t="shared" si="57"/>
        <v/>
      </c>
      <c r="L402" s="7" t="str">
        <f t="shared" si="58"/>
        <v/>
      </c>
      <c r="N402" s="7" t="str">
        <f t="shared" si="59"/>
        <v/>
      </c>
      <c r="O402" t="str">
        <f t="shared" si="60"/>
        <v/>
      </c>
      <c r="P402" t="str">
        <f t="shared" si="61"/>
        <v/>
      </c>
      <c r="Q402" t="str">
        <f t="shared" si="62"/>
        <v/>
      </c>
      <c r="S402" t="str">
        <f>""</f>
        <v/>
      </c>
      <c r="AL402" s="18" t="str">
        <f>IF(COUNTIF($A$2:A401, A401) = 1, A401, "")</f>
        <v/>
      </c>
    </row>
    <row r="403" spans="6:38" x14ac:dyDescent="0.2">
      <c r="F403" t="str">
        <f t="shared" si="57"/>
        <v/>
      </c>
      <c r="L403" s="7" t="str">
        <f t="shared" si="58"/>
        <v/>
      </c>
      <c r="N403" s="7" t="str">
        <f t="shared" si="59"/>
        <v/>
      </c>
      <c r="O403" t="str">
        <f t="shared" si="60"/>
        <v/>
      </c>
      <c r="P403" t="str">
        <f t="shared" si="61"/>
        <v/>
      </c>
      <c r="Q403" t="str">
        <f t="shared" si="62"/>
        <v/>
      </c>
      <c r="S403" t="str">
        <f>""</f>
        <v/>
      </c>
      <c r="AL403" s="18" t="str">
        <f>IF(COUNTIF($A$2:A402, A402) = 1, A402, "")</f>
        <v/>
      </c>
    </row>
    <row r="404" spans="6:38" x14ac:dyDescent="0.2">
      <c r="F404" t="str">
        <f t="shared" si="57"/>
        <v/>
      </c>
      <c r="L404" s="7" t="str">
        <f t="shared" si="58"/>
        <v/>
      </c>
      <c r="N404" s="7" t="str">
        <f t="shared" si="59"/>
        <v/>
      </c>
      <c r="O404" t="str">
        <f t="shared" si="60"/>
        <v/>
      </c>
      <c r="P404" t="str">
        <f t="shared" si="61"/>
        <v/>
      </c>
      <c r="Q404" t="str">
        <f t="shared" si="62"/>
        <v/>
      </c>
      <c r="S404" t="str">
        <f>""</f>
        <v/>
      </c>
      <c r="AL404" s="18" t="str">
        <f>IF(COUNTIF($A$2:A403, A403) = 1, A403, "")</f>
        <v/>
      </c>
    </row>
    <row r="405" spans="6:38" x14ac:dyDescent="0.2">
      <c r="F405" t="str">
        <f t="shared" si="57"/>
        <v/>
      </c>
      <c r="L405" s="7" t="str">
        <f t="shared" si="58"/>
        <v/>
      </c>
      <c r="N405" s="7" t="str">
        <f t="shared" si="59"/>
        <v/>
      </c>
      <c r="O405" t="str">
        <f t="shared" si="60"/>
        <v/>
      </c>
      <c r="P405" t="str">
        <f t="shared" si="61"/>
        <v/>
      </c>
      <c r="Q405" t="str">
        <f t="shared" si="62"/>
        <v/>
      </c>
      <c r="S405" t="str">
        <f>""</f>
        <v/>
      </c>
      <c r="AL405" s="18" t="str">
        <f>IF(COUNTIF($A$2:A404, A404) = 1, A404, "")</f>
        <v/>
      </c>
    </row>
    <row r="406" spans="6:38" x14ac:dyDescent="0.2">
      <c r="F406" t="str">
        <f t="shared" si="57"/>
        <v/>
      </c>
      <c r="L406" s="7" t="str">
        <f t="shared" si="58"/>
        <v/>
      </c>
      <c r="N406" s="7" t="str">
        <f t="shared" si="59"/>
        <v/>
      </c>
      <c r="O406" t="str">
        <f t="shared" si="60"/>
        <v/>
      </c>
      <c r="P406" t="str">
        <f t="shared" si="61"/>
        <v/>
      </c>
      <c r="Q406" t="str">
        <f t="shared" si="62"/>
        <v/>
      </c>
      <c r="S406" t="str">
        <f>""</f>
        <v/>
      </c>
      <c r="AL406" s="18" t="str">
        <f>IF(COUNTIF($A$2:A405, A405) = 1, A405, "")</f>
        <v/>
      </c>
    </row>
    <row r="407" spans="6:38" x14ac:dyDescent="0.2">
      <c r="F407" t="str">
        <f t="shared" si="57"/>
        <v/>
      </c>
      <c r="L407" s="7" t="str">
        <f t="shared" si="58"/>
        <v/>
      </c>
      <c r="N407" s="7" t="str">
        <f t="shared" si="59"/>
        <v/>
      </c>
      <c r="O407" t="str">
        <f t="shared" si="60"/>
        <v/>
      </c>
      <c r="P407" t="str">
        <f t="shared" si="61"/>
        <v/>
      </c>
      <c r="Q407" t="str">
        <f t="shared" si="62"/>
        <v/>
      </c>
      <c r="S407" t="str">
        <f>""</f>
        <v/>
      </c>
      <c r="AL407" s="18" t="str">
        <f>IF(COUNTIF($A$2:A406, A406) = 1, A406, "")</f>
        <v/>
      </c>
    </row>
    <row r="408" spans="6:38" x14ac:dyDescent="0.2">
      <c r="F408" t="str">
        <f t="shared" si="57"/>
        <v/>
      </c>
      <c r="L408" s="7" t="str">
        <f t="shared" si="58"/>
        <v/>
      </c>
      <c r="N408" s="7" t="str">
        <f t="shared" si="59"/>
        <v/>
      </c>
      <c r="O408" t="str">
        <f t="shared" si="60"/>
        <v/>
      </c>
      <c r="P408" t="str">
        <f t="shared" si="61"/>
        <v/>
      </c>
      <c r="Q408" t="str">
        <f t="shared" si="62"/>
        <v/>
      </c>
      <c r="S408" t="str">
        <f>""</f>
        <v/>
      </c>
      <c r="AL408" s="18" t="str">
        <f>IF(COUNTIF($A$2:A407, A407) = 1, A407, "")</f>
        <v/>
      </c>
    </row>
    <row r="409" spans="6:38" x14ac:dyDescent="0.2">
      <c r="F409" t="str">
        <f t="shared" si="57"/>
        <v/>
      </c>
      <c r="L409" s="7" t="str">
        <f t="shared" si="58"/>
        <v/>
      </c>
      <c r="N409" s="7" t="str">
        <f t="shared" si="59"/>
        <v/>
      </c>
      <c r="O409" t="str">
        <f t="shared" si="60"/>
        <v/>
      </c>
      <c r="P409" t="str">
        <f t="shared" si="61"/>
        <v/>
      </c>
      <c r="Q409" t="str">
        <f t="shared" si="62"/>
        <v/>
      </c>
      <c r="S409" t="str">
        <f>""</f>
        <v/>
      </c>
      <c r="AL409" s="18" t="str">
        <f>IF(COUNTIF($A$2:A408, A408) = 1, A408, "")</f>
        <v/>
      </c>
    </row>
    <row r="410" spans="6:38" x14ac:dyDescent="0.2">
      <c r="F410" t="str">
        <f t="shared" si="57"/>
        <v/>
      </c>
      <c r="L410" s="7" t="str">
        <f t="shared" si="58"/>
        <v/>
      </c>
      <c r="N410" s="7" t="str">
        <f t="shared" si="59"/>
        <v/>
      </c>
      <c r="O410" t="str">
        <f t="shared" si="60"/>
        <v/>
      </c>
      <c r="P410" t="str">
        <f t="shared" si="61"/>
        <v/>
      </c>
      <c r="Q410" t="str">
        <f t="shared" si="62"/>
        <v/>
      </c>
      <c r="S410" t="str">
        <f>""</f>
        <v/>
      </c>
      <c r="AL410" s="18" t="str">
        <f>IF(COUNTIF($A$2:A409, A409) = 1, A409, "")</f>
        <v/>
      </c>
    </row>
    <row r="411" spans="6:38" x14ac:dyDescent="0.2">
      <c r="F411" t="str">
        <f t="shared" si="57"/>
        <v/>
      </c>
      <c r="L411" s="7" t="str">
        <f t="shared" si="58"/>
        <v/>
      </c>
      <c r="N411" s="7" t="str">
        <f t="shared" si="59"/>
        <v/>
      </c>
      <c r="O411" t="str">
        <f t="shared" si="60"/>
        <v/>
      </c>
      <c r="P411" t="str">
        <f t="shared" si="61"/>
        <v/>
      </c>
      <c r="Q411" t="str">
        <f t="shared" si="62"/>
        <v/>
      </c>
      <c r="S411" t="str">
        <f>""</f>
        <v/>
      </c>
      <c r="AL411" s="18" t="str">
        <f>IF(COUNTIF($A$2:A410, A410) = 1, A410, "")</f>
        <v/>
      </c>
    </row>
    <row r="412" spans="6:38" x14ac:dyDescent="0.2">
      <c r="F412" t="str">
        <f t="shared" si="57"/>
        <v/>
      </c>
      <c r="L412" s="7" t="str">
        <f t="shared" si="58"/>
        <v/>
      </c>
      <c r="N412" s="7" t="str">
        <f t="shared" si="59"/>
        <v/>
      </c>
      <c r="O412" t="str">
        <f t="shared" si="60"/>
        <v/>
      </c>
      <c r="P412" t="str">
        <f t="shared" si="61"/>
        <v/>
      </c>
      <c r="Q412" t="str">
        <f t="shared" si="62"/>
        <v/>
      </c>
      <c r="S412" t="str">
        <f>""</f>
        <v/>
      </c>
      <c r="AL412" s="18" t="str">
        <f>IF(COUNTIF($A$2:A411, A411) = 1, A411, "")</f>
        <v/>
      </c>
    </row>
    <row r="413" spans="6:38" x14ac:dyDescent="0.2">
      <c r="F413" t="str">
        <f t="shared" si="57"/>
        <v/>
      </c>
      <c r="L413" s="7" t="str">
        <f t="shared" si="58"/>
        <v/>
      </c>
      <c r="N413" s="7" t="str">
        <f t="shared" si="59"/>
        <v/>
      </c>
      <c r="O413" t="str">
        <f t="shared" si="60"/>
        <v/>
      </c>
      <c r="P413" t="str">
        <f t="shared" si="61"/>
        <v/>
      </c>
      <c r="Q413" t="str">
        <f t="shared" si="62"/>
        <v/>
      </c>
      <c r="S413" t="str">
        <f>""</f>
        <v/>
      </c>
      <c r="AL413" s="18" t="str">
        <f>IF(COUNTIF($A$2:A412, A412) = 1, A412, "")</f>
        <v/>
      </c>
    </row>
    <row r="414" spans="6:38" x14ac:dyDescent="0.2">
      <c r="F414" t="str">
        <f t="shared" si="57"/>
        <v/>
      </c>
      <c r="L414" s="7" t="str">
        <f t="shared" si="58"/>
        <v/>
      </c>
      <c r="N414" s="7" t="str">
        <f t="shared" si="59"/>
        <v/>
      </c>
      <c r="O414" t="str">
        <f t="shared" si="60"/>
        <v/>
      </c>
      <c r="P414" t="str">
        <f t="shared" si="61"/>
        <v/>
      </c>
      <c r="Q414" t="str">
        <f t="shared" si="62"/>
        <v/>
      </c>
      <c r="S414" t="str">
        <f>""</f>
        <v/>
      </c>
      <c r="AL414" s="18" t="str">
        <f>IF(COUNTIF($A$2:A413, A413) = 1, A413, "")</f>
        <v/>
      </c>
    </row>
    <row r="415" spans="6:38" x14ac:dyDescent="0.2">
      <c r="F415" t="str">
        <f t="shared" si="57"/>
        <v/>
      </c>
      <c r="L415" s="7" t="str">
        <f t="shared" si="58"/>
        <v/>
      </c>
      <c r="N415" s="7" t="str">
        <f t="shared" si="59"/>
        <v/>
      </c>
      <c r="O415" t="str">
        <f t="shared" si="60"/>
        <v/>
      </c>
      <c r="P415" t="str">
        <f t="shared" si="61"/>
        <v/>
      </c>
      <c r="Q415" t="str">
        <f t="shared" si="62"/>
        <v/>
      </c>
      <c r="S415" t="str">
        <f>""</f>
        <v/>
      </c>
      <c r="AL415" s="18" t="str">
        <f>IF(COUNTIF($A$2:A414, A414) = 1, A414, "")</f>
        <v/>
      </c>
    </row>
    <row r="416" spans="6:38" x14ac:dyDescent="0.2">
      <c r="F416" t="str">
        <f t="shared" si="57"/>
        <v/>
      </c>
      <c r="L416" s="7" t="str">
        <f t="shared" si="58"/>
        <v/>
      </c>
      <c r="N416" s="7" t="str">
        <f t="shared" si="59"/>
        <v/>
      </c>
      <c r="O416" t="str">
        <f t="shared" si="60"/>
        <v/>
      </c>
      <c r="P416" t="str">
        <f t="shared" si="61"/>
        <v/>
      </c>
      <c r="Q416" t="str">
        <f t="shared" si="62"/>
        <v/>
      </c>
      <c r="S416" t="str">
        <f>""</f>
        <v/>
      </c>
      <c r="AL416" s="18" t="str">
        <f>IF(COUNTIF($A$2:A415, A415) = 1, A415, "")</f>
        <v/>
      </c>
    </row>
    <row r="417" spans="6:38" x14ac:dyDescent="0.2">
      <c r="F417" t="str">
        <f t="shared" si="57"/>
        <v/>
      </c>
      <c r="L417" s="7" t="str">
        <f t="shared" si="58"/>
        <v/>
      </c>
      <c r="N417" s="7" t="str">
        <f t="shared" si="59"/>
        <v/>
      </c>
      <c r="O417" t="str">
        <f t="shared" si="60"/>
        <v/>
      </c>
      <c r="P417" t="str">
        <f t="shared" si="61"/>
        <v/>
      </c>
      <c r="Q417" t="str">
        <f t="shared" si="62"/>
        <v/>
      </c>
      <c r="S417" t="str">
        <f>""</f>
        <v/>
      </c>
      <c r="AL417" s="18" t="str">
        <f>IF(COUNTIF($A$2:A416, A416) = 1, A416, "")</f>
        <v/>
      </c>
    </row>
    <row r="418" spans="6:38" x14ac:dyDescent="0.2">
      <c r="F418" t="str">
        <f t="shared" si="57"/>
        <v/>
      </c>
      <c r="L418" s="7" t="str">
        <f t="shared" si="58"/>
        <v/>
      </c>
      <c r="N418" s="7" t="str">
        <f t="shared" si="59"/>
        <v/>
      </c>
      <c r="O418" t="str">
        <f t="shared" si="60"/>
        <v/>
      </c>
      <c r="P418" t="str">
        <f t="shared" si="61"/>
        <v/>
      </c>
      <c r="Q418" t="str">
        <f t="shared" si="62"/>
        <v/>
      </c>
      <c r="S418" t="str">
        <f>""</f>
        <v/>
      </c>
      <c r="AL418" s="18" t="str">
        <f>IF(COUNTIF($A$2:A417, A417) = 1, A417, "")</f>
        <v/>
      </c>
    </row>
    <row r="419" spans="6:38" x14ac:dyDescent="0.2">
      <c r="F419" t="str">
        <f t="shared" si="57"/>
        <v/>
      </c>
      <c r="L419" s="7" t="str">
        <f t="shared" si="58"/>
        <v/>
      </c>
      <c r="N419" s="7" t="str">
        <f t="shared" si="59"/>
        <v/>
      </c>
      <c r="O419" t="str">
        <f t="shared" si="60"/>
        <v/>
      </c>
      <c r="P419" t="str">
        <f t="shared" si="61"/>
        <v/>
      </c>
      <c r="Q419" t="str">
        <f t="shared" si="62"/>
        <v/>
      </c>
      <c r="S419" t="str">
        <f>""</f>
        <v/>
      </c>
      <c r="AL419" s="18" t="str">
        <f>IF(COUNTIF($A$2:A418, A418) = 1, A418, "")</f>
        <v/>
      </c>
    </row>
    <row r="420" spans="6:38" x14ac:dyDescent="0.2">
      <c r="F420" t="str">
        <f t="shared" si="57"/>
        <v/>
      </c>
      <c r="L420" s="7" t="str">
        <f t="shared" si="58"/>
        <v/>
      </c>
      <c r="N420" s="7" t="str">
        <f t="shared" si="59"/>
        <v/>
      </c>
      <c r="O420" t="str">
        <f t="shared" si="60"/>
        <v/>
      </c>
      <c r="P420" t="str">
        <f t="shared" si="61"/>
        <v/>
      </c>
      <c r="Q420" t="str">
        <f t="shared" si="62"/>
        <v/>
      </c>
      <c r="S420" t="str">
        <f>""</f>
        <v/>
      </c>
      <c r="AL420" s="18" t="str">
        <f>IF(COUNTIF($A$2:A419, A419) = 1, A419, "")</f>
        <v/>
      </c>
    </row>
    <row r="421" spans="6:38" x14ac:dyDescent="0.2">
      <c r="F421" t="str">
        <f t="shared" si="57"/>
        <v/>
      </c>
      <c r="L421" s="7" t="str">
        <f t="shared" si="58"/>
        <v/>
      </c>
      <c r="N421" s="7" t="str">
        <f t="shared" si="59"/>
        <v/>
      </c>
      <c r="O421" t="str">
        <f t="shared" si="60"/>
        <v/>
      </c>
      <c r="P421" t="str">
        <f t="shared" si="61"/>
        <v/>
      </c>
      <c r="Q421" t="str">
        <f t="shared" si="62"/>
        <v/>
      </c>
      <c r="S421" t="str">
        <f>""</f>
        <v/>
      </c>
      <c r="AL421" s="18" t="str">
        <f>IF(COUNTIF($A$2:A420, A420) = 1, A420, "")</f>
        <v/>
      </c>
    </row>
    <row r="422" spans="6:38" x14ac:dyDescent="0.2">
      <c r="F422" t="str">
        <f t="shared" si="57"/>
        <v/>
      </c>
      <c r="L422" s="7" t="str">
        <f t="shared" si="58"/>
        <v/>
      </c>
      <c r="N422" s="7" t="str">
        <f t="shared" si="59"/>
        <v/>
      </c>
      <c r="O422" t="str">
        <f t="shared" si="60"/>
        <v/>
      </c>
      <c r="P422" t="str">
        <f t="shared" si="61"/>
        <v/>
      </c>
      <c r="Q422" t="str">
        <f t="shared" si="62"/>
        <v/>
      </c>
      <c r="S422" t="str">
        <f>""</f>
        <v/>
      </c>
      <c r="AL422" s="18" t="str">
        <f>IF(COUNTIF($A$2:A421, A421) = 1, A421, "")</f>
        <v/>
      </c>
    </row>
    <row r="423" spans="6:38" x14ac:dyDescent="0.2">
      <c r="F423" t="str">
        <f t="shared" si="57"/>
        <v/>
      </c>
      <c r="L423" s="7" t="str">
        <f t="shared" si="58"/>
        <v/>
      </c>
      <c r="N423" s="7" t="str">
        <f t="shared" si="59"/>
        <v/>
      </c>
      <c r="O423" t="str">
        <f t="shared" si="60"/>
        <v/>
      </c>
      <c r="P423" t="str">
        <f t="shared" si="61"/>
        <v/>
      </c>
      <c r="Q423" t="str">
        <f t="shared" si="62"/>
        <v/>
      </c>
      <c r="S423" t="str">
        <f>""</f>
        <v/>
      </c>
      <c r="AL423" s="18" t="str">
        <f>IF(COUNTIF($A$2:A422, A422) = 1, A422, "")</f>
        <v/>
      </c>
    </row>
    <row r="424" spans="6:38" x14ac:dyDescent="0.2">
      <c r="F424" t="str">
        <f t="shared" si="57"/>
        <v/>
      </c>
      <c r="L424" s="7" t="str">
        <f t="shared" si="58"/>
        <v/>
      </c>
      <c r="N424" s="7" t="str">
        <f t="shared" si="59"/>
        <v/>
      </c>
      <c r="O424" t="str">
        <f t="shared" si="60"/>
        <v/>
      </c>
      <c r="P424" t="str">
        <f t="shared" si="61"/>
        <v/>
      </c>
      <c r="Q424" t="str">
        <f t="shared" si="62"/>
        <v/>
      </c>
      <c r="S424" t="str">
        <f>""</f>
        <v/>
      </c>
      <c r="AL424" s="18" t="str">
        <f>IF(COUNTIF($A$2:A423, A423) = 1, A423, "")</f>
        <v/>
      </c>
    </row>
    <row r="425" spans="6:38" x14ac:dyDescent="0.2">
      <c r="F425" t="str">
        <f t="shared" si="57"/>
        <v/>
      </c>
      <c r="L425" s="7" t="str">
        <f t="shared" si="58"/>
        <v/>
      </c>
      <c r="N425" s="7" t="str">
        <f t="shared" si="59"/>
        <v/>
      </c>
      <c r="O425" t="str">
        <f t="shared" si="60"/>
        <v/>
      </c>
      <c r="P425" t="str">
        <f t="shared" si="61"/>
        <v/>
      </c>
      <c r="Q425" t="str">
        <f t="shared" si="62"/>
        <v/>
      </c>
      <c r="S425" t="str">
        <f>""</f>
        <v/>
      </c>
      <c r="AL425" s="18" t="str">
        <f>IF(COUNTIF($A$2:A424, A424) = 1, A424, "")</f>
        <v/>
      </c>
    </row>
    <row r="426" spans="6:38" x14ac:dyDescent="0.2">
      <c r="F426" t="str">
        <f t="shared" si="57"/>
        <v/>
      </c>
      <c r="L426" s="7" t="str">
        <f t="shared" si="58"/>
        <v/>
      </c>
      <c r="N426" s="7" t="str">
        <f t="shared" si="59"/>
        <v/>
      </c>
      <c r="O426" t="str">
        <f t="shared" si="60"/>
        <v/>
      </c>
      <c r="P426" t="str">
        <f t="shared" si="61"/>
        <v/>
      </c>
      <c r="Q426" t="str">
        <f t="shared" si="62"/>
        <v/>
      </c>
      <c r="S426" t="str">
        <f>""</f>
        <v/>
      </c>
      <c r="AL426" s="18" t="str">
        <f>IF(COUNTIF($A$2:A425, A425) = 1, A425, "")</f>
        <v/>
      </c>
    </row>
    <row r="427" spans="6:38" x14ac:dyDescent="0.2">
      <c r="F427" t="str">
        <f t="shared" si="57"/>
        <v/>
      </c>
      <c r="L427" s="7" t="str">
        <f t="shared" si="58"/>
        <v/>
      </c>
      <c r="N427" s="7" t="str">
        <f t="shared" si="59"/>
        <v/>
      </c>
      <c r="O427" t="str">
        <f t="shared" si="60"/>
        <v/>
      </c>
      <c r="P427" t="str">
        <f t="shared" si="61"/>
        <v/>
      </c>
      <c r="Q427" t="str">
        <f t="shared" si="62"/>
        <v/>
      </c>
      <c r="S427" t="str">
        <f>""</f>
        <v/>
      </c>
      <c r="AL427" s="18" t="str">
        <f>IF(COUNTIF($A$2:A426, A426) = 1, A426, "")</f>
        <v/>
      </c>
    </row>
    <row r="428" spans="6:38" x14ac:dyDescent="0.2">
      <c r="F428" t="str">
        <f t="shared" si="57"/>
        <v/>
      </c>
      <c r="L428" s="7" t="str">
        <f t="shared" si="58"/>
        <v/>
      </c>
      <c r="N428" s="7" t="str">
        <f t="shared" si="59"/>
        <v/>
      </c>
      <c r="O428" t="str">
        <f t="shared" si="60"/>
        <v/>
      </c>
      <c r="P428" t="str">
        <f t="shared" si="61"/>
        <v/>
      </c>
      <c r="Q428" t="str">
        <f t="shared" si="62"/>
        <v/>
      </c>
      <c r="S428" t="str">
        <f>""</f>
        <v/>
      </c>
      <c r="AL428" s="18" t="str">
        <f>IF(COUNTIF($A$2:A427, A427) = 1, A427, "")</f>
        <v/>
      </c>
    </row>
    <row r="429" spans="6:38" x14ac:dyDescent="0.2">
      <c r="F429" t="str">
        <f t="shared" si="57"/>
        <v/>
      </c>
      <c r="L429" s="7" t="str">
        <f t="shared" si="58"/>
        <v/>
      </c>
      <c r="N429" s="7" t="str">
        <f t="shared" si="59"/>
        <v/>
      </c>
      <c r="O429" t="str">
        <f t="shared" si="60"/>
        <v/>
      </c>
      <c r="P429" t="str">
        <f t="shared" si="61"/>
        <v/>
      </c>
      <c r="Q429" t="str">
        <f t="shared" si="62"/>
        <v/>
      </c>
      <c r="S429" t="str">
        <f>""</f>
        <v/>
      </c>
      <c r="AL429" s="18" t="str">
        <f>IF(COUNTIF($A$2:A428, A428) = 1, A428, "")</f>
        <v/>
      </c>
    </row>
    <row r="430" spans="6:38" x14ac:dyDescent="0.2">
      <c r="F430" t="str">
        <f t="shared" si="57"/>
        <v/>
      </c>
      <c r="L430" s="7" t="str">
        <f t="shared" si="58"/>
        <v/>
      </c>
      <c r="N430" s="7" t="str">
        <f t="shared" si="59"/>
        <v/>
      </c>
      <c r="O430" t="str">
        <f t="shared" si="60"/>
        <v/>
      </c>
      <c r="P430" t="str">
        <f t="shared" si="61"/>
        <v/>
      </c>
      <c r="Q430" t="str">
        <f t="shared" si="62"/>
        <v/>
      </c>
      <c r="S430" t="str">
        <f>""</f>
        <v/>
      </c>
      <c r="AL430" s="18" t="str">
        <f>IF(COUNTIF($A$2:A429, A429) = 1, A429, "")</f>
        <v/>
      </c>
    </row>
    <row r="431" spans="6:38" x14ac:dyDescent="0.2">
      <c r="F431" t="str">
        <f t="shared" si="57"/>
        <v/>
      </c>
      <c r="L431" s="7" t="str">
        <f t="shared" si="58"/>
        <v/>
      </c>
      <c r="N431" s="7" t="str">
        <f t="shared" si="59"/>
        <v/>
      </c>
      <c r="O431" t="str">
        <f t="shared" si="60"/>
        <v/>
      </c>
      <c r="P431" t="str">
        <f t="shared" si="61"/>
        <v/>
      </c>
      <c r="Q431" t="str">
        <f t="shared" si="62"/>
        <v/>
      </c>
      <c r="S431" t="str">
        <f>""</f>
        <v/>
      </c>
      <c r="AL431" s="18" t="str">
        <f>IF(COUNTIF($A$2:A430, A430) = 1, A430, "")</f>
        <v/>
      </c>
    </row>
    <row r="432" spans="6:38" x14ac:dyDescent="0.2">
      <c r="F432" t="str">
        <f t="shared" si="57"/>
        <v/>
      </c>
      <c r="L432" s="7" t="str">
        <f t="shared" si="58"/>
        <v/>
      </c>
      <c r="N432" s="7" t="str">
        <f t="shared" si="59"/>
        <v/>
      </c>
      <c r="O432" t="str">
        <f t="shared" si="60"/>
        <v/>
      </c>
      <c r="P432" t="str">
        <f t="shared" si="61"/>
        <v/>
      </c>
      <c r="Q432" t="str">
        <f t="shared" si="62"/>
        <v/>
      </c>
      <c r="S432" t="str">
        <f>""</f>
        <v/>
      </c>
      <c r="AL432" s="18" t="str">
        <f>IF(COUNTIF($A$2:A431, A431) = 1, A431, "")</f>
        <v/>
      </c>
    </row>
    <row r="433" spans="6:38" x14ac:dyDescent="0.2">
      <c r="F433" t="str">
        <f t="shared" si="57"/>
        <v/>
      </c>
      <c r="L433" s="7" t="str">
        <f t="shared" si="58"/>
        <v/>
      </c>
      <c r="N433" s="7" t="str">
        <f t="shared" si="59"/>
        <v/>
      </c>
      <c r="O433" t="str">
        <f t="shared" si="60"/>
        <v/>
      </c>
      <c r="P433" t="str">
        <f t="shared" si="61"/>
        <v/>
      </c>
      <c r="Q433" t="str">
        <f t="shared" si="62"/>
        <v/>
      </c>
      <c r="S433" t="str">
        <f>""</f>
        <v/>
      </c>
      <c r="AL433" s="18" t="str">
        <f>IF(COUNTIF($A$2:A432, A432) = 1, A432, "")</f>
        <v/>
      </c>
    </row>
    <row r="434" spans="6:38" x14ac:dyDescent="0.2">
      <c r="F434" t="str">
        <f t="shared" si="57"/>
        <v/>
      </c>
      <c r="L434" s="7" t="str">
        <f t="shared" si="58"/>
        <v/>
      </c>
      <c r="N434" s="7" t="str">
        <f t="shared" si="59"/>
        <v/>
      </c>
      <c r="O434" t="str">
        <f t="shared" si="60"/>
        <v/>
      </c>
      <c r="P434" t="str">
        <f t="shared" si="61"/>
        <v/>
      </c>
      <c r="Q434" t="str">
        <f t="shared" si="62"/>
        <v/>
      </c>
      <c r="S434" t="str">
        <f>""</f>
        <v/>
      </c>
      <c r="AL434" s="18" t="str">
        <f>IF(COUNTIF($A$2:A433, A433) = 1, A433, "")</f>
        <v/>
      </c>
    </row>
    <row r="435" spans="6:38" x14ac:dyDescent="0.2">
      <c r="F435" t="str">
        <f t="shared" si="57"/>
        <v/>
      </c>
      <c r="L435" s="7" t="str">
        <f t="shared" si="58"/>
        <v/>
      </c>
      <c r="N435" s="7" t="str">
        <f t="shared" si="59"/>
        <v/>
      </c>
      <c r="O435" t="str">
        <f t="shared" si="60"/>
        <v/>
      </c>
      <c r="P435" t="str">
        <f t="shared" si="61"/>
        <v/>
      </c>
      <c r="Q435" t="str">
        <f t="shared" si="62"/>
        <v/>
      </c>
      <c r="S435" t="str">
        <f>""</f>
        <v/>
      </c>
      <c r="AL435" s="18" t="str">
        <f>IF(COUNTIF($A$2:A434, A434) = 1, A434, "")</f>
        <v/>
      </c>
    </row>
    <row r="436" spans="6:38" x14ac:dyDescent="0.2">
      <c r="F436" t="str">
        <f t="shared" si="57"/>
        <v/>
      </c>
      <c r="L436" s="7" t="str">
        <f t="shared" si="58"/>
        <v/>
      </c>
      <c r="N436" s="7" t="str">
        <f t="shared" si="59"/>
        <v/>
      </c>
      <c r="O436" t="str">
        <f t="shared" si="60"/>
        <v/>
      </c>
      <c r="P436" t="str">
        <f t="shared" si="61"/>
        <v/>
      </c>
      <c r="Q436" t="str">
        <f t="shared" si="62"/>
        <v/>
      </c>
      <c r="S436" t="str">
        <f>""</f>
        <v/>
      </c>
      <c r="AL436" s="18" t="str">
        <f>IF(COUNTIF($A$2:A435, A435) = 1, A435, "")</f>
        <v/>
      </c>
    </row>
    <row r="437" spans="6:38" x14ac:dyDescent="0.2">
      <c r="F437" t="str">
        <f t="shared" si="57"/>
        <v/>
      </c>
      <c r="L437" s="7" t="str">
        <f t="shared" si="58"/>
        <v/>
      </c>
      <c r="N437" s="7" t="str">
        <f t="shared" si="59"/>
        <v/>
      </c>
      <c r="O437" t="str">
        <f t="shared" si="60"/>
        <v/>
      </c>
      <c r="P437" t="str">
        <f t="shared" si="61"/>
        <v/>
      </c>
      <c r="Q437" t="str">
        <f t="shared" si="62"/>
        <v/>
      </c>
      <c r="S437" t="str">
        <f>""</f>
        <v/>
      </c>
      <c r="AL437" s="18" t="str">
        <f>IF(COUNTIF($A$2:A436, A436) = 1, A436, "")</f>
        <v/>
      </c>
    </row>
    <row r="438" spans="6:38" x14ac:dyDescent="0.2">
      <c r="F438" t="str">
        <f t="shared" si="57"/>
        <v/>
      </c>
      <c r="L438" s="7" t="str">
        <f t="shared" si="58"/>
        <v/>
      </c>
      <c r="N438" s="7" t="str">
        <f t="shared" si="59"/>
        <v/>
      </c>
      <c r="O438" t="str">
        <f t="shared" si="60"/>
        <v/>
      </c>
      <c r="P438" t="str">
        <f t="shared" si="61"/>
        <v/>
      </c>
      <c r="Q438" t="str">
        <f t="shared" si="62"/>
        <v/>
      </c>
      <c r="S438" t="str">
        <f>""</f>
        <v/>
      </c>
      <c r="AL438" s="18" t="str">
        <f>IF(COUNTIF($A$2:A437, A437) = 1, A437, "")</f>
        <v/>
      </c>
    </row>
    <row r="439" spans="6:38" x14ac:dyDescent="0.2">
      <c r="F439" t="str">
        <f t="shared" si="57"/>
        <v/>
      </c>
      <c r="L439" s="7" t="str">
        <f t="shared" si="58"/>
        <v/>
      </c>
      <c r="N439" s="7" t="str">
        <f t="shared" si="59"/>
        <v/>
      </c>
      <c r="O439" t="str">
        <f t="shared" si="60"/>
        <v/>
      </c>
      <c r="P439" t="str">
        <f t="shared" si="61"/>
        <v/>
      </c>
      <c r="Q439" t="str">
        <f t="shared" si="62"/>
        <v/>
      </c>
      <c r="S439" t="str">
        <f>""</f>
        <v/>
      </c>
      <c r="AL439" s="18" t="str">
        <f>IF(COUNTIF($A$2:A438, A438) = 1, A438, "")</f>
        <v/>
      </c>
    </row>
    <row r="440" spans="6:38" x14ac:dyDescent="0.2">
      <c r="F440" t="str">
        <f t="shared" si="57"/>
        <v/>
      </c>
      <c r="L440" s="7" t="str">
        <f t="shared" si="58"/>
        <v/>
      </c>
      <c r="N440" s="7" t="str">
        <f t="shared" si="59"/>
        <v/>
      </c>
      <c r="O440" t="str">
        <f t="shared" si="60"/>
        <v/>
      </c>
      <c r="P440" t="str">
        <f t="shared" si="61"/>
        <v/>
      </c>
      <c r="Q440" t="str">
        <f t="shared" si="62"/>
        <v/>
      </c>
      <c r="S440" t="str">
        <f>""</f>
        <v/>
      </c>
      <c r="AL440" s="18" t="str">
        <f>IF(COUNTIF($A$2:A439, A439) = 1, A439, "")</f>
        <v/>
      </c>
    </row>
    <row r="441" spans="6:38" x14ac:dyDescent="0.2">
      <c r="F441" t="str">
        <f t="shared" si="57"/>
        <v/>
      </c>
      <c r="L441" s="7" t="str">
        <f t="shared" si="58"/>
        <v/>
      </c>
      <c r="N441" s="7" t="str">
        <f t="shared" si="59"/>
        <v/>
      </c>
      <c r="O441" t="str">
        <f t="shared" si="60"/>
        <v/>
      </c>
      <c r="P441" t="str">
        <f t="shared" si="61"/>
        <v/>
      </c>
      <c r="Q441" t="str">
        <f t="shared" si="62"/>
        <v/>
      </c>
      <c r="S441" t="str">
        <f>""</f>
        <v/>
      </c>
      <c r="AL441" s="18" t="str">
        <f>IF(COUNTIF($A$2:A440, A440) = 1, A440, "")</f>
        <v/>
      </c>
    </row>
    <row r="442" spans="6:38" x14ac:dyDescent="0.2">
      <c r="F442" t="str">
        <f t="shared" si="57"/>
        <v/>
      </c>
      <c r="L442" s="7" t="str">
        <f t="shared" si="58"/>
        <v/>
      </c>
      <c r="N442" s="7" t="str">
        <f t="shared" si="59"/>
        <v/>
      </c>
      <c r="O442" t="str">
        <f t="shared" si="60"/>
        <v/>
      </c>
      <c r="P442" t="str">
        <f t="shared" si="61"/>
        <v/>
      </c>
      <c r="Q442" t="str">
        <f t="shared" si="62"/>
        <v/>
      </c>
      <c r="S442" t="str">
        <f>""</f>
        <v/>
      </c>
      <c r="AL442" s="18" t="str">
        <f>IF(COUNTIF($A$2:A441, A441) = 1, A441, "")</f>
        <v/>
      </c>
    </row>
    <row r="443" spans="6:38" x14ac:dyDescent="0.2">
      <c r="F443" t="str">
        <f t="shared" si="57"/>
        <v/>
      </c>
      <c r="L443" s="7" t="str">
        <f t="shared" si="58"/>
        <v/>
      </c>
      <c r="N443" s="7" t="str">
        <f t="shared" si="59"/>
        <v/>
      </c>
      <c r="O443" t="str">
        <f t="shared" si="60"/>
        <v/>
      </c>
      <c r="P443" t="str">
        <f t="shared" si="61"/>
        <v/>
      </c>
      <c r="Q443" t="str">
        <f t="shared" si="62"/>
        <v/>
      </c>
      <c r="S443" t="str">
        <f>""</f>
        <v/>
      </c>
      <c r="AL443" s="18" t="str">
        <f>IF(COUNTIF($A$2:A442, A442) = 1, A442, "")</f>
        <v/>
      </c>
    </row>
    <row r="444" spans="6:38" x14ac:dyDescent="0.2">
      <c r="F444" t="str">
        <f t="shared" si="57"/>
        <v/>
      </c>
      <c r="L444" s="7" t="str">
        <f t="shared" si="58"/>
        <v/>
      </c>
      <c r="N444" s="7" t="str">
        <f t="shared" si="59"/>
        <v/>
      </c>
      <c r="O444" t="str">
        <f t="shared" si="60"/>
        <v/>
      </c>
      <c r="P444" t="str">
        <f t="shared" si="61"/>
        <v/>
      </c>
      <c r="Q444" t="str">
        <f t="shared" si="62"/>
        <v/>
      </c>
      <c r="S444" t="str">
        <f>""</f>
        <v/>
      </c>
      <c r="AL444" s="18" t="str">
        <f>IF(COUNTIF($A$2:A443, A443) = 1, A443, "")</f>
        <v/>
      </c>
    </row>
    <row r="445" spans="6:38" x14ac:dyDescent="0.2">
      <c r="F445" t="str">
        <f t="shared" si="57"/>
        <v/>
      </c>
      <c r="L445" s="7" t="str">
        <f t="shared" si="58"/>
        <v/>
      </c>
      <c r="N445" s="7" t="str">
        <f t="shared" si="59"/>
        <v/>
      </c>
      <c r="O445" t="str">
        <f t="shared" si="60"/>
        <v/>
      </c>
      <c r="P445" t="str">
        <f t="shared" si="61"/>
        <v/>
      </c>
      <c r="Q445" t="str">
        <f t="shared" si="62"/>
        <v/>
      </c>
      <c r="S445" t="str">
        <f>""</f>
        <v/>
      </c>
      <c r="AL445" s="18" t="str">
        <f>IF(COUNTIF($A$2:A444, A444) = 1, A444, "")</f>
        <v/>
      </c>
    </row>
    <row r="446" spans="6:38" x14ac:dyDescent="0.2">
      <c r="F446" t="str">
        <f t="shared" si="57"/>
        <v/>
      </c>
      <c r="L446" s="7" t="str">
        <f t="shared" si="58"/>
        <v/>
      </c>
      <c r="N446" s="7" t="str">
        <f t="shared" si="59"/>
        <v/>
      </c>
      <c r="O446" t="str">
        <f t="shared" si="60"/>
        <v/>
      </c>
      <c r="P446" t="str">
        <f t="shared" si="61"/>
        <v/>
      </c>
      <c r="Q446" t="str">
        <f t="shared" si="62"/>
        <v/>
      </c>
      <c r="S446" t="str">
        <f>""</f>
        <v/>
      </c>
      <c r="AL446" s="18" t="str">
        <f>IF(COUNTIF($A$2:A445, A445) = 1, A445, "")</f>
        <v/>
      </c>
    </row>
    <row r="447" spans="6:38" x14ac:dyDescent="0.2">
      <c r="F447" t="str">
        <f t="shared" si="57"/>
        <v/>
      </c>
      <c r="L447" s="7" t="str">
        <f t="shared" si="58"/>
        <v/>
      </c>
      <c r="N447" s="7" t="str">
        <f t="shared" si="59"/>
        <v/>
      </c>
      <c r="O447" t="str">
        <f t="shared" si="60"/>
        <v/>
      </c>
      <c r="P447" t="str">
        <f t="shared" si="61"/>
        <v/>
      </c>
      <c r="Q447" t="str">
        <f t="shared" si="62"/>
        <v/>
      </c>
      <c r="S447" t="str">
        <f>""</f>
        <v/>
      </c>
      <c r="AL447" s="18" t="str">
        <f>IF(COUNTIF($A$2:A446, A446) = 1, A446, "")</f>
        <v/>
      </c>
    </row>
    <row r="448" spans="6:38" x14ac:dyDescent="0.2">
      <c r="F448" t="str">
        <f t="shared" si="57"/>
        <v/>
      </c>
      <c r="L448" s="7" t="str">
        <f t="shared" si="58"/>
        <v/>
      </c>
      <c r="N448" s="7" t="str">
        <f t="shared" si="59"/>
        <v/>
      </c>
      <c r="O448" t="str">
        <f t="shared" si="60"/>
        <v/>
      </c>
      <c r="P448" t="str">
        <f t="shared" si="61"/>
        <v/>
      </c>
      <c r="Q448" t="str">
        <f t="shared" si="62"/>
        <v/>
      </c>
      <c r="S448" t="str">
        <f>""</f>
        <v/>
      </c>
      <c r="AL448" s="18" t="str">
        <f>IF(COUNTIF($A$2:A447, A447) = 1, A447, "")</f>
        <v/>
      </c>
    </row>
    <row r="449" spans="6:38" x14ac:dyDescent="0.2">
      <c r="F449" t="str">
        <f t="shared" si="57"/>
        <v/>
      </c>
      <c r="L449" s="7" t="str">
        <f t="shared" si="58"/>
        <v/>
      </c>
      <c r="N449" s="7" t="str">
        <f t="shared" si="59"/>
        <v/>
      </c>
      <c r="O449" t="str">
        <f t="shared" si="60"/>
        <v/>
      </c>
      <c r="P449" t="str">
        <f t="shared" si="61"/>
        <v/>
      </c>
      <c r="Q449" t="str">
        <f t="shared" si="62"/>
        <v/>
      </c>
      <c r="S449" t="str">
        <f>""</f>
        <v/>
      </c>
      <c r="AL449" s="18" t="str">
        <f>IF(COUNTIF($A$2:A448, A448) = 1, A448, "")</f>
        <v/>
      </c>
    </row>
    <row r="450" spans="6:38" x14ac:dyDescent="0.2">
      <c r="F450" t="str">
        <f t="shared" si="57"/>
        <v/>
      </c>
      <c r="L450" s="7" t="str">
        <f t="shared" si="58"/>
        <v/>
      </c>
      <c r="N450" s="7" t="str">
        <f t="shared" si="59"/>
        <v/>
      </c>
      <c r="O450" t="str">
        <f t="shared" si="60"/>
        <v/>
      </c>
      <c r="P450" t="str">
        <f t="shared" si="61"/>
        <v/>
      </c>
      <c r="Q450" t="str">
        <f t="shared" si="62"/>
        <v/>
      </c>
      <c r="S450" t="str">
        <f>""</f>
        <v/>
      </c>
      <c r="AL450" s="18" t="str">
        <f>IF(COUNTIF($A$2:A449, A449) = 1, A449, "")</f>
        <v/>
      </c>
    </row>
    <row r="451" spans="6:38" x14ac:dyDescent="0.2">
      <c r="F451" t="str">
        <f t="shared" si="57"/>
        <v/>
      </c>
      <c r="L451" s="7" t="str">
        <f t="shared" si="58"/>
        <v/>
      </c>
      <c r="N451" s="7" t="str">
        <f t="shared" si="59"/>
        <v/>
      </c>
      <c r="O451" t="str">
        <f t="shared" si="60"/>
        <v/>
      </c>
      <c r="P451" t="str">
        <f t="shared" si="61"/>
        <v/>
      </c>
      <c r="Q451" t="str">
        <f t="shared" si="62"/>
        <v/>
      </c>
      <c r="S451" t="str">
        <f>""</f>
        <v/>
      </c>
      <c r="AL451" s="18" t="str">
        <f>IF(COUNTIF($A$2:A450, A450) = 1, A450, "")</f>
        <v/>
      </c>
    </row>
    <row r="452" spans="6:38" x14ac:dyDescent="0.2">
      <c r="F452" t="str">
        <f t="shared" si="57"/>
        <v/>
      </c>
      <c r="L452" s="7" t="str">
        <f t="shared" si="58"/>
        <v/>
      </c>
      <c r="N452" s="7" t="str">
        <f t="shared" si="59"/>
        <v/>
      </c>
      <c r="O452" t="str">
        <f t="shared" si="60"/>
        <v/>
      </c>
      <c r="P452" t="str">
        <f t="shared" si="61"/>
        <v/>
      </c>
      <c r="Q452" t="str">
        <f t="shared" si="62"/>
        <v/>
      </c>
      <c r="S452" t="str">
        <f>""</f>
        <v/>
      </c>
      <c r="AL452" s="18" t="str">
        <f>IF(COUNTIF($A$2:A451, A451) = 1, A451, "")</f>
        <v/>
      </c>
    </row>
    <row r="453" spans="6:38" x14ac:dyDescent="0.2">
      <c r="F453" t="str">
        <f t="shared" si="57"/>
        <v/>
      </c>
      <c r="L453" s="7" t="str">
        <f t="shared" si="58"/>
        <v/>
      </c>
      <c r="N453" s="7" t="str">
        <f t="shared" si="59"/>
        <v/>
      </c>
      <c r="O453" t="str">
        <f t="shared" si="60"/>
        <v/>
      </c>
      <c r="P453" t="str">
        <f t="shared" si="61"/>
        <v/>
      </c>
      <c r="Q453" t="str">
        <f t="shared" si="62"/>
        <v/>
      </c>
      <c r="S453" t="str">
        <f>""</f>
        <v/>
      </c>
      <c r="AL453" s="18" t="str">
        <f>IF(COUNTIF($A$2:A452, A452) = 1, A452, "")</f>
        <v/>
      </c>
    </row>
    <row r="454" spans="6:38" x14ac:dyDescent="0.2">
      <c r="F454" t="str">
        <f t="shared" si="57"/>
        <v/>
      </c>
      <c r="L454" s="7" t="str">
        <f t="shared" si="58"/>
        <v/>
      </c>
      <c r="N454" s="7" t="str">
        <f t="shared" si="59"/>
        <v/>
      </c>
      <c r="O454" t="str">
        <f t="shared" si="60"/>
        <v/>
      </c>
      <c r="P454" t="str">
        <f t="shared" si="61"/>
        <v/>
      </c>
      <c r="Q454" t="str">
        <f t="shared" si="62"/>
        <v/>
      </c>
      <c r="S454" t="str">
        <f>""</f>
        <v/>
      </c>
      <c r="AL454" s="18" t="str">
        <f>IF(COUNTIF($A$2:A453, A453) = 1, A453, "")</f>
        <v/>
      </c>
    </row>
    <row r="455" spans="6:38" x14ac:dyDescent="0.2">
      <c r="F455" t="str">
        <f t="shared" si="57"/>
        <v/>
      </c>
      <c r="L455" s="7" t="str">
        <f t="shared" si="58"/>
        <v/>
      </c>
      <c r="N455" s="7" t="str">
        <f t="shared" si="59"/>
        <v/>
      </c>
      <c r="O455" t="str">
        <f t="shared" si="60"/>
        <v/>
      </c>
      <c r="P455" t="str">
        <f t="shared" si="61"/>
        <v/>
      </c>
      <c r="Q455" t="str">
        <f t="shared" si="62"/>
        <v/>
      </c>
      <c r="S455" t="str">
        <f>""</f>
        <v/>
      </c>
      <c r="AL455" s="18" t="str">
        <f>IF(COUNTIF($A$2:A454, A454) = 1, A454, "")</f>
        <v/>
      </c>
    </row>
    <row r="456" spans="6:38" x14ac:dyDescent="0.2">
      <c r="F456" t="str">
        <f t="shared" si="57"/>
        <v/>
      </c>
      <c r="L456" s="7" t="str">
        <f t="shared" si="58"/>
        <v/>
      </c>
      <c r="N456" s="7" t="str">
        <f t="shared" si="59"/>
        <v/>
      </c>
      <c r="O456" t="str">
        <f t="shared" si="60"/>
        <v/>
      </c>
      <c r="P456" t="str">
        <f t="shared" si="61"/>
        <v/>
      </c>
      <c r="Q456" t="str">
        <f t="shared" si="62"/>
        <v/>
      </c>
      <c r="S456" t="str">
        <f>""</f>
        <v/>
      </c>
      <c r="AL456" s="18" t="str">
        <f>IF(COUNTIF($A$2:A455, A455) = 1, A455, "")</f>
        <v/>
      </c>
    </row>
    <row r="457" spans="6:38" x14ac:dyDescent="0.2">
      <c r="F457" t="str">
        <f t="shared" si="57"/>
        <v/>
      </c>
      <c r="L457" s="7" t="str">
        <f t="shared" si="58"/>
        <v/>
      </c>
      <c r="N457" s="7" t="str">
        <f t="shared" si="59"/>
        <v/>
      </c>
      <c r="O457" t="str">
        <f t="shared" si="60"/>
        <v/>
      </c>
      <c r="P457" t="str">
        <f t="shared" si="61"/>
        <v/>
      </c>
      <c r="Q457" t="str">
        <f t="shared" si="62"/>
        <v/>
      </c>
      <c r="S457" t="str">
        <f>""</f>
        <v/>
      </c>
      <c r="AL457" s="18" t="str">
        <f>IF(COUNTIF($A$2:A456, A456) = 1, A456, "")</f>
        <v/>
      </c>
    </row>
    <row r="458" spans="6:38" x14ac:dyDescent="0.2">
      <c r="F458" t="str">
        <f t="shared" si="57"/>
        <v/>
      </c>
      <c r="L458" s="7" t="str">
        <f t="shared" si="58"/>
        <v/>
      </c>
      <c r="N458" s="7" t="str">
        <f t="shared" si="59"/>
        <v/>
      </c>
      <c r="O458" t="str">
        <f t="shared" si="60"/>
        <v/>
      </c>
      <c r="P458" t="str">
        <f t="shared" si="61"/>
        <v/>
      </c>
      <c r="Q458" t="str">
        <f t="shared" si="62"/>
        <v/>
      </c>
      <c r="S458" t="str">
        <f>""</f>
        <v/>
      </c>
      <c r="AL458" s="18" t="str">
        <f>IF(COUNTIF($A$2:A457, A457) = 1, A457, "")</f>
        <v/>
      </c>
    </row>
    <row r="459" spans="6:38" x14ac:dyDescent="0.2">
      <c r="F459" t="str">
        <f t="shared" si="57"/>
        <v/>
      </c>
      <c r="L459" s="7" t="str">
        <f t="shared" si="58"/>
        <v/>
      </c>
      <c r="N459" s="7" t="str">
        <f t="shared" si="59"/>
        <v/>
      </c>
      <c r="O459" t="str">
        <f t="shared" si="60"/>
        <v/>
      </c>
      <c r="P459" t="str">
        <f t="shared" si="61"/>
        <v/>
      </c>
      <c r="Q459" t="str">
        <f t="shared" si="62"/>
        <v/>
      </c>
      <c r="S459" t="str">
        <f>""</f>
        <v/>
      </c>
      <c r="AL459" s="18" t="str">
        <f>IF(COUNTIF($A$2:A458, A458) = 1, A458, "")</f>
        <v/>
      </c>
    </row>
    <row r="460" spans="6:38" x14ac:dyDescent="0.2">
      <c r="F460" t="str">
        <f t="shared" si="57"/>
        <v/>
      </c>
      <c r="L460" s="7" t="str">
        <f t="shared" si="58"/>
        <v/>
      </c>
      <c r="N460" s="7" t="str">
        <f t="shared" si="59"/>
        <v/>
      </c>
      <c r="O460" t="str">
        <f t="shared" si="60"/>
        <v/>
      </c>
      <c r="P460" t="str">
        <f t="shared" si="61"/>
        <v/>
      </c>
      <c r="Q460" t="str">
        <f t="shared" si="62"/>
        <v/>
      </c>
      <c r="S460" t="str">
        <f>""</f>
        <v/>
      </c>
      <c r="AL460" s="18" t="str">
        <f>IF(COUNTIF($A$2:A459, A459) = 1, A459, "")</f>
        <v/>
      </c>
    </row>
    <row r="461" spans="6:38" x14ac:dyDescent="0.2">
      <c r="F461" t="str">
        <f t="shared" si="57"/>
        <v/>
      </c>
      <c r="L461" s="7" t="str">
        <f t="shared" si="58"/>
        <v/>
      </c>
      <c r="N461" s="7" t="str">
        <f t="shared" si="59"/>
        <v/>
      </c>
      <c r="O461" t="str">
        <f t="shared" si="60"/>
        <v/>
      </c>
      <c r="P461" t="str">
        <f t="shared" si="61"/>
        <v/>
      </c>
      <c r="Q461" t="str">
        <f t="shared" si="62"/>
        <v/>
      </c>
      <c r="S461" t="str">
        <f>""</f>
        <v/>
      </c>
      <c r="AL461" s="18" t="str">
        <f>IF(COUNTIF($A$2:A460, A460) = 1, A460, "")</f>
        <v/>
      </c>
    </row>
    <row r="462" spans="6:38" x14ac:dyDescent="0.2">
      <c r="F462" t="str">
        <f t="shared" si="57"/>
        <v/>
      </c>
      <c r="L462" s="7" t="str">
        <f t="shared" si="58"/>
        <v/>
      </c>
      <c r="N462" s="7" t="str">
        <f t="shared" si="59"/>
        <v/>
      </c>
      <c r="O462" t="str">
        <f t="shared" si="60"/>
        <v/>
      </c>
      <c r="P462" t="str">
        <f t="shared" si="61"/>
        <v/>
      </c>
      <c r="Q462" t="str">
        <f t="shared" si="62"/>
        <v/>
      </c>
      <c r="S462" t="str">
        <f>""</f>
        <v/>
      </c>
      <c r="AL462" s="18" t="str">
        <f>IF(COUNTIF($A$2:A461, A461) = 1, A461, "")</f>
        <v/>
      </c>
    </row>
    <row r="463" spans="6:38" x14ac:dyDescent="0.2">
      <c r="F463" t="str">
        <f t="shared" si="57"/>
        <v/>
      </c>
      <c r="L463" s="7" t="str">
        <f t="shared" si="58"/>
        <v/>
      </c>
      <c r="N463" s="7" t="str">
        <f t="shared" si="59"/>
        <v/>
      </c>
      <c r="O463" t="str">
        <f t="shared" si="60"/>
        <v/>
      </c>
      <c r="P463" t="str">
        <f t="shared" si="61"/>
        <v/>
      </c>
      <c r="Q463" t="str">
        <f t="shared" si="62"/>
        <v/>
      </c>
      <c r="S463" t="str">
        <f>""</f>
        <v/>
      </c>
      <c r="AL463" s="18" t="str">
        <f>IF(COUNTIF($A$2:A462, A462) = 1, A462, "")</f>
        <v/>
      </c>
    </row>
    <row r="464" spans="6:38" x14ac:dyDescent="0.2">
      <c r="F464" t="str">
        <f t="shared" ref="F464:F500" si="63">IF(OR(O464="", P464=""), "", SUM(IF((O464&lt;&gt;"None")*(O464&lt;&gt;""),LEN(O464)-LEN(SUBSTITUTE(O464,",",""))+1,0)) + SUM(IF((P464&lt;&gt;"None")*(P464&lt;&gt;""),LEN(P464)-LEN(SUBSTITUTE(P464,",",""))+1,0)))</f>
        <v/>
      </c>
      <c r="L464" s="7" t="str">
        <f t="shared" ref="L464:L500" si="64">IF(LEN(E464)=0, "", IFERROR(IF(E464&gt;=0, K464 * (1 + E464/100) - K464, K464 / (ABS(E464)/100))+K464, ""))</f>
        <v/>
      </c>
      <c r="N464" s="7" t="str">
        <f t="shared" ref="N464:N500" si="65">IF(M464="Yes",L464-K464,IF(M464="No",-K464,""))</f>
        <v/>
      </c>
      <c r="O464" t="str">
        <f t="shared" ref="O464:O500" si="66">IF(AND(G464="No",H464="No"), "None", "")</f>
        <v/>
      </c>
      <c r="P464" t="str">
        <f t="shared" ref="P464:P500" si="67">IF(I464="No", "None", "")</f>
        <v/>
      </c>
      <c r="Q464" t="str">
        <f t="shared" ref="Q464:Q500" si="68">IF(AND(D464="Straight", M464 = "No"),IF(O464="None",P464,IF(P464="None",O464) ),"")</f>
        <v/>
      </c>
      <c r="S464" t="str">
        <f>""</f>
        <v/>
      </c>
      <c r="AL464" s="18" t="str">
        <f>IF(COUNTIF($A$2:A463, A463) = 1, A463, "")</f>
        <v/>
      </c>
    </row>
    <row r="465" spans="6:38" x14ac:dyDescent="0.2">
      <c r="F465" t="str">
        <f t="shared" si="63"/>
        <v/>
      </c>
      <c r="L465" s="7" t="str">
        <f t="shared" si="64"/>
        <v/>
      </c>
      <c r="N465" s="7" t="str">
        <f t="shared" si="65"/>
        <v/>
      </c>
      <c r="O465" t="str">
        <f t="shared" si="66"/>
        <v/>
      </c>
      <c r="P465" t="str">
        <f t="shared" si="67"/>
        <v/>
      </c>
      <c r="Q465" t="str">
        <f t="shared" si="68"/>
        <v/>
      </c>
      <c r="S465" t="str">
        <f>""</f>
        <v/>
      </c>
      <c r="AL465" s="18" t="str">
        <f>IF(COUNTIF($A$2:A464, A464) = 1, A464, "")</f>
        <v/>
      </c>
    </row>
    <row r="466" spans="6:38" x14ac:dyDescent="0.2">
      <c r="F466" t="str">
        <f t="shared" si="63"/>
        <v/>
      </c>
      <c r="L466" s="7" t="str">
        <f t="shared" si="64"/>
        <v/>
      </c>
      <c r="N466" s="7" t="str">
        <f t="shared" si="65"/>
        <v/>
      </c>
      <c r="O466" t="str">
        <f t="shared" si="66"/>
        <v/>
      </c>
      <c r="P466" t="str">
        <f t="shared" si="67"/>
        <v/>
      </c>
      <c r="Q466" t="str">
        <f t="shared" si="68"/>
        <v/>
      </c>
      <c r="S466" t="str">
        <f>""</f>
        <v/>
      </c>
      <c r="AL466" s="18" t="str">
        <f>IF(COUNTIF($A$2:A465, A465) = 1, A465, "")</f>
        <v/>
      </c>
    </row>
    <row r="467" spans="6:38" x14ac:dyDescent="0.2">
      <c r="F467" t="str">
        <f t="shared" si="63"/>
        <v/>
      </c>
      <c r="L467" s="7" t="str">
        <f t="shared" si="64"/>
        <v/>
      </c>
      <c r="N467" s="7" t="str">
        <f t="shared" si="65"/>
        <v/>
      </c>
      <c r="O467" t="str">
        <f t="shared" si="66"/>
        <v/>
      </c>
      <c r="P467" t="str">
        <f t="shared" si="67"/>
        <v/>
      </c>
      <c r="Q467" t="str">
        <f t="shared" si="68"/>
        <v/>
      </c>
      <c r="S467" t="str">
        <f>""</f>
        <v/>
      </c>
      <c r="AL467" s="18" t="str">
        <f>IF(COUNTIF($A$2:A466, A466) = 1, A466, "")</f>
        <v/>
      </c>
    </row>
    <row r="468" spans="6:38" x14ac:dyDescent="0.2">
      <c r="F468" t="str">
        <f t="shared" si="63"/>
        <v/>
      </c>
      <c r="L468" s="7" t="str">
        <f t="shared" si="64"/>
        <v/>
      </c>
      <c r="N468" s="7" t="str">
        <f t="shared" si="65"/>
        <v/>
      </c>
      <c r="O468" t="str">
        <f t="shared" si="66"/>
        <v/>
      </c>
      <c r="P468" t="str">
        <f t="shared" si="67"/>
        <v/>
      </c>
      <c r="Q468" t="str">
        <f t="shared" si="68"/>
        <v/>
      </c>
      <c r="S468" t="str">
        <f>""</f>
        <v/>
      </c>
      <c r="AL468" s="18" t="str">
        <f>IF(COUNTIF($A$2:A467, A467) = 1, A467, "")</f>
        <v/>
      </c>
    </row>
    <row r="469" spans="6:38" x14ac:dyDescent="0.2">
      <c r="F469" t="str">
        <f t="shared" si="63"/>
        <v/>
      </c>
      <c r="L469" s="7" t="str">
        <f t="shared" si="64"/>
        <v/>
      </c>
      <c r="N469" s="7" t="str">
        <f t="shared" si="65"/>
        <v/>
      </c>
      <c r="O469" t="str">
        <f t="shared" si="66"/>
        <v/>
      </c>
      <c r="P469" t="str">
        <f t="shared" si="67"/>
        <v/>
      </c>
      <c r="Q469" t="str">
        <f t="shared" si="68"/>
        <v/>
      </c>
      <c r="S469" t="str">
        <f>""</f>
        <v/>
      </c>
      <c r="AL469" s="18" t="str">
        <f>IF(COUNTIF($A$2:A468, A468) = 1, A468, "")</f>
        <v/>
      </c>
    </row>
    <row r="470" spans="6:38" x14ac:dyDescent="0.2">
      <c r="F470" t="str">
        <f t="shared" si="63"/>
        <v/>
      </c>
      <c r="L470" s="7" t="str">
        <f t="shared" si="64"/>
        <v/>
      </c>
      <c r="N470" s="7" t="str">
        <f t="shared" si="65"/>
        <v/>
      </c>
      <c r="O470" t="str">
        <f t="shared" si="66"/>
        <v/>
      </c>
      <c r="P470" t="str">
        <f t="shared" si="67"/>
        <v/>
      </c>
      <c r="Q470" t="str">
        <f t="shared" si="68"/>
        <v/>
      </c>
      <c r="S470" t="str">
        <f>""</f>
        <v/>
      </c>
      <c r="AL470" s="18" t="str">
        <f>IF(COUNTIF($A$2:A469, A469) = 1, A469, "")</f>
        <v/>
      </c>
    </row>
    <row r="471" spans="6:38" x14ac:dyDescent="0.2">
      <c r="F471" t="str">
        <f t="shared" si="63"/>
        <v/>
      </c>
      <c r="L471" s="7" t="str">
        <f t="shared" si="64"/>
        <v/>
      </c>
      <c r="N471" s="7" t="str">
        <f t="shared" si="65"/>
        <v/>
      </c>
      <c r="O471" t="str">
        <f t="shared" si="66"/>
        <v/>
      </c>
      <c r="P471" t="str">
        <f t="shared" si="67"/>
        <v/>
      </c>
      <c r="Q471" t="str">
        <f t="shared" si="68"/>
        <v/>
      </c>
      <c r="S471" t="str">
        <f>""</f>
        <v/>
      </c>
      <c r="AL471" s="18" t="str">
        <f>IF(COUNTIF($A$2:A470, A470) = 1, A470, "")</f>
        <v/>
      </c>
    </row>
    <row r="472" spans="6:38" x14ac:dyDescent="0.2">
      <c r="F472" t="str">
        <f t="shared" si="63"/>
        <v/>
      </c>
      <c r="L472" s="7" t="str">
        <f t="shared" si="64"/>
        <v/>
      </c>
      <c r="N472" s="7" t="str">
        <f t="shared" si="65"/>
        <v/>
      </c>
      <c r="O472" t="str">
        <f t="shared" si="66"/>
        <v/>
      </c>
      <c r="P472" t="str">
        <f t="shared" si="67"/>
        <v/>
      </c>
      <c r="Q472" t="str">
        <f t="shared" si="68"/>
        <v/>
      </c>
      <c r="S472" t="str">
        <f>""</f>
        <v/>
      </c>
      <c r="AL472" s="18" t="str">
        <f>IF(COUNTIF($A$2:A471, A471) = 1, A471, "")</f>
        <v/>
      </c>
    </row>
    <row r="473" spans="6:38" x14ac:dyDescent="0.2">
      <c r="F473" t="str">
        <f t="shared" si="63"/>
        <v/>
      </c>
      <c r="L473" s="7" t="str">
        <f t="shared" si="64"/>
        <v/>
      </c>
      <c r="N473" s="7" t="str">
        <f t="shared" si="65"/>
        <v/>
      </c>
      <c r="O473" t="str">
        <f t="shared" si="66"/>
        <v/>
      </c>
      <c r="P473" t="str">
        <f t="shared" si="67"/>
        <v/>
      </c>
      <c r="Q473" t="str">
        <f t="shared" si="68"/>
        <v/>
      </c>
      <c r="S473" t="str">
        <f>""</f>
        <v/>
      </c>
      <c r="AL473" s="18" t="str">
        <f>IF(COUNTIF($A$2:A472, A472) = 1, A472, "")</f>
        <v/>
      </c>
    </row>
    <row r="474" spans="6:38" x14ac:dyDescent="0.2">
      <c r="F474" t="str">
        <f t="shared" si="63"/>
        <v/>
      </c>
      <c r="L474" s="7" t="str">
        <f t="shared" si="64"/>
        <v/>
      </c>
      <c r="N474" s="7" t="str">
        <f t="shared" si="65"/>
        <v/>
      </c>
      <c r="O474" t="str">
        <f t="shared" si="66"/>
        <v/>
      </c>
      <c r="P474" t="str">
        <f t="shared" si="67"/>
        <v/>
      </c>
      <c r="Q474" t="str">
        <f t="shared" si="68"/>
        <v/>
      </c>
      <c r="S474" t="str">
        <f>""</f>
        <v/>
      </c>
      <c r="AL474" s="18" t="str">
        <f>IF(COUNTIF($A$2:A473, A473) = 1, A473, "")</f>
        <v/>
      </c>
    </row>
    <row r="475" spans="6:38" x14ac:dyDescent="0.2">
      <c r="F475" t="str">
        <f t="shared" si="63"/>
        <v/>
      </c>
      <c r="L475" s="7" t="str">
        <f t="shared" si="64"/>
        <v/>
      </c>
      <c r="N475" s="7" t="str">
        <f t="shared" si="65"/>
        <v/>
      </c>
      <c r="O475" t="str">
        <f t="shared" si="66"/>
        <v/>
      </c>
      <c r="P475" t="str">
        <f t="shared" si="67"/>
        <v/>
      </c>
      <c r="Q475" t="str">
        <f t="shared" si="68"/>
        <v/>
      </c>
      <c r="S475" t="str">
        <f>""</f>
        <v/>
      </c>
      <c r="AL475" s="18" t="str">
        <f>IF(COUNTIF($A$2:A474, A474) = 1, A474, "")</f>
        <v/>
      </c>
    </row>
    <row r="476" spans="6:38" x14ac:dyDescent="0.2">
      <c r="F476" t="str">
        <f t="shared" si="63"/>
        <v/>
      </c>
      <c r="L476" s="7" t="str">
        <f t="shared" si="64"/>
        <v/>
      </c>
      <c r="N476" s="7" t="str">
        <f t="shared" si="65"/>
        <v/>
      </c>
      <c r="O476" t="str">
        <f t="shared" si="66"/>
        <v/>
      </c>
      <c r="P476" t="str">
        <f t="shared" si="67"/>
        <v/>
      </c>
      <c r="Q476" t="str">
        <f t="shared" si="68"/>
        <v/>
      </c>
      <c r="S476" t="str">
        <f>""</f>
        <v/>
      </c>
      <c r="AL476" s="18" t="str">
        <f>IF(COUNTIF($A$2:A475, A475) = 1, A475, "")</f>
        <v/>
      </c>
    </row>
    <row r="477" spans="6:38" x14ac:dyDescent="0.2">
      <c r="F477" t="str">
        <f t="shared" si="63"/>
        <v/>
      </c>
      <c r="L477" s="7" t="str">
        <f t="shared" si="64"/>
        <v/>
      </c>
      <c r="N477" s="7" t="str">
        <f t="shared" si="65"/>
        <v/>
      </c>
      <c r="O477" t="str">
        <f t="shared" si="66"/>
        <v/>
      </c>
      <c r="P477" t="str">
        <f t="shared" si="67"/>
        <v/>
      </c>
      <c r="Q477" t="str">
        <f t="shared" si="68"/>
        <v/>
      </c>
      <c r="S477" t="str">
        <f>""</f>
        <v/>
      </c>
      <c r="AL477" s="18" t="str">
        <f>IF(COUNTIF($A$2:A476, A476) = 1, A476, "")</f>
        <v/>
      </c>
    </row>
    <row r="478" spans="6:38" x14ac:dyDescent="0.2">
      <c r="F478" t="str">
        <f t="shared" si="63"/>
        <v/>
      </c>
      <c r="L478" s="7" t="str">
        <f t="shared" si="64"/>
        <v/>
      </c>
      <c r="N478" s="7" t="str">
        <f t="shared" si="65"/>
        <v/>
      </c>
      <c r="O478" t="str">
        <f t="shared" si="66"/>
        <v/>
      </c>
      <c r="P478" t="str">
        <f t="shared" si="67"/>
        <v/>
      </c>
      <c r="Q478" t="str">
        <f t="shared" si="68"/>
        <v/>
      </c>
      <c r="S478" t="str">
        <f>""</f>
        <v/>
      </c>
      <c r="AL478" s="18" t="str">
        <f>IF(COUNTIF($A$2:A477, A477) = 1, A477, "")</f>
        <v/>
      </c>
    </row>
    <row r="479" spans="6:38" x14ac:dyDescent="0.2">
      <c r="F479" t="str">
        <f t="shared" si="63"/>
        <v/>
      </c>
      <c r="L479" s="7" t="str">
        <f t="shared" si="64"/>
        <v/>
      </c>
      <c r="N479" s="7" t="str">
        <f t="shared" si="65"/>
        <v/>
      </c>
      <c r="O479" t="str">
        <f t="shared" si="66"/>
        <v/>
      </c>
      <c r="P479" t="str">
        <f t="shared" si="67"/>
        <v/>
      </c>
      <c r="Q479" t="str">
        <f t="shared" si="68"/>
        <v/>
      </c>
      <c r="S479" t="str">
        <f>""</f>
        <v/>
      </c>
      <c r="AL479" s="18" t="str">
        <f>IF(COUNTIF($A$2:A478, A478) = 1, A478, "")</f>
        <v/>
      </c>
    </row>
    <row r="480" spans="6:38" x14ac:dyDescent="0.2">
      <c r="F480" t="str">
        <f t="shared" si="63"/>
        <v/>
      </c>
      <c r="L480" s="7" t="str">
        <f t="shared" si="64"/>
        <v/>
      </c>
      <c r="N480" s="7" t="str">
        <f t="shared" si="65"/>
        <v/>
      </c>
      <c r="O480" t="str">
        <f t="shared" si="66"/>
        <v/>
      </c>
      <c r="P480" t="str">
        <f t="shared" si="67"/>
        <v/>
      </c>
      <c r="Q480" t="str">
        <f t="shared" si="68"/>
        <v/>
      </c>
      <c r="S480" t="str">
        <f>""</f>
        <v/>
      </c>
      <c r="AL480" s="18" t="str">
        <f>IF(COUNTIF($A$2:A479, A479) = 1, A479, "")</f>
        <v/>
      </c>
    </row>
    <row r="481" spans="6:38" x14ac:dyDescent="0.2">
      <c r="F481" t="str">
        <f t="shared" si="63"/>
        <v/>
      </c>
      <c r="L481" s="7" t="str">
        <f t="shared" si="64"/>
        <v/>
      </c>
      <c r="N481" s="7" t="str">
        <f t="shared" si="65"/>
        <v/>
      </c>
      <c r="O481" t="str">
        <f t="shared" si="66"/>
        <v/>
      </c>
      <c r="P481" t="str">
        <f t="shared" si="67"/>
        <v/>
      </c>
      <c r="Q481" t="str">
        <f t="shared" si="68"/>
        <v/>
      </c>
      <c r="S481" t="str">
        <f>""</f>
        <v/>
      </c>
      <c r="AL481" s="18" t="str">
        <f>IF(COUNTIF($A$2:A480, A480) = 1, A480, "")</f>
        <v/>
      </c>
    </row>
    <row r="482" spans="6:38" x14ac:dyDescent="0.2">
      <c r="F482" t="str">
        <f t="shared" si="63"/>
        <v/>
      </c>
      <c r="L482" s="7" t="str">
        <f t="shared" si="64"/>
        <v/>
      </c>
      <c r="N482" s="7" t="str">
        <f t="shared" si="65"/>
        <v/>
      </c>
      <c r="O482" t="str">
        <f t="shared" si="66"/>
        <v/>
      </c>
      <c r="P482" t="str">
        <f t="shared" si="67"/>
        <v/>
      </c>
      <c r="Q482" t="str">
        <f t="shared" si="68"/>
        <v/>
      </c>
      <c r="S482" t="str">
        <f>""</f>
        <v/>
      </c>
      <c r="AL482" s="18" t="str">
        <f>IF(COUNTIF($A$2:A481, A481) = 1, A481, "")</f>
        <v/>
      </c>
    </row>
    <row r="483" spans="6:38" x14ac:dyDescent="0.2">
      <c r="F483" t="str">
        <f t="shared" si="63"/>
        <v/>
      </c>
      <c r="L483" s="7" t="str">
        <f t="shared" si="64"/>
        <v/>
      </c>
      <c r="N483" s="7" t="str">
        <f t="shared" si="65"/>
        <v/>
      </c>
      <c r="O483" t="str">
        <f t="shared" si="66"/>
        <v/>
      </c>
      <c r="P483" t="str">
        <f t="shared" si="67"/>
        <v/>
      </c>
      <c r="Q483" t="str">
        <f t="shared" si="68"/>
        <v/>
      </c>
      <c r="S483" t="str">
        <f>""</f>
        <v/>
      </c>
      <c r="AL483" s="18" t="str">
        <f>IF(COUNTIF($A$2:A482, A482) = 1, A482, "")</f>
        <v/>
      </c>
    </row>
    <row r="484" spans="6:38" x14ac:dyDescent="0.2">
      <c r="F484" t="str">
        <f t="shared" si="63"/>
        <v/>
      </c>
      <c r="L484" s="7" t="str">
        <f t="shared" si="64"/>
        <v/>
      </c>
      <c r="N484" s="7" t="str">
        <f t="shared" si="65"/>
        <v/>
      </c>
      <c r="O484" t="str">
        <f t="shared" si="66"/>
        <v/>
      </c>
      <c r="P484" t="str">
        <f t="shared" si="67"/>
        <v/>
      </c>
      <c r="Q484" t="str">
        <f t="shared" si="68"/>
        <v/>
      </c>
      <c r="S484" t="str">
        <f>""</f>
        <v/>
      </c>
      <c r="AL484" s="18" t="str">
        <f>IF(COUNTIF($A$2:A483, A483) = 1, A483, "")</f>
        <v/>
      </c>
    </row>
    <row r="485" spans="6:38" x14ac:dyDescent="0.2">
      <c r="F485" t="str">
        <f t="shared" si="63"/>
        <v/>
      </c>
      <c r="L485" s="7" t="str">
        <f t="shared" si="64"/>
        <v/>
      </c>
      <c r="N485" s="7" t="str">
        <f t="shared" si="65"/>
        <v/>
      </c>
      <c r="O485" t="str">
        <f t="shared" si="66"/>
        <v/>
      </c>
      <c r="P485" t="str">
        <f t="shared" si="67"/>
        <v/>
      </c>
      <c r="Q485" t="str">
        <f t="shared" si="68"/>
        <v/>
      </c>
      <c r="S485" t="str">
        <f>""</f>
        <v/>
      </c>
      <c r="AL485" s="18" t="str">
        <f>IF(COUNTIF($A$2:A484, A484) = 1, A484, "")</f>
        <v/>
      </c>
    </row>
    <row r="486" spans="6:38" x14ac:dyDescent="0.2">
      <c r="F486" t="str">
        <f t="shared" si="63"/>
        <v/>
      </c>
      <c r="L486" s="7" t="str">
        <f t="shared" si="64"/>
        <v/>
      </c>
      <c r="N486" s="7" t="str">
        <f t="shared" si="65"/>
        <v/>
      </c>
      <c r="O486" t="str">
        <f t="shared" si="66"/>
        <v/>
      </c>
      <c r="P486" t="str">
        <f t="shared" si="67"/>
        <v/>
      </c>
      <c r="Q486" t="str">
        <f t="shared" si="68"/>
        <v/>
      </c>
      <c r="S486" t="str">
        <f>""</f>
        <v/>
      </c>
      <c r="AL486" s="18" t="str">
        <f>IF(COUNTIF($A$2:A485, A485) = 1, A485, "")</f>
        <v/>
      </c>
    </row>
    <row r="487" spans="6:38" x14ac:dyDescent="0.2">
      <c r="F487" t="str">
        <f t="shared" si="63"/>
        <v/>
      </c>
      <c r="L487" s="7" t="str">
        <f t="shared" si="64"/>
        <v/>
      </c>
      <c r="N487" s="7" t="str">
        <f t="shared" si="65"/>
        <v/>
      </c>
      <c r="O487" t="str">
        <f t="shared" si="66"/>
        <v/>
      </c>
      <c r="P487" t="str">
        <f t="shared" si="67"/>
        <v/>
      </c>
      <c r="Q487" t="str">
        <f t="shared" si="68"/>
        <v/>
      </c>
      <c r="S487" t="str">
        <f>""</f>
        <v/>
      </c>
      <c r="AL487" s="18" t="str">
        <f>IF(COUNTIF($A$2:A486, A486) = 1, A486, "")</f>
        <v/>
      </c>
    </row>
    <row r="488" spans="6:38" x14ac:dyDescent="0.2">
      <c r="F488" t="str">
        <f t="shared" si="63"/>
        <v/>
      </c>
      <c r="L488" s="7" t="str">
        <f t="shared" si="64"/>
        <v/>
      </c>
      <c r="N488" s="7" t="str">
        <f t="shared" si="65"/>
        <v/>
      </c>
      <c r="O488" t="str">
        <f t="shared" si="66"/>
        <v/>
      </c>
      <c r="P488" t="str">
        <f t="shared" si="67"/>
        <v/>
      </c>
      <c r="Q488" t="str">
        <f t="shared" si="68"/>
        <v/>
      </c>
      <c r="S488" t="str">
        <f>""</f>
        <v/>
      </c>
      <c r="AL488" s="18" t="str">
        <f>IF(COUNTIF($A$2:A487, A487) = 1, A487, "")</f>
        <v/>
      </c>
    </row>
    <row r="489" spans="6:38" x14ac:dyDescent="0.2">
      <c r="F489" t="str">
        <f t="shared" si="63"/>
        <v/>
      </c>
      <c r="L489" s="7" t="str">
        <f t="shared" si="64"/>
        <v/>
      </c>
      <c r="N489" s="7" t="str">
        <f t="shared" si="65"/>
        <v/>
      </c>
      <c r="O489" t="str">
        <f t="shared" si="66"/>
        <v/>
      </c>
      <c r="P489" t="str">
        <f t="shared" si="67"/>
        <v/>
      </c>
      <c r="Q489" t="str">
        <f t="shared" si="68"/>
        <v/>
      </c>
      <c r="S489" t="str">
        <f>""</f>
        <v/>
      </c>
      <c r="AL489" s="18" t="str">
        <f>IF(COUNTIF($A$2:A488, A488) = 1, A488, "")</f>
        <v/>
      </c>
    </row>
    <row r="490" spans="6:38" x14ac:dyDescent="0.2">
      <c r="F490" t="str">
        <f t="shared" si="63"/>
        <v/>
      </c>
      <c r="L490" s="7" t="str">
        <f t="shared" si="64"/>
        <v/>
      </c>
      <c r="N490" s="7" t="str">
        <f t="shared" si="65"/>
        <v/>
      </c>
      <c r="O490" t="str">
        <f t="shared" si="66"/>
        <v/>
      </c>
      <c r="P490" t="str">
        <f t="shared" si="67"/>
        <v/>
      </c>
      <c r="Q490" t="str">
        <f t="shared" si="68"/>
        <v/>
      </c>
      <c r="S490" t="str">
        <f>""</f>
        <v/>
      </c>
      <c r="AL490" s="18" t="str">
        <f>IF(COUNTIF($A$2:A489, A489) = 1, A489, "")</f>
        <v/>
      </c>
    </row>
    <row r="491" spans="6:38" x14ac:dyDescent="0.2">
      <c r="F491" t="str">
        <f t="shared" si="63"/>
        <v/>
      </c>
      <c r="L491" s="7" t="str">
        <f t="shared" si="64"/>
        <v/>
      </c>
      <c r="N491" s="7" t="str">
        <f t="shared" si="65"/>
        <v/>
      </c>
      <c r="O491" t="str">
        <f t="shared" si="66"/>
        <v/>
      </c>
      <c r="P491" t="str">
        <f t="shared" si="67"/>
        <v/>
      </c>
      <c r="Q491" t="str">
        <f t="shared" si="68"/>
        <v/>
      </c>
      <c r="S491" t="str">
        <f>""</f>
        <v/>
      </c>
      <c r="AL491" s="18" t="str">
        <f>IF(COUNTIF($A$2:A490, A490) = 1, A490, "")</f>
        <v/>
      </c>
    </row>
    <row r="492" spans="6:38" x14ac:dyDescent="0.2">
      <c r="F492" t="str">
        <f t="shared" si="63"/>
        <v/>
      </c>
      <c r="L492" s="7" t="str">
        <f t="shared" si="64"/>
        <v/>
      </c>
      <c r="N492" s="7" t="str">
        <f t="shared" si="65"/>
        <v/>
      </c>
      <c r="O492" t="str">
        <f t="shared" si="66"/>
        <v/>
      </c>
      <c r="P492" t="str">
        <f t="shared" si="67"/>
        <v/>
      </c>
      <c r="Q492" t="str">
        <f t="shared" si="68"/>
        <v/>
      </c>
      <c r="S492" t="str">
        <f>""</f>
        <v/>
      </c>
      <c r="AL492" s="18" t="str">
        <f>IF(COUNTIF($A$2:A491, A491) = 1, A491, "")</f>
        <v/>
      </c>
    </row>
    <row r="493" spans="6:38" x14ac:dyDescent="0.2">
      <c r="F493" t="str">
        <f t="shared" si="63"/>
        <v/>
      </c>
      <c r="L493" s="7" t="str">
        <f t="shared" si="64"/>
        <v/>
      </c>
      <c r="N493" s="7" t="str">
        <f t="shared" si="65"/>
        <v/>
      </c>
      <c r="O493" t="str">
        <f t="shared" si="66"/>
        <v/>
      </c>
      <c r="P493" t="str">
        <f t="shared" si="67"/>
        <v/>
      </c>
      <c r="Q493" t="str">
        <f t="shared" si="68"/>
        <v/>
      </c>
      <c r="S493" t="str">
        <f>""</f>
        <v/>
      </c>
      <c r="AL493" s="18" t="str">
        <f>IF(COUNTIF($A$2:A492, A492) = 1, A492, "")</f>
        <v/>
      </c>
    </row>
    <row r="494" spans="6:38" x14ac:dyDescent="0.2">
      <c r="F494" t="str">
        <f t="shared" si="63"/>
        <v/>
      </c>
      <c r="L494" s="7" t="str">
        <f t="shared" si="64"/>
        <v/>
      </c>
      <c r="N494" s="7" t="str">
        <f t="shared" si="65"/>
        <v/>
      </c>
      <c r="O494" t="str">
        <f t="shared" si="66"/>
        <v/>
      </c>
      <c r="P494" t="str">
        <f t="shared" si="67"/>
        <v/>
      </c>
      <c r="Q494" t="str">
        <f t="shared" si="68"/>
        <v/>
      </c>
      <c r="S494" t="str">
        <f>""</f>
        <v/>
      </c>
      <c r="AL494" s="18" t="str">
        <f>IF(COUNTIF($A$2:A493, A493) = 1, A493, "")</f>
        <v/>
      </c>
    </row>
    <row r="495" spans="6:38" x14ac:dyDescent="0.2">
      <c r="F495" t="str">
        <f t="shared" si="63"/>
        <v/>
      </c>
      <c r="L495" s="7" t="str">
        <f t="shared" si="64"/>
        <v/>
      </c>
      <c r="N495" s="7" t="str">
        <f t="shared" si="65"/>
        <v/>
      </c>
      <c r="O495" t="str">
        <f t="shared" si="66"/>
        <v/>
      </c>
      <c r="P495" t="str">
        <f t="shared" si="67"/>
        <v/>
      </c>
      <c r="Q495" t="str">
        <f t="shared" si="68"/>
        <v/>
      </c>
      <c r="S495" t="str">
        <f>""</f>
        <v/>
      </c>
      <c r="AL495" s="18" t="str">
        <f>IF(COUNTIF($A$2:A494, A494) = 1, A494, "")</f>
        <v/>
      </c>
    </row>
    <row r="496" spans="6:38" x14ac:dyDescent="0.2">
      <c r="F496" t="str">
        <f t="shared" si="63"/>
        <v/>
      </c>
      <c r="L496" s="7" t="str">
        <f t="shared" si="64"/>
        <v/>
      </c>
      <c r="N496" s="7" t="str">
        <f t="shared" si="65"/>
        <v/>
      </c>
      <c r="O496" t="str">
        <f t="shared" si="66"/>
        <v/>
      </c>
      <c r="P496" t="str">
        <f t="shared" si="67"/>
        <v/>
      </c>
      <c r="Q496" t="str">
        <f t="shared" si="68"/>
        <v/>
      </c>
      <c r="S496" t="str">
        <f>""</f>
        <v/>
      </c>
      <c r="AL496" s="18" t="str">
        <f>IF(COUNTIF($A$2:A495, A495) = 1, A495, "")</f>
        <v/>
      </c>
    </row>
    <row r="497" spans="6:38" x14ac:dyDescent="0.2">
      <c r="F497" t="str">
        <f t="shared" si="63"/>
        <v/>
      </c>
      <c r="L497" s="7" t="str">
        <f t="shared" si="64"/>
        <v/>
      </c>
      <c r="N497" s="7" t="str">
        <f t="shared" si="65"/>
        <v/>
      </c>
      <c r="O497" t="str">
        <f t="shared" si="66"/>
        <v/>
      </c>
      <c r="P497" t="str">
        <f t="shared" si="67"/>
        <v/>
      </c>
      <c r="Q497" t="str">
        <f t="shared" si="68"/>
        <v/>
      </c>
      <c r="S497" t="str">
        <f>""</f>
        <v/>
      </c>
      <c r="AL497" s="18" t="str">
        <f>IF(COUNTIF($A$2:A496, A496) = 1, A496, "")</f>
        <v/>
      </c>
    </row>
    <row r="498" spans="6:38" x14ac:dyDescent="0.2">
      <c r="F498" t="str">
        <f t="shared" si="63"/>
        <v/>
      </c>
      <c r="L498" s="7" t="str">
        <f t="shared" si="64"/>
        <v/>
      </c>
      <c r="N498" s="7" t="str">
        <f t="shared" si="65"/>
        <v/>
      </c>
      <c r="O498" t="str">
        <f t="shared" si="66"/>
        <v/>
      </c>
      <c r="P498" t="str">
        <f t="shared" si="67"/>
        <v/>
      </c>
      <c r="Q498" t="str">
        <f t="shared" si="68"/>
        <v/>
      </c>
      <c r="S498" t="str">
        <f>""</f>
        <v/>
      </c>
      <c r="AL498" s="18" t="str">
        <f>IF(COUNTIF($A$2:A497, A497) = 1, A497, "")</f>
        <v/>
      </c>
    </row>
    <row r="499" spans="6:38" x14ac:dyDescent="0.2">
      <c r="F499" t="str">
        <f t="shared" si="63"/>
        <v/>
      </c>
      <c r="L499" s="7" t="str">
        <f t="shared" si="64"/>
        <v/>
      </c>
      <c r="N499" s="7" t="str">
        <f t="shared" si="65"/>
        <v/>
      </c>
      <c r="O499" t="str">
        <f t="shared" si="66"/>
        <v/>
      </c>
      <c r="P499" t="str">
        <f t="shared" si="67"/>
        <v/>
      </c>
      <c r="Q499" t="str">
        <f t="shared" si="68"/>
        <v/>
      </c>
      <c r="S499" t="str">
        <f>""</f>
        <v/>
      </c>
      <c r="AL499" s="18" t="str">
        <f>IF(COUNTIF($A$2:A498, A498) = 1, A498, "")</f>
        <v/>
      </c>
    </row>
    <row r="500" spans="6:38" x14ac:dyDescent="0.2">
      <c r="F500" t="str">
        <f t="shared" si="63"/>
        <v/>
      </c>
      <c r="L500" s="7" t="str">
        <f t="shared" si="64"/>
        <v/>
      </c>
      <c r="N500" s="7" t="str">
        <f t="shared" si="65"/>
        <v/>
      </c>
      <c r="O500" t="str">
        <f t="shared" si="66"/>
        <v/>
      </c>
      <c r="P500" t="str">
        <f t="shared" si="67"/>
        <v/>
      </c>
      <c r="Q500" t="str">
        <f t="shared" si="68"/>
        <v/>
      </c>
      <c r="S500" t="str">
        <f>""</f>
        <v/>
      </c>
      <c r="AL500" s="18" t="str">
        <f>IF(COUNTIF($A$2:A499, A499) = 1, A499, "")</f>
        <v/>
      </c>
    </row>
    <row r="501" spans="6:38" x14ac:dyDescent="0.2">
      <c r="AL501" s="18" t="str">
        <f>IF(COUNTIF($A$2:A500, A500) = 1, A500, "")</f>
        <v/>
      </c>
    </row>
    <row r="502" spans="6:38" x14ac:dyDescent="0.2">
      <c r="AL502" s="18" t="str">
        <f>IF(COUNTIF($A$2:A501, A501) = 1, A501, "")</f>
        <v/>
      </c>
    </row>
    <row r="503" spans="6:38" x14ac:dyDescent="0.2">
      <c r="AL503" s="18" t="str">
        <f>IF(COUNTIF($A$2:A502, A502) = 1, A502, "")</f>
        <v/>
      </c>
    </row>
    <row r="504" spans="6:38" x14ac:dyDescent="0.2">
      <c r="AL504" s="18" t="str">
        <f>IF(COUNTIF($A$2:A503, A503) = 1, A503, "")</f>
        <v/>
      </c>
    </row>
    <row r="505" spans="6:38" x14ac:dyDescent="0.2">
      <c r="AL505" s="18" t="str">
        <f>IF(COUNTIF($A$2:A504, A504) = 1, A504, "")</f>
        <v/>
      </c>
    </row>
    <row r="506" spans="6:38" x14ac:dyDescent="0.2">
      <c r="AL506" s="18" t="str">
        <f>IF(COUNTIF($A$2:A505, A505) = 1, A505, "")</f>
        <v/>
      </c>
    </row>
    <row r="507" spans="6:38" x14ac:dyDescent="0.2">
      <c r="AL507" s="18" t="str">
        <f>IF(COUNTIF($A$2:A506, A506) = 1, A506, "")</f>
        <v/>
      </c>
    </row>
    <row r="508" spans="6:38" x14ac:dyDescent="0.2">
      <c r="AL508" s="18" t="str">
        <f>IF(COUNTIF($A$2:A507, A507) = 1, A507, "")</f>
        <v/>
      </c>
    </row>
    <row r="509" spans="6:38" x14ac:dyDescent="0.2">
      <c r="AL509" s="18" t="str">
        <f>IF(COUNTIF($A$2:A508, A508) = 1, A508, "")</f>
        <v/>
      </c>
    </row>
    <row r="510" spans="6:38" x14ac:dyDescent="0.2">
      <c r="AL510" s="18" t="str">
        <f>IF(COUNTIF($A$2:A509, A509) = 1, A509, "")</f>
        <v/>
      </c>
    </row>
    <row r="511" spans="6:38" x14ac:dyDescent="0.2">
      <c r="AL511" s="18" t="str">
        <f>IF(COUNTIF($A$2:A510, A510) = 1, A510, "")</f>
        <v/>
      </c>
    </row>
    <row r="512" spans="6:38" x14ac:dyDescent="0.2">
      <c r="AL512" s="18" t="str">
        <f>IF(COUNTIF($A$2:A511, A511) = 1, A511, "")</f>
        <v/>
      </c>
    </row>
    <row r="513" spans="38:38" x14ac:dyDescent="0.2">
      <c r="AL513" s="18" t="str">
        <f>IF(COUNTIF($A$2:A512, A512) = 1, A512, "")</f>
        <v/>
      </c>
    </row>
    <row r="514" spans="38:38" x14ac:dyDescent="0.2">
      <c r="AL514" s="18" t="str">
        <f>IF(COUNTIF($A$2:A513, A513) = 1, A513, "")</f>
        <v/>
      </c>
    </row>
    <row r="515" spans="38:38" x14ac:dyDescent="0.2">
      <c r="AL515" s="18" t="str">
        <f>IF(COUNTIF($A$2:A514, A514) = 1, A514, "")</f>
        <v/>
      </c>
    </row>
    <row r="516" spans="38:38" x14ac:dyDescent="0.2">
      <c r="AL516" s="18" t="str">
        <f>IF(COUNTIF($A$2:A515, A515) = 1, A515, "")</f>
        <v/>
      </c>
    </row>
    <row r="517" spans="38:38" x14ac:dyDescent="0.2">
      <c r="AL517" s="18" t="str">
        <f>IF(COUNTIF($A$2:A516, A516) = 1, A516, "")</f>
        <v/>
      </c>
    </row>
    <row r="518" spans="38:38" x14ac:dyDescent="0.2">
      <c r="AL518" s="18" t="str">
        <f>IF(COUNTIF($A$2:A517, A517) = 1, A517, "")</f>
        <v/>
      </c>
    </row>
    <row r="519" spans="38:38" x14ac:dyDescent="0.2">
      <c r="AL519" s="18" t="str">
        <f>IF(COUNTIF($A$2:A518, A518) = 1, A518, "")</f>
        <v/>
      </c>
    </row>
    <row r="520" spans="38:38" x14ac:dyDescent="0.2">
      <c r="AL520" s="18" t="str">
        <f>IF(COUNTIF($A$2:A519, A519) = 1, A519, "")</f>
        <v/>
      </c>
    </row>
    <row r="521" spans="38:38" x14ac:dyDescent="0.2">
      <c r="AL521" s="18" t="str">
        <f>IF(COUNTIF($A$2:A520, A520) = 1, A520, "")</f>
        <v/>
      </c>
    </row>
    <row r="522" spans="38:38" x14ac:dyDescent="0.2">
      <c r="AL522" s="18" t="str">
        <f>IF(COUNTIF($A$2:A521, A521) = 1, A521, "")</f>
        <v/>
      </c>
    </row>
    <row r="523" spans="38:38" x14ac:dyDescent="0.2">
      <c r="AL523" s="18" t="str">
        <f>IF(COUNTIF($A$2:A522, A522) = 1, A522, "")</f>
        <v/>
      </c>
    </row>
    <row r="524" spans="38:38" x14ac:dyDescent="0.2">
      <c r="AL524" s="18" t="str">
        <f>IF(COUNTIF($A$2:A523, A523) = 1, A523, "")</f>
        <v/>
      </c>
    </row>
    <row r="525" spans="38:38" x14ac:dyDescent="0.2">
      <c r="AL525" s="18" t="str">
        <f>IF(COUNTIF($A$2:A524, A524) = 1, A524, "")</f>
        <v/>
      </c>
    </row>
    <row r="526" spans="38:38" x14ac:dyDescent="0.2">
      <c r="AL526" s="18" t="str">
        <f>IF(COUNTIF($A$2:A525, A525) = 1, A525, "")</f>
        <v/>
      </c>
    </row>
    <row r="527" spans="38:38" x14ac:dyDescent="0.2">
      <c r="AL527" s="18" t="str">
        <f>IF(COUNTIF($A$2:A526, A526) = 1, A526, "")</f>
        <v/>
      </c>
    </row>
    <row r="528" spans="38:38" x14ac:dyDescent="0.2">
      <c r="AL528" s="18" t="str">
        <f>IF(COUNTIF($A$2:A527, A527) = 1, A527, "")</f>
        <v/>
      </c>
    </row>
    <row r="529" spans="38:38" x14ac:dyDescent="0.2">
      <c r="AL529" s="18" t="str">
        <f>IF(COUNTIF($A$2:A528, A528) = 1, A528, "")</f>
        <v/>
      </c>
    </row>
    <row r="530" spans="38:38" x14ac:dyDescent="0.2">
      <c r="AL530" s="18" t="str">
        <f>IF(COUNTIF($A$2:A529, A529) = 1, A529, "")</f>
        <v/>
      </c>
    </row>
    <row r="531" spans="38:38" x14ac:dyDescent="0.2">
      <c r="AL531" s="18" t="str">
        <f>IF(COUNTIF($A$2:A530, A530) = 1, A530, "")</f>
        <v/>
      </c>
    </row>
    <row r="532" spans="38:38" x14ac:dyDescent="0.2">
      <c r="AL532" s="18" t="str">
        <f>IF(COUNTIF($A$2:A531, A531) = 1, A531, "")</f>
        <v/>
      </c>
    </row>
    <row r="533" spans="38:38" x14ac:dyDescent="0.2">
      <c r="AL533" s="18" t="str">
        <f>IF(COUNTIF($A$2:A532, A532) = 1, A532, "")</f>
        <v/>
      </c>
    </row>
    <row r="534" spans="38:38" x14ac:dyDescent="0.2">
      <c r="AL534" s="18" t="str">
        <f>IF(COUNTIF($A$2:A533, A533) = 1, A533, "")</f>
        <v/>
      </c>
    </row>
    <row r="535" spans="38:38" x14ac:dyDescent="0.2">
      <c r="AL535" s="18" t="str">
        <f>IF(COUNTIF($A$2:A534, A534) = 1, A534, "")</f>
        <v/>
      </c>
    </row>
    <row r="536" spans="38:38" x14ac:dyDescent="0.2">
      <c r="AL536" s="18" t="str">
        <f>IF(COUNTIF($A$2:A535, A535) = 1, A535, "")</f>
        <v/>
      </c>
    </row>
    <row r="537" spans="38:38" x14ac:dyDescent="0.2">
      <c r="AL537" s="18" t="str">
        <f>IF(COUNTIF($A$2:A536, A536) = 1, A536, "")</f>
        <v/>
      </c>
    </row>
    <row r="538" spans="38:38" x14ac:dyDescent="0.2">
      <c r="AL538" s="18" t="str">
        <f>IF(COUNTIF($A$2:A537, A537) = 1, A537, "")</f>
        <v/>
      </c>
    </row>
    <row r="539" spans="38:38" x14ac:dyDescent="0.2">
      <c r="AL539" s="18" t="str">
        <f>IF(COUNTIF($A$2:A538, A538) = 1, A538, "")</f>
        <v/>
      </c>
    </row>
    <row r="540" spans="38:38" x14ac:dyDescent="0.2">
      <c r="AL540" s="18" t="str">
        <f>IF(COUNTIF($A$2:A539, A539) = 1, A539, "")</f>
        <v/>
      </c>
    </row>
    <row r="541" spans="38:38" x14ac:dyDescent="0.2">
      <c r="AL541" s="18" t="str">
        <f>IF(COUNTIF($A$2:A540, A540) = 1, A540, "")</f>
        <v/>
      </c>
    </row>
    <row r="542" spans="38:38" x14ac:dyDescent="0.2">
      <c r="AL542" s="18" t="str">
        <f>IF(COUNTIF($A$2:A541, A541) = 1, A541, "")</f>
        <v/>
      </c>
    </row>
    <row r="543" spans="38:38" x14ac:dyDescent="0.2">
      <c r="AL543" s="18" t="str">
        <f>IF(COUNTIF($A$2:A542, A542) = 1, A542, "")</f>
        <v/>
      </c>
    </row>
    <row r="544" spans="38:38" x14ac:dyDescent="0.2">
      <c r="AL544" s="18" t="str">
        <f>IF(COUNTIF($A$2:A543, A543) = 1, A543, "")</f>
        <v/>
      </c>
    </row>
    <row r="545" spans="38:38" x14ac:dyDescent="0.2">
      <c r="AL545" s="18" t="str">
        <f>IF(COUNTIF($A$2:A544, A544) = 1, A544, "")</f>
        <v/>
      </c>
    </row>
    <row r="546" spans="38:38" x14ac:dyDescent="0.2">
      <c r="AL546" s="18" t="str">
        <f>IF(COUNTIF($A$2:A545, A545) = 1, A545, "")</f>
        <v/>
      </c>
    </row>
    <row r="547" spans="38:38" x14ac:dyDescent="0.2">
      <c r="AL547" s="18" t="str">
        <f>IF(COUNTIF($A$2:A546, A546) = 1, A546, "")</f>
        <v/>
      </c>
    </row>
    <row r="548" spans="38:38" x14ac:dyDescent="0.2">
      <c r="AL548" s="18" t="str">
        <f>IF(COUNTIF($A$2:A547, A547) = 1, A547, "")</f>
        <v/>
      </c>
    </row>
    <row r="549" spans="38:38" x14ac:dyDescent="0.2">
      <c r="AL549" s="18" t="str">
        <f>IF(COUNTIF($A$2:A548, A548) = 1, A548, "")</f>
        <v/>
      </c>
    </row>
    <row r="550" spans="38:38" x14ac:dyDescent="0.2">
      <c r="AL550" s="18" t="str">
        <f>IF(COUNTIF($A$2:A549, A549) = 1, A549, "")</f>
        <v/>
      </c>
    </row>
    <row r="551" spans="38:38" x14ac:dyDescent="0.2">
      <c r="AL551" s="18" t="str">
        <f>IF(COUNTIF($A$2:A550, A550) = 1, A550, "")</f>
        <v/>
      </c>
    </row>
    <row r="552" spans="38:38" x14ac:dyDescent="0.2">
      <c r="AL552" s="18" t="str">
        <f>IF(COUNTIF($A$2:A551, A551) = 1, A551, "")</f>
        <v/>
      </c>
    </row>
    <row r="553" spans="38:38" x14ac:dyDescent="0.2">
      <c r="AL553" s="18" t="str">
        <f>IF(COUNTIF($A$2:A552, A552) = 1, A552, "")</f>
        <v/>
      </c>
    </row>
    <row r="554" spans="38:38" x14ac:dyDescent="0.2">
      <c r="AL554" s="18" t="str">
        <f>IF(COUNTIF($A$2:A553, A553) = 1, A553, "")</f>
        <v/>
      </c>
    </row>
    <row r="555" spans="38:38" x14ac:dyDescent="0.2">
      <c r="AL555" s="18" t="str">
        <f>IF(COUNTIF($A$2:A554, A554) = 1, A554, "")</f>
        <v/>
      </c>
    </row>
    <row r="556" spans="38:38" x14ac:dyDescent="0.2">
      <c r="AL556" s="18" t="str">
        <f>IF(COUNTIF($A$2:A555, A555) = 1, A555, "")</f>
        <v/>
      </c>
    </row>
    <row r="557" spans="38:38" x14ac:dyDescent="0.2">
      <c r="AL557" s="18" t="str">
        <f>IF(COUNTIF($A$2:A556, A556) = 1, A556, "")</f>
        <v/>
      </c>
    </row>
    <row r="558" spans="38:38" x14ac:dyDescent="0.2">
      <c r="AL558" s="18" t="str">
        <f>IF(COUNTIF($A$2:A557, A557) = 1, A557, "")</f>
        <v/>
      </c>
    </row>
    <row r="559" spans="38:38" x14ac:dyDescent="0.2">
      <c r="AL559" s="18" t="str">
        <f>IF(COUNTIF($A$2:A558, A558) = 1, A558, "")</f>
        <v/>
      </c>
    </row>
    <row r="560" spans="38:38" x14ac:dyDescent="0.2">
      <c r="AL560" s="18" t="str">
        <f>IF(COUNTIF($A$2:A559, A559) = 1, A559, "")</f>
        <v/>
      </c>
    </row>
    <row r="561" spans="38:38" x14ac:dyDescent="0.2">
      <c r="AL561" s="18" t="str">
        <f>IF(COUNTIF($A$2:A560, A560) = 1, A560, "")</f>
        <v/>
      </c>
    </row>
    <row r="562" spans="38:38" x14ac:dyDescent="0.2">
      <c r="AL562" s="18" t="str">
        <f>IF(COUNTIF($A$2:A561, A561) = 1, A561, "")</f>
        <v/>
      </c>
    </row>
    <row r="563" spans="38:38" x14ac:dyDescent="0.2">
      <c r="AL563" s="18" t="str">
        <f>IF(COUNTIF($A$2:A562, A562) = 1, A562, "")</f>
        <v/>
      </c>
    </row>
    <row r="564" spans="38:38" x14ac:dyDescent="0.2">
      <c r="AL564" s="18" t="str">
        <f>IF(COUNTIF($A$2:A563, A563) = 1, A563, "")</f>
        <v/>
      </c>
    </row>
    <row r="565" spans="38:38" x14ac:dyDescent="0.2">
      <c r="AL565" s="18" t="str">
        <f>IF(COUNTIF($A$2:A564, A564) = 1, A564, "")</f>
        <v/>
      </c>
    </row>
    <row r="566" spans="38:38" x14ac:dyDescent="0.2">
      <c r="AL566" s="18" t="str">
        <f>IF(COUNTIF($A$2:A565, A565) = 1, A565, "")</f>
        <v/>
      </c>
    </row>
    <row r="567" spans="38:38" x14ac:dyDescent="0.2">
      <c r="AL567" s="18" t="str">
        <f>IF(COUNTIF($A$2:A566, A566) = 1, A566, "")</f>
        <v/>
      </c>
    </row>
    <row r="568" spans="38:38" x14ac:dyDescent="0.2">
      <c r="AL568" s="18" t="str">
        <f>IF(COUNTIF($A$2:A567, A567) = 1, A567, "")</f>
        <v/>
      </c>
    </row>
    <row r="569" spans="38:38" x14ac:dyDescent="0.2">
      <c r="AL569" s="18" t="str">
        <f>IF(COUNTIF($A$2:A568, A568) = 1, A568, "")</f>
        <v/>
      </c>
    </row>
    <row r="570" spans="38:38" x14ac:dyDescent="0.2">
      <c r="AL570" s="18" t="str">
        <f>IF(COUNTIF($A$2:A569, A569) = 1, A569, "")</f>
        <v/>
      </c>
    </row>
    <row r="571" spans="38:38" x14ac:dyDescent="0.2">
      <c r="AL571" s="18" t="str">
        <f>IF(COUNTIF($A$2:A570, A570) = 1, A570, "")</f>
        <v/>
      </c>
    </row>
    <row r="572" spans="38:38" x14ac:dyDescent="0.2">
      <c r="AL572" s="18" t="str">
        <f>IF(COUNTIF($A$2:A571, A571) = 1, A571, "")</f>
        <v/>
      </c>
    </row>
    <row r="573" spans="38:38" x14ac:dyDescent="0.2">
      <c r="AL573" s="18" t="str">
        <f>IF(COUNTIF($A$2:A572, A572) = 1, A572, "")</f>
        <v/>
      </c>
    </row>
    <row r="574" spans="38:38" x14ac:dyDescent="0.2">
      <c r="AL574" s="18" t="str">
        <f>IF(COUNTIF($A$2:A573, A573) = 1, A573, "")</f>
        <v/>
      </c>
    </row>
    <row r="575" spans="38:38" x14ac:dyDescent="0.2">
      <c r="AL575" s="18" t="str">
        <f>IF(COUNTIF($A$2:A574, A574) = 1, A574, "")</f>
        <v/>
      </c>
    </row>
    <row r="576" spans="38:38" x14ac:dyDescent="0.2">
      <c r="AL576" s="18" t="str">
        <f>IF(COUNTIF($A$2:A575, A575) = 1, A575, "")</f>
        <v/>
      </c>
    </row>
    <row r="577" spans="38:38" x14ac:dyDescent="0.2">
      <c r="AL577" s="18" t="str">
        <f>IF(COUNTIF($A$2:A576, A576) = 1, A576, "")</f>
        <v/>
      </c>
    </row>
    <row r="578" spans="38:38" x14ac:dyDescent="0.2">
      <c r="AL578" s="18" t="str">
        <f>IF(COUNTIF($A$2:A577, A577) = 1, A577, "")</f>
        <v/>
      </c>
    </row>
    <row r="579" spans="38:38" x14ac:dyDescent="0.2">
      <c r="AL579" s="18" t="str">
        <f>IF(COUNTIF($A$2:A578, A578) = 1, A578, "")</f>
        <v/>
      </c>
    </row>
    <row r="580" spans="38:38" x14ac:dyDescent="0.2">
      <c r="AL580" s="18" t="str">
        <f>IF(COUNTIF($A$2:A579, A579) = 1, A579, "")</f>
        <v/>
      </c>
    </row>
    <row r="581" spans="38:38" x14ac:dyDescent="0.2">
      <c r="AL581" s="18" t="str">
        <f>IF(COUNTIF($A$2:A580, A580) = 1, A580, "")</f>
        <v/>
      </c>
    </row>
  </sheetData>
  <mergeCells count="19">
    <mergeCell ref="T2:U2"/>
    <mergeCell ref="T3:U3"/>
    <mergeCell ref="T4:U4"/>
    <mergeCell ref="T6:U6"/>
    <mergeCell ref="T19:U19"/>
    <mergeCell ref="T20:U20"/>
    <mergeCell ref="T21:U21"/>
    <mergeCell ref="T22:U22"/>
    <mergeCell ref="T7:U7"/>
    <mergeCell ref="T8:U8"/>
    <mergeCell ref="T9:U9"/>
    <mergeCell ref="T10:U10"/>
    <mergeCell ref="T11:V11"/>
    <mergeCell ref="T12:U12"/>
    <mergeCell ref="T14:U14"/>
    <mergeCell ref="T15:U15"/>
    <mergeCell ref="T16:U16"/>
    <mergeCell ref="T17:V17"/>
    <mergeCell ref="T13:U13"/>
  </mergeCells>
  <conditionalFormatting sqref="N1:N1048576">
    <cfRule type="dataBar" priority="68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{9FA45DA4-EF01-F14F-B631-3B4A59CCEF77}</x14:id>
        </ext>
      </extLst>
    </cfRule>
  </conditionalFormatting>
  <conditionalFormatting sqref="V4">
    <cfRule type="colorScale" priority="61">
      <colorScale>
        <cfvo type="num" val="-50"/>
        <cfvo type="num" val="0"/>
        <cfvo type="num" val="50"/>
        <color rgb="FFC00000"/>
        <color theme="0"/>
        <color rgb="FF00B050"/>
      </colorScale>
    </cfRule>
  </conditionalFormatting>
  <conditionalFormatting sqref="V9">
    <cfRule type="dataBar" priority="60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{BCD6AD64-4159-154A-92AD-4EE488588084}</x14:id>
        </ext>
      </extLst>
    </cfRule>
  </conditionalFormatting>
  <conditionalFormatting sqref="V15">
    <cfRule type="dataBar" priority="59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{09C2C0D7-ACC4-CB42-83D4-4822C5C913B1}</x14:id>
        </ext>
      </extLst>
    </cfRule>
  </conditionalFormatting>
  <conditionalFormatting sqref="V10">
    <cfRule type="dataBar" priority="42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{976CC26C-0FF7-934B-B251-1D37FD1B2B8E}</x14:id>
        </ext>
      </extLst>
    </cfRule>
    <cfRule type="colorScale" priority="43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V16">
    <cfRule type="dataBar" priority="40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{980938E5-4420-9C43-8832-E8456321D511}</x14:id>
        </ext>
      </extLst>
    </cfRule>
    <cfRule type="colorScale" priority="41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12:Y18">
    <cfRule type="dataBar" priority="16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{85FF10BA-44AA-624C-8CD7-C2D033F392DF}</x14:id>
        </ext>
      </extLst>
    </cfRule>
    <cfRule type="colorScale" priority="17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A41:AA43 AA26:AA31 AA3:AA9 AA34:AA38 AA12:AA18 AA21:AA23">
    <cfRule type="dataBar" priority="11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{EF35CA66-F33C-E648-B102-FBEE96045AAA}</x14:id>
        </ext>
      </extLst>
    </cfRule>
  </conditionalFormatting>
  <conditionalFormatting sqref="AA46:AA47">
    <cfRule type="dataBar" priority="10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{3A772A31-475E-1A49-B291-67315894C7D5}</x14:id>
        </ext>
      </extLst>
    </cfRule>
  </conditionalFormatting>
  <conditionalFormatting sqref="Z2:Z47">
    <cfRule type="dataBar" priority="9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{4CDD3688-64A5-D843-B3C4-AF9AF849A07E}</x14:id>
        </ext>
      </extLst>
    </cfRule>
  </conditionalFormatting>
  <conditionalFormatting sqref="AE3:AE50">
    <cfRule type="dataBar" priority="12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{88112452-DE04-654A-9D2A-7922437B98A6}</x14:id>
        </ext>
      </extLst>
    </cfRule>
    <cfRule type="colorScale" priority="13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D3:AD50">
    <cfRule type="dataBar" priority="14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{316C7F9B-3F28-AA44-841C-C8B4CAA2DCEE}</x14:id>
        </ext>
      </extLst>
    </cfRule>
    <cfRule type="colorScale" priority="15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3:Y9">
    <cfRule type="dataBar" priority="7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{B94673A1-40C0-6240-9616-274011579ABA}</x14:id>
        </ext>
      </extLst>
    </cfRule>
    <cfRule type="colorScale" priority="8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21:Y47">
    <cfRule type="dataBar" priority="5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{9EE5F01D-FC27-D042-8123-A0B11E295CD5}</x14:id>
        </ext>
      </extLst>
    </cfRule>
    <cfRule type="colorScale" priority="6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A50:AA58">
    <cfRule type="dataBar" priority="4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{4EC7979D-69FA-6542-BE2A-29754D5D0C2D}</x14:id>
        </ext>
      </extLst>
    </cfRule>
  </conditionalFormatting>
  <conditionalFormatting sqref="Z49:Z58">
    <cfRule type="dataBar" priority="3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{2DD484D4-AD3C-434F-AB61-E8D2789251EB}</x14:id>
        </ext>
      </extLst>
    </cfRule>
  </conditionalFormatting>
  <conditionalFormatting sqref="Y49:Y58">
    <cfRule type="dataBar" priority="1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{AB1EF72D-5D61-FE47-801B-F43561579FF4}</x14:id>
        </ext>
      </extLst>
    </cfRule>
    <cfRule type="colorScale" priority="2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dataValidations count="3">
    <dataValidation type="list" allowBlank="1" showInputMessage="1" showErrorMessage="1" sqref="D2:D500" xr:uid="{B320A166-A8EB-194F-8FF2-7BE76770FFC3}">
      <formula1>"Straight, Parlay, Boost"</formula1>
    </dataValidation>
    <dataValidation type="list" allowBlank="1" showInputMessage="1" showErrorMessage="1" sqref="M2:M500 G2:J500" xr:uid="{012BA288-FBC2-EB4E-8A93-CB271C2B2BC0}">
      <formula1>"Yes, No"</formula1>
    </dataValidation>
    <dataValidation type="list" allowBlank="1" showInputMessage="1" showErrorMessage="1" sqref="R2:R1048576" xr:uid="{F40A0E0F-BFF8-C241-A2EB-8B8169D89D61}">
      <formula1>$X$50:$X$58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FA45DA4-EF01-F14F-B631-3B4A59CCEF7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N1:N1048576</xm:sqref>
        </x14:conditionalFormatting>
        <x14:conditionalFormatting xmlns:xm="http://schemas.microsoft.com/office/excel/2006/main">
          <x14:cfRule type="dataBar" id="{BCD6AD64-4159-154A-92AD-4EE488588084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09C2C0D7-ACC4-CB42-83D4-4822C5C913B1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976CC26C-0FF7-934B-B251-1D37FD1B2B8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980938E5-4420-9C43-8832-E8456321D51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85FF10BA-44AA-624C-8CD7-C2D033F392D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Y12:Y18</xm:sqref>
        </x14:conditionalFormatting>
        <x14:conditionalFormatting xmlns:xm="http://schemas.microsoft.com/office/excel/2006/main">
          <x14:cfRule type="dataBar" id="{EF35CA66-F33C-E648-B102-FBEE96045AAA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AA41:AA43 AA26:AA31 AA3:AA9 AA34:AA38 AA12:AA18 AA21:AA23</xm:sqref>
        </x14:conditionalFormatting>
        <x14:conditionalFormatting xmlns:xm="http://schemas.microsoft.com/office/excel/2006/main">
          <x14:cfRule type="dataBar" id="{3A772A31-475E-1A49-B291-67315894C7D5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AA46:AA47</xm:sqref>
        </x14:conditionalFormatting>
        <x14:conditionalFormatting xmlns:xm="http://schemas.microsoft.com/office/excel/2006/main">
          <x14:cfRule type="dataBar" id="{4CDD3688-64A5-D843-B3C4-AF9AF849A07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Z2:Z47</xm:sqref>
        </x14:conditionalFormatting>
        <x14:conditionalFormatting xmlns:xm="http://schemas.microsoft.com/office/excel/2006/main">
          <x14:cfRule type="dataBar" id="{88112452-DE04-654A-9D2A-7922437B98A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AE3:AE50</xm:sqref>
        </x14:conditionalFormatting>
        <x14:conditionalFormatting xmlns:xm="http://schemas.microsoft.com/office/excel/2006/main">
          <x14:cfRule type="dataBar" id="{316C7F9B-3F28-AA44-841C-C8B4CAA2DCE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AD3:AD50</xm:sqref>
        </x14:conditionalFormatting>
        <x14:conditionalFormatting xmlns:xm="http://schemas.microsoft.com/office/excel/2006/main">
          <x14:cfRule type="dataBar" id="{B94673A1-40C0-6240-9616-274011579AB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Y3:Y9</xm:sqref>
        </x14:conditionalFormatting>
        <x14:conditionalFormatting xmlns:xm="http://schemas.microsoft.com/office/excel/2006/main">
          <x14:cfRule type="dataBar" id="{9EE5F01D-FC27-D042-8123-A0B11E295CD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Y21:Y47</xm:sqref>
        </x14:conditionalFormatting>
        <x14:conditionalFormatting xmlns:xm="http://schemas.microsoft.com/office/excel/2006/main">
          <x14:cfRule type="dataBar" id="{4EC7979D-69FA-6542-BE2A-29754D5D0C2D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AA50:AA58</xm:sqref>
        </x14:conditionalFormatting>
        <x14:conditionalFormatting xmlns:xm="http://schemas.microsoft.com/office/excel/2006/main">
          <x14:cfRule type="dataBar" id="{2DD484D4-AD3C-434F-AB61-E8D2789251E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Z49:Z58</xm:sqref>
        </x14:conditionalFormatting>
        <x14:conditionalFormatting xmlns:xm="http://schemas.microsoft.com/office/excel/2006/main">
          <x14:cfRule type="dataBar" id="{AB1EF72D-5D61-FE47-801B-F43561579FF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Y49:Y58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AB77A8-96E3-8842-B772-CB4C656E4022}">
  <sheetPr codeName="Sheet7"/>
  <dimension ref="A1:AL581"/>
  <sheetViews>
    <sheetView topLeftCell="D1" zoomScale="80" zoomScaleNormal="80" workbookViewId="0">
      <pane ySplit="1" topLeftCell="A3" activePane="bottomLeft" state="frozen"/>
      <selection pane="bottomLeft" activeCell="B2" sqref="B2:B1048576"/>
    </sheetView>
  </sheetViews>
  <sheetFormatPr baseColWidth="10" defaultRowHeight="16" x14ac:dyDescent="0.2"/>
  <cols>
    <col min="1" max="1" width="11.5" style="18" bestFit="1" customWidth="1"/>
    <col min="4" max="4" width="11.5" bestFit="1" customWidth="1"/>
    <col min="6" max="6" width="14.83203125" bestFit="1" customWidth="1"/>
    <col min="8" max="8" width="12.5" bestFit="1" customWidth="1"/>
    <col min="11" max="11" width="10.83203125" style="7"/>
    <col min="14" max="14" width="13.5" bestFit="1" customWidth="1"/>
    <col min="15" max="15" width="21.1640625" bestFit="1" customWidth="1"/>
    <col min="16" max="16" width="31.33203125" customWidth="1"/>
    <col min="17" max="17" width="30.5" customWidth="1"/>
    <col min="18" max="18" width="11.5" customWidth="1"/>
    <col min="19" max="19" width="19.33203125" customWidth="1"/>
    <col min="20" max="20" width="11.6640625" bestFit="1" customWidth="1"/>
    <col min="22" max="22" width="12.6640625" bestFit="1" customWidth="1"/>
    <col min="24" max="24" width="14.83203125" style="32" bestFit="1" customWidth="1"/>
    <col min="26" max="26" width="10.83203125" hidden="1" customWidth="1"/>
    <col min="29" max="29" width="10.83203125" style="18"/>
    <col min="30" max="30" width="11" customWidth="1"/>
    <col min="31" max="31" width="10.1640625" bestFit="1" customWidth="1"/>
    <col min="38" max="38" width="0" hidden="1" customWidth="1"/>
  </cols>
  <sheetData>
    <row r="1" spans="1:38" ht="17" thickBot="1" x14ac:dyDescent="0.25">
      <c r="A1" s="56" t="s">
        <v>15</v>
      </c>
      <c r="B1" s="57" t="s">
        <v>10</v>
      </c>
      <c r="C1" s="57" t="s">
        <v>11</v>
      </c>
      <c r="D1" s="57" t="s">
        <v>50</v>
      </c>
      <c r="E1" s="57" t="s">
        <v>12</v>
      </c>
      <c r="F1" s="57" t="s">
        <v>3</v>
      </c>
      <c r="G1" s="57" t="s">
        <v>4</v>
      </c>
      <c r="H1" s="57" t="s">
        <v>60</v>
      </c>
      <c r="I1" s="57" t="s">
        <v>6</v>
      </c>
      <c r="J1" s="57" t="s">
        <v>69</v>
      </c>
      <c r="K1" s="57" t="s">
        <v>7</v>
      </c>
      <c r="L1" s="57" t="s">
        <v>8</v>
      </c>
      <c r="M1" s="57" t="s">
        <v>21</v>
      </c>
      <c r="N1" s="57" t="s">
        <v>9</v>
      </c>
      <c r="O1" s="57" t="s">
        <v>51</v>
      </c>
      <c r="P1" s="57" t="s">
        <v>13</v>
      </c>
      <c r="Q1" s="57" t="s">
        <v>14</v>
      </c>
      <c r="R1" s="57" t="s">
        <v>89</v>
      </c>
      <c r="S1" s="57" t="s">
        <v>61</v>
      </c>
    </row>
    <row r="2" spans="1:38" ht="17" thickBot="1" x14ac:dyDescent="0.25">
      <c r="A2" s="55" t="s">
        <v>86</v>
      </c>
      <c r="F2" t="str">
        <f t="shared" ref="F2:F4" si="0">IF(OR(O2="", P2=""), "", SUM(IF((O2&lt;&gt;"None")*(O2&lt;&gt;""),LEN(O2)-LEN(SUBSTITUTE(O2,",",""))+1,0)) + SUM(IF((P2&lt;&gt;"None")*(P2&lt;&gt;""),LEN(P2)-LEN(SUBSTITUTE(P2,",",""))+1,0)))</f>
        <v/>
      </c>
      <c r="L2" s="7" t="str">
        <f t="shared" ref="L2:L4" si="1">IF(LEN(E2)=0, "", IFERROR(IF(E2&gt;=0, K2 * (1 + E2/100) - K2, K2 / (ABS(E2)/100))+K2, ""))</f>
        <v/>
      </c>
      <c r="N2" s="7" t="str">
        <f t="shared" ref="N2:N4" si="2">IF(M2="Yes",L2-K2,IF(M2="No",-K2,""))</f>
        <v/>
      </c>
      <c r="O2" t="str">
        <f t="shared" ref="O2:O4" si="3">IF(AND(G2="No",H2="No"), "None", "")</f>
        <v/>
      </c>
      <c r="P2" t="str">
        <f t="shared" ref="P2:P4" si="4">IF(I2="No", "None", "")</f>
        <v/>
      </c>
      <c r="Q2" t="str">
        <f t="shared" ref="Q2:Q4" si="5">IF(AND(D2="Straight", M2 = "No"),IF(O2="None",P2,IF(P2="None",O2) ),"")</f>
        <v/>
      </c>
      <c r="S2" t="str">
        <f>""</f>
        <v/>
      </c>
      <c r="T2" s="109" t="s">
        <v>0</v>
      </c>
      <c r="U2" s="110"/>
      <c r="V2" s="4">
        <f>'Apr 2025'!V3</f>
        <v>0</v>
      </c>
      <c r="X2" s="79" t="s">
        <v>10</v>
      </c>
      <c r="Y2" s="80" t="s">
        <v>9</v>
      </c>
      <c r="Z2" s="81" t="s">
        <v>84</v>
      </c>
      <c r="AA2" s="82" t="s">
        <v>39</v>
      </c>
      <c r="AC2" s="86" t="s">
        <v>70</v>
      </c>
      <c r="AD2" s="87" t="s">
        <v>9</v>
      </c>
      <c r="AE2" s="88" t="s">
        <v>71</v>
      </c>
    </row>
    <row r="3" spans="1:38" x14ac:dyDescent="0.2">
      <c r="F3" t="str">
        <f t="shared" si="0"/>
        <v/>
      </c>
      <c r="L3" s="7" t="str">
        <f t="shared" si="1"/>
        <v/>
      </c>
      <c r="N3" s="7" t="str">
        <f t="shared" si="2"/>
        <v/>
      </c>
      <c r="O3" t="str">
        <f t="shared" si="3"/>
        <v/>
      </c>
      <c r="P3" t="str">
        <f t="shared" si="4"/>
        <v/>
      </c>
      <c r="Q3" t="str">
        <f t="shared" si="5"/>
        <v/>
      </c>
      <c r="S3" t="str">
        <f>""</f>
        <v/>
      </c>
      <c r="T3" s="101" t="s">
        <v>1</v>
      </c>
      <c r="U3" s="102"/>
      <c r="V3" s="5">
        <f>V2+V4</f>
        <v>0</v>
      </c>
      <c r="X3" s="47" t="s">
        <v>16</v>
      </c>
      <c r="Y3" s="45">
        <f>SUMIF($B:B,X3,N:N)</f>
        <v>0</v>
      </c>
      <c r="Z3" s="40">
        <f t="shared" ref="Z3:Z9" si="6">COUNTIF(B:B,X3)</f>
        <v>0</v>
      </c>
      <c r="AA3" s="41">
        <f t="shared" ref="AA3:AA9" si="7">IFERROR(COUNTIFS(B:B, X3)/COUNTA($B$2:$B$994),0)</f>
        <v>0</v>
      </c>
      <c r="AC3" s="17" t="str" cm="1">
        <f t="array" ref="AC3">IFERROR(INDEX($AL$2:$AL$300, MATCH(0, COUNTIF($AC$2:AC2, $AL$2:$AL$300) + IF($AL$2:$AL$300="", 1, 0), 0)), "")</f>
        <v/>
      </c>
      <c r="AD3" s="9">
        <f t="shared" ref="AD3:AD25" si="8">IF(ISBLANK(AC3),"",SUMIF(A:A,AC3,N:N))</f>
        <v>0</v>
      </c>
      <c r="AE3" s="19">
        <f>SUM(AD$3:AD3)</f>
        <v>0</v>
      </c>
      <c r="AL3" s="18" t="str">
        <f>IF(COUNTIF($A$2:A2, A2) = 1, A2, "")</f>
        <v/>
      </c>
    </row>
    <row r="4" spans="1:38" ht="17" thickBot="1" x14ac:dyDescent="0.25">
      <c r="F4" t="str">
        <f t="shared" si="0"/>
        <v/>
      </c>
      <c r="L4" s="7" t="str">
        <f t="shared" si="1"/>
        <v/>
      </c>
      <c r="N4" s="7" t="str">
        <f t="shared" si="2"/>
        <v/>
      </c>
      <c r="O4" t="str">
        <f t="shared" si="3"/>
        <v/>
      </c>
      <c r="P4" t="str">
        <f t="shared" si="4"/>
        <v/>
      </c>
      <c r="Q4" t="str">
        <f t="shared" si="5"/>
        <v/>
      </c>
      <c r="S4" t="str">
        <f>""</f>
        <v/>
      </c>
      <c r="T4" s="96" t="s">
        <v>2</v>
      </c>
      <c r="U4" s="97"/>
      <c r="V4" s="10">
        <f>SUM(N2:N1048576)</f>
        <v>0</v>
      </c>
      <c r="X4" s="48" t="s">
        <v>23</v>
      </c>
      <c r="Y4" s="45">
        <f>SUMIF($B:B,X4,N:N)</f>
        <v>0</v>
      </c>
      <c r="Z4" s="34">
        <f t="shared" si="6"/>
        <v>0</v>
      </c>
      <c r="AA4" s="38">
        <f t="shared" si="7"/>
        <v>0</v>
      </c>
      <c r="AC4" s="17" t="str" cm="1">
        <f t="array" ref="AC4">IFERROR(INDEX($AL$2:$AL$300, MATCH(0, COUNTIF($AC$2:AC3, $AL$2:$AL$300) + IF($AL$2:$AL$300="", 1, 0), 0)), "")</f>
        <v/>
      </c>
      <c r="AD4" s="9">
        <f t="shared" si="8"/>
        <v>0</v>
      </c>
      <c r="AE4" s="19">
        <f>SUM(AD$3:AD4)</f>
        <v>0</v>
      </c>
      <c r="AL4" s="18" t="str">
        <f>IF(COUNTIF($A$2:A3, A3) = 1, A3, "")</f>
        <v/>
      </c>
    </row>
    <row r="5" spans="1:38" ht="17" thickBot="1" x14ac:dyDescent="0.25">
      <c r="F5" t="str">
        <f t="shared" ref="F5:F65" si="9">IF(OR(O5="", P5=""), "", SUM(IF((O5&lt;&gt;"None")*(O5&lt;&gt;""),LEN(O5)-LEN(SUBSTITUTE(O5,",",""))+1,0)) + SUM(IF((P5&lt;&gt;"None")*(P5&lt;&gt;""),LEN(P5)-LEN(SUBSTITUTE(P5,",",""))+1,0)))</f>
        <v/>
      </c>
      <c r="L5" s="7" t="str">
        <f t="shared" ref="L5:L65" si="10">IF(LEN(E5)=0, "", IFERROR(IF(E5&gt;=0, K5 * (1 + E5/100) - K5, K5 / (ABS(E5)/100))+K5, ""))</f>
        <v/>
      </c>
      <c r="N5" s="7" t="str">
        <f t="shared" ref="N5:N65" si="11">IF(M5="Yes",L5-K5,IF(M5="No",-K5,""))</f>
        <v/>
      </c>
      <c r="O5" t="str">
        <f t="shared" ref="O5:O65" si="12">IF(AND(G5="No",H5="No"), "None", "")</f>
        <v/>
      </c>
      <c r="P5" t="str">
        <f t="shared" ref="P5:P17" si="13">IF(I5="No", "None", "")</f>
        <v/>
      </c>
      <c r="Q5" t="str">
        <f t="shared" ref="Q5:Q65" si="14">IF(AND(D5="Straight", M5 = "No"),IF(O5="None",P5,IF(P5="None",O5) ),"")</f>
        <v/>
      </c>
      <c r="S5" t="str">
        <f>""</f>
        <v/>
      </c>
      <c r="X5" s="48" t="s">
        <v>24</v>
      </c>
      <c r="Y5" s="45">
        <f>SUMIF($B:B,X5,N:N)</f>
        <v>0</v>
      </c>
      <c r="Z5" s="34">
        <f t="shared" si="6"/>
        <v>0</v>
      </c>
      <c r="AA5" s="38">
        <f t="shared" si="7"/>
        <v>0</v>
      </c>
      <c r="AC5" s="17" t="str" cm="1">
        <f t="array" ref="AC5">IFERROR(INDEX($AL$2:$AL$300, MATCH(0, COUNTIF($AC$2:AC4, $AL$2:$AL$300) + IF($AL$2:$AL$300="", 1, 0), 0)), "")</f>
        <v/>
      </c>
      <c r="AD5" s="9">
        <f t="shared" si="8"/>
        <v>0</v>
      </c>
      <c r="AE5" s="19">
        <f>SUM(AD$3:AD5)</f>
        <v>0</v>
      </c>
      <c r="AL5" s="18" t="str">
        <f>IF(COUNTIF($A$2:A4, A4) = 1, A4, "")</f>
        <v/>
      </c>
    </row>
    <row r="6" spans="1:38" x14ac:dyDescent="0.2">
      <c r="F6" t="str">
        <f t="shared" si="9"/>
        <v/>
      </c>
      <c r="L6" s="7" t="str">
        <f t="shared" si="10"/>
        <v/>
      </c>
      <c r="N6" s="7" t="str">
        <f t="shared" si="11"/>
        <v/>
      </c>
      <c r="O6" t="str">
        <f t="shared" si="12"/>
        <v/>
      </c>
      <c r="P6" t="str">
        <f t="shared" si="13"/>
        <v/>
      </c>
      <c r="Q6" t="str">
        <f t="shared" si="14"/>
        <v/>
      </c>
      <c r="S6" t="str">
        <f>""</f>
        <v/>
      </c>
      <c r="T6" s="109" t="s">
        <v>27</v>
      </c>
      <c r="U6" s="110"/>
      <c r="V6" s="58" t="str">
        <f>Master!D6</f>
        <v>Lions</v>
      </c>
      <c r="X6" s="48" t="s">
        <v>52</v>
      </c>
      <c r="Y6" s="45">
        <f>SUMIF($B:B,X6,N:N)</f>
        <v>0</v>
      </c>
      <c r="Z6" s="34">
        <f t="shared" si="6"/>
        <v>0</v>
      </c>
      <c r="AA6" s="38">
        <f t="shared" si="7"/>
        <v>0</v>
      </c>
      <c r="AC6" s="17" t="str" cm="1">
        <f t="array" ref="AC6">IFERROR(INDEX($AL$2:$AL$300, MATCH(0, COUNTIF($AC$2:AC5, $AL$2:$AL$300) + IF($AL$2:$AL$300="", 1, 0), 0)), "")</f>
        <v/>
      </c>
      <c r="AD6" s="9">
        <f t="shared" si="8"/>
        <v>0</v>
      </c>
      <c r="AE6" s="19">
        <f>SUM(AD$3:AD6)</f>
        <v>0</v>
      </c>
      <c r="AL6" s="18" t="str">
        <f>IF(COUNTIF($A$2:A5, A5) = 1, A5, "")</f>
        <v/>
      </c>
    </row>
    <row r="7" spans="1:38" x14ac:dyDescent="0.2">
      <c r="F7" t="str">
        <f t="shared" si="9"/>
        <v/>
      </c>
      <c r="L7" s="7" t="str">
        <f t="shared" si="10"/>
        <v/>
      </c>
      <c r="N7" s="7" t="str">
        <f t="shared" si="11"/>
        <v/>
      </c>
      <c r="O7" t="str">
        <f t="shared" si="12"/>
        <v/>
      </c>
      <c r="P7" t="str">
        <f t="shared" si="13"/>
        <v/>
      </c>
      <c r="Q7" t="str">
        <f t="shared" si="14"/>
        <v/>
      </c>
      <c r="S7" t="str">
        <f>""</f>
        <v/>
      </c>
      <c r="T7" s="101" t="s">
        <v>99</v>
      </c>
      <c r="U7" s="102"/>
      <c r="V7" s="8" cm="1">
        <f t="array" ref="V7">SUM(IF(ISNUMBER(SEARCH(V6, SUBSTITUTE($O$2:$O$998, ",", ""))), 1, 0))</f>
        <v>0</v>
      </c>
      <c r="X7" s="48" t="s">
        <v>87</v>
      </c>
      <c r="Y7" s="45">
        <f>SUMIF($B:B,X7,N:N)</f>
        <v>0</v>
      </c>
      <c r="Z7" s="34">
        <f t="shared" si="6"/>
        <v>0</v>
      </c>
      <c r="AA7" s="38">
        <f t="shared" si="7"/>
        <v>0</v>
      </c>
      <c r="AC7" s="17" t="str" cm="1">
        <f t="array" ref="AC7">IFERROR(INDEX($AL$2:$AL$300, MATCH(0, COUNTIF($AC$2:AC6, $AL$2:$AL$300) + IF($AL$2:$AL$300="", 1, 0), 0)), "")</f>
        <v/>
      </c>
      <c r="AD7" s="9">
        <f t="shared" si="8"/>
        <v>0</v>
      </c>
      <c r="AE7" s="20">
        <f>SUM(AD$3:AD7)</f>
        <v>0</v>
      </c>
      <c r="AL7" s="18" t="str">
        <f>IF(COUNTIF($A$2:A6, A6) = 1, A6, "")</f>
        <v/>
      </c>
    </row>
    <row r="8" spans="1:38" x14ac:dyDescent="0.2">
      <c r="F8" t="str">
        <f t="shared" si="9"/>
        <v/>
      </c>
      <c r="L8" s="7" t="str">
        <f t="shared" si="10"/>
        <v/>
      </c>
      <c r="N8" s="7" t="str">
        <f t="shared" si="11"/>
        <v/>
      </c>
      <c r="O8" t="str">
        <f t="shared" si="12"/>
        <v/>
      </c>
      <c r="P8" t="str">
        <f t="shared" si="13"/>
        <v/>
      </c>
      <c r="Q8" t="str">
        <f t="shared" si="14"/>
        <v/>
      </c>
      <c r="S8" t="str">
        <f>""</f>
        <v/>
      </c>
      <c r="T8" s="101" t="s">
        <v>100</v>
      </c>
      <c r="U8" s="102"/>
      <c r="V8" s="8" cm="1">
        <f t="array" ref="V8">SUM(IF(ISNUMBER(SEARCH(V6, SUBSTITUTE($Q$2:$Q$998, ",", ""))), 1, 0))</f>
        <v>0</v>
      </c>
      <c r="X8" s="48" t="s">
        <v>85</v>
      </c>
      <c r="Y8" s="45">
        <f>SUMIF($B:B,X8,N:N)</f>
        <v>0</v>
      </c>
      <c r="Z8" s="34">
        <f t="shared" si="6"/>
        <v>0</v>
      </c>
      <c r="AA8" s="38">
        <f t="shared" si="7"/>
        <v>0</v>
      </c>
      <c r="AC8" s="17" t="str" cm="1">
        <f t="array" ref="AC8">IFERROR(INDEX($AL$2:$AL$300, MATCH(0, COUNTIF($AC$2:AC7, $AL$2:$AL$300) + IF($AL$2:$AL$300="", 1, 0), 0)), "")</f>
        <v/>
      </c>
      <c r="AD8" s="9">
        <f t="shared" si="8"/>
        <v>0</v>
      </c>
      <c r="AE8" s="19">
        <f>SUM(AD$3:AD8)</f>
        <v>0</v>
      </c>
      <c r="AL8" s="18" t="str">
        <f>IF(COUNTIF($A$2:A7, A7) = 1, A7, "")</f>
        <v/>
      </c>
    </row>
    <row r="9" spans="1:38" ht="17" thickBot="1" x14ac:dyDescent="0.25">
      <c r="F9" t="str">
        <f t="shared" si="9"/>
        <v/>
      </c>
      <c r="L9" s="7" t="str">
        <f t="shared" si="10"/>
        <v/>
      </c>
      <c r="N9" s="7" t="str">
        <f t="shared" si="11"/>
        <v/>
      </c>
      <c r="O9" t="str">
        <f t="shared" si="12"/>
        <v/>
      </c>
      <c r="P9" t="str">
        <f t="shared" si="13"/>
        <v/>
      </c>
      <c r="Q9" t="str">
        <f t="shared" si="14"/>
        <v/>
      </c>
      <c r="S9" t="str">
        <f>""</f>
        <v/>
      </c>
      <c r="T9" s="101" t="s">
        <v>28</v>
      </c>
      <c r="U9" s="102"/>
      <c r="V9" s="51" t="e">
        <f>1-(V8/V7)</f>
        <v>#DIV/0!</v>
      </c>
      <c r="X9" s="50" t="s">
        <v>53</v>
      </c>
      <c r="Y9" s="44">
        <f>SUMIF($B:B,X9,N:N)</f>
        <v>0</v>
      </c>
      <c r="Z9" s="35">
        <f t="shared" si="6"/>
        <v>0</v>
      </c>
      <c r="AA9" s="39">
        <f t="shared" si="7"/>
        <v>0</v>
      </c>
      <c r="AC9" s="17" t="str" cm="1">
        <f t="array" ref="AC9">IFERROR(INDEX($AL$2:$AL$300, MATCH(0, COUNTIF($AC$2:AC8, $AL$2:$AL$300) + IF($AL$2:$AL$300="", 1, 0), 0)), "")</f>
        <v/>
      </c>
      <c r="AD9" s="9">
        <f t="shared" si="8"/>
        <v>0</v>
      </c>
      <c r="AE9" s="19">
        <f>SUM(AD$3:AD9)</f>
        <v>0</v>
      </c>
      <c r="AL9" s="18" t="str">
        <f>IF(COUNTIF($A$2:A8, A8) = 1, A8, "")</f>
        <v/>
      </c>
    </row>
    <row r="10" spans="1:38" ht="17" thickBot="1" x14ac:dyDescent="0.25">
      <c r="F10" t="str">
        <f t="shared" si="9"/>
        <v/>
      </c>
      <c r="L10" s="7" t="str">
        <f t="shared" si="10"/>
        <v/>
      </c>
      <c r="N10" s="7" t="str">
        <f t="shared" si="11"/>
        <v/>
      </c>
      <c r="O10" t="str">
        <f t="shared" si="12"/>
        <v/>
      </c>
      <c r="P10" t="str">
        <f t="shared" si="13"/>
        <v/>
      </c>
      <c r="Q10" t="str">
        <f t="shared" si="14"/>
        <v/>
      </c>
      <c r="S10" t="str">
        <f>""</f>
        <v/>
      </c>
      <c r="T10" s="115" t="s">
        <v>9</v>
      </c>
      <c r="U10" s="116"/>
      <c r="V10" s="45" cm="1">
        <f t="array" ref="V10">SUMPRODUCT(--($D$2:$D$998="Straight"), --ISNUMBER(SEARCH(V6, SUBSTITUTE($O$2:$O$998, ",", ""))), $N$2:$N$998)</f>
        <v>0</v>
      </c>
      <c r="Y10" s="7"/>
      <c r="AC10" s="17" t="str" cm="1">
        <f t="array" ref="AC10">IFERROR(INDEX($AL$2:$AL$300, MATCH(0, COUNTIF($AC$2:AC9, $AL$2:$AL$300) + IF($AL$2:$AL$300="", 1, 0), 0)), "")</f>
        <v/>
      </c>
      <c r="AD10" s="9">
        <f t="shared" si="8"/>
        <v>0</v>
      </c>
      <c r="AE10" s="19">
        <f>SUM(AD$3:AD10)</f>
        <v>0</v>
      </c>
      <c r="AL10" s="18" t="str">
        <f>IF(COUNTIF($A$2:A9, A9) = 1, A9, "")</f>
        <v/>
      </c>
    </row>
    <row r="11" spans="1:38" ht="17" thickBot="1" x14ac:dyDescent="0.25">
      <c r="F11" t="str">
        <f t="shared" si="9"/>
        <v/>
      </c>
      <c r="L11" s="7" t="str">
        <f t="shared" si="10"/>
        <v/>
      </c>
      <c r="N11" s="7" t="str">
        <f t="shared" si="11"/>
        <v/>
      </c>
      <c r="O11" t="str">
        <f t="shared" si="12"/>
        <v/>
      </c>
      <c r="P11" t="str">
        <f t="shared" si="13"/>
        <v/>
      </c>
      <c r="Q11" t="str">
        <f t="shared" si="14"/>
        <v/>
      </c>
      <c r="S11" t="str">
        <f>""</f>
        <v/>
      </c>
      <c r="T11" s="117" t="s">
        <v>57</v>
      </c>
      <c r="U11" s="118"/>
      <c r="V11" s="119"/>
      <c r="X11" s="79" t="s">
        <v>11</v>
      </c>
      <c r="Y11" s="83" t="s">
        <v>9</v>
      </c>
      <c r="Z11" s="81" t="s">
        <v>84</v>
      </c>
      <c r="AA11" s="82" t="s">
        <v>39</v>
      </c>
      <c r="AC11" s="17" t="str" cm="1">
        <f t="array" ref="AC11">IFERROR(INDEX($AL$2:$AL$300, MATCH(0, COUNTIF($AC$2:AC10, $AL$2:$AL$300) + IF($AL$2:$AL$300="", 1, 0), 0)), "")</f>
        <v/>
      </c>
      <c r="AD11" s="9">
        <f t="shared" si="8"/>
        <v>0</v>
      </c>
      <c r="AE11" s="20">
        <f>SUM(AD$3:AD11)</f>
        <v>0</v>
      </c>
      <c r="AL11" s="18" t="str">
        <f>IF(COUNTIF($A$2:A10, A10) = 1, A10, "")</f>
        <v/>
      </c>
    </row>
    <row r="12" spans="1:38" x14ac:dyDescent="0.2">
      <c r="F12" t="str">
        <f t="shared" si="9"/>
        <v/>
      </c>
      <c r="L12" s="7" t="str">
        <f t="shared" si="10"/>
        <v/>
      </c>
      <c r="N12" s="7" t="str">
        <f t="shared" si="11"/>
        <v/>
      </c>
      <c r="O12" t="str">
        <f t="shared" si="12"/>
        <v/>
      </c>
      <c r="P12" t="str">
        <f t="shared" si="13"/>
        <v/>
      </c>
      <c r="Q12" t="str">
        <f t="shared" si="14"/>
        <v/>
      </c>
      <c r="S12" t="str">
        <f>""</f>
        <v/>
      </c>
      <c r="T12" s="109" t="s">
        <v>22</v>
      </c>
      <c r="U12" s="110"/>
      <c r="V12" s="58" t="str">
        <f>Master!D12</f>
        <v>Josh Allen</v>
      </c>
      <c r="X12" s="47" t="s">
        <v>17</v>
      </c>
      <c r="Y12" s="45">
        <f t="shared" ref="Y12:Y18" si="15">SUMIF(C:C,X12,N:N)</f>
        <v>0</v>
      </c>
      <c r="Z12" s="40">
        <f t="shared" ref="Z12:Z18" si="16">COUNTIF(C:C,X12)</f>
        <v>0</v>
      </c>
      <c r="AA12" s="41">
        <f t="shared" ref="AA12:AA18" si="17">IFERROR(COUNTIFS(C:C, X12)/COUNTA($C$2:$C$994),0)</f>
        <v>0</v>
      </c>
      <c r="AC12" s="17" t="str" cm="1">
        <f t="array" ref="AC12">IFERROR(INDEX($AL$2:$AL$300, MATCH(0, COUNTIF($AC$2:AC11, $AL$2:$AL$300) + IF($AL$2:$AL$300="", 1, 0), 0)), "")</f>
        <v/>
      </c>
      <c r="AD12" s="9">
        <f t="shared" si="8"/>
        <v>0</v>
      </c>
      <c r="AE12" s="19">
        <f>SUM(AD$3:AD12)</f>
        <v>0</v>
      </c>
      <c r="AL12" s="18" t="str">
        <f>IF(COUNTIF($A$2:A11, A11) = 1, A11, "")</f>
        <v/>
      </c>
    </row>
    <row r="13" spans="1:38" x14ac:dyDescent="0.2">
      <c r="F13" t="str">
        <f t="shared" si="9"/>
        <v/>
      </c>
      <c r="L13" s="7" t="str">
        <f t="shared" si="10"/>
        <v/>
      </c>
      <c r="N13" s="7" t="str">
        <f t="shared" si="11"/>
        <v/>
      </c>
      <c r="O13" t="str">
        <f t="shared" si="12"/>
        <v/>
      </c>
      <c r="P13" t="str">
        <f t="shared" si="13"/>
        <v/>
      </c>
      <c r="Q13" t="str">
        <f t="shared" si="14"/>
        <v/>
      </c>
      <c r="S13" t="str">
        <f>""</f>
        <v/>
      </c>
      <c r="T13" s="101" t="s">
        <v>99</v>
      </c>
      <c r="U13" s="102"/>
      <c r="V13" s="8" cm="1">
        <f t="array" ref="V13">SUM(IF(ISNUMBER(SEARCH(V12, SUBSTITUTE($P$2:$P$998, ",", ""))), 1, 0))</f>
        <v>0</v>
      </c>
      <c r="X13" s="48" t="s">
        <v>19</v>
      </c>
      <c r="Y13" s="43">
        <f t="shared" si="15"/>
        <v>0</v>
      </c>
      <c r="Z13" s="34">
        <f t="shared" si="16"/>
        <v>0</v>
      </c>
      <c r="AA13" s="41">
        <f t="shared" si="17"/>
        <v>0</v>
      </c>
      <c r="AC13" s="17" t="str" cm="1">
        <f t="array" ref="AC13">IFERROR(INDEX($AL$2:$AL$300, MATCH(0, COUNTIF($AC$2:AC12, $AL$2:$AL$300) + IF($AL$2:$AL$300="", 1, 0), 0)), "")</f>
        <v/>
      </c>
      <c r="AD13" s="9">
        <f t="shared" si="8"/>
        <v>0</v>
      </c>
      <c r="AE13" s="19">
        <f>SUM(AD$3:AD13)</f>
        <v>0</v>
      </c>
      <c r="AL13" s="18" t="str">
        <f>IF(COUNTIF($A$2:A12, A12) = 1, A12, "")</f>
        <v/>
      </c>
    </row>
    <row r="14" spans="1:38" x14ac:dyDescent="0.2">
      <c r="F14" t="str">
        <f t="shared" si="9"/>
        <v/>
      </c>
      <c r="L14" s="7" t="str">
        <f t="shared" si="10"/>
        <v/>
      </c>
      <c r="N14" s="7" t="str">
        <f t="shared" si="11"/>
        <v/>
      </c>
      <c r="O14" t="str">
        <f t="shared" si="12"/>
        <v/>
      </c>
      <c r="P14" t="str">
        <f t="shared" si="13"/>
        <v/>
      </c>
      <c r="Q14" t="str">
        <f t="shared" si="14"/>
        <v/>
      </c>
      <c r="S14" t="str">
        <f>""</f>
        <v/>
      </c>
      <c r="T14" s="101" t="s">
        <v>100</v>
      </c>
      <c r="U14" s="102"/>
      <c r="V14" s="8" cm="1">
        <f t="array" ref="V14">SUM(IF(ISNUMBER(SEARCH(V12, SUBSTITUTE($Q$2:$Q$998, ",", ""))), 1, 0))</f>
        <v>0</v>
      </c>
      <c r="X14" s="48" t="s">
        <v>25</v>
      </c>
      <c r="Y14" s="43">
        <f t="shared" si="15"/>
        <v>0</v>
      </c>
      <c r="Z14" s="34">
        <f t="shared" si="16"/>
        <v>0</v>
      </c>
      <c r="AA14" s="41">
        <f t="shared" si="17"/>
        <v>0</v>
      </c>
      <c r="AC14" s="17" t="str" cm="1">
        <f t="array" ref="AC14">IFERROR(INDEX($AL$2:$AL$300, MATCH(0, COUNTIF($AC$2:AC13, $AL$2:$AL$300) + IF($AL$2:$AL$300="", 1, 0), 0)), "")</f>
        <v/>
      </c>
      <c r="AD14" s="9">
        <f t="shared" si="8"/>
        <v>0</v>
      </c>
      <c r="AE14" s="19">
        <f>SUM(AD$3:AD14)</f>
        <v>0</v>
      </c>
      <c r="AL14" s="18" t="str">
        <f>IF(COUNTIF($A$2:A13, A13) = 1, A13, "")</f>
        <v/>
      </c>
    </row>
    <row r="15" spans="1:38" x14ac:dyDescent="0.2">
      <c r="F15" t="str">
        <f t="shared" si="9"/>
        <v/>
      </c>
      <c r="L15" s="7" t="str">
        <f t="shared" si="10"/>
        <v/>
      </c>
      <c r="N15" s="7" t="str">
        <f t="shared" si="11"/>
        <v/>
      </c>
      <c r="O15" t="str">
        <f t="shared" si="12"/>
        <v/>
      </c>
      <c r="P15" t="str">
        <f t="shared" si="13"/>
        <v/>
      </c>
      <c r="Q15" t="str">
        <f t="shared" si="14"/>
        <v/>
      </c>
      <c r="S15" t="str">
        <f>""</f>
        <v/>
      </c>
      <c r="T15" s="101" t="s">
        <v>28</v>
      </c>
      <c r="U15" s="102"/>
      <c r="V15" s="51" t="e">
        <f>1-(V14/V13)</f>
        <v>#DIV/0!</v>
      </c>
      <c r="X15" s="47" t="s">
        <v>26</v>
      </c>
      <c r="Y15" s="43">
        <f t="shared" si="15"/>
        <v>0</v>
      </c>
      <c r="Z15" s="34">
        <f t="shared" si="16"/>
        <v>0</v>
      </c>
      <c r="AA15" s="41">
        <f t="shared" si="17"/>
        <v>0</v>
      </c>
      <c r="AC15" s="17" t="str" cm="1">
        <f t="array" ref="AC15">IFERROR(INDEX($AL$2:$AL$300, MATCH(0, COUNTIF($AC$2:AC14, $AL$2:$AL$300) + IF($AL$2:$AL$300="", 1, 0), 0)), "")</f>
        <v/>
      </c>
      <c r="AD15" s="9">
        <f t="shared" si="8"/>
        <v>0</v>
      </c>
      <c r="AE15" s="20">
        <f>SUM(AD$3:AD15)</f>
        <v>0</v>
      </c>
      <c r="AL15" s="18" t="str">
        <f>IF(COUNTIF($A$2:A14, A14) = 1, A14, "")</f>
        <v/>
      </c>
    </row>
    <row r="16" spans="1:38" ht="17" thickBot="1" x14ac:dyDescent="0.25">
      <c r="F16" t="str">
        <f t="shared" si="9"/>
        <v/>
      </c>
      <c r="L16" s="7" t="str">
        <f t="shared" si="10"/>
        <v/>
      </c>
      <c r="N16" s="7" t="str">
        <f t="shared" si="11"/>
        <v/>
      </c>
      <c r="O16" t="str">
        <f t="shared" si="12"/>
        <v/>
      </c>
      <c r="P16" t="str">
        <f t="shared" si="13"/>
        <v/>
      </c>
      <c r="Q16" t="str">
        <f t="shared" si="14"/>
        <v/>
      </c>
      <c r="S16" t="str">
        <f>""</f>
        <v/>
      </c>
      <c r="T16" s="115" t="s">
        <v>9</v>
      </c>
      <c r="U16" s="116"/>
      <c r="V16" s="45" cm="1">
        <f t="array" ref="V16">SUMPRODUCT(--($D$2:$D$998="Straight"), --ISNUMBER(SEARCH(V12, SUBSTITUTE($P$2:$P$998, ",", ""))), $N$2:$N$998)</f>
        <v>0</v>
      </c>
      <c r="X16" s="48" t="s">
        <v>29</v>
      </c>
      <c r="Y16" s="43">
        <f t="shared" si="15"/>
        <v>0</v>
      </c>
      <c r="Z16" s="34">
        <f t="shared" si="16"/>
        <v>0</v>
      </c>
      <c r="AA16" s="41">
        <f t="shared" si="17"/>
        <v>0</v>
      </c>
      <c r="AC16" s="17" t="str" cm="1">
        <f t="array" ref="AC16">IFERROR(INDEX($AL$2:$AL$300, MATCH(0, COUNTIF($AC$2:AC15, $AL$2:$AL$300) + IF($AL$2:$AL$300="", 1, 0), 0)), "")</f>
        <v/>
      </c>
      <c r="AD16" s="9">
        <f t="shared" si="8"/>
        <v>0</v>
      </c>
      <c r="AE16" s="19">
        <f>SUM(AD$3:AD16)</f>
        <v>0</v>
      </c>
      <c r="AL16" s="18" t="str">
        <f>IF(COUNTIF($A$2:A15, A15) = 1, A15, "")</f>
        <v/>
      </c>
    </row>
    <row r="17" spans="6:38" ht="17" thickBot="1" x14ac:dyDescent="0.25">
      <c r="F17" t="str">
        <f t="shared" si="9"/>
        <v/>
      </c>
      <c r="L17" s="7" t="str">
        <f t="shared" si="10"/>
        <v/>
      </c>
      <c r="N17" s="7" t="str">
        <f t="shared" si="11"/>
        <v/>
      </c>
      <c r="O17" t="str">
        <f t="shared" si="12"/>
        <v/>
      </c>
      <c r="P17" t="str">
        <f t="shared" si="13"/>
        <v/>
      </c>
      <c r="Q17" t="str">
        <f t="shared" si="14"/>
        <v/>
      </c>
      <c r="S17" t="str">
        <f>""</f>
        <v/>
      </c>
      <c r="T17" s="117" t="s">
        <v>57</v>
      </c>
      <c r="U17" s="118"/>
      <c r="V17" s="119"/>
      <c r="X17" s="48" t="s">
        <v>30</v>
      </c>
      <c r="Y17" s="43">
        <f t="shared" si="15"/>
        <v>0</v>
      </c>
      <c r="Z17" s="34">
        <f t="shared" si="16"/>
        <v>0</v>
      </c>
      <c r="AA17" s="41">
        <f t="shared" si="17"/>
        <v>0</v>
      </c>
      <c r="AC17" s="17" t="str" cm="1">
        <f t="array" ref="AC17">IFERROR(INDEX($AL$2:$AL$300, MATCH(0, COUNTIF($AC$2:AC16, $AL$2:$AL$300) + IF($AL$2:$AL$300="", 1, 0), 0)), "")</f>
        <v/>
      </c>
      <c r="AD17" s="9">
        <f t="shared" si="8"/>
        <v>0</v>
      </c>
      <c r="AE17" s="19">
        <f>SUM(AD$3:AD17)</f>
        <v>0</v>
      </c>
      <c r="AL17" s="18" t="str">
        <f>IF(COUNTIF($A$2:A16, A16) = 1, A16, "")</f>
        <v/>
      </c>
    </row>
    <row r="18" spans="6:38" ht="17" thickBot="1" x14ac:dyDescent="0.25">
      <c r="F18" t="str">
        <f t="shared" si="9"/>
        <v/>
      </c>
      <c r="L18" s="7" t="str">
        <f t="shared" si="10"/>
        <v/>
      </c>
      <c r="N18" s="7" t="str">
        <f t="shared" si="11"/>
        <v/>
      </c>
      <c r="O18" t="str">
        <f t="shared" si="12"/>
        <v/>
      </c>
      <c r="P18" t="str">
        <f>IF(I18="No", "None", "")</f>
        <v/>
      </c>
      <c r="Q18" t="str">
        <f t="shared" si="14"/>
        <v/>
      </c>
      <c r="S18" t="str">
        <f>""</f>
        <v/>
      </c>
      <c r="X18" s="50" t="s">
        <v>82</v>
      </c>
      <c r="Y18" s="44">
        <f t="shared" si="15"/>
        <v>0</v>
      </c>
      <c r="Z18" s="35">
        <f t="shared" si="16"/>
        <v>0</v>
      </c>
      <c r="AA18" s="52">
        <f t="shared" si="17"/>
        <v>0</v>
      </c>
      <c r="AC18" s="17" t="str" cm="1">
        <f t="array" ref="AC18">IFERROR(INDEX($AL$2:$AL$300, MATCH(0, COUNTIF($AC$2:AC17, $AL$2:$AL$300) + IF($AL$2:$AL$300="", 1, 0), 0)), "")</f>
        <v/>
      </c>
      <c r="AD18" s="9">
        <f t="shared" si="8"/>
        <v>0</v>
      </c>
      <c r="AE18" s="19">
        <f>SUM(AD$3:AD18)</f>
        <v>0</v>
      </c>
      <c r="AL18" s="18" t="str">
        <f>IF(COUNTIF($A$2:A17, A17) = 1, A17, "")</f>
        <v/>
      </c>
    </row>
    <row r="19" spans="6:38" ht="17" thickBot="1" x14ac:dyDescent="0.25">
      <c r="F19" t="str">
        <f t="shared" si="9"/>
        <v/>
      </c>
      <c r="L19" s="7" t="str">
        <f t="shared" si="10"/>
        <v/>
      </c>
      <c r="N19" s="7" t="str">
        <f t="shared" si="11"/>
        <v/>
      </c>
      <c r="O19" t="str">
        <f t="shared" si="12"/>
        <v/>
      </c>
      <c r="P19" t="str">
        <f t="shared" ref="P19:P82" si="18">IF(I19="No", "None", "")</f>
        <v/>
      </c>
      <c r="Q19" t="str">
        <f t="shared" si="14"/>
        <v/>
      </c>
      <c r="S19" t="str">
        <f>""</f>
        <v/>
      </c>
      <c r="T19" s="103" t="s">
        <v>62</v>
      </c>
      <c r="U19" s="104"/>
      <c r="V19" s="13">
        <f>COUNTA(B:B) - 1</f>
        <v>0</v>
      </c>
      <c r="Y19" s="7"/>
      <c r="AC19" s="17" t="str" cm="1">
        <f t="array" ref="AC19">IFERROR(INDEX($AL$2:$AL$300, MATCH(0, COUNTIF($AC$2:AC18, $AL$2:$AL$300) + IF($AL$2:$AL$300="", 1, 0), 0)), "")</f>
        <v/>
      </c>
      <c r="AD19" s="9">
        <f t="shared" si="8"/>
        <v>0</v>
      </c>
      <c r="AE19" s="20">
        <f>SUM(AD$3:AD19)</f>
        <v>0</v>
      </c>
      <c r="AL19" s="18" t="str">
        <f>IF(COUNTIF($A$2:A18, A18) = 1, A18, "")</f>
        <v/>
      </c>
    </row>
    <row r="20" spans="6:38" ht="17" thickBot="1" x14ac:dyDescent="0.25">
      <c r="F20" t="str">
        <f t="shared" si="9"/>
        <v/>
      </c>
      <c r="L20" s="7" t="str">
        <f t="shared" si="10"/>
        <v/>
      </c>
      <c r="N20" s="7" t="str">
        <f t="shared" si="11"/>
        <v/>
      </c>
      <c r="O20" t="str">
        <f t="shared" si="12"/>
        <v/>
      </c>
      <c r="P20" t="str">
        <f t="shared" si="18"/>
        <v/>
      </c>
      <c r="Q20" t="str">
        <f t="shared" si="14"/>
        <v/>
      </c>
      <c r="S20" t="str">
        <f>""</f>
        <v/>
      </c>
      <c r="T20" s="111" t="s">
        <v>64</v>
      </c>
      <c r="U20" s="112"/>
      <c r="V20" s="24">
        <f>COUNTIF(M:M, "Yes")</f>
        <v>0</v>
      </c>
      <c r="X20" s="79" t="s">
        <v>50</v>
      </c>
      <c r="Y20" s="83" t="s">
        <v>9</v>
      </c>
      <c r="Z20" s="81" t="s">
        <v>84</v>
      </c>
      <c r="AA20" s="82" t="s">
        <v>39</v>
      </c>
      <c r="AC20" s="17" t="str" cm="1">
        <f t="array" ref="AC20">IFERROR(INDEX($AL$2:$AL$300, MATCH(0, COUNTIF($AC$2:AC19, $AL$2:$AL$300) + IF($AL$2:$AL$300="", 1, 0), 0)), "")</f>
        <v/>
      </c>
      <c r="AD20" s="9">
        <f t="shared" si="8"/>
        <v>0</v>
      </c>
      <c r="AE20" s="19">
        <f>SUM(AD$3:AD20)</f>
        <v>0</v>
      </c>
      <c r="AL20" s="18" t="str">
        <f>IF(COUNTIF($A$2:A19, A19) = 1, A19, "")</f>
        <v/>
      </c>
    </row>
    <row r="21" spans="6:38" x14ac:dyDescent="0.2">
      <c r="F21" t="str">
        <f t="shared" si="9"/>
        <v/>
      </c>
      <c r="L21" s="7" t="str">
        <f t="shared" si="10"/>
        <v/>
      </c>
      <c r="N21" s="7" t="str">
        <f t="shared" si="11"/>
        <v/>
      </c>
      <c r="O21" t="str">
        <f t="shared" si="12"/>
        <v/>
      </c>
      <c r="P21" t="str">
        <f t="shared" si="18"/>
        <v/>
      </c>
      <c r="Q21" t="str">
        <f t="shared" si="14"/>
        <v/>
      </c>
      <c r="S21" t="str">
        <f>""</f>
        <v/>
      </c>
      <c r="T21" s="111" t="s">
        <v>65</v>
      </c>
      <c r="U21" s="112"/>
      <c r="V21" s="25">
        <f>COUNTIF(M:M, "No")</f>
        <v>0</v>
      </c>
      <c r="X21" s="47" t="s">
        <v>20</v>
      </c>
      <c r="Y21" s="45">
        <f>SUMIF(D:D,X21,N:N)</f>
        <v>0</v>
      </c>
      <c r="Z21" s="40">
        <f>COUNTIF(D:D,X21)</f>
        <v>0</v>
      </c>
      <c r="AA21" s="41">
        <f>IFERROR(COUNTIFS(D:D, X21)/COUNTA($D$2:$D$994),0)</f>
        <v>0</v>
      </c>
      <c r="AC21" s="17" t="str" cm="1">
        <f t="array" ref="AC21">IFERROR(INDEX($AL$2:$AL$300, MATCH(0, COUNTIF($AC$2:AC20, $AL$2:$AL$300) + IF($AL$2:$AL$300="", 1, 0), 0)), "")</f>
        <v/>
      </c>
      <c r="AD21" s="9">
        <f t="shared" si="8"/>
        <v>0</v>
      </c>
      <c r="AE21" s="19">
        <f>SUM(AD$3:AD21)</f>
        <v>0</v>
      </c>
      <c r="AL21" s="18" t="str">
        <f>IF(COUNTIF($A$2:A20, A20) = 1, A20, "")</f>
        <v/>
      </c>
    </row>
    <row r="22" spans="6:38" ht="17" thickBot="1" x14ac:dyDescent="0.25">
      <c r="F22" t="str">
        <f t="shared" si="9"/>
        <v/>
      </c>
      <c r="L22" s="7" t="str">
        <f t="shared" si="10"/>
        <v/>
      </c>
      <c r="N22" s="7" t="str">
        <f t="shared" si="11"/>
        <v/>
      </c>
      <c r="O22" t="str">
        <f t="shared" si="12"/>
        <v/>
      </c>
      <c r="P22" t="str">
        <f t="shared" si="18"/>
        <v/>
      </c>
      <c r="Q22" t="str">
        <f t="shared" si="14"/>
        <v/>
      </c>
      <c r="S22" t="str">
        <f>""</f>
        <v/>
      </c>
      <c r="T22" s="107" t="s">
        <v>76</v>
      </c>
      <c r="U22" s="108"/>
      <c r="V22" s="14">
        <f>V19-V20-V21</f>
        <v>0</v>
      </c>
      <c r="X22" s="48" t="s">
        <v>18</v>
      </c>
      <c r="Y22" s="45">
        <f>SUMIF(D:D,X22,N:N)</f>
        <v>0</v>
      </c>
      <c r="Z22" s="34">
        <f>COUNTIF(D:D,X22)</f>
        <v>0</v>
      </c>
      <c r="AA22" s="41">
        <f>IFERROR(COUNTIFS(D:D, X22)/COUNTA($D$2:$D$994),0)</f>
        <v>0</v>
      </c>
      <c r="AC22" s="17" t="str" cm="1">
        <f t="array" ref="AC22">IFERROR(INDEX($AL$2:$AL$300, MATCH(0, COUNTIF($AC$2:AC21, $AL$2:$AL$300) + IF($AL$2:$AL$300="", 1, 0), 0)), "")</f>
        <v/>
      </c>
      <c r="AD22" s="9">
        <f t="shared" si="8"/>
        <v>0</v>
      </c>
      <c r="AE22" s="19">
        <f>SUM(AD$3:AD22)</f>
        <v>0</v>
      </c>
      <c r="AL22" s="18" t="str">
        <f>IF(COUNTIF($A$2:A21, A21) = 1, A21, "")</f>
        <v/>
      </c>
    </row>
    <row r="23" spans="6:38" ht="17" thickBot="1" x14ac:dyDescent="0.25">
      <c r="F23" t="str">
        <f t="shared" si="9"/>
        <v/>
      </c>
      <c r="L23" s="7" t="str">
        <f t="shared" si="10"/>
        <v/>
      </c>
      <c r="N23" s="7" t="str">
        <f t="shared" si="11"/>
        <v/>
      </c>
      <c r="O23" t="str">
        <f t="shared" si="12"/>
        <v/>
      </c>
      <c r="P23" t="str">
        <f t="shared" si="18"/>
        <v/>
      </c>
      <c r="Q23" t="str">
        <f t="shared" si="14"/>
        <v/>
      </c>
      <c r="S23" t="str">
        <f>""</f>
        <v/>
      </c>
      <c r="X23" s="50" t="s">
        <v>31</v>
      </c>
      <c r="Y23" s="44">
        <f>SUMIF(D:D,X23,N:N)</f>
        <v>0</v>
      </c>
      <c r="Z23" s="35">
        <f>COUNTIF(D:D,X23)</f>
        <v>0</v>
      </c>
      <c r="AA23" s="52">
        <f>IFERROR(COUNTIFS(D:D, X23)/COUNTA($D$2:$D$994),0)</f>
        <v>0</v>
      </c>
      <c r="AC23" s="17" t="str" cm="1">
        <f t="array" ref="AC23">IFERROR(INDEX($AL$2:$AL$300, MATCH(0, COUNTIF($AC$2:AC22, $AL$2:$AL$300) + IF($AL$2:$AL$300="", 1, 0), 0)), "")</f>
        <v/>
      </c>
      <c r="AD23" s="9">
        <f t="shared" si="8"/>
        <v>0</v>
      </c>
      <c r="AE23" s="20">
        <f>SUM(AD$3:AD23)</f>
        <v>0</v>
      </c>
      <c r="AL23" s="18" t="str">
        <f>IF(COUNTIF($A$2:A22, A22) = 1, A22, "")</f>
        <v/>
      </c>
    </row>
    <row r="24" spans="6:38" ht="17" thickBot="1" x14ac:dyDescent="0.25">
      <c r="F24" t="str">
        <f t="shared" si="9"/>
        <v/>
      </c>
      <c r="L24" s="7" t="str">
        <f t="shared" si="10"/>
        <v/>
      </c>
      <c r="N24" s="7" t="str">
        <f t="shared" si="11"/>
        <v/>
      </c>
      <c r="O24" t="str">
        <f t="shared" si="12"/>
        <v/>
      </c>
      <c r="P24" t="str">
        <f t="shared" si="18"/>
        <v/>
      </c>
      <c r="Q24" t="str">
        <f t="shared" si="14"/>
        <v/>
      </c>
      <c r="S24" t="str">
        <f>""</f>
        <v/>
      </c>
      <c r="Y24" s="60"/>
      <c r="AC24" s="17" t="str" cm="1">
        <f t="array" ref="AC24">IFERROR(INDEX($AL$2:$AL$300, MATCH(0, COUNTIF($AC$2:AC23, $AL$2:$AL$300) + IF($AL$2:$AL$300="", 1, 0), 0)), "")</f>
        <v/>
      </c>
      <c r="AD24" s="9">
        <f t="shared" si="8"/>
        <v>0</v>
      </c>
      <c r="AE24" s="19">
        <f>SUM(AD$3:AD24)</f>
        <v>0</v>
      </c>
      <c r="AL24" s="18" t="str">
        <f>IF(COUNTIF($A$2:A23, A23) = 1, A23, "")</f>
        <v/>
      </c>
    </row>
    <row r="25" spans="6:38" ht="17" thickBot="1" x14ac:dyDescent="0.25">
      <c r="F25" t="str">
        <f t="shared" si="9"/>
        <v/>
      </c>
      <c r="L25" s="7" t="str">
        <f t="shared" si="10"/>
        <v/>
      </c>
      <c r="N25" s="7" t="str">
        <f t="shared" si="11"/>
        <v/>
      </c>
      <c r="O25" t="str">
        <f t="shared" si="12"/>
        <v/>
      </c>
      <c r="P25" t="str">
        <f t="shared" si="18"/>
        <v/>
      </c>
      <c r="Q25" t="str">
        <f t="shared" si="14"/>
        <v/>
      </c>
      <c r="S25" t="str">
        <f>""</f>
        <v/>
      </c>
      <c r="X25" s="79" t="s">
        <v>12</v>
      </c>
      <c r="Y25" s="83" t="s">
        <v>9</v>
      </c>
      <c r="Z25" s="81" t="s">
        <v>84</v>
      </c>
      <c r="AA25" s="82" t="s">
        <v>39</v>
      </c>
      <c r="AC25" s="21" t="str" cm="1">
        <f t="array" ref="AC25">IFERROR(INDEX($AL$2:$AL$300, MATCH(0, COUNTIF($AC$2:AC24, $AL$2:$AL$300) + IF($AL$2:$AL$300="", 1, 0), 0)), "")</f>
        <v/>
      </c>
      <c r="AD25" s="22">
        <f t="shared" si="8"/>
        <v>0</v>
      </c>
      <c r="AE25" s="23">
        <f>SUM(AD$3:AD25)</f>
        <v>0</v>
      </c>
      <c r="AL25" s="18" t="str">
        <f>IF(COUNTIF($A$2:A24, A24) = 1, A24, "")</f>
        <v/>
      </c>
    </row>
    <row r="26" spans="6:38" x14ac:dyDescent="0.2">
      <c r="F26" t="str">
        <f t="shared" si="9"/>
        <v/>
      </c>
      <c r="L26" s="7" t="str">
        <f t="shared" si="10"/>
        <v/>
      </c>
      <c r="N26" s="7" t="str">
        <f t="shared" si="11"/>
        <v/>
      </c>
      <c r="O26" t="str">
        <f t="shared" si="12"/>
        <v/>
      </c>
      <c r="P26" t="str">
        <f t="shared" si="18"/>
        <v/>
      </c>
      <c r="Q26" t="str">
        <f t="shared" si="14"/>
        <v/>
      </c>
      <c r="S26" t="str">
        <f>""</f>
        <v/>
      </c>
      <c r="X26" s="47" t="s">
        <v>32</v>
      </c>
      <c r="Y26" s="45">
        <f>SUMIFS(N:N, E:E, "&lt;-150")</f>
        <v>0</v>
      </c>
      <c r="Z26" s="40">
        <f>COUNTIFS(E:E, "&lt; -150")</f>
        <v>0</v>
      </c>
      <c r="AA26" s="41">
        <f>IFERROR(COUNTIFS(E:E, "&lt; -150")/COUNTA($E$2:$E$993),0)</f>
        <v>0</v>
      </c>
      <c r="AC26" s="59"/>
      <c r="AD26" s="7"/>
      <c r="AE26" s="7"/>
      <c r="AL26" s="18" t="str">
        <f>IF(COUNTIF($A$2:A25, A25) = 1, A25, "")</f>
        <v/>
      </c>
    </row>
    <row r="27" spans="6:38" x14ac:dyDescent="0.2">
      <c r="F27" t="str">
        <f t="shared" si="9"/>
        <v/>
      </c>
      <c r="L27" s="7" t="str">
        <f t="shared" si="10"/>
        <v/>
      </c>
      <c r="N27" s="7" t="str">
        <f t="shared" si="11"/>
        <v/>
      </c>
      <c r="O27" t="str">
        <f t="shared" si="12"/>
        <v/>
      </c>
      <c r="P27" t="str">
        <f t="shared" si="18"/>
        <v/>
      </c>
      <c r="Q27" t="str">
        <f t="shared" si="14"/>
        <v/>
      </c>
      <c r="S27" t="str">
        <f>""</f>
        <v/>
      </c>
      <c r="X27" s="48" t="s">
        <v>33</v>
      </c>
      <c r="Y27" s="45">
        <f>SUMIFS(N:N, E:E, "&gt;=-150", E:E, "&lt;100")</f>
        <v>0</v>
      </c>
      <c r="Z27" s="34">
        <f>COUNTIFS(E:E, "&lt; 100", E:E, "&gt;=-150")</f>
        <v>0</v>
      </c>
      <c r="AA27" s="38">
        <f>IFERROR(COUNTIFS(E:E, "&lt; 100", E:E, "&gt;=-150")/COUNTA($E$2:$E$6993),0)</f>
        <v>0</v>
      </c>
      <c r="AC27" s="59"/>
      <c r="AD27" s="7"/>
      <c r="AE27" s="7"/>
      <c r="AL27" s="18" t="str">
        <f>IF(COUNTIF($A$2:A26, A26) = 1, A26, "")</f>
        <v/>
      </c>
    </row>
    <row r="28" spans="6:38" x14ac:dyDescent="0.2">
      <c r="F28" t="str">
        <f t="shared" si="9"/>
        <v/>
      </c>
      <c r="L28" s="7" t="str">
        <f t="shared" si="10"/>
        <v/>
      </c>
      <c r="N28" s="7" t="str">
        <f t="shared" si="11"/>
        <v/>
      </c>
      <c r="O28" t="str">
        <f t="shared" si="12"/>
        <v/>
      </c>
      <c r="P28" t="str">
        <f t="shared" si="18"/>
        <v/>
      </c>
      <c r="Q28" t="str">
        <f t="shared" si="14"/>
        <v/>
      </c>
      <c r="S28" t="str">
        <f>""</f>
        <v/>
      </c>
      <c r="X28" s="48" t="s">
        <v>34</v>
      </c>
      <c r="Y28" s="45">
        <f>SUMIFS(N:N, E:E, "&gt;=100", E:E, "&lt;125")</f>
        <v>0</v>
      </c>
      <c r="Z28" s="34">
        <f>COUNTIFS(E:E, "&lt; 125", E:E, "&gt;=100")</f>
        <v>0</v>
      </c>
      <c r="AA28" s="38">
        <f>IFERROR(COUNTIFS(E:E, "&lt; 125", E:E, "&gt;=100")/COUNTA($E$2:$E$6993),0)</f>
        <v>0</v>
      </c>
      <c r="AC28" s="59"/>
      <c r="AD28" s="7"/>
      <c r="AE28" s="7"/>
      <c r="AL28" s="18" t="str">
        <f>IF(COUNTIF($A$2:A27, A27) = 1, A27, "")</f>
        <v/>
      </c>
    </row>
    <row r="29" spans="6:38" x14ac:dyDescent="0.2">
      <c r="F29" t="str">
        <f t="shared" si="9"/>
        <v/>
      </c>
      <c r="L29" s="7" t="str">
        <f t="shared" si="10"/>
        <v/>
      </c>
      <c r="N29" s="7" t="str">
        <f t="shared" si="11"/>
        <v/>
      </c>
      <c r="O29" t="str">
        <f t="shared" si="12"/>
        <v/>
      </c>
      <c r="P29" t="str">
        <f t="shared" si="18"/>
        <v/>
      </c>
      <c r="Q29" t="str">
        <f t="shared" si="14"/>
        <v/>
      </c>
      <c r="S29" t="str">
        <f>""</f>
        <v/>
      </c>
      <c r="X29" s="47" t="s">
        <v>35</v>
      </c>
      <c r="Y29" s="45">
        <f>SUMIFS(N:N, E:E, "&gt;=125", E:E, "&lt;150")</f>
        <v>0</v>
      </c>
      <c r="Z29" s="40">
        <f>COUNTIFS(E:E, "&lt; 150", E:E, "&gt;=125")</f>
        <v>0</v>
      </c>
      <c r="AA29" s="41">
        <f>IFERROR(COUNTIFS(E:E, "&lt; 150", E:E, "&gt;=125")/COUNTA($E$2:$E$6993),0)</f>
        <v>0</v>
      </c>
      <c r="AC29" s="59"/>
      <c r="AD29" s="7"/>
      <c r="AE29" s="7"/>
      <c r="AL29" s="18" t="str">
        <f>IF(COUNTIF($A$2:A28, A28) = 1, A28, "")</f>
        <v/>
      </c>
    </row>
    <row r="30" spans="6:38" x14ac:dyDescent="0.2">
      <c r="F30" t="str">
        <f t="shared" si="9"/>
        <v/>
      </c>
      <c r="L30" s="7" t="str">
        <f t="shared" si="10"/>
        <v/>
      </c>
      <c r="N30" s="7" t="str">
        <f t="shared" si="11"/>
        <v/>
      </c>
      <c r="O30" t="str">
        <f t="shared" si="12"/>
        <v/>
      </c>
      <c r="P30" t="str">
        <f t="shared" si="18"/>
        <v/>
      </c>
      <c r="Q30" t="str">
        <f t="shared" si="14"/>
        <v/>
      </c>
      <c r="S30" t="str">
        <f>""</f>
        <v/>
      </c>
      <c r="X30" s="48" t="s">
        <v>36</v>
      </c>
      <c r="Y30" s="45">
        <f>SUMIFS(N:N, E:E, "&gt;=150", E:E, "&lt;200")</f>
        <v>0</v>
      </c>
      <c r="Z30" s="34">
        <f>COUNTIFS(E:E, "&lt; 200", E:E, "&gt;=150")</f>
        <v>0</v>
      </c>
      <c r="AA30" s="38">
        <f>IFERROR(COUNTIFS(E:E, "&lt; 200", E:E, "&gt;=150")/COUNTA($E$2:$E$6993),0)</f>
        <v>0</v>
      </c>
      <c r="AC30" s="59"/>
      <c r="AD30" s="7"/>
      <c r="AE30" s="7"/>
      <c r="AL30" s="18" t="str">
        <f>IF(COUNTIF($A$2:A29, A29) = 1, A29, "")</f>
        <v/>
      </c>
    </row>
    <row r="31" spans="6:38" ht="17" thickBot="1" x14ac:dyDescent="0.25">
      <c r="F31" t="str">
        <f t="shared" si="9"/>
        <v/>
      </c>
      <c r="L31" s="7" t="str">
        <f t="shared" si="10"/>
        <v/>
      </c>
      <c r="N31" s="7" t="str">
        <f t="shared" si="11"/>
        <v/>
      </c>
      <c r="O31" t="str">
        <f t="shared" si="12"/>
        <v/>
      </c>
      <c r="P31" t="str">
        <f t="shared" si="18"/>
        <v/>
      </c>
      <c r="Q31" t="str">
        <f t="shared" si="14"/>
        <v/>
      </c>
      <c r="S31" t="str">
        <f>""</f>
        <v/>
      </c>
      <c r="X31" s="49" t="s">
        <v>37</v>
      </c>
      <c r="Y31" s="44">
        <f>SUMIFS(N:N, E:E, "&gt;=200")</f>
        <v>0</v>
      </c>
      <c r="Z31" s="35">
        <f>COUNTIFS(E:E, "&gt;=200")</f>
        <v>0</v>
      </c>
      <c r="AA31" s="39">
        <f>IFERROR(COUNTIFS(E:E, "&gt;=200")/COUNTA($E$2:$E$69993),0)</f>
        <v>0</v>
      </c>
      <c r="AC31" s="59"/>
      <c r="AD31" s="7"/>
      <c r="AE31" s="7"/>
      <c r="AL31" s="18" t="str">
        <f>IF(COUNTIF($A$2:A30, A30) = 1, A30, "")</f>
        <v/>
      </c>
    </row>
    <row r="32" spans="6:38" ht="17" thickBot="1" x14ac:dyDescent="0.25">
      <c r="F32" t="str">
        <f t="shared" si="9"/>
        <v/>
      </c>
      <c r="L32" s="7" t="str">
        <f t="shared" si="10"/>
        <v/>
      </c>
      <c r="N32" s="7" t="str">
        <f t="shared" si="11"/>
        <v/>
      </c>
      <c r="O32" t="str">
        <f t="shared" si="12"/>
        <v/>
      </c>
      <c r="P32" t="str">
        <f t="shared" si="18"/>
        <v/>
      </c>
      <c r="Q32" t="str">
        <f t="shared" si="14"/>
        <v/>
      </c>
      <c r="S32" t="str">
        <f>""</f>
        <v/>
      </c>
      <c r="Y32" s="60"/>
      <c r="AC32" s="59"/>
      <c r="AD32" s="7"/>
      <c r="AE32" s="7"/>
      <c r="AL32" s="18" t="str">
        <f>IF(COUNTIF($A$2:A31, A31) = 1, A31, "")</f>
        <v/>
      </c>
    </row>
    <row r="33" spans="6:38" ht="17" thickBot="1" x14ac:dyDescent="0.25">
      <c r="F33" t="str">
        <f t="shared" si="9"/>
        <v/>
      </c>
      <c r="L33" s="7" t="str">
        <f t="shared" si="10"/>
        <v/>
      </c>
      <c r="N33" s="7" t="str">
        <f t="shared" si="11"/>
        <v/>
      </c>
      <c r="O33" t="str">
        <f t="shared" si="12"/>
        <v/>
      </c>
      <c r="P33" t="str">
        <f t="shared" si="18"/>
        <v/>
      </c>
      <c r="Q33" t="str">
        <f t="shared" si="14"/>
        <v/>
      </c>
      <c r="S33" t="str">
        <f>""</f>
        <v/>
      </c>
      <c r="X33" s="79" t="s">
        <v>3</v>
      </c>
      <c r="Y33" s="83" t="s">
        <v>9</v>
      </c>
      <c r="Z33" s="81" t="s">
        <v>84</v>
      </c>
      <c r="AA33" s="82" t="s">
        <v>39</v>
      </c>
      <c r="AC33" s="59"/>
      <c r="AD33" s="7"/>
      <c r="AE33" s="7"/>
      <c r="AL33" s="18" t="str">
        <f>IF(COUNTIF($A$2:A32, A32) = 1, A32, "")</f>
        <v/>
      </c>
    </row>
    <row r="34" spans="6:38" x14ac:dyDescent="0.2">
      <c r="F34" t="str">
        <f t="shared" si="9"/>
        <v/>
      </c>
      <c r="L34" s="7" t="str">
        <f t="shared" si="10"/>
        <v/>
      </c>
      <c r="N34" s="7" t="str">
        <f t="shared" si="11"/>
        <v/>
      </c>
      <c r="O34" t="str">
        <f t="shared" si="12"/>
        <v/>
      </c>
      <c r="P34" t="str">
        <f t="shared" si="18"/>
        <v/>
      </c>
      <c r="Q34" t="str">
        <f t="shared" si="14"/>
        <v/>
      </c>
      <c r="S34" t="str">
        <f>""</f>
        <v/>
      </c>
      <c r="X34" s="47">
        <v>1</v>
      </c>
      <c r="Y34" s="45">
        <f>SUMIFS(N:N, F:F, X34)</f>
        <v>0</v>
      </c>
      <c r="Z34" s="40">
        <f>COUNTIF(F:F,X34)</f>
        <v>0</v>
      </c>
      <c r="AA34" s="41">
        <f>IFERROR(COUNTIFS(F:F, X34)/COUNTA($E$2:$E$993),0)</f>
        <v>0</v>
      </c>
      <c r="AC34" s="59"/>
      <c r="AD34" s="7"/>
      <c r="AE34" s="7"/>
      <c r="AL34" s="18" t="str">
        <f>IF(COUNTIF($A$2:A33, A33) = 1, A33, "")</f>
        <v/>
      </c>
    </row>
    <row r="35" spans="6:38" x14ac:dyDescent="0.2">
      <c r="F35" t="str">
        <f t="shared" si="9"/>
        <v/>
      </c>
      <c r="L35" s="7" t="str">
        <f t="shared" si="10"/>
        <v/>
      </c>
      <c r="N35" s="7" t="str">
        <f t="shared" si="11"/>
        <v/>
      </c>
      <c r="O35" t="str">
        <f t="shared" si="12"/>
        <v/>
      </c>
      <c r="P35" t="str">
        <f t="shared" si="18"/>
        <v/>
      </c>
      <c r="Q35" t="str">
        <f t="shared" si="14"/>
        <v/>
      </c>
      <c r="S35" t="str">
        <f>""</f>
        <v/>
      </c>
      <c r="X35" s="48">
        <v>2</v>
      </c>
      <c r="Y35" s="45">
        <f>SUMIFS(N:N, F:F, X35)</f>
        <v>0</v>
      </c>
      <c r="Z35" s="34">
        <f>COUNTIF(F:F,X35)</f>
        <v>0</v>
      </c>
      <c r="AA35" s="41">
        <f>IFERROR(COUNTIFS(F:F, X35)/COUNTA($E$2:$E$993),0)</f>
        <v>0</v>
      </c>
      <c r="AC35" s="59"/>
      <c r="AD35" s="7"/>
      <c r="AE35" s="7"/>
      <c r="AL35" s="18" t="str">
        <f>IF(COUNTIF($A$2:A34, A34) = 1, A34, "")</f>
        <v/>
      </c>
    </row>
    <row r="36" spans="6:38" x14ac:dyDescent="0.2">
      <c r="F36" t="str">
        <f t="shared" si="9"/>
        <v/>
      </c>
      <c r="L36" s="7" t="str">
        <f t="shared" si="10"/>
        <v/>
      </c>
      <c r="N36" s="7" t="str">
        <f t="shared" si="11"/>
        <v/>
      </c>
      <c r="O36" t="str">
        <f t="shared" si="12"/>
        <v/>
      </c>
      <c r="P36" t="str">
        <f t="shared" si="18"/>
        <v/>
      </c>
      <c r="Q36" t="str">
        <f t="shared" si="14"/>
        <v/>
      </c>
      <c r="S36" t="str">
        <f>""</f>
        <v/>
      </c>
      <c r="X36" s="48">
        <v>3</v>
      </c>
      <c r="Y36" s="45">
        <f>SUMIFS(N:N, F:F, X36)</f>
        <v>0</v>
      </c>
      <c r="Z36" s="34">
        <f>COUNTIF(F:F,X36)</f>
        <v>0</v>
      </c>
      <c r="AA36" s="41">
        <f>IFERROR(COUNTIFS(F:F, X36)/COUNTA($E$2:$E$993),0)</f>
        <v>0</v>
      </c>
      <c r="AD36" s="7"/>
      <c r="AE36" s="7"/>
      <c r="AL36" s="18" t="str">
        <f>IF(COUNTIF($A$2:A35, A35) = 1, A35, "")</f>
        <v/>
      </c>
    </row>
    <row r="37" spans="6:38" x14ac:dyDescent="0.2">
      <c r="F37" t="str">
        <f t="shared" si="9"/>
        <v/>
      </c>
      <c r="L37" s="7" t="str">
        <f t="shared" si="10"/>
        <v/>
      </c>
      <c r="N37" s="7" t="str">
        <f t="shared" si="11"/>
        <v/>
      </c>
      <c r="O37" t="str">
        <f t="shared" si="12"/>
        <v/>
      </c>
      <c r="P37" t="str">
        <f t="shared" si="18"/>
        <v/>
      </c>
      <c r="Q37" t="str">
        <f t="shared" si="14"/>
        <v/>
      </c>
      <c r="S37" t="str">
        <f>""</f>
        <v/>
      </c>
      <c r="X37" s="47">
        <v>4</v>
      </c>
      <c r="Y37" s="45">
        <f>SUMIFS(N:N, F:F, X37)</f>
        <v>0</v>
      </c>
      <c r="Z37" s="34">
        <f>COUNTIF(F:F,X37)</f>
        <v>0</v>
      </c>
      <c r="AA37" s="41">
        <f>IFERROR(COUNTIFS(F:F, X37)/COUNTA($E$2:$E$993),0)</f>
        <v>0</v>
      </c>
      <c r="AD37" s="7"/>
      <c r="AE37" s="7"/>
      <c r="AL37" s="18" t="str">
        <f>IF(COUNTIF($A$2:A36, A36) = 1, A36, "")</f>
        <v/>
      </c>
    </row>
    <row r="38" spans="6:38" ht="17" thickBot="1" x14ac:dyDescent="0.25">
      <c r="F38" t="str">
        <f t="shared" si="9"/>
        <v/>
      </c>
      <c r="L38" s="7" t="str">
        <f t="shared" si="10"/>
        <v/>
      </c>
      <c r="N38" s="7" t="str">
        <f t="shared" si="11"/>
        <v/>
      </c>
      <c r="O38" t="str">
        <f t="shared" si="12"/>
        <v/>
      </c>
      <c r="P38" t="str">
        <f t="shared" si="18"/>
        <v/>
      </c>
      <c r="Q38" t="str">
        <f t="shared" si="14"/>
        <v/>
      </c>
      <c r="S38" t="str">
        <f>""</f>
        <v/>
      </c>
      <c r="X38" s="49" t="s">
        <v>88</v>
      </c>
      <c r="Y38" s="44">
        <f>SUMIFS(N:N, F:F, "&gt;4")</f>
        <v>0</v>
      </c>
      <c r="Z38" s="35">
        <f>COUNTIF(F:F,"&gt;4")</f>
        <v>0</v>
      </c>
      <c r="AA38" s="52">
        <f>IFERROR(COUNTIFS(F:F, X38)/COUNTA($E$2:$E$993),0)</f>
        <v>0</v>
      </c>
      <c r="AD38" s="7"/>
      <c r="AE38" s="7"/>
      <c r="AL38" s="18" t="str">
        <f>IF(COUNTIF($A$2:A37, A37) = 1, A37, "")</f>
        <v/>
      </c>
    </row>
    <row r="39" spans="6:38" ht="17" thickBot="1" x14ac:dyDescent="0.25">
      <c r="F39" t="str">
        <f t="shared" si="9"/>
        <v/>
      </c>
      <c r="L39" s="7" t="str">
        <f t="shared" si="10"/>
        <v/>
      </c>
      <c r="N39" s="7" t="str">
        <f t="shared" si="11"/>
        <v/>
      </c>
      <c r="O39" t="str">
        <f t="shared" si="12"/>
        <v/>
      </c>
      <c r="P39" t="str">
        <f t="shared" si="18"/>
        <v/>
      </c>
      <c r="Q39" t="str">
        <f t="shared" si="14"/>
        <v/>
      </c>
      <c r="S39" t="str">
        <f>""</f>
        <v/>
      </c>
      <c r="Y39" s="60"/>
      <c r="AD39" s="7"/>
      <c r="AE39" s="7"/>
      <c r="AL39" s="18" t="str">
        <f>IF(COUNTIF($A$2:A38, A38) = 1, A38, "")</f>
        <v/>
      </c>
    </row>
    <row r="40" spans="6:38" ht="17" thickBot="1" x14ac:dyDescent="0.25">
      <c r="F40" t="str">
        <f t="shared" si="9"/>
        <v/>
      </c>
      <c r="L40" s="7" t="str">
        <f t="shared" si="10"/>
        <v/>
      </c>
      <c r="N40" s="7" t="str">
        <f t="shared" si="11"/>
        <v/>
      </c>
      <c r="O40" t="str">
        <f t="shared" si="12"/>
        <v/>
      </c>
      <c r="P40" t="str">
        <f t="shared" si="18"/>
        <v/>
      </c>
      <c r="Q40" t="str">
        <f t="shared" si="14"/>
        <v/>
      </c>
      <c r="S40" t="str">
        <f>""</f>
        <v/>
      </c>
      <c r="X40" s="79" t="s">
        <v>38</v>
      </c>
      <c r="Y40" s="83" t="s">
        <v>9</v>
      </c>
      <c r="Z40" s="81" t="s">
        <v>84</v>
      </c>
      <c r="AA40" s="82" t="s">
        <v>39</v>
      </c>
      <c r="AD40" s="7"/>
      <c r="AE40" s="7"/>
      <c r="AL40" s="18" t="str">
        <f>IF(COUNTIF($A$2:A39, A39) = 1, A39, "")</f>
        <v/>
      </c>
    </row>
    <row r="41" spans="6:38" x14ac:dyDescent="0.2">
      <c r="F41" t="str">
        <f t="shared" si="9"/>
        <v/>
      </c>
      <c r="L41" s="7" t="str">
        <f t="shared" si="10"/>
        <v/>
      </c>
      <c r="N41" s="7" t="str">
        <f t="shared" si="11"/>
        <v/>
      </c>
      <c r="O41" t="str">
        <f t="shared" si="12"/>
        <v/>
      </c>
      <c r="P41" t="str">
        <f t="shared" si="18"/>
        <v/>
      </c>
      <c r="Q41" t="str">
        <f t="shared" si="14"/>
        <v/>
      </c>
      <c r="S41" t="str">
        <f>""</f>
        <v/>
      </c>
      <c r="X41" s="47" t="s">
        <v>4</v>
      </c>
      <c r="Y41" s="45">
        <f>SUMIFS(N:N,G:G, "Yes")</f>
        <v>0</v>
      </c>
      <c r="Z41" s="40">
        <f>COUNTIF(G:G,"Yes")</f>
        <v>0</v>
      </c>
      <c r="AA41" s="41">
        <f>IFERROR(COUNTIFS(G:G, "Yes")/COUNTA($G$2:$G$994),0)</f>
        <v>0</v>
      </c>
      <c r="AD41" s="7"/>
      <c r="AE41" s="7"/>
      <c r="AL41" s="18" t="str">
        <f>IF(COUNTIF($A$2:A40, A40) = 1, A40, "")</f>
        <v/>
      </c>
    </row>
    <row r="42" spans="6:38" x14ac:dyDescent="0.2">
      <c r="F42" t="str">
        <f t="shared" si="9"/>
        <v/>
      </c>
      <c r="L42" s="7" t="str">
        <f t="shared" si="10"/>
        <v/>
      </c>
      <c r="N42" s="7" t="str">
        <f t="shared" si="11"/>
        <v/>
      </c>
      <c r="O42" t="str">
        <f t="shared" si="12"/>
        <v/>
      </c>
      <c r="P42" t="str">
        <f t="shared" si="18"/>
        <v/>
      </c>
      <c r="Q42" t="str">
        <f t="shared" si="14"/>
        <v/>
      </c>
      <c r="S42" t="str">
        <f>""</f>
        <v/>
      </c>
      <c r="X42" s="48" t="s">
        <v>5</v>
      </c>
      <c r="Y42" s="45">
        <f>SUMIFS(N:N,H:H, "Yes")</f>
        <v>0</v>
      </c>
      <c r="Z42" s="34">
        <f>COUNTIF(H:H,"Yes")</f>
        <v>0</v>
      </c>
      <c r="AA42" s="38">
        <f>IFERROR(COUNTIFS(H:H, "Yes")/COUNTA($G$2:$G$994),0)</f>
        <v>0</v>
      </c>
      <c r="AD42" s="7"/>
      <c r="AE42" s="7"/>
      <c r="AL42" s="18" t="str">
        <f>IF(COUNTIF($A$2:A41, A41) = 1, A41, "")</f>
        <v/>
      </c>
    </row>
    <row r="43" spans="6:38" ht="17" thickBot="1" x14ac:dyDescent="0.25">
      <c r="F43" t="str">
        <f t="shared" si="9"/>
        <v/>
      </c>
      <c r="L43" s="7" t="str">
        <f t="shared" si="10"/>
        <v/>
      </c>
      <c r="N43" s="7" t="str">
        <f t="shared" si="11"/>
        <v/>
      </c>
      <c r="O43" t="str">
        <f t="shared" si="12"/>
        <v/>
      </c>
      <c r="P43" t="str">
        <f t="shared" si="18"/>
        <v/>
      </c>
      <c r="Q43" t="str">
        <f t="shared" si="14"/>
        <v/>
      </c>
      <c r="S43" t="str">
        <f>""</f>
        <v/>
      </c>
      <c r="X43" s="50" t="s">
        <v>6</v>
      </c>
      <c r="Y43" s="45">
        <f>SUMIFS(N:N,I:I, "Yes")</f>
        <v>0</v>
      </c>
      <c r="Z43" s="42">
        <f>COUNTIF(I:I,"Yes")</f>
        <v>0</v>
      </c>
      <c r="AA43" s="39">
        <f>IFERROR(COUNTIFS(I:I, "Yes")/COUNTA($G$2:$G$994),0)</f>
        <v>0</v>
      </c>
      <c r="AD43" s="7"/>
      <c r="AE43" s="7"/>
      <c r="AL43" s="18" t="str">
        <f>IF(COUNTIF($A$2:A42, A42) = 1, A42, "")</f>
        <v/>
      </c>
    </row>
    <row r="44" spans="6:38" ht="17" thickBot="1" x14ac:dyDescent="0.25">
      <c r="F44" t="str">
        <f t="shared" si="9"/>
        <v/>
      </c>
      <c r="L44" s="7" t="str">
        <f t="shared" si="10"/>
        <v/>
      </c>
      <c r="N44" s="7" t="str">
        <f t="shared" si="11"/>
        <v/>
      </c>
      <c r="O44" t="str">
        <f t="shared" si="12"/>
        <v/>
      </c>
      <c r="P44" t="str">
        <f t="shared" si="18"/>
        <v/>
      </c>
      <c r="Q44" t="str">
        <f t="shared" si="14"/>
        <v/>
      </c>
      <c r="S44" t="str">
        <f>""</f>
        <v/>
      </c>
      <c r="Y44" s="60"/>
      <c r="AD44" s="7"/>
      <c r="AE44" s="7"/>
      <c r="AL44" s="18" t="str">
        <f>IF(COUNTIF($A$2:A43, A43) = 1, A43, "")</f>
        <v/>
      </c>
    </row>
    <row r="45" spans="6:38" ht="17" thickBot="1" x14ac:dyDescent="0.25">
      <c r="F45" t="str">
        <f t="shared" si="9"/>
        <v/>
      </c>
      <c r="L45" s="7" t="str">
        <f t="shared" si="10"/>
        <v/>
      </c>
      <c r="N45" s="7" t="str">
        <f t="shared" si="11"/>
        <v/>
      </c>
      <c r="O45" t="str">
        <f t="shared" si="12"/>
        <v/>
      </c>
      <c r="P45" t="str">
        <f t="shared" si="18"/>
        <v/>
      </c>
      <c r="Q45" t="str">
        <f t="shared" si="14"/>
        <v/>
      </c>
      <c r="S45" t="str">
        <f>""</f>
        <v/>
      </c>
      <c r="X45" s="79" t="s">
        <v>74</v>
      </c>
      <c r="Y45" s="83" t="s">
        <v>9</v>
      </c>
      <c r="Z45" s="81" t="s">
        <v>84</v>
      </c>
      <c r="AA45" s="82" t="s">
        <v>39</v>
      </c>
      <c r="AD45" s="7"/>
      <c r="AE45" s="7"/>
      <c r="AL45" s="18" t="str">
        <f>IF(COUNTIF($A$2:A44, A44) = 1, A44, "")</f>
        <v/>
      </c>
    </row>
    <row r="46" spans="6:38" x14ac:dyDescent="0.2">
      <c r="F46" t="str">
        <f t="shared" si="9"/>
        <v/>
      </c>
      <c r="L46" s="7" t="str">
        <f t="shared" si="10"/>
        <v/>
      </c>
      <c r="N46" s="7" t="str">
        <f t="shared" si="11"/>
        <v/>
      </c>
      <c r="O46" t="str">
        <f t="shared" si="12"/>
        <v/>
      </c>
      <c r="P46" t="str">
        <f t="shared" si="18"/>
        <v/>
      </c>
      <c r="Q46" t="str">
        <f t="shared" si="14"/>
        <v/>
      </c>
      <c r="S46" t="str">
        <f>""</f>
        <v/>
      </c>
      <c r="X46" s="47" t="s">
        <v>75</v>
      </c>
      <c r="Y46" s="45">
        <f>SUMIFS(N:N,J:J,"No")</f>
        <v>0</v>
      </c>
      <c r="Z46" s="40">
        <f>COUNTIF(J:J,"No")</f>
        <v>0</v>
      </c>
      <c r="AA46" s="46">
        <f>IFERROR(COUNTIFS($J$2:$J$1048576, "No")/COUNTA($G$2:$G$994), 0)</f>
        <v>0</v>
      </c>
      <c r="AD46" s="7"/>
      <c r="AE46" s="7"/>
      <c r="AL46" s="18" t="str">
        <f>IF(COUNTIF($A$2:A45, A45) = 1, A45, "")</f>
        <v/>
      </c>
    </row>
    <row r="47" spans="6:38" ht="17" thickBot="1" x14ac:dyDescent="0.25">
      <c r="F47" t="str">
        <f t="shared" si="9"/>
        <v/>
      </c>
      <c r="L47" s="7" t="str">
        <f t="shared" si="10"/>
        <v/>
      </c>
      <c r="N47" s="7" t="str">
        <f t="shared" si="11"/>
        <v/>
      </c>
      <c r="O47" t="str">
        <f t="shared" si="12"/>
        <v/>
      </c>
      <c r="P47" t="str">
        <f t="shared" si="18"/>
        <v/>
      </c>
      <c r="Q47" t="str">
        <f t="shared" si="14"/>
        <v/>
      </c>
      <c r="S47" t="str">
        <f>""</f>
        <v/>
      </c>
      <c r="X47" s="49" t="s">
        <v>69</v>
      </c>
      <c r="Y47" s="44">
        <f>SUMIFS(N:N,J:J,"Yes")</f>
        <v>0</v>
      </c>
      <c r="Z47" s="35">
        <f>COUNTIF(J:J,"Yes")</f>
        <v>0</v>
      </c>
      <c r="AA47" s="53">
        <f>IFERROR(COUNTIFS($J$2:$J$1048576, "Yes")/COUNTA($G$2:$G$994), 0)</f>
        <v>0</v>
      </c>
      <c r="AD47" s="7"/>
      <c r="AE47" s="7"/>
      <c r="AL47" s="18" t="str">
        <f>IF(COUNTIF($A$2:A46, A46) = 1, A46, "")</f>
        <v/>
      </c>
    </row>
    <row r="48" spans="6:38" ht="17" thickBot="1" x14ac:dyDescent="0.25">
      <c r="F48" t="str">
        <f t="shared" si="9"/>
        <v/>
      </c>
      <c r="L48" s="7" t="str">
        <f t="shared" si="10"/>
        <v/>
      </c>
      <c r="N48" s="7" t="str">
        <f t="shared" si="11"/>
        <v/>
      </c>
      <c r="O48" t="str">
        <f t="shared" si="12"/>
        <v/>
      </c>
      <c r="P48" t="str">
        <f t="shared" si="18"/>
        <v/>
      </c>
      <c r="Q48" t="str">
        <f t="shared" si="14"/>
        <v/>
      </c>
      <c r="S48" t="str">
        <f>""</f>
        <v/>
      </c>
      <c r="AD48" s="7"/>
      <c r="AE48" s="7"/>
      <c r="AL48" s="18" t="str">
        <f>IF(COUNTIF($A$2:A47, A47) = 1, A47, "")</f>
        <v/>
      </c>
    </row>
    <row r="49" spans="6:38" ht="17" thickBot="1" x14ac:dyDescent="0.25">
      <c r="F49" t="str">
        <f t="shared" si="9"/>
        <v/>
      </c>
      <c r="L49" s="7" t="str">
        <f t="shared" si="10"/>
        <v/>
      </c>
      <c r="N49" s="7" t="str">
        <f t="shared" si="11"/>
        <v/>
      </c>
      <c r="O49" t="str">
        <f t="shared" si="12"/>
        <v/>
      </c>
      <c r="P49" t="str">
        <f t="shared" si="18"/>
        <v/>
      </c>
      <c r="Q49" t="str">
        <f t="shared" si="14"/>
        <v/>
      </c>
      <c r="S49" t="str">
        <f>""</f>
        <v/>
      </c>
      <c r="X49" s="92" t="s">
        <v>89</v>
      </c>
      <c r="Y49" s="83" t="s">
        <v>9</v>
      </c>
      <c r="Z49" s="81" t="s">
        <v>84</v>
      </c>
      <c r="AA49" s="82" t="s">
        <v>39</v>
      </c>
      <c r="AD49" s="7"/>
      <c r="AE49" s="7"/>
      <c r="AL49" s="18" t="str">
        <f>IF(COUNTIF($A$2:A48, A48) = 1, A48, "")</f>
        <v/>
      </c>
    </row>
    <row r="50" spans="6:38" x14ac:dyDescent="0.2">
      <c r="F50" t="str">
        <f t="shared" si="9"/>
        <v/>
      </c>
      <c r="L50" s="7" t="str">
        <f t="shared" si="10"/>
        <v/>
      </c>
      <c r="N50" s="7" t="str">
        <f t="shared" si="11"/>
        <v/>
      </c>
      <c r="O50" t="str">
        <f t="shared" si="12"/>
        <v/>
      </c>
      <c r="P50" t="str">
        <f t="shared" si="18"/>
        <v/>
      </c>
      <c r="Q50" t="str">
        <f t="shared" si="14"/>
        <v/>
      </c>
      <c r="S50" t="str">
        <f>""</f>
        <v/>
      </c>
      <c r="X50" s="48" t="str">
        <f>Master!F50</f>
        <v>Source 1</v>
      </c>
      <c r="Y50" s="62">
        <f>SUMIFS(N:N,R:R,X50)</f>
        <v>0</v>
      </c>
      <c r="Z50" s="63">
        <f t="shared" ref="Z50:Z58" si="19">COUNTIF(R:R,X50)</f>
        <v>0</v>
      </c>
      <c r="AA50" s="54">
        <f>IFERROR(COUNTIFS(R:R, X50)/COUNTA($R$2:$R$994), 0)</f>
        <v>0</v>
      </c>
      <c r="AD50" s="7"/>
      <c r="AE50" s="7"/>
      <c r="AL50" s="18" t="str">
        <f>IF(COUNTIF($A$2:A49, A49) = 1, A49, "")</f>
        <v/>
      </c>
    </row>
    <row r="51" spans="6:38" x14ac:dyDescent="0.2">
      <c r="F51" t="str">
        <f t="shared" si="9"/>
        <v/>
      </c>
      <c r="L51" s="7" t="str">
        <f t="shared" si="10"/>
        <v/>
      </c>
      <c r="N51" s="7" t="str">
        <f t="shared" si="11"/>
        <v/>
      </c>
      <c r="O51" t="str">
        <f t="shared" si="12"/>
        <v/>
      </c>
      <c r="P51" t="str">
        <f t="shared" si="18"/>
        <v/>
      </c>
      <c r="Q51" t="str">
        <f t="shared" si="14"/>
        <v/>
      </c>
      <c r="S51" t="str">
        <f>""</f>
        <v/>
      </c>
      <c r="X51" s="48" t="str">
        <f>Master!F51</f>
        <v>Source 2</v>
      </c>
      <c r="Y51" s="45">
        <f t="shared" ref="Y51:Y58" si="20">SUMIFS(N:N,R:R,X51)</f>
        <v>0</v>
      </c>
      <c r="Z51" s="64">
        <f t="shared" si="19"/>
        <v>0</v>
      </c>
      <c r="AA51" s="46">
        <f t="shared" ref="AA51:AA56" si="21">IFERROR(COUNTIFS(R:R, X51)/COUNTA($R$2:$R$994), 0)</f>
        <v>0</v>
      </c>
      <c r="AD51" s="7"/>
      <c r="AE51" s="7"/>
      <c r="AL51" s="18" t="str">
        <f>IF(COUNTIF($A$2:A50, A50) = 1, A50, "")</f>
        <v/>
      </c>
    </row>
    <row r="52" spans="6:38" x14ac:dyDescent="0.2">
      <c r="F52" t="str">
        <f t="shared" si="9"/>
        <v/>
      </c>
      <c r="L52" s="7" t="str">
        <f t="shared" si="10"/>
        <v/>
      </c>
      <c r="N52" s="7" t="str">
        <f t="shared" si="11"/>
        <v/>
      </c>
      <c r="O52" t="str">
        <f t="shared" si="12"/>
        <v/>
      </c>
      <c r="P52" t="str">
        <f t="shared" si="18"/>
        <v/>
      </c>
      <c r="Q52" t="str">
        <f t="shared" si="14"/>
        <v/>
      </c>
      <c r="S52" t="str">
        <f>""</f>
        <v/>
      </c>
      <c r="X52" s="48" t="str">
        <f>Master!F52</f>
        <v>Source 3</v>
      </c>
      <c r="Y52" s="45">
        <f t="shared" si="20"/>
        <v>0</v>
      </c>
      <c r="Z52" s="64">
        <f t="shared" si="19"/>
        <v>0</v>
      </c>
      <c r="AA52" s="46">
        <f t="shared" si="21"/>
        <v>0</v>
      </c>
      <c r="AD52" s="7"/>
      <c r="AE52" s="7"/>
      <c r="AL52" s="18" t="str">
        <f>IF(COUNTIF($A$2:A51, A51) = 1, A51, "")</f>
        <v/>
      </c>
    </row>
    <row r="53" spans="6:38" x14ac:dyDescent="0.2">
      <c r="F53" t="str">
        <f t="shared" si="9"/>
        <v/>
      </c>
      <c r="L53" s="7" t="str">
        <f t="shared" si="10"/>
        <v/>
      </c>
      <c r="N53" s="7" t="str">
        <f t="shared" si="11"/>
        <v/>
      </c>
      <c r="O53" t="str">
        <f t="shared" si="12"/>
        <v/>
      </c>
      <c r="P53" t="str">
        <f t="shared" si="18"/>
        <v/>
      </c>
      <c r="Q53" t="str">
        <f t="shared" si="14"/>
        <v/>
      </c>
      <c r="S53" t="str">
        <f>""</f>
        <v/>
      </c>
      <c r="X53" s="48" t="str">
        <f>Master!F53</f>
        <v>Source 4</v>
      </c>
      <c r="Y53" s="45">
        <f t="shared" si="20"/>
        <v>0</v>
      </c>
      <c r="Z53" s="64">
        <f t="shared" si="19"/>
        <v>0</v>
      </c>
      <c r="AA53" s="46">
        <f t="shared" si="21"/>
        <v>0</v>
      </c>
      <c r="AD53" s="7"/>
      <c r="AE53" s="7"/>
      <c r="AL53" s="18" t="str">
        <f>IF(COUNTIF($A$2:A52, A52) = 1, A52, "")</f>
        <v/>
      </c>
    </row>
    <row r="54" spans="6:38" x14ac:dyDescent="0.2">
      <c r="F54" t="str">
        <f t="shared" si="9"/>
        <v/>
      </c>
      <c r="L54" s="7" t="str">
        <f t="shared" si="10"/>
        <v/>
      </c>
      <c r="N54" s="7" t="str">
        <f t="shared" si="11"/>
        <v/>
      </c>
      <c r="O54" t="str">
        <f t="shared" si="12"/>
        <v/>
      </c>
      <c r="P54" t="str">
        <f t="shared" si="18"/>
        <v/>
      </c>
      <c r="Q54" t="str">
        <f t="shared" si="14"/>
        <v/>
      </c>
      <c r="S54" t="str">
        <f>""</f>
        <v/>
      </c>
      <c r="X54" s="48" t="str">
        <f>Master!F54</f>
        <v>Source 5</v>
      </c>
      <c r="Y54" s="45">
        <f t="shared" si="20"/>
        <v>0</v>
      </c>
      <c r="Z54" s="64">
        <f t="shared" si="19"/>
        <v>0</v>
      </c>
      <c r="AA54" s="46">
        <f t="shared" si="21"/>
        <v>0</v>
      </c>
      <c r="AD54" s="7"/>
      <c r="AE54" s="7"/>
      <c r="AL54" s="18" t="str">
        <f>IF(COUNTIF($A$2:A53, A53) = 1, A53, "")</f>
        <v/>
      </c>
    </row>
    <row r="55" spans="6:38" x14ac:dyDescent="0.2">
      <c r="F55" t="str">
        <f t="shared" si="9"/>
        <v/>
      </c>
      <c r="L55" s="7" t="str">
        <f t="shared" si="10"/>
        <v/>
      </c>
      <c r="N55" s="7" t="str">
        <f t="shared" si="11"/>
        <v/>
      </c>
      <c r="O55" t="str">
        <f t="shared" si="12"/>
        <v/>
      </c>
      <c r="P55" t="str">
        <f t="shared" si="18"/>
        <v/>
      </c>
      <c r="Q55" t="str">
        <f t="shared" si="14"/>
        <v/>
      </c>
      <c r="S55" t="str">
        <f>""</f>
        <v/>
      </c>
      <c r="X55" s="48" t="str">
        <f>Master!F55</f>
        <v>Source 6</v>
      </c>
      <c r="Y55" s="45">
        <f t="shared" si="20"/>
        <v>0</v>
      </c>
      <c r="Z55" s="64">
        <f t="shared" si="19"/>
        <v>0</v>
      </c>
      <c r="AA55" s="46">
        <f>IFERROR(COUNTIFS(R:R, X55)/COUNTA($R$2:$R$994), 0)</f>
        <v>0</v>
      </c>
      <c r="AD55" s="7"/>
      <c r="AE55" s="7"/>
      <c r="AL55" s="18" t="str">
        <f>IF(COUNTIF($A$2:A54, A54) = 1, A54, "")</f>
        <v/>
      </c>
    </row>
    <row r="56" spans="6:38" x14ac:dyDescent="0.2">
      <c r="F56" t="str">
        <f t="shared" si="9"/>
        <v/>
      </c>
      <c r="L56" s="7" t="str">
        <f t="shared" si="10"/>
        <v/>
      </c>
      <c r="N56" s="7" t="str">
        <f t="shared" si="11"/>
        <v/>
      </c>
      <c r="O56" t="str">
        <f t="shared" si="12"/>
        <v/>
      </c>
      <c r="P56" t="str">
        <f t="shared" si="18"/>
        <v/>
      </c>
      <c r="Q56" t="str">
        <f t="shared" si="14"/>
        <v/>
      </c>
      <c r="S56" t="str">
        <f>""</f>
        <v/>
      </c>
      <c r="X56" s="48" t="str">
        <f>Master!F56</f>
        <v>Source 7</v>
      </c>
      <c r="Y56" s="45">
        <f t="shared" si="20"/>
        <v>0</v>
      </c>
      <c r="Z56" s="64">
        <f t="shared" si="19"/>
        <v>0</v>
      </c>
      <c r="AA56" s="46">
        <f t="shared" si="21"/>
        <v>0</v>
      </c>
      <c r="AD56" s="7"/>
      <c r="AE56" s="7"/>
      <c r="AL56" s="18" t="str">
        <f>IF(COUNTIF($A$2:A55, A55) = 1, A55, "")</f>
        <v/>
      </c>
    </row>
    <row r="57" spans="6:38" x14ac:dyDescent="0.2">
      <c r="F57" t="str">
        <f t="shared" si="9"/>
        <v/>
      </c>
      <c r="L57" s="7" t="str">
        <f t="shared" si="10"/>
        <v/>
      </c>
      <c r="N57" s="7" t="str">
        <f t="shared" si="11"/>
        <v/>
      </c>
      <c r="O57" t="str">
        <f t="shared" si="12"/>
        <v/>
      </c>
      <c r="P57" t="str">
        <f t="shared" si="18"/>
        <v/>
      </c>
      <c r="Q57" t="str">
        <f t="shared" si="14"/>
        <v/>
      </c>
      <c r="S57" t="str">
        <f>""</f>
        <v/>
      </c>
      <c r="X57" s="48" t="str">
        <f>Master!F57</f>
        <v>Source 8</v>
      </c>
      <c r="Y57" s="45">
        <f t="shared" si="20"/>
        <v>0</v>
      </c>
      <c r="Z57" s="64">
        <f t="shared" si="19"/>
        <v>0</v>
      </c>
      <c r="AA57" s="46">
        <f>IFERROR(COUNTIFS(R:R, X57)/COUNTA($R$2:$R$994), 0)</f>
        <v>0</v>
      </c>
      <c r="AD57" s="7"/>
      <c r="AE57" s="7"/>
      <c r="AL57" s="18" t="str">
        <f>IF(COUNTIF($A$2:A56, A56) = 1, A56, "")</f>
        <v/>
      </c>
    </row>
    <row r="58" spans="6:38" ht="17" thickBot="1" x14ac:dyDescent="0.25">
      <c r="F58" t="str">
        <f t="shared" si="9"/>
        <v/>
      </c>
      <c r="L58" s="7" t="str">
        <f t="shared" si="10"/>
        <v/>
      </c>
      <c r="N58" s="7" t="str">
        <f t="shared" si="11"/>
        <v/>
      </c>
      <c r="O58" t="str">
        <f t="shared" si="12"/>
        <v/>
      </c>
      <c r="P58" t="str">
        <f t="shared" si="18"/>
        <v/>
      </c>
      <c r="Q58" t="str">
        <f t="shared" si="14"/>
        <v/>
      </c>
      <c r="S58" t="str">
        <f>""</f>
        <v/>
      </c>
      <c r="X58" s="49" t="s">
        <v>90</v>
      </c>
      <c r="Y58" s="44">
        <f t="shared" si="20"/>
        <v>0</v>
      </c>
      <c r="Z58" s="65">
        <f t="shared" si="19"/>
        <v>0</v>
      </c>
      <c r="AA58" s="53">
        <f>IFERROR(COUNTIFS(R:R, X58)/COUNTA($R$2:$R$994), 0)</f>
        <v>0</v>
      </c>
      <c r="AD58" s="7"/>
      <c r="AE58" s="7"/>
      <c r="AL58" s="18" t="str">
        <f>IF(COUNTIF($A$2:A57, A57) = 1, A57, "")</f>
        <v/>
      </c>
    </row>
    <row r="59" spans="6:38" x14ac:dyDescent="0.2">
      <c r="F59" t="str">
        <f t="shared" si="9"/>
        <v/>
      </c>
      <c r="L59" s="7" t="str">
        <f t="shared" si="10"/>
        <v/>
      </c>
      <c r="N59" s="7" t="str">
        <f t="shared" si="11"/>
        <v/>
      </c>
      <c r="O59" t="str">
        <f t="shared" si="12"/>
        <v/>
      </c>
      <c r="P59" t="str">
        <f t="shared" si="18"/>
        <v/>
      </c>
      <c r="Q59" t="str">
        <f t="shared" si="14"/>
        <v/>
      </c>
      <c r="S59" t="str">
        <f>""</f>
        <v/>
      </c>
      <c r="AL59" s="18" t="str">
        <f>IF(COUNTIF($A$2:A58, A58) = 1, A58, "")</f>
        <v/>
      </c>
    </row>
    <row r="60" spans="6:38" x14ac:dyDescent="0.2">
      <c r="F60" t="str">
        <f t="shared" si="9"/>
        <v/>
      </c>
      <c r="L60" s="7" t="str">
        <f t="shared" si="10"/>
        <v/>
      </c>
      <c r="N60" s="7" t="str">
        <f t="shared" si="11"/>
        <v/>
      </c>
      <c r="O60" t="str">
        <f t="shared" si="12"/>
        <v/>
      </c>
      <c r="P60" t="str">
        <f t="shared" si="18"/>
        <v/>
      </c>
      <c r="Q60" t="str">
        <f t="shared" si="14"/>
        <v/>
      </c>
      <c r="S60" t="str">
        <f>""</f>
        <v/>
      </c>
      <c r="AL60" s="18" t="str">
        <f>IF(COUNTIF($A$2:A59, A59) = 1, A59, "")</f>
        <v/>
      </c>
    </row>
    <row r="61" spans="6:38" x14ac:dyDescent="0.2">
      <c r="F61" t="str">
        <f t="shared" si="9"/>
        <v/>
      </c>
      <c r="L61" s="7" t="str">
        <f t="shared" si="10"/>
        <v/>
      </c>
      <c r="N61" s="7" t="str">
        <f t="shared" si="11"/>
        <v/>
      </c>
      <c r="O61" t="str">
        <f t="shared" si="12"/>
        <v/>
      </c>
      <c r="P61" t="str">
        <f t="shared" si="18"/>
        <v/>
      </c>
      <c r="Q61" t="str">
        <f t="shared" si="14"/>
        <v/>
      </c>
      <c r="S61" t="str">
        <f>""</f>
        <v/>
      </c>
      <c r="AL61" s="18" t="str">
        <f>IF(COUNTIF($A$2:A60, A60) = 1, A60, "")</f>
        <v/>
      </c>
    </row>
    <row r="62" spans="6:38" x14ac:dyDescent="0.2">
      <c r="F62" t="str">
        <f t="shared" si="9"/>
        <v/>
      </c>
      <c r="L62" s="7" t="str">
        <f t="shared" si="10"/>
        <v/>
      </c>
      <c r="N62" s="7" t="str">
        <f t="shared" si="11"/>
        <v/>
      </c>
      <c r="O62" t="str">
        <f t="shared" si="12"/>
        <v/>
      </c>
      <c r="P62" t="str">
        <f t="shared" si="18"/>
        <v/>
      </c>
      <c r="Q62" t="str">
        <f t="shared" si="14"/>
        <v/>
      </c>
      <c r="S62" t="str">
        <f>""</f>
        <v/>
      </c>
      <c r="AL62" s="18" t="str">
        <f>IF(COUNTIF($A$2:A61, A61) = 1, A61, "")</f>
        <v/>
      </c>
    </row>
    <row r="63" spans="6:38" x14ac:dyDescent="0.2">
      <c r="F63" t="str">
        <f t="shared" si="9"/>
        <v/>
      </c>
      <c r="L63" s="7" t="str">
        <f t="shared" si="10"/>
        <v/>
      </c>
      <c r="N63" s="7" t="str">
        <f t="shared" si="11"/>
        <v/>
      </c>
      <c r="O63" t="str">
        <f t="shared" si="12"/>
        <v/>
      </c>
      <c r="P63" t="str">
        <f t="shared" si="18"/>
        <v/>
      </c>
      <c r="Q63" t="str">
        <f t="shared" si="14"/>
        <v/>
      </c>
      <c r="S63" t="str">
        <f>""</f>
        <v/>
      </c>
      <c r="AL63" s="18" t="str">
        <f>IF(COUNTIF($A$2:A62, A62) = 1, A62, "")</f>
        <v/>
      </c>
    </row>
    <row r="64" spans="6:38" x14ac:dyDescent="0.2">
      <c r="F64" t="str">
        <f t="shared" si="9"/>
        <v/>
      </c>
      <c r="L64" s="7" t="str">
        <f t="shared" si="10"/>
        <v/>
      </c>
      <c r="N64" s="7" t="str">
        <f t="shared" si="11"/>
        <v/>
      </c>
      <c r="O64" t="str">
        <f t="shared" si="12"/>
        <v/>
      </c>
      <c r="P64" t="str">
        <f t="shared" si="18"/>
        <v/>
      </c>
      <c r="Q64" t="str">
        <f t="shared" si="14"/>
        <v/>
      </c>
      <c r="S64" t="str">
        <f>""</f>
        <v/>
      </c>
      <c r="AL64" s="18" t="str">
        <f>IF(COUNTIF($A$2:A63, A63) = 1, A63, "")</f>
        <v/>
      </c>
    </row>
    <row r="65" spans="6:38" x14ac:dyDescent="0.2">
      <c r="F65" t="str">
        <f t="shared" si="9"/>
        <v/>
      </c>
      <c r="L65" s="7" t="str">
        <f t="shared" si="10"/>
        <v/>
      </c>
      <c r="N65" s="7" t="str">
        <f t="shared" si="11"/>
        <v/>
      </c>
      <c r="O65" t="str">
        <f t="shared" si="12"/>
        <v/>
      </c>
      <c r="P65" t="str">
        <f t="shared" si="18"/>
        <v/>
      </c>
      <c r="Q65" t="str">
        <f t="shared" si="14"/>
        <v/>
      </c>
      <c r="S65" t="str">
        <f>""</f>
        <v/>
      </c>
      <c r="AL65" s="18" t="str">
        <f>IF(COUNTIF($A$2:A64, A64) = 1, A64, "")</f>
        <v/>
      </c>
    </row>
    <row r="66" spans="6:38" x14ac:dyDescent="0.2">
      <c r="F66" t="str">
        <f t="shared" ref="F66:F129" si="22">IF(OR(O66="", P66=""), "", SUM(IF((O66&lt;&gt;"None")*(O66&lt;&gt;""),LEN(O66)-LEN(SUBSTITUTE(O66,",",""))+1,0)) + SUM(IF((P66&lt;&gt;"None")*(P66&lt;&gt;""),LEN(P66)-LEN(SUBSTITUTE(P66,",",""))+1,0)))</f>
        <v/>
      </c>
      <c r="L66" s="7" t="str">
        <f t="shared" ref="L66:L129" si="23">IF(LEN(E66)=0, "", IFERROR(IF(E66&gt;=0, K66 * (1 + E66/100) - K66, K66 / (ABS(E66)/100))+K66, ""))</f>
        <v/>
      </c>
      <c r="N66" s="7" t="str">
        <f t="shared" ref="N66:N129" si="24">IF(M66="Yes",L66-K66,IF(M66="No",-K66,""))</f>
        <v/>
      </c>
      <c r="O66" t="str">
        <f t="shared" ref="O66:O129" si="25">IF(AND(G66="No",H66="No"), "None", "")</f>
        <v/>
      </c>
      <c r="P66" t="str">
        <f t="shared" si="18"/>
        <v/>
      </c>
      <c r="Q66" t="str">
        <f t="shared" ref="Q66:Q129" si="26">IF(AND(D66="Straight", M66 = "No"),IF(O66="None",P66,IF(P66="None",O66) ),"")</f>
        <v/>
      </c>
      <c r="S66" t="str">
        <f>""</f>
        <v/>
      </c>
      <c r="AL66" s="18" t="str">
        <f>IF(COUNTIF($A$2:A65, A65) = 1, A65, "")</f>
        <v/>
      </c>
    </row>
    <row r="67" spans="6:38" x14ac:dyDescent="0.2">
      <c r="F67" t="str">
        <f t="shared" si="22"/>
        <v/>
      </c>
      <c r="L67" s="7" t="str">
        <f t="shared" si="23"/>
        <v/>
      </c>
      <c r="N67" s="7" t="str">
        <f t="shared" si="24"/>
        <v/>
      </c>
      <c r="O67" t="str">
        <f t="shared" si="25"/>
        <v/>
      </c>
      <c r="P67" t="str">
        <f t="shared" si="18"/>
        <v/>
      </c>
      <c r="Q67" t="str">
        <f t="shared" si="26"/>
        <v/>
      </c>
      <c r="S67" t="str">
        <f>""</f>
        <v/>
      </c>
      <c r="AL67" s="18" t="str">
        <f>IF(COUNTIF($A$2:A66, A66) = 1, A66, "")</f>
        <v/>
      </c>
    </row>
    <row r="68" spans="6:38" x14ac:dyDescent="0.2">
      <c r="F68" t="str">
        <f t="shared" si="22"/>
        <v/>
      </c>
      <c r="L68" s="7" t="str">
        <f t="shared" si="23"/>
        <v/>
      </c>
      <c r="N68" s="7" t="str">
        <f t="shared" si="24"/>
        <v/>
      </c>
      <c r="O68" t="str">
        <f t="shared" si="25"/>
        <v/>
      </c>
      <c r="P68" t="str">
        <f t="shared" si="18"/>
        <v/>
      </c>
      <c r="Q68" t="str">
        <f t="shared" si="26"/>
        <v/>
      </c>
      <c r="S68" t="str">
        <f>""</f>
        <v/>
      </c>
      <c r="AL68" s="18" t="str">
        <f>IF(COUNTIF($A$2:A67, A67) = 1, A67, "")</f>
        <v/>
      </c>
    </row>
    <row r="69" spans="6:38" x14ac:dyDescent="0.2">
      <c r="F69" t="str">
        <f t="shared" si="22"/>
        <v/>
      </c>
      <c r="L69" s="7" t="str">
        <f t="shared" si="23"/>
        <v/>
      </c>
      <c r="N69" s="7" t="str">
        <f t="shared" si="24"/>
        <v/>
      </c>
      <c r="O69" t="str">
        <f t="shared" si="25"/>
        <v/>
      </c>
      <c r="P69" t="str">
        <f t="shared" si="18"/>
        <v/>
      </c>
      <c r="Q69" t="str">
        <f t="shared" si="26"/>
        <v/>
      </c>
      <c r="S69" t="str">
        <f>""</f>
        <v/>
      </c>
      <c r="AL69" s="18" t="str">
        <f>IF(COUNTIF($A$2:A68, A68) = 1, A68, "")</f>
        <v/>
      </c>
    </row>
    <row r="70" spans="6:38" x14ac:dyDescent="0.2">
      <c r="F70" t="str">
        <f t="shared" si="22"/>
        <v/>
      </c>
      <c r="L70" s="7" t="str">
        <f t="shared" si="23"/>
        <v/>
      </c>
      <c r="N70" s="7" t="str">
        <f t="shared" si="24"/>
        <v/>
      </c>
      <c r="O70" t="str">
        <f t="shared" si="25"/>
        <v/>
      </c>
      <c r="P70" t="str">
        <f t="shared" si="18"/>
        <v/>
      </c>
      <c r="Q70" t="str">
        <f t="shared" si="26"/>
        <v/>
      </c>
      <c r="S70" t="str">
        <f>""</f>
        <v/>
      </c>
      <c r="AL70" s="18" t="str">
        <f>IF(COUNTIF($A$2:A69, A69) = 1, A69, "")</f>
        <v/>
      </c>
    </row>
    <row r="71" spans="6:38" x14ac:dyDescent="0.2">
      <c r="F71" t="str">
        <f t="shared" si="22"/>
        <v/>
      </c>
      <c r="L71" s="7" t="str">
        <f t="shared" si="23"/>
        <v/>
      </c>
      <c r="N71" s="7" t="str">
        <f t="shared" si="24"/>
        <v/>
      </c>
      <c r="O71" t="str">
        <f t="shared" si="25"/>
        <v/>
      </c>
      <c r="P71" t="str">
        <f t="shared" si="18"/>
        <v/>
      </c>
      <c r="Q71" t="str">
        <f t="shared" si="26"/>
        <v/>
      </c>
      <c r="S71" t="str">
        <f>""</f>
        <v/>
      </c>
      <c r="AL71" s="18" t="str">
        <f>IF(COUNTIF($A$2:A70, A70) = 1, A70, "")</f>
        <v/>
      </c>
    </row>
    <row r="72" spans="6:38" x14ac:dyDescent="0.2">
      <c r="F72" t="str">
        <f t="shared" si="22"/>
        <v/>
      </c>
      <c r="L72" s="7" t="str">
        <f t="shared" si="23"/>
        <v/>
      </c>
      <c r="N72" s="7" t="str">
        <f t="shared" si="24"/>
        <v/>
      </c>
      <c r="O72" t="str">
        <f t="shared" si="25"/>
        <v/>
      </c>
      <c r="P72" t="str">
        <f t="shared" si="18"/>
        <v/>
      </c>
      <c r="Q72" t="str">
        <f t="shared" si="26"/>
        <v/>
      </c>
      <c r="S72" t="str">
        <f>""</f>
        <v/>
      </c>
      <c r="AL72" s="18" t="str">
        <f>IF(COUNTIF($A$2:A71, A71) = 1, A71, "")</f>
        <v/>
      </c>
    </row>
    <row r="73" spans="6:38" x14ac:dyDescent="0.2">
      <c r="F73" t="str">
        <f t="shared" si="22"/>
        <v/>
      </c>
      <c r="L73" s="7" t="str">
        <f t="shared" si="23"/>
        <v/>
      </c>
      <c r="N73" s="7" t="str">
        <f t="shared" si="24"/>
        <v/>
      </c>
      <c r="O73" t="str">
        <f t="shared" si="25"/>
        <v/>
      </c>
      <c r="P73" t="str">
        <f t="shared" si="18"/>
        <v/>
      </c>
      <c r="Q73" t="str">
        <f t="shared" si="26"/>
        <v/>
      </c>
      <c r="S73" t="str">
        <f>""</f>
        <v/>
      </c>
      <c r="AL73" s="18" t="str">
        <f>IF(COUNTIF($A$2:A72, A72) = 1, A72, "")</f>
        <v/>
      </c>
    </row>
    <row r="74" spans="6:38" x14ac:dyDescent="0.2">
      <c r="F74" t="str">
        <f t="shared" si="22"/>
        <v/>
      </c>
      <c r="L74" s="7" t="str">
        <f t="shared" si="23"/>
        <v/>
      </c>
      <c r="N74" s="7" t="str">
        <f t="shared" si="24"/>
        <v/>
      </c>
      <c r="O74" t="str">
        <f t="shared" si="25"/>
        <v/>
      </c>
      <c r="P74" t="str">
        <f t="shared" si="18"/>
        <v/>
      </c>
      <c r="Q74" t="str">
        <f t="shared" si="26"/>
        <v/>
      </c>
      <c r="S74" t="str">
        <f>""</f>
        <v/>
      </c>
      <c r="AL74" s="18" t="str">
        <f>IF(COUNTIF($A$2:A73, A73) = 1, A73, "")</f>
        <v/>
      </c>
    </row>
    <row r="75" spans="6:38" x14ac:dyDescent="0.2">
      <c r="F75" t="str">
        <f t="shared" si="22"/>
        <v/>
      </c>
      <c r="L75" s="7" t="str">
        <f t="shared" si="23"/>
        <v/>
      </c>
      <c r="N75" s="7" t="str">
        <f t="shared" si="24"/>
        <v/>
      </c>
      <c r="O75" t="str">
        <f t="shared" si="25"/>
        <v/>
      </c>
      <c r="P75" t="str">
        <f t="shared" si="18"/>
        <v/>
      </c>
      <c r="Q75" t="str">
        <f t="shared" si="26"/>
        <v/>
      </c>
      <c r="S75" t="str">
        <f>""</f>
        <v/>
      </c>
      <c r="AL75" s="18" t="str">
        <f>IF(COUNTIF($A$2:A74, A74) = 1, A74, "")</f>
        <v/>
      </c>
    </row>
    <row r="76" spans="6:38" x14ac:dyDescent="0.2">
      <c r="F76" t="str">
        <f t="shared" si="22"/>
        <v/>
      </c>
      <c r="L76" s="7" t="str">
        <f t="shared" si="23"/>
        <v/>
      </c>
      <c r="N76" s="7" t="str">
        <f t="shared" si="24"/>
        <v/>
      </c>
      <c r="O76" t="str">
        <f t="shared" si="25"/>
        <v/>
      </c>
      <c r="P76" t="str">
        <f t="shared" si="18"/>
        <v/>
      </c>
      <c r="Q76" t="str">
        <f t="shared" si="26"/>
        <v/>
      </c>
      <c r="S76" t="str">
        <f>""</f>
        <v/>
      </c>
      <c r="AL76" s="18" t="str">
        <f>IF(COUNTIF($A$2:A75, A75) = 1, A75, "")</f>
        <v/>
      </c>
    </row>
    <row r="77" spans="6:38" x14ac:dyDescent="0.2">
      <c r="F77" t="str">
        <f t="shared" si="22"/>
        <v/>
      </c>
      <c r="L77" s="7" t="str">
        <f t="shared" si="23"/>
        <v/>
      </c>
      <c r="N77" s="7" t="str">
        <f t="shared" si="24"/>
        <v/>
      </c>
      <c r="O77" t="str">
        <f t="shared" si="25"/>
        <v/>
      </c>
      <c r="P77" t="str">
        <f t="shared" si="18"/>
        <v/>
      </c>
      <c r="Q77" t="str">
        <f t="shared" si="26"/>
        <v/>
      </c>
      <c r="S77" t="str">
        <f>""</f>
        <v/>
      </c>
      <c r="AL77" s="18" t="str">
        <f>IF(COUNTIF($A$2:A76, A76) = 1, A76, "")</f>
        <v/>
      </c>
    </row>
    <row r="78" spans="6:38" x14ac:dyDescent="0.2">
      <c r="F78" t="str">
        <f t="shared" si="22"/>
        <v/>
      </c>
      <c r="L78" s="7" t="str">
        <f t="shared" si="23"/>
        <v/>
      </c>
      <c r="N78" s="7" t="str">
        <f t="shared" si="24"/>
        <v/>
      </c>
      <c r="O78" t="str">
        <f t="shared" si="25"/>
        <v/>
      </c>
      <c r="P78" t="str">
        <f t="shared" si="18"/>
        <v/>
      </c>
      <c r="Q78" t="str">
        <f t="shared" si="26"/>
        <v/>
      </c>
      <c r="S78" t="str">
        <f>""</f>
        <v/>
      </c>
      <c r="AL78" s="18" t="str">
        <f>IF(COUNTIF($A$2:A77, A77) = 1, A77, "")</f>
        <v/>
      </c>
    </row>
    <row r="79" spans="6:38" x14ac:dyDescent="0.2">
      <c r="F79" t="str">
        <f t="shared" si="22"/>
        <v/>
      </c>
      <c r="L79" s="7" t="str">
        <f t="shared" si="23"/>
        <v/>
      </c>
      <c r="N79" s="7" t="str">
        <f t="shared" si="24"/>
        <v/>
      </c>
      <c r="O79" t="str">
        <f t="shared" si="25"/>
        <v/>
      </c>
      <c r="P79" t="str">
        <f t="shared" si="18"/>
        <v/>
      </c>
      <c r="Q79" t="str">
        <f t="shared" si="26"/>
        <v/>
      </c>
      <c r="S79" t="str">
        <f>""</f>
        <v/>
      </c>
      <c r="AL79" s="18" t="str">
        <f>IF(COUNTIF($A$2:A78, A78) = 1, A78, "")</f>
        <v/>
      </c>
    </row>
    <row r="80" spans="6:38" x14ac:dyDescent="0.2">
      <c r="F80" t="str">
        <f t="shared" si="22"/>
        <v/>
      </c>
      <c r="L80" s="7" t="str">
        <f t="shared" si="23"/>
        <v/>
      </c>
      <c r="N80" s="7" t="str">
        <f t="shared" si="24"/>
        <v/>
      </c>
      <c r="O80" t="str">
        <f t="shared" si="25"/>
        <v/>
      </c>
      <c r="P80" t="str">
        <f t="shared" si="18"/>
        <v/>
      </c>
      <c r="Q80" t="str">
        <f t="shared" si="26"/>
        <v/>
      </c>
      <c r="S80" t="str">
        <f>""</f>
        <v/>
      </c>
      <c r="AL80" s="18" t="str">
        <f>IF(COUNTIF($A$2:A79, A79) = 1, A79, "")</f>
        <v/>
      </c>
    </row>
    <row r="81" spans="6:38" x14ac:dyDescent="0.2">
      <c r="F81" t="str">
        <f t="shared" si="22"/>
        <v/>
      </c>
      <c r="L81" s="7" t="str">
        <f t="shared" si="23"/>
        <v/>
      </c>
      <c r="N81" s="7" t="str">
        <f t="shared" si="24"/>
        <v/>
      </c>
      <c r="O81" t="str">
        <f t="shared" si="25"/>
        <v/>
      </c>
      <c r="P81" t="str">
        <f t="shared" si="18"/>
        <v/>
      </c>
      <c r="Q81" t="str">
        <f t="shared" si="26"/>
        <v/>
      </c>
      <c r="S81" t="str">
        <f>""</f>
        <v/>
      </c>
      <c r="AL81" s="18" t="str">
        <f>IF(COUNTIF($A$2:A80, A80) = 1, A80, "")</f>
        <v/>
      </c>
    </row>
    <row r="82" spans="6:38" x14ac:dyDescent="0.2">
      <c r="F82" t="str">
        <f t="shared" si="22"/>
        <v/>
      </c>
      <c r="L82" s="7" t="str">
        <f t="shared" si="23"/>
        <v/>
      </c>
      <c r="N82" s="7" t="str">
        <f t="shared" si="24"/>
        <v/>
      </c>
      <c r="O82" t="str">
        <f t="shared" si="25"/>
        <v/>
      </c>
      <c r="P82" t="str">
        <f t="shared" si="18"/>
        <v/>
      </c>
      <c r="Q82" t="str">
        <f t="shared" si="26"/>
        <v/>
      </c>
      <c r="S82" t="str">
        <f>""</f>
        <v/>
      </c>
      <c r="AL82" s="18" t="str">
        <f>IF(COUNTIF($A$2:A81, A81) = 1, A81, "")</f>
        <v/>
      </c>
    </row>
    <row r="83" spans="6:38" x14ac:dyDescent="0.2">
      <c r="F83" t="str">
        <f t="shared" si="22"/>
        <v/>
      </c>
      <c r="L83" s="7" t="str">
        <f t="shared" si="23"/>
        <v/>
      </c>
      <c r="N83" s="7" t="str">
        <f t="shared" si="24"/>
        <v/>
      </c>
      <c r="O83" t="str">
        <f t="shared" si="25"/>
        <v/>
      </c>
      <c r="P83" t="str">
        <f t="shared" ref="P83:P143" si="27">IF(I83="No", "None", "")</f>
        <v/>
      </c>
      <c r="Q83" t="str">
        <f t="shared" si="26"/>
        <v/>
      </c>
      <c r="S83" t="str">
        <f>""</f>
        <v/>
      </c>
      <c r="AL83" s="18" t="str">
        <f>IF(COUNTIF($A$2:A82, A82) = 1, A82, "")</f>
        <v/>
      </c>
    </row>
    <row r="84" spans="6:38" x14ac:dyDescent="0.2">
      <c r="F84" t="str">
        <f t="shared" si="22"/>
        <v/>
      </c>
      <c r="L84" s="7" t="str">
        <f t="shared" si="23"/>
        <v/>
      </c>
      <c r="N84" s="7" t="str">
        <f t="shared" si="24"/>
        <v/>
      </c>
      <c r="O84" t="str">
        <f t="shared" si="25"/>
        <v/>
      </c>
      <c r="P84" t="str">
        <f t="shared" si="27"/>
        <v/>
      </c>
      <c r="Q84" t="str">
        <f t="shared" si="26"/>
        <v/>
      </c>
      <c r="S84" t="str">
        <f>""</f>
        <v/>
      </c>
      <c r="AL84" s="18" t="str">
        <f>IF(COUNTIF($A$2:A83, A83) = 1, A83, "")</f>
        <v/>
      </c>
    </row>
    <row r="85" spans="6:38" x14ac:dyDescent="0.2">
      <c r="F85" t="str">
        <f t="shared" si="22"/>
        <v/>
      </c>
      <c r="L85" s="7" t="str">
        <f t="shared" si="23"/>
        <v/>
      </c>
      <c r="N85" s="7" t="str">
        <f t="shared" si="24"/>
        <v/>
      </c>
      <c r="O85" t="str">
        <f t="shared" si="25"/>
        <v/>
      </c>
      <c r="P85" t="str">
        <f t="shared" si="27"/>
        <v/>
      </c>
      <c r="Q85" t="str">
        <f t="shared" si="26"/>
        <v/>
      </c>
      <c r="S85" t="str">
        <f>""</f>
        <v/>
      </c>
      <c r="AL85" s="18" t="str">
        <f>IF(COUNTIF($A$2:A84, A84) = 1, A84, "")</f>
        <v/>
      </c>
    </row>
    <row r="86" spans="6:38" x14ac:dyDescent="0.2">
      <c r="F86" t="str">
        <f t="shared" si="22"/>
        <v/>
      </c>
      <c r="L86" s="7" t="str">
        <f t="shared" si="23"/>
        <v/>
      </c>
      <c r="N86" s="7" t="str">
        <f t="shared" si="24"/>
        <v/>
      </c>
      <c r="O86" t="str">
        <f t="shared" si="25"/>
        <v/>
      </c>
      <c r="P86" t="str">
        <f t="shared" si="27"/>
        <v/>
      </c>
      <c r="Q86" t="str">
        <f t="shared" si="26"/>
        <v/>
      </c>
      <c r="S86" t="str">
        <f>""</f>
        <v/>
      </c>
      <c r="AL86" s="18" t="str">
        <f>IF(COUNTIF($A$2:A85, A85) = 1, A85, "")</f>
        <v/>
      </c>
    </row>
    <row r="87" spans="6:38" x14ac:dyDescent="0.2">
      <c r="F87" t="str">
        <f t="shared" si="22"/>
        <v/>
      </c>
      <c r="L87" s="7" t="str">
        <f t="shared" si="23"/>
        <v/>
      </c>
      <c r="N87" s="7" t="str">
        <f t="shared" si="24"/>
        <v/>
      </c>
      <c r="O87" t="str">
        <f t="shared" si="25"/>
        <v/>
      </c>
      <c r="P87" t="str">
        <f t="shared" si="27"/>
        <v/>
      </c>
      <c r="Q87" t="str">
        <f t="shared" si="26"/>
        <v/>
      </c>
      <c r="S87" t="str">
        <f>""</f>
        <v/>
      </c>
      <c r="AL87" s="18" t="str">
        <f>IF(COUNTIF($A$2:A86, A86) = 1, A86, "")</f>
        <v/>
      </c>
    </row>
    <row r="88" spans="6:38" x14ac:dyDescent="0.2">
      <c r="F88" t="str">
        <f t="shared" si="22"/>
        <v/>
      </c>
      <c r="L88" s="7" t="str">
        <f t="shared" si="23"/>
        <v/>
      </c>
      <c r="N88" s="7" t="str">
        <f t="shared" si="24"/>
        <v/>
      </c>
      <c r="O88" t="str">
        <f t="shared" si="25"/>
        <v/>
      </c>
      <c r="P88" t="str">
        <f t="shared" si="27"/>
        <v/>
      </c>
      <c r="Q88" t="str">
        <f t="shared" si="26"/>
        <v/>
      </c>
      <c r="S88" t="str">
        <f>""</f>
        <v/>
      </c>
      <c r="AL88" s="18" t="str">
        <f>IF(COUNTIF($A$2:A87, A87) = 1, A87, "")</f>
        <v/>
      </c>
    </row>
    <row r="89" spans="6:38" x14ac:dyDescent="0.2">
      <c r="F89" t="str">
        <f t="shared" si="22"/>
        <v/>
      </c>
      <c r="L89" s="7" t="str">
        <f t="shared" si="23"/>
        <v/>
      </c>
      <c r="N89" s="7" t="str">
        <f t="shared" si="24"/>
        <v/>
      </c>
      <c r="O89" t="str">
        <f t="shared" si="25"/>
        <v/>
      </c>
      <c r="P89" t="str">
        <f t="shared" si="27"/>
        <v/>
      </c>
      <c r="Q89" t="str">
        <f t="shared" si="26"/>
        <v/>
      </c>
      <c r="S89" t="str">
        <f>""</f>
        <v/>
      </c>
      <c r="AL89" s="18" t="str">
        <f>IF(COUNTIF($A$2:A88, A88) = 1, A88, "")</f>
        <v/>
      </c>
    </row>
    <row r="90" spans="6:38" x14ac:dyDescent="0.2">
      <c r="F90" t="str">
        <f t="shared" si="22"/>
        <v/>
      </c>
      <c r="L90" s="7" t="str">
        <f t="shared" si="23"/>
        <v/>
      </c>
      <c r="N90" s="7" t="str">
        <f t="shared" si="24"/>
        <v/>
      </c>
      <c r="O90" t="str">
        <f t="shared" si="25"/>
        <v/>
      </c>
      <c r="P90" t="str">
        <f t="shared" si="27"/>
        <v/>
      </c>
      <c r="Q90" t="str">
        <f t="shared" si="26"/>
        <v/>
      </c>
      <c r="S90" t="str">
        <f>""</f>
        <v/>
      </c>
      <c r="AL90" s="18" t="str">
        <f>IF(COUNTIF($A$2:A89, A89) = 1, A89, "")</f>
        <v/>
      </c>
    </row>
    <row r="91" spans="6:38" x14ac:dyDescent="0.2">
      <c r="F91" t="str">
        <f t="shared" si="22"/>
        <v/>
      </c>
      <c r="L91" s="7" t="str">
        <f t="shared" si="23"/>
        <v/>
      </c>
      <c r="N91" s="7" t="str">
        <f t="shared" si="24"/>
        <v/>
      </c>
      <c r="O91" t="str">
        <f t="shared" si="25"/>
        <v/>
      </c>
      <c r="P91" t="str">
        <f t="shared" si="27"/>
        <v/>
      </c>
      <c r="Q91" t="str">
        <f t="shared" si="26"/>
        <v/>
      </c>
      <c r="S91" t="str">
        <f>""</f>
        <v/>
      </c>
      <c r="AL91" s="18" t="str">
        <f>IF(COUNTIF($A$2:A90, A90) = 1, A90, "")</f>
        <v/>
      </c>
    </row>
    <row r="92" spans="6:38" x14ac:dyDescent="0.2">
      <c r="F92" t="str">
        <f t="shared" si="22"/>
        <v/>
      </c>
      <c r="L92" s="7" t="str">
        <f t="shared" si="23"/>
        <v/>
      </c>
      <c r="N92" s="7" t="str">
        <f t="shared" si="24"/>
        <v/>
      </c>
      <c r="O92" t="str">
        <f t="shared" si="25"/>
        <v/>
      </c>
      <c r="P92" t="str">
        <f t="shared" si="27"/>
        <v/>
      </c>
      <c r="Q92" t="str">
        <f t="shared" si="26"/>
        <v/>
      </c>
      <c r="S92" t="str">
        <f>""</f>
        <v/>
      </c>
      <c r="AL92" s="18" t="str">
        <f>IF(COUNTIF($A$2:A91, A91) = 1, A91, "")</f>
        <v/>
      </c>
    </row>
    <row r="93" spans="6:38" x14ac:dyDescent="0.2">
      <c r="F93" t="str">
        <f t="shared" si="22"/>
        <v/>
      </c>
      <c r="L93" s="7" t="str">
        <f t="shared" si="23"/>
        <v/>
      </c>
      <c r="N93" s="7" t="str">
        <f t="shared" si="24"/>
        <v/>
      </c>
      <c r="O93" t="str">
        <f t="shared" si="25"/>
        <v/>
      </c>
      <c r="P93" t="str">
        <f t="shared" si="27"/>
        <v/>
      </c>
      <c r="Q93" t="str">
        <f t="shared" si="26"/>
        <v/>
      </c>
      <c r="S93" t="str">
        <f>""</f>
        <v/>
      </c>
      <c r="AL93" s="18" t="str">
        <f>IF(COUNTIF($A$2:A92, A92) = 1, A92, "")</f>
        <v/>
      </c>
    </row>
    <row r="94" spans="6:38" x14ac:dyDescent="0.2">
      <c r="F94" t="str">
        <f t="shared" si="22"/>
        <v/>
      </c>
      <c r="L94" s="7" t="str">
        <f t="shared" si="23"/>
        <v/>
      </c>
      <c r="N94" s="7" t="str">
        <f t="shared" si="24"/>
        <v/>
      </c>
      <c r="O94" t="str">
        <f t="shared" si="25"/>
        <v/>
      </c>
      <c r="P94" t="str">
        <f t="shared" si="27"/>
        <v/>
      </c>
      <c r="Q94" t="str">
        <f t="shared" si="26"/>
        <v/>
      </c>
      <c r="S94" t="str">
        <f>""</f>
        <v/>
      </c>
      <c r="AL94" s="18" t="str">
        <f>IF(COUNTIF($A$2:A93, A93) = 1, A93, "")</f>
        <v/>
      </c>
    </row>
    <row r="95" spans="6:38" x14ac:dyDescent="0.2">
      <c r="F95" t="str">
        <f t="shared" si="22"/>
        <v/>
      </c>
      <c r="L95" s="7" t="str">
        <f t="shared" si="23"/>
        <v/>
      </c>
      <c r="N95" s="7" t="str">
        <f t="shared" si="24"/>
        <v/>
      </c>
      <c r="O95" t="str">
        <f t="shared" si="25"/>
        <v/>
      </c>
      <c r="P95" t="str">
        <f t="shared" si="27"/>
        <v/>
      </c>
      <c r="Q95" t="str">
        <f t="shared" si="26"/>
        <v/>
      </c>
      <c r="S95" t="str">
        <f>""</f>
        <v/>
      </c>
      <c r="AL95" s="18" t="str">
        <f>IF(COUNTIF($A$2:A94, A94) = 1, A94, "")</f>
        <v/>
      </c>
    </row>
    <row r="96" spans="6:38" x14ac:dyDescent="0.2">
      <c r="F96" t="str">
        <f t="shared" si="22"/>
        <v/>
      </c>
      <c r="L96" s="7" t="str">
        <f t="shared" si="23"/>
        <v/>
      </c>
      <c r="N96" s="7" t="str">
        <f t="shared" si="24"/>
        <v/>
      </c>
      <c r="O96" t="str">
        <f t="shared" si="25"/>
        <v/>
      </c>
      <c r="P96" t="str">
        <f t="shared" si="27"/>
        <v/>
      </c>
      <c r="Q96" t="str">
        <f t="shared" si="26"/>
        <v/>
      </c>
      <c r="S96" t="str">
        <f>""</f>
        <v/>
      </c>
      <c r="AL96" s="18" t="str">
        <f>IF(COUNTIF($A$2:A95, A95) = 1, A95, "")</f>
        <v/>
      </c>
    </row>
    <row r="97" spans="6:38" x14ac:dyDescent="0.2">
      <c r="F97" t="str">
        <f t="shared" si="22"/>
        <v/>
      </c>
      <c r="L97" s="7" t="str">
        <f t="shared" si="23"/>
        <v/>
      </c>
      <c r="N97" s="7" t="str">
        <f t="shared" si="24"/>
        <v/>
      </c>
      <c r="O97" t="str">
        <f t="shared" si="25"/>
        <v/>
      </c>
      <c r="P97" t="str">
        <f t="shared" si="27"/>
        <v/>
      </c>
      <c r="Q97" t="str">
        <f t="shared" si="26"/>
        <v/>
      </c>
      <c r="S97" t="str">
        <f>""</f>
        <v/>
      </c>
      <c r="AL97" s="18" t="str">
        <f>IF(COUNTIF($A$2:A96, A96) = 1, A96, "")</f>
        <v/>
      </c>
    </row>
    <row r="98" spans="6:38" x14ac:dyDescent="0.2">
      <c r="F98" t="str">
        <f t="shared" si="22"/>
        <v/>
      </c>
      <c r="L98" s="7" t="str">
        <f t="shared" si="23"/>
        <v/>
      </c>
      <c r="N98" s="7" t="str">
        <f t="shared" si="24"/>
        <v/>
      </c>
      <c r="O98" t="str">
        <f t="shared" si="25"/>
        <v/>
      </c>
      <c r="P98" t="str">
        <f t="shared" si="27"/>
        <v/>
      </c>
      <c r="Q98" t="str">
        <f t="shared" si="26"/>
        <v/>
      </c>
      <c r="S98" t="str">
        <f>""</f>
        <v/>
      </c>
      <c r="AL98" s="18" t="str">
        <f>IF(COUNTIF($A$2:A97, A97) = 1, A97, "")</f>
        <v/>
      </c>
    </row>
    <row r="99" spans="6:38" x14ac:dyDescent="0.2">
      <c r="F99" t="str">
        <f t="shared" si="22"/>
        <v/>
      </c>
      <c r="L99" s="7" t="str">
        <f t="shared" si="23"/>
        <v/>
      </c>
      <c r="N99" s="7" t="str">
        <f t="shared" si="24"/>
        <v/>
      </c>
      <c r="O99" t="str">
        <f t="shared" si="25"/>
        <v/>
      </c>
      <c r="P99" t="str">
        <f t="shared" si="27"/>
        <v/>
      </c>
      <c r="Q99" t="str">
        <f t="shared" si="26"/>
        <v/>
      </c>
      <c r="S99" t="str">
        <f>""</f>
        <v/>
      </c>
      <c r="AL99" s="18" t="str">
        <f>IF(COUNTIF($A$2:A98, A98) = 1, A98, "")</f>
        <v/>
      </c>
    </row>
    <row r="100" spans="6:38" x14ac:dyDescent="0.2">
      <c r="F100" t="str">
        <f t="shared" si="22"/>
        <v/>
      </c>
      <c r="L100" s="7" t="str">
        <f t="shared" si="23"/>
        <v/>
      </c>
      <c r="N100" s="7" t="str">
        <f t="shared" si="24"/>
        <v/>
      </c>
      <c r="O100" t="str">
        <f t="shared" si="25"/>
        <v/>
      </c>
      <c r="P100" t="str">
        <f t="shared" si="27"/>
        <v/>
      </c>
      <c r="Q100" t="str">
        <f t="shared" si="26"/>
        <v/>
      </c>
      <c r="S100" t="str">
        <f>""</f>
        <v/>
      </c>
      <c r="AL100" s="18" t="str">
        <f>IF(COUNTIF($A$2:A99, A99) = 1, A99, "")</f>
        <v/>
      </c>
    </row>
    <row r="101" spans="6:38" x14ac:dyDescent="0.2">
      <c r="F101" t="str">
        <f t="shared" si="22"/>
        <v/>
      </c>
      <c r="L101" s="7" t="str">
        <f t="shared" si="23"/>
        <v/>
      </c>
      <c r="N101" s="7" t="str">
        <f t="shared" si="24"/>
        <v/>
      </c>
      <c r="O101" t="str">
        <f t="shared" si="25"/>
        <v/>
      </c>
      <c r="P101" t="str">
        <f t="shared" si="27"/>
        <v/>
      </c>
      <c r="Q101" t="str">
        <f t="shared" si="26"/>
        <v/>
      </c>
      <c r="S101" t="str">
        <f>""</f>
        <v/>
      </c>
      <c r="AL101" s="18" t="str">
        <f>IF(COUNTIF($A$2:A100, A100) = 1, A100, "")</f>
        <v/>
      </c>
    </row>
    <row r="102" spans="6:38" x14ac:dyDescent="0.2">
      <c r="F102" t="str">
        <f t="shared" si="22"/>
        <v/>
      </c>
      <c r="L102" s="7" t="str">
        <f t="shared" si="23"/>
        <v/>
      </c>
      <c r="N102" s="7" t="str">
        <f t="shared" si="24"/>
        <v/>
      </c>
      <c r="O102" t="str">
        <f t="shared" si="25"/>
        <v/>
      </c>
      <c r="P102" t="str">
        <f t="shared" si="27"/>
        <v/>
      </c>
      <c r="Q102" t="str">
        <f t="shared" si="26"/>
        <v/>
      </c>
      <c r="S102" t="str">
        <f>""</f>
        <v/>
      </c>
      <c r="AL102" s="18" t="str">
        <f>IF(COUNTIF($A$2:A101, A101) = 1, A101, "")</f>
        <v/>
      </c>
    </row>
    <row r="103" spans="6:38" x14ac:dyDescent="0.2">
      <c r="F103" t="str">
        <f t="shared" si="22"/>
        <v/>
      </c>
      <c r="L103" s="7" t="str">
        <f t="shared" si="23"/>
        <v/>
      </c>
      <c r="N103" s="7" t="str">
        <f t="shared" si="24"/>
        <v/>
      </c>
      <c r="O103" t="str">
        <f t="shared" si="25"/>
        <v/>
      </c>
      <c r="P103" t="str">
        <f t="shared" si="27"/>
        <v/>
      </c>
      <c r="Q103" t="str">
        <f t="shared" si="26"/>
        <v/>
      </c>
      <c r="S103" t="str">
        <f>""</f>
        <v/>
      </c>
      <c r="AL103" s="18" t="str">
        <f>IF(COUNTIF($A$2:A102, A102) = 1, A102, "")</f>
        <v/>
      </c>
    </row>
    <row r="104" spans="6:38" x14ac:dyDescent="0.2">
      <c r="F104" t="str">
        <f t="shared" si="22"/>
        <v/>
      </c>
      <c r="L104" s="7" t="str">
        <f t="shared" si="23"/>
        <v/>
      </c>
      <c r="N104" s="7" t="str">
        <f t="shared" si="24"/>
        <v/>
      </c>
      <c r="O104" t="str">
        <f t="shared" si="25"/>
        <v/>
      </c>
      <c r="P104" t="str">
        <f t="shared" si="27"/>
        <v/>
      </c>
      <c r="Q104" t="str">
        <f t="shared" si="26"/>
        <v/>
      </c>
      <c r="S104" t="str">
        <f>""</f>
        <v/>
      </c>
      <c r="AL104" s="18" t="str">
        <f>IF(COUNTIF($A$2:A103, A103) = 1, A103, "")</f>
        <v/>
      </c>
    </row>
    <row r="105" spans="6:38" x14ac:dyDescent="0.2">
      <c r="F105" t="str">
        <f t="shared" si="22"/>
        <v/>
      </c>
      <c r="L105" s="7" t="str">
        <f t="shared" si="23"/>
        <v/>
      </c>
      <c r="N105" s="7" t="str">
        <f t="shared" si="24"/>
        <v/>
      </c>
      <c r="O105" t="str">
        <f t="shared" si="25"/>
        <v/>
      </c>
      <c r="P105" t="str">
        <f t="shared" si="27"/>
        <v/>
      </c>
      <c r="Q105" t="str">
        <f t="shared" si="26"/>
        <v/>
      </c>
      <c r="S105" t="str">
        <f>""</f>
        <v/>
      </c>
      <c r="AL105" s="18" t="str">
        <f>IF(COUNTIF($A$2:A104, A104) = 1, A104, "")</f>
        <v/>
      </c>
    </row>
    <row r="106" spans="6:38" x14ac:dyDescent="0.2">
      <c r="F106" t="str">
        <f t="shared" si="22"/>
        <v/>
      </c>
      <c r="L106" s="7" t="str">
        <f t="shared" si="23"/>
        <v/>
      </c>
      <c r="N106" s="7" t="str">
        <f t="shared" si="24"/>
        <v/>
      </c>
      <c r="O106" t="str">
        <f t="shared" si="25"/>
        <v/>
      </c>
      <c r="P106" t="str">
        <f t="shared" si="27"/>
        <v/>
      </c>
      <c r="Q106" t="str">
        <f t="shared" si="26"/>
        <v/>
      </c>
      <c r="S106" t="str">
        <f>""</f>
        <v/>
      </c>
      <c r="AL106" s="18" t="str">
        <f>IF(COUNTIF($A$2:A105, A105) = 1, A105, "")</f>
        <v/>
      </c>
    </row>
    <row r="107" spans="6:38" x14ac:dyDescent="0.2">
      <c r="F107" t="str">
        <f t="shared" si="22"/>
        <v/>
      </c>
      <c r="L107" s="7" t="str">
        <f t="shared" si="23"/>
        <v/>
      </c>
      <c r="N107" s="7" t="str">
        <f t="shared" si="24"/>
        <v/>
      </c>
      <c r="O107" t="str">
        <f t="shared" si="25"/>
        <v/>
      </c>
      <c r="P107" t="str">
        <f t="shared" si="27"/>
        <v/>
      </c>
      <c r="Q107" t="str">
        <f t="shared" si="26"/>
        <v/>
      </c>
      <c r="S107" t="str">
        <f>""</f>
        <v/>
      </c>
      <c r="AL107" s="18" t="str">
        <f>IF(COUNTIF($A$2:A106, A106) = 1, A106, "")</f>
        <v/>
      </c>
    </row>
    <row r="108" spans="6:38" x14ac:dyDescent="0.2">
      <c r="F108" t="str">
        <f t="shared" si="22"/>
        <v/>
      </c>
      <c r="L108" s="7" t="str">
        <f t="shared" si="23"/>
        <v/>
      </c>
      <c r="N108" s="7" t="str">
        <f t="shared" si="24"/>
        <v/>
      </c>
      <c r="O108" t="str">
        <f t="shared" si="25"/>
        <v/>
      </c>
      <c r="P108" t="str">
        <f t="shared" si="27"/>
        <v/>
      </c>
      <c r="Q108" t="str">
        <f t="shared" si="26"/>
        <v/>
      </c>
      <c r="S108" t="str">
        <f>""</f>
        <v/>
      </c>
      <c r="AL108" s="18" t="str">
        <f>IF(COUNTIF($A$2:A107, A107) = 1, A107, "")</f>
        <v/>
      </c>
    </row>
    <row r="109" spans="6:38" x14ac:dyDescent="0.2">
      <c r="F109" t="str">
        <f t="shared" si="22"/>
        <v/>
      </c>
      <c r="L109" s="7" t="str">
        <f t="shared" si="23"/>
        <v/>
      </c>
      <c r="N109" s="7" t="str">
        <f t="shared" si="24"/>
        <v/>
      </c>
      <c r="O109" t="str">
        <f t="shared" si="25"/>
        <v/>
      </c>
      <c r="P109" t="str">
        <f t="shared" si="27"/>
        <v/>
      </c>
      <c r="Q109" t="str">
        <f t="shared" si="26"/>
        <v/>
      </c>
      <c r="S109" t="str">
        <f>""</f>
        <v/>
      </c>
      <c r="AL109" s="18" t="str">
        <f>IF(COUNTIF($A$2:A108, A108) = 1, A108, "")</f>
        <v/>
      </c>
    </row>
    <row r="110" spans="6:38" x14ac:dyDescent="0.2">
      <c r="F110" t="str">
        <f t="shared" si="22"/>
        <v/>
      </c>
      <c r="L110" s="7" t="str">
        <f t="shared" si="23"/>
        <v/>
      </c>
      <c r="N110" s="7" t="str">
        <f t="shared" si="24"/>
        <v/>
      </c>
      <c r="O110" t="str">
        <f t="shared" si="25"/>
        <v/>
      </c>
      <c r="P110" t="str">
        <f t="shared" si="27"/>
        <v/>
      </c>
      <c r="Q110" t="str">
        <f t="shared" si="26"/>
        <v/>
      </c>
      <c r="S110" t="str">
        <f>""</f>
        <v/>
      </c>
      <c r="AL110" s="18" t="str">
        <f>IF(COUNTIF($A$2:A109, A109) = 1, A109, "")</f>
        <v/>
      </c>
    </row>
    <row r="111" spans="6:38" x14ac:dyDescent="0.2">
      <c r="F111" t="str">
        <f t="shared" si="22"/>
        <v/>
      </c>
      <c r="L111" s="7" t="str">
        <f t="shared" si="23"/>
        <v/>
      </c>
      <c r="N111" s="7" t="str">
        <f t="shared" si="24"/>
        <v/>
      </c>
      <c r="O111" t="str">
        <f t="shared" si="25"/>
        <v/>
      </c>
      <c r="P111" t="str">
        <f t="shared" si="27"/>
        <v/>
      </c>
      <c r="Q111" t="str">
        <f t="shared" si="26"/>
        <v/>
      </c>
      <c r="S111" t="str">
        <f>""</f>
        <v/>
      </c>
      <c r="AL111" s="18" t="str">
        <f>IF(COUNTIF($A$2:A110, A110) = 1, A110, "")</f>
        <v/>
      </c>
    </row>
    <row r="112" spans="6:38" x14ac:dyDescent="0.2">
      <c r="F112" t="str">
        <f t="shared" si="22"/>
        <v/>
      </c>
      <c r="L112" s="7" t="str">
        <f t="shared" si="23"/>
        <v/>
      </c>
      <c r="N112" s="7" t="str">
        <f t="shared" si="24"/>
        <v/>
      </c>
      <c r="O112" t="str">
        <f t="shared" si="25"/>
        <v/>
      </c>
      <c r="P112" t="str">
        <f t="shared" si="27"/>
        <v/>
      </c>
      <c r="Q112" t="str">
        <f t="shared" si="26"/>
        <v/>
      </c>
      <c r="S112" t="str">
        <f>""</f>
        <v/>
      </c>
      <c r="AL112" s="18" t="str">
        <f>IF(COUNTIF($A$2:A111, A111) = 1, A111, "")</f>
        <v/>
      </c>
    </row>
    <row r="113" spans="6:38" x14ac:dyDescent="0.2">
      <c r="F113" t="str">
        <f t="shared" si="22"/>
        <v/>
      </c>
      <c r="L113" s="7" t="str">
        <f t="shared" si="23"/>
        <v/>
      </c>
      <c r="N113" s="7" t="str">
        <f t="shared" si="24"/>
        <v/>
      </c>
      <c r="O113" t="str">
        <f t="shared" si="25"/>
        <v/>
      </c>
      <c r="P113" t="str">
        <f t="shared" si="27"/>
        <v/>
      </c>
      <c r="Q113" t="str">
        <f t="shared" si="26"/>
        <v/>
      </c>
      <c r="S113" t="str">
        <f>""</f>
        <v/>
      </c>
      <c r="AL113" s="18" t="str">
        <f>IF(COUNTIF($A$2:A112, A112) = 1, A112, "")</f>
        <v/>
      </c>
    </row>
    <row r="114" spans="6:38" x14ac:dyDescent="0.2">
      <c r="F114" t="str">
        <f t="shared" si="22"/>
        <v/>
      </c>
      <c r="L114" s="7" t="str">
        <f t="shared" si="23"/>
        <v/>
      </c>
      <c r="N114" s="7" t="str">
        <f t="shared" si="24"/>
        <v/>
      </c>
      <c r="O114" t="str">
        <f t="shared" si="25"/>
        <v/>
      </c>
      <c r="P114" t="str">
        <f t="shared" si="27"/>
        <v/>
      </c>
      <c r="Q114" t="str">
        <f t="shared" si="26"/>
        <v/>
      </c>
      <c r="S114" t="str">
        <f>""</f>
        <v/>
      </c>
      <c r="AL114" s="18" t="str">
        <f>IF(COUNTIF($A$2:A113, A113) = 1, A113, "")</f>
        <v/>
      </c>
    </row>
    <row r="115" spans="6:38" x14ac:dyDescent="0.2">
      <c r="F115" t="str">
        <f t="shared" si="22"/>
        <v/>
      </c>
      <c r="L115" s="7" t="str">
        <f t="shared" si="23"/>
        <v/>
      </c>
      <c r="N115" s="7" t="str">
        <f t="shared" si="24"/>
        <v/>
      </c>
      <c r="O115" t="str">
        <f t="shared" si="25"/>
        <v/>
      </c>
      <c r="P115" t="str">
        <f t="shared" si="27"/>
        <v/>
      </c>
      <c r="Q115" t="str">
        <f t="shared" si="26"/>
        <v/>
      </c>
      <c r="S115" t="str">
        <f>""</f>
        <v/>
      </c>
      <c r="AL115" s="18" t="str">
        <f>IF(COUNTIF($A$2:A114, A114) = 1, A114, "")</f>
        <v/>
      </c>
    </row>
    <row r="116" spans="6:38" x14ac:dyDescent="0.2">
      <c r="F116" t="str">
        <f t="shared" si="22"/>
        <v/>
      </c>
      <c r="L116" s="7" t="str">
        <f t="shared" si="23"/>
        <v/>
      </c>
      <c r="N116" s="7" t="str">
        <f t="shared" si="24"/>
        <v/>
      </c>
      <c r="O116" t="str">
        <f t="shared" si="25"/>
        <v/>
      </c>
      <c r="P116" t="str">
        <f t="shared" si="27"/>
        <v/>
      </c>
      <c r="Q116" t="str">
        <f t="shared" si="26"/>
        <v/>
      </c>
      <c r="S116" t="str">
        <f>""</f>
        <v/>
      </c>
      <c r="AL116" s="18" t="str">
        <f>IF(COUNTIF($A$2:A115, A115) = 1, A115, "")</f>
        <v/>
      </c>
    </row>
    <row r="117" spans="6:38" x14ac:dyDescent="0.2">
      <c r="F117" t="str">
        <f t="shared" si="22"/>
        <v/>
      </c>
      <c r="L117" s="7" t="str">
        <f t="shared" si="23"/>
        <v/>
      </c>
      <c r="N117" s="7" t="str">
        <f t="shared" si="24"/>
        <v/>
      </c>
      <c r="O117" t="str">
        <f t="shared" si="25"/>
        <v/>
      </c>
      <c r="P117" t="str">
        <f t="shared" si="27"/>
        <v/>
      </c>
      <c r="Q117" t="str">
        <f t="shared" si="26"/>
        <v/>
      </c>
      <c r="S117" t="str">
        <f>""</f>
        <v/>
      </c>
      <c r="AL117" s="18" t="str">
        <f>IF(COUNTIF($A$2:A116, A116) = 1, A116, "")</f>
        <v/>
      </c>
    </row>
    <row r="118" spans="6:38" x14ac:dyDescent="0.2">
      <c r="F118" t="str">
        <f t="shared" si="22"/>
        <v/>
      </c>
      <c r="L118" s="7" t="str">
        <f t="shared" si="23"/>
        <v/>
      </c>
      <c r="N118" s="7" t="str">
        <f t="shared" si="24"/>
        <v/>
      </c>
      <c r="O118" t="str">
        <f t="shared" si="25"/>
        <v/>
      </c>
      <c r="P118" t="str">
        <f t="shared" si="27"/>
        <v/>
      </c>
      <c r="Q118" t="str">
        <f t="shared" si="26"/>
        <v/>
      </c>
      <c r="S118" t="str">
        <f>""</f>
        <v/>
      </c>
      <c r="AL118" s="18" t="str">
        <f>IF(COUNTIF($A$2:A117, A117) = 1, A117, "")</f>
        <v/>
      </c>
    </row>
    <row r="119" spans="6:38" x14ac:dyDescent="0.2">
      <c r="F119" t="str">
        <f t="shared" si="22"/>
        <v/>
      </c>
      <c r="L119" s="7" t="str">
        <f t="shared" si="23"/>
        <v/>
      </c>
      <c r="N119" s="7" t="str">
        <f t="shared" si="24"/>
        <v/>
      </c>
      <c r="O119" t="str">
        <f t="shared" si="25"/>
        <v/>
      </c>
      <c r="P119" t="str">
        <f t="shared" si="27"/>
        <v/>
      </c>
      <c r="Q119" t="str">
        <f t="shared" si="26"/>
        <v/>
      </c>
      <c r="S119" t="str">
        <f>""</f>
        <v/>
      </c>
      <c r="AL119" s="18" t="str">
        <f>IF(COUNTIF($A$2:A118, A118) = 1, A118, "")</f>
        <v/>
      </c>
    </row>
    <row r="120" spans="6:38" x14ac:dyDescent="0.2">
      <c r="F120" t="str">
        <f t="shared" si="22"/>
        <v/>
      </c>
      <c r="L120" s="7" t="str">
        <f t="shared" si="23"/>
        <v/>
      </c>
      <c r="N120" s="7" t="str">
        <f t="shared" si="24"/>
        <v/>
      </c>
      <c r="O120" t="str">
        <f t="shared" si="25"/>
        <v/>
      </c>
      <c r="P120" t="str">
        <f t="shared" si="27"/>
        <v/>
      </c>
      <c r="Q120" t="str">
        <f t="shared" si="26"/>
        <v/>
      </c>
      <c r="S120" t="str">
        <f>""</f>
        <v/>
      </c>
      <c r="AL120" s="18" t="str">
        <f>IF(COUNTIF($A$2:A119, A119) = 1, A119, "")</f>
        <v/>
      </c>
    </row>
    <row r="121" spans="6:38" x14ac:dyDescent="0.2">
      <c r="F121" t="str">
        <f t="shared" si="22"/>
        <v/>
      </c>
      <c r="L121" s="7" t="str">
        <f t="shared" si="23"/>
        <v/>
      </c>
      <c r="N121" s="7" t="str">
        <f t="shared" si="24"/>
        <v/>
      </c>
      <c r="O121" t="str">
        <f t="shared" si="25"/>
        <v/>
      </c>
      <c r="P121" t="str">
        <f t="shared" si="27"/>
        <v/>
      </c>
      <c r="Q121" t="str">
        <f t="shared" si="26"/>
        <v/>
      </c>
      <c r="S121" t="str">
        <f>""</f>
        <v/>
      </c>
      <c r="AL121" s="18" t="str">
        <f>IF(COUNTIF($A$2:A120, A120) = 1, A120, "")</f>
        <v/>
      </c>
    </row>
    <row r="122" spans="6:38" x14ac:dyDescent="0.2">
      <c r="F122" t="str">
        <f t="shared" si="22"/>
        <v/>
      </c>
      <c r="L122" s="7" t="str">
        <f t="shared" si="23"/>
        <v/>
      </c>
      <c r="N122" s="7" t="str">
        <f t="shared" si="24"/>
        <v/>
      </c>
      <c r="O122" t="str">
        <f t="shared" si="25"/>
        <v/>
      </c>
      <c r="P122" t="str">
        <f t="shared" si="27"/>
        <v/>
      </c>
      <c r="Q122" t="str">
        <f t="shared" si="26"/>
        <v/>
      </c>
      <c r="S122" t="str">
        <f>""</f>
        <v/>
      </c>
      <c r="AL122" s="18" t="str">
        <f>IF(COUNTIF($A$2:A121, A121) = 1, A121, "")</f>
        <v/>
      </c>
    </row>
    <row r="123" spans="6:38" x14ac:dyDescent="0.2">
      <c r="F123" t="str">
        <f t="shared" si="22"/>
        <v/>
      </c>
      <c r="L123" s="7" t="str">
        <f t="shared" si="23"/>
        <v/>
      </c>
      <c r="N123" s="7" t="str">
        <f t="shared" si="24"/>
        <v/>
      </c>
      <c r="O123" t="str">
        <f t="shared" si="25"/>
        <v/>
      </c>
      <c r="P123" t="str">
        <f t="shared" si="27"/>
        <v/>
      </c>
      <c r="Q123" t="str">
        <f t="shared" si="26"/>
        <v/>
      </c>
      <c r="S123" t="str">
        <f>""</f>
        <v/>
      </c>
      <c r="AL123" s="18" t="str">
        <f>IF(COUNTIF($A$2:A122, A122) = 1, A122, "")</f>
        <v/>
      </c>
    </row>
    <row r="124" spans="6:38" x14ac:dyDescent="0.2">
      <c r="F124" t="str">
        <f t="shared" si="22"/>
        <v/>
      </c>
      <c r="L124" s="7" t="str">
        <f t="shared" si="23"/>
        <v/>
      </c>
      <c r="N124" s="7" t="str">
        <f t="shared" si="24"/>
        <v/>
      </c>
      <c r="O124" t="str">
        <f t="shared" si="25"/>
        <v/>
      </c>
      <c r="P124" t="str">
        <f t="shared" si="27"/>
        <v/>
      </c>
      <c r="Q124" t="str">
        <f t="shared" si="26"/>
        <v/>
      </c>
      <c r="S124" t="str">
        <f>""</f>
        <v/>
      </c>
      <c r="AL124" s="18" t="str">
        <f>IF(COUNTIF($A$2:A123, A123) = 1, A123, "")</f>
        <v/>
      </c>
    </row>
    <row r="125" spans="6:38" x14ac:dyDescent="0.2">
      <c r="F125" t="str">
        <f t="shared" si="22"/>
        <v/>
      </c>
      <c r="L125" s="7" t="str">
        <f t="shared" si="23"/>
        <v/>
      </c>
      <c r="N125" s="7" t="str">
        <f t="shared" si="24"/>
        <v/>
      </c>
      <c r="O125" t="str">
        <f t="shared" si="25"/>
        <v/>
      </c>
      <c r="P125" t="str">
        <f t="shared" si="27"/>
        <v/>
      </c>
      <c r="Q125" t="str">
        <f t="shared" si="26"/>
        <v/>
      </c>
      <c r="S125" t="str">
        <f>""</f>
        <v/>
      </c>
      <c r="AL125" s="18" t="str">
        <f>IF(COUNTIF($A$2:A124, A124) = 1, A124, "")</f>
        <v/>
      </c>
    </row>
    <row r="126" spans="6:38" x14ac:dyDescent="0.2">
      <c r="F126" t="str">
        <f t="shared" si="22"/>
        <v/>
      </c>
      <c r="L126" s="7" t="str">
        <f t="shared" si="23"/>
        <v/>
      </c>
      <c r="N126" s="7" t="str">
        <f t="shared" si="24"/>
        <v/>
      </c>
      <c r="O126" t="str">
        <f t="shared" si="25"/>
        <v/>
      </c>
      <c r="P126" t="str">
        <f t="shared" si="27"/>
        <v/>
      </c>
      <c r="Q126" t="str">
        <f t="shared" si="26"/>
        <v/>
      </c>
      <c r="S126" t="str">
        <f>""</f>
        <v/>
      </c>
      <c r="AL126" s="18" t="str">
        <f>IF(COUNTIF($A$2:A125, A125) = 1, A125, "")</f>
        <v/>
      </c>
    </row>
    <row r="127" spans="6:38" x14ac:dyDescent="0.2">
      <c r="F127" t="str">
        <f t="shared" si="22"/>
        <v/>
      </c>
      <c r="L127" s="7" t="str">
        <f t="shared" si="23"/>
        <v/>
      </c>
      <c r="N127" s="7" t="str">
        <f t="shared" si="24"/>
        <v/>
      </c>
      <c r="O127" t="str">
        <f t="shared" si="25"/>
        <v/>
      </c>
      <c r="P127" t="str">
        <f t="shared" si="27"/>
        <v/>
      </c>
      <c r="Q127" t="str">
        <f t="shared" si="26"/>
        <v/>
      </c>
      <c r="S127" t="str">
        <f>""</f>
        <v/>
      </c>
      <c r="AL127" s="18" t="str">
        <f>IF(COUNTIF($A$2:A126, A126) = 1, A126, "")</f>
        <v/>
      </c>
    </row>
    <row r="128" spans="6:38" x14ac:dyDescent="0.2">
      <c r="F128" t="str">
        <f t="shared" si="22"/>
        <v/>
      </c>
      <c r="L128" s="7" t="str">
        <f t="shared" si="23"/>
        <v/>
      </c>
      <c r="N128" s="7" t="str">
        <f t="shared" si="24"/>
        <v/>
      </c>
      <c r="O128" t="str">
        <f t="shared" si="25"/>
        <v/>
      </c>
      <c r="P128" t="str">
        <f t="shared" si="27"/>
        <v/>
      </c>
      <c r="Q128" t="str">
        <f t="shared" si="26"/>
        <v/>
      </c>
      <c r="S128" t="str">
        <f>""</f>
        <v/>
      </c>
      <c r="AL128" s="18" t="str">
        <f>IF(COUNTIF($A$2:A127, A127) = 1, A127, "")</f>
        <v/>
      </c>
    </row>
    <row r="129" spans="6:38" x14ac:dyDescent="0.2">
      <c r="F129" t="str">
        <f t="shared" si="22"/>
        <v/>
      </c>
      <c r="L129" s="7" t="str">
        <f t="shared" si="23"/>
        <v/>
      </c>
      <c r="N129" s="7" t="str">
        <f t="shared" si="24"/>
        <v/>
      </c>
      <c r="O129" t="str">
        <f t="shared" si="25"/>
        <v/>
      </c>
      <c r="P129" t="str">
        <f t="shared" si="27"/>
        <v/>
      </c>
      <c r="Q129" t="str">
        <f t="shared" si="26"/>
        <v/>
      </c>
      <c r="S129" t="str">
        <f>""</f>
        <v/>
      </c>
      <c r="AL129" s="18" t="str">
        <f>IF(COUNTIF($A$2:A128, A128) = 1, A128, "")</f>
        <v/>
      </c>
    </row>
    <row r="130" spans="6:38" x14ac:dyDescent="0.2">
      <c r="F130" t="str">
        <f t="shared" ref="F130:F143" si="28">IF(OR(O130="", P130=""), "", SUM(IF((O130&lt;&gt;"None")*(O130&lt;&gt;""),LEN(O130)-LEN(SUBSTITUTE(O130,",",""))+1,0)) + SUM(IF((P130&lt;&gt;"None")*(P130&lt;&gt;""),LEN(P130)-LEN(SUBSTITUTE(P130,",",""))+1,0)))</f>
        <v/>
      </c>
      <c r="L130" s="7" t="str">
        <f t="shared" ref="L130:L143" si="29">IF(LEN(E130)=0, "", IFERROR(IF(E130&gt;=0, K130 * (1 + E130/100) - K130, K130 / (ABS(E130)/100))+K130, ""))</f>
        <v/>
      </c>
      <c r="N130" s="7" t="str">
        <f t="shared" ref="N130:N143" si="30">IF(M130="Yes",L130-K130,IF(M130="No",-K130,""))</f>
        <v/>
      </c>
      <c r="O130" t="str">
        <f t="shared" ref="O130:O143" si="31">IF(AND(G130="No",H130="No"), "None", "")</f>
        <v/>
      </c>
      <c r="P130" t="str">
        <f t="shared" si="27"/>
        <v/>
      </c>
      <c r="Q130" t="str">
        <f t="shared" ref="Q130:Q143" si="32">IF(AND(D130="Straight", M130 = "No"),IF(O130="None",P130,IF(P130="None",O130) ),"")</f>
        <v/>
      </c>
      <c r="S130" t="str">
        <f>""</f>
        <v/>
      </c>
      <c r="AL130" s="18" t="str">
        <f>IF(COUNTIF($A$2:A129, A129) = 1, A129, "")</f>
        <v/>
      </c>
    </row>
    <row r="131" spans="6:38" x14ac:dyDescent="0.2">
      <c r="F131" t="str">
        <f t="shared" si="28"/>
        <v/>
      </c>
      <c r="L131" s="7" t="str">
        <f t="shared" si="29"/>
        <v/>
      </c>
      <c r="N131" s="7" t="str">
        <f t="shared" si="30"/>
        <v/>
      </c>
      <c r="O131" t="str">
        <f t="shared" si="31"/>
        <v/>
      </c>
      <c r="P131" t="str">
        <f t="shared" si="27"/>
        <v/>
      </c>
      <c r="Q131" t="str">
        <f t="shared" si="32"/>
        <v/>
      </c>
      <c r="S131" t="str">
        <f>""</f>
        <v/>
      </c>
      <c r="AL131" s="18" t="str">
        <f>IF(COUNTIF($A$2:A130, A130) = 1, A130, "")</f>
        <v/>
      </c>
    </row>
    <row r="132" spans="6:38" x14ac:dyDescent="0.2">
      <c r="F132" t="str">
        <f t="shared" si="28"/>
        <v/>
      </c>
      <c r="L132" s="7" t="str">
        <f t="shared" si="29"/>
        <v/>
      </c>
      <c r="N132" s="7" t="str">
        <f t="shared" si="30"/>
        <v/>
      </c>
      <c r="O132" t="str">
        <f t="shared" si="31"/>
        <v/>
      </c>
      <c r="P132" t="str">
        <f t="shared" si="27"/>
        <v/>
      </c>
      <c r="Q132" t="str">
        <f t="shared" si="32"/>
        <v/>
      </c>
      <c r="S132" t="str">
        <f>""</f>
        <v/>
      </c>
      <c r="AL132" s="18" t="str">
        <f>IF(COUNTIF($A$2:A131, A131) = 1, A131, "")</f>
        <v/>
      </c>
    </row>
    <row r="133" spans="6:38" x14ac:dyDescent="0.2">
      <c r="F133" t="str">
        <f t="shared" si="28"/>
        <v/>
      </c>
      <c r="L133" s="7" t="str">
        <f t="shared" si="29"/>
        <v/>
      </c>
      <c r="N133" s="7" t="str">
        <f t="shared" si="30"/>
        <v/>
      </c>
      <c r="O133" t="str">
        <f t="shared" si="31"/>
        <v/>
      </c>
      <c r="P133" t="str">
        <f t="shared" si="27"/>
        <v/>
      </c>
      <c r="Q133" t="str">
        <f t="shared" si="32"/>
        <v/>
      </c>
      <c r="S133" t="str">
        <f>""</f>
        <v/>
      </c>
      <c r="AL133" s="18" t="str">
        <f>IF(COUNTIF($A$2:A132, A132) = 1, A132, "")</f>
        <v/>
      </c>
    </row>
    <row r="134" spans="6:38" x14ac:dyDescent="0.2">
      <c r="F134" t="str">
        <f t="shared" si="28"/>
        <v/>
      </c>
      <c r="L134" s="7" t="str">
        <f t="shared" si="29"/>
        <v/>
      </c>
      <c r="N134" s="7" t="str">
        <f t="shared" si="30"/>
        <v/>
      </c>
      <c r="O134" t="str">
        <f t="shared" si="31"/>
        <v/>
      </c>
      <c r="P134" t="str">
        <f t="shared" si="27"/>
        <v/>
      </c>
      <c r="Q134" t="str">
        <f t="shared" si="32"/>
        <v/>
      </c>
      <c r="S134" t="str">
        <f>""</f>
        <v/>
      </c>
      <c r="AL134" s="18" t="str">
        <f>IF(COUNTIF($A$2:A133, A133) = 1, A133, "")</f>
        <v/>
      </c>
    </row>
    <row r="135" spans="6:38" x14ac:dyDescent="0.2">
      <c r="F135" t="str">
        <f t="shared" si="28"/>
        <v/>
      </c>
      <c r="L135" s="7" t="str">
        <f t="shared" si="29"/>
        <v/>
      </c>
      <c r="N135" s="7" t="str">
        <f t="shared" si="30"/>
        <v/>
      </c>
      <c r="O135" t="str">
        <f t="shared" si="31"/>
        <v/>
      </c>
      <c r="P135" t="str">
        <f t="shared" si="27"/>
        <v/>
      </c>
      <c r="Q135" t="str">
        <f t="shared" si="32"/>
        <v/>
      </c>
      <c r="S135" t="str">
        <f>""</f>
        <v/>
      </c>
      <c r="AL135" s="18" t="str">
        <f>IF(COUNTIF($A$2:A134, A134) = 1, A134, "")</f>
        <v/>
      </c>
    </row>
    <row r="136" spans="6:38" x14ac:dyDescent="0.2">
      <c r="F136" t="str">
        <f t="shared" si="28"/>
        <v/>
      </c>
      <c r="L136" s="7" t="str">
        <f t="shared" si="29"/>
        <v/>
      </c>
      <c r="N136" s="7" t="str">
        <f t="shared" si="30"/>
        <v/>
      </c>
      <c r="O136" t="str">
        <f t="shared" si="31"/>
        <v/>
      </c>
      <c r="P136" t="str">
        <f t="shared" si="27"/>
        <v/>
      </c>
      <c r="Q136" t="str">
        <f t="shared" si="32"/>
        <v/>
      </c>
      <c r="S136" t="str">
        <f>""</f>
        <v/>
      </c>
      <c r="AL136" s="18" t="str">
        <f>IF(COUNTIF($A$2:A135, A135) = 1, A135, "")</f>
        <v/>
      </c>
    </row>
    <row r="137" spans="6:38" x14ac:dyDescent="0.2">
      <c r="F137" t="str">
        <f t="shared" si="28"/>
        <v/>
      </c>
      <c r="L137" s="7" t="str">
        <f t="shared" si="29"/>
        <v/>
      </c>
      <c r="N137" s="7" t="str">
        <f t="shared" si="30"/>
        <v/>
      </c>
      <c r="O137" t="str">
        <f t="shared" si="31"/>
        <v/>
      </c>
      <c r="P137" t="str">
        <f t="shared" si="27"/>
        <v/>
      </c>
      <c r="Q137" t="str">
        <f t="shared" si="32"/>
        <v/>
      </c>
      <c r="S137" t="str">
        <f>""</f>
        <v/>
      </c>
      <c r="AL137" s="18" t="str">
        <f>IF(COUNTIF($A$2:A136, A136) = 1, A136, "")</f>
        <v/>
      </c>
    </row>
    <row r="138" spans="6:38" x14ac:dyDescent="0.2">
      <c r="F138" t="str">
        <f t="shared" si="28"/>
        <v/>
      </c>
      <c r="L138" s="7" t="str">
        <f t="shared" si="29"/>
        <v/>
      </c>
      <c r="N138" s="7" t="str">
        <f t="shared" si="30"/>
        <v/>
      </c>
      <c r="O138" t="str">
        <f t="shared" si="31"/>
        <v/>
      </c>
      <c r="P138" t="str">
        <f t="shared" si="27"/>
        <v/>
      </c>
      <c r="Q138" t="str">
        <f t="shared" si="32"/>
        <v/>
      </c>
      <c r="S138" t="str">
        <f>""</f>
        <v/>
      </c>
      <c r="AL138" s="18" t="str">
        <f>IF(COUNTIF($A$2:A137, A137) = 1, A137, "")</f>
        <v/>
      </c>
    </row>
    <row r="139" spans="6:38" x14ac:dyDescent="0.2">
      <c r="F139" t="str">
        <f t="shared" si="28"/>
        <v/>
      </c>
      <c r="L139" s="7" t="str">
        <f t="shared" si="29"/>
        <v/>
      </c>
      <c r="N139" s="7" t="str">
        <f t="shared" si="30"/>
        <v/>
      </c>
      <c r="O139" t="str">
        <f t="shared" si="31"/>
        <v/>
      </c>
      <c r="P139" t="str">
        <f t="shared" si="27"/>
        <v/>
      </c>
      <c r="Q139" t="str">
        <f t="shared" si="32"/>
        <v/>
      </c>
      <c r="S139" t="str">
        <f>""</f>
        <v/>
      </c>
      <c r="AL139" s="18" t="str">
        <f>IF(COUNTIF($A$2:A138, A138) = 1, A138, "")</f>
        <v/>
      </c>
    </row>
    <row r="140" spans="6:38" x14ac:dyDescent="0.2">
      <c r="F140" t="str">
        <f t="shared" si="28"/>
        <v/>
      </c>
      <c r="L140" s="7" t="str">
        <f t="shared" si="29"/>
        <v/>
      </c>
      <c r="N140" s="7" t="str">
        <f t="shared" si="30"/>
        <v/>
      </c>
      <c r="O140" t="str">
        <f t="shared" si="31"/>
        <v/>
      </c>
      <c r="P140" t="str">
        <f t="shared" si="27"/>
        <v/>
      </c>
      <c r="Q140" t="str">
        <f t="shared" si="32"/>
        <v/>
      </c>
      <c r="S140" t="str">
        <f>""</f>
        <v/>
      </c>
      <c r="AL140" s="18" t="str">
        <f>IF(COUNTIF($A$2:A139, A139) = 1, A139, "")</f>
        <v/>
      </c>
    </row>
    <row r="141" spans="6:38" x14ac:dyDescent="0.2">
      <c r="F141" t="str">
        <f t="shared" si="28"/>
        <v/>
      </c>
      <c r="L141" s="7" t="str">
        <f t="shared" si="29"/>
        <v/>
      </c>
      <c r="N141" s="7" t="str">
        <f t="shared" si="30"/>
        <v/>
      </c>
      <c r="O141" t="str">
        <f t="shared" si="31"/>
        <v/>
      </c>
      <c r="P141" t="str">
        <f t="shared" si="27"/>
        <v/>
      </c>
      <c r="Q141" t="str">
        <f t="shared" si="32"/>
        <v/>
      </c>
      <c r="S141" t="str">
        <f>""</f>
        <v/>
      </c>
      <c r="AL141" s="18" t="str">
        <f>IF(COUNTIF($A$2:A140, A140) = 1, A140, "")</f>
        <v/>
      </c>
    </row>
    <row r="142" spans="6:38" x14ac:dyDescent="0.2">
      <c r="F142" t="str">
        <f t="shared" si="28"/>
        <v/>
      </c>
      <c r="L142" s="7" t="str">
        <f t="shared" si="29"/>
        <v/>
      </c>
      <c r="N142" s="7" t="str">
        <f t="shared" si="30"/>
        <v/>
      </c>
      <c r="O142" t="str">
        <f t="shared" si="31"/>
        <v/>
      </c>
      <c r="P142" t="str">
        <f t="shared" si="27"/>
        <v/>
      </c>
      <c r="Q142" t="str">
        <f t="shared" si="32"/>
        <v/>
      </c>
      <c r="S142" t="str">
        <f>""</f>
        <v/>
      </c>
      <c r="AL142" s="18" t="str">
        <f>IF(COUNTIF($A$2:A141, A141) = 1, A141, "")</f>
        <v/>
      </c>
    </row>
    <row r="143" spans="6:38" x14ac:dyDescent="0.2">
      <c r="F143" t="str">
        <f t="shared" si="28"/>
        <v/>
      </c>
      <c r="L143" s="7" t="str">
        <f t="shared" si="29"/>
        <v/>
      </c>
      <c r="N143" s="7" t="str">
        <f t="shared" si="30"/>
        <v/>
      </c>
      <c r="O143" t="str">
        <f t="shared" si="31"/>
        <v/>
      </c>
      <c r="P143" t="str">
        <f t="shared" si="27"/>
        <v/>
      </c>
      <c r="Q143" t="str">
        <f t="shared" si="32"/>
        <v/>
      </c>
      <c r="S143" t="str">
        <f>""</f>
        <v/>
      </c>
      <c r="AL143" s="18" t="str">
        <f>IF(COUNTIF($A$2:A142, A142) = 1, A142, "")</f>
        <v/>
      </c>
    </row>
    <row r="144" spans="6:38" x14ac:dyDescent="0.2">
      <c r="F144" t="str">
        <f t="shared" ref="F144:F207" si="33">IF(OR(O144="", P144=""), "", SUM(IF((O144&lt;&gt;"None")*(O144&lt;&gt;""),LEN(O144)-LEN(SUBSTITUTE(O144,",",""))+1,0)) + SUM(IF((P144&lt;&gt;"None")*(P144&lt;&gt;""),LEN(P144)-LEN(SUBSTITUTE(P144,",",""))+1,0)))</f>
        <v/>
      </c>
      <c r="L144" s="7" t="str">
        <f t="shared" ref="L144:L207" si="34">IF(LEN(E144)=0, "", IFERROR(IF(E144&gt;=0, K144 * (1 + E144/100) - K144, K144 / (ABS(E144)/100))+K144, ""))</f>
        <v/>
      </c>
      <c r="N144" s="7" t="str">
        <f t="shared" ref="N144:N207" si="35">IF(M144="Yes",L144-K144,IF(M144="No",-K144,""))</f>
        <v/>
      </c>
      <c r="O144" t="str">
        <f t="shared" ref="O144:O207" si="36">IF(AND(G144="No",H144="No"), "None", "")</f>
        <v/>
      </c>
      <c r="P144" t="str">
        <f t="shared" ref="P144:P207" si="37">IF(I144="No", "None", "")</f>
        <v/>
      </c>
      <c r="Q144" t="str">
        <f t="shared" ref="Q144:Q207" si="38">IF(AND(D144="Straight", M144 = "No"),IF(O144="None",P144,IF(P144="None",O144) ),"")</f>
        <v/>
      </c>
      <c r="S144" t="str">
        <f>""</f>
        <v/>
      </c>
      <c r="AL144" s="18" t="str">
        <f>IF(COUNTIF($A$2:A143, A143) = 1, A143, "")</f>
        <v/>
      </c>
    </row>
    <row r="145" spans="6:38" x14ac:dyDescent="0.2">
      <c r="F145" t="str">
        <f t="shared" si="33"/>
        <v/>
      </c>
      <c r="L145" s="7" t="str">
        <f t="shared" si="34"/>
        <v/>
      </c>
      <c r="N145" s="7" t="str">
        <f t="shared" si="35"/>
        <v/>
      </c>
      <c r="O145" t="str">
        <f t="shared" si="36"/>
        <v/>
      </c>
      <c r="P145" t="str">
        <f t="shared" si="37"/>
        <v/>
      </c>
      <c r="Q145" t="str">
        <f t="shared" si="38"/>
        <v/>
      </c>
      <c r="S145" t="str">
        <f>""</f>
        <v/>
      </c>
      <c r="AL145" s="18" t="str">
        <f>IF(COUNTIF($A$2:A144, A144) = 1, A144, "")</f>
        <v/>
      </c>
    </row>
    <row r="146" spans="6:38" x14ac:dyDescent="0.2">
      <c r="F146" t="str">
        <f t="shared" si="33"/>
        <v/>
      </c>
      <c r="L146" s="7" t="str">
        <f t="shared" si="34"/>
        <v/>
      </c>
      <c r="N146" s="7" t="str">
        <f t="shared" si="35"/>
        <v/>
      </c>
      <c r="O146" t="str">
        <f t="shared" si="36"/>
        <v/>
      </c>
      <c r="P146" t="str">
        <f t="shared" si="37"/>
        <v/>
      </c>
      <c r="Q146" t="str">
        <f t="shared" si="38"/>
        <v/>
      </c>
      <c r="S146" t="str">
        <f>""</f>
        <v/>
      </c>
      <c r="AL146" s="18" t="str">
        <f>IF(COUNTIF($A$2:A145, A145) = 1, A145, "")</f>
        <v/>
      </c>
    </row>
    <row r="147" spans="6:38" x14ac:dyDescent="0.2">
      <c r="F147" t="str">
        <f t="shared" si="33"/>
        <v/>
      </c>
      <c r="L147" s="7" t="str">
        <f t="shared" si="34"/>
        <v/>
      </c>
      <c r="N147" s="7" t="str">
        <f t="shared" si="35"/>
        <v/>
      </c>
      <c r="O147" t="str">
        <f t="shared" si="36"/>
        <v/>
      </c>
      <c r="P147" t="str">
        <f t="shared" si="37"/>
        <v/>
      </c>
      <c r="Q147" t="str">
        <f t="shared" si="38"/>
        <v/>
      </c>
      <c r="S147" t="str">
        <f>""</f>
        <v/>
      </c>
      <c r="AL147" s="18" t="str">
        <f>IF(COUNTIF($A$2:A146, A146) = 1, A146, "")</f>
        <v/>
      </c>
    </row>
    <row r="148" spans="6:38" x14ac:dyDescent="0.2">
      <c r="F148" t="str">
        <f t="shared" si="33"/>
        <v/>
      </c>
      <c r="L148" s="7" t="str">
        <f t="shared" si="34"/>
        <v/>
      </c>
      <c r="N148" s="7" t="str">
        <f t="shared" si="35"/>
        <v/>
      </c>
      <c r="O148" t="str">
        <f t="shared" si="36"/>
        <v/>
      </c>
      <c r="P148" t="str">
        <f t="shared" si="37"/>
        <v/>
      </c>
      <c r="Q148" t="str">
        <f t="shared" si="38"/>
        <v/>
      </c>
      <c r="S148" t="str">
        <f>""</f>
        <v/>
      </c>
      <c r="AL148" s="18" t="str">
        <f>IF(COUNTIF($A$2:A147, A147) = 1, A147, "")</f>
        <v/>
      </c>
    </row>
    <row r="149" spans="6:38" x14ac:dyDescent="0.2">
      <c r="F149" t="str">
        <f t="shared" si="33"/>
        <v/>
      </c>
      <c r="L149" s="7" t="str">
        <f t="shared" si="34"/>
        <v/>
      </c>
      <c r="N149" s="7" t="str">
        <f t="shared" si="35"/>
        <v/>
      </c>
      <c r="O149" t="str">
        <f t="shared" si="36"/>
        <v/>
      </c>
      <c r="P149" t="str">
        <f t="shared" si="37"/>
        <v/>
      </c>
      <c r="Q149" t="str">
        <f t="shared" si="38"/>
        <v/>
      </c>
      <c r="S149" t="str">
        <f>""</f>
        <v/>
      </c>
      <c r="AL149" s="18" t="str">
        <f>IF(COUNTIF($A$2:A148, A148) = 1, A148, "")</f>
        <v/>
      </c>
    </row>
    <row r="150" spans="6:38" x14ac:dyDescent="0.2">
      <c r="F150" t="str">
        <f t="shared" si="33"/>
        <v/>
      </c>
      <c r="L150" s="7" t="str">
        <f t="shared" si="34"/>
        <v/>
      </c>
      <c r="N150" s="7" t="str">
        <f t="shared" si="35"/>
        <v/>
      </c>
      <c r="O150" t="str">
        <f t="shared" si="36"/>
        <v/>
      </c>
      <c r="P150" t="str">
        <f t="shared" si="37"/>
        <v/>
      </c>
      <c r="Q150" t="str">
        <f t="shared" si="38"/>
        <v/>
      </c>
      <c r="S150" t="str">
        <f>""</f>
        <v/>
      </c>
      <c r="AL150" s="18" t="str">
        <f>IF(COUNTIF($A$2:A149, A149) = 1, A149, "")</f>
        <v/>
      </c>
    </row>
    <row r="151" spans="6:38" x14ac:dyDescent="0.2">
      <c r="F151" t="str">
        <f t="shared" si="33"/>
        <v/>
      </c>
      <c r="L151" s="7" t="str">
        <f t="shared" si="34"/>
        <v/>
      </c>
      <c r="N151" s="7" t="str">
        <f t="shared" si="35"/>
        <v/>
      </c>
      <c r="O151" t="str">
        <f t="shared" si="36"/>
        <v/>
      </c>
      <c r="P151" t="str">
        <f t="shared" si="37"/>
        <v/>
      </c>
      <c r="Q151" t="str">
        <f t="shared" si="38"/>
        <v/>
      </c>
      <c r="S151" t="str">
        <f>""</f>
        <v/>
      </c>
      <c r="AL151" s="18" t="str">
        <f>IF(COUNTIF($A$2:A150, A150) = 1, A150, "")</f>
        <v/>
      </c>
    </row>
    <row r="152" spans="6:38" x14ac:dyDescent="0.2">
      <c r="F152" t="str">
        <f t="shared" si="33"/>
        <v/>
      </c>
      <c r="L152" s="7" t="str">
        <f t="shared" si="34"/>
        <v/>
      </c>
      <c r="N152" s="7" t="str">
        <f t="shared" si="35"/>
        <v/>
      </c>
      <c r="O152" t="str">
        <f t="shared" si="36"/>
        <v/>
      </c>
      <c r="P152" t="str">
        <f t="shared" si="37"/>
        <v/>
      </c>
      <c r="Q152" t="str">
        <f t="shared" si="38"/>
        <v/>
      </c>
      <c r="S152" t="str">
        <f>""</f>
        <v/>
      </c>
      <c r="AL152" s="18" t="str">
        <f>IF(COUNTIF($A$2:A151, A151) = 1, A151, "")</f>
        <v/>
      </c>
    </row>
    <row r="153" spans="6:38" x14ac:dyDescent="0.2">
      <c r="F153" t="str">
        <f t="shared" si="33"/>
        <v/>
      </c>
      <c r="L153" s="7" t="str">
        <f t="shared" si="34"/>
        <v/>
      </c>
      <c r="N153" s="7" t="str">
        <f t="shared" si="35"/>
        <v/>
      </c>
      <c r="O153" t="str">
        <f t="shared" si="36"/>
        <v/>
      </c>
      <c r="P153" t="str">
        <f t="shared" si="37"/>
        <v/>
      </c>
      <c r="Q153" t="str">
        <f t="shared" si="38"/>
        <v/>
      </c>
      <c r="S153" t="str">
        <f>""</f>
        <v/>
      </c>
      <c r="AL153" s="18" t="str">
        <f>IF(COUNTIF($A$2:A152, A152) = 1, A152, "")</f>
        <v/>
      </c>
    </row>
    <row r="154" spans="6:38" x14ac:dyDescent="0.2">
      <c r="F154" t="str">
        <f t="shared" si="33"/>
        <v/>
      </c>
      <c r="L154" s="7" t="str">
        <f t="shared" si="34"/>
        <v/>
      </c>
      <c r="N154" s="7" t="str">
        <f t="shared" si="35"/>
        <v/>
      </c>
      <c r="O154" t="str">
        <f t="shared" si="36"/>
        <v/>
      </c>
      <c r="P154" t="str">
        <f t="shared" si="37"/>
        <v/>
      </c>
      <c r="Q154" t="str">
        <f t="shared" si="38"/>
        <v/>
      </c>
      <c r="S154" t="str">
        <f>""</f>
        <v/>
      </c>
      <c r="AL154" s="18" t="str">
        <f>IF(COUNTIF($A$2:A153, A153) = 1, A153, "")</f>
        <v/>
      </c>
    </row>
    <row r="155" spans="6:38" x14ac:dyDescent="0.2">
      <c r="F155" t="str">
        <f t="shared" si="33"/>
        <v/>
      </c>
      <c r="L155" s="7" t="str">
        <f t="shared" si="34"/>
        <v/>
      </c>
      <c r="N155" s="7" t="str">
        <f t="shared" si="35"/>
        <v/>
      </c>
      <c r="O155" t="str">
        <f t="shared" si="36"/>
        <v/>
      </c>
      <c r="P155" t="str">
        <f t="shared" si="37"/>
        <v/>
      </c>
      <c r="Q155" t="str">
        <f t="shared" si="38"/>
        <v/>
      </c>
      <c r="S155" t="str">
        <f>""</f>
        <v/>
      </c>
      <c r="AL155" s="18" t="str">
        <f>IF(COUNTIF($A$2:A154, A154) = 1, A154, "")</f>
        <v/>
      </c>
    </row>
    <row r="156" spans="6:38" x14ac:dyDescent="0.2">
      <c r="F156" t="str">
        <f t="shared" si="33"/>
        <v/>
      </c>
      <c r="L156" s="7" t="str">
        <f t="shared" si="34"/>
        <v/>
      </c>
      <c r="N156" s="7" t="str">
        <f t="shared" si="35"/>
        <v/>
      </c>
      <c r="O156" t="str">
        <f t="shared" si="36"/>
        <v/>
      </c>
      <c r="P156" t="str">
        <f t="shared" si="37"/>
        <v/>
      </c>
      <c r="Q156" t="str">
        <f t="shared" si="38"/>
        <v/>
      </c>
      <c r="S156" t="str">
        <f>""</f>
        <v/>
      </c>
      <c r="AL156" s="18" t="str">
        <f>IF(COUNTIF($A$2:A155, A155) = 1, A155, "")</f>
        <v/>
      </c>
    </row>
    <row r="157" spans="6:38" x14ac:dyDescent="0.2">
      <c r="F157" t="str">
        <f t="shared" si="33"/>
        <v/>
      </c>
      <c r="L157" s="7" t="str">
        <f t="shared" si="34"/>
        <v/>
      </c>
      <c r="N157" s="7" t="str">
        <f t="shared" si="35"/>
        <v/>
      </c>
      <c r="O157" t="str">
        <f t="shared" si="36"/>
        <v/>
      </c>
      <c r="P157" t="str">
        <f t="shared" si="37"/>
        <v/>
      </c>
      <c r="Q157" t="str">
        <f t="shared" si="38"/>
        <v/>
      </c>
      <c r="S157" t="str">
        <f>""</f>
        <v/>
      </c>
      <c r="AL157" s="18" t="str">
        <f>IF(COUNTIF($A$2:A156, A156) = 1, A156, "")</f>
        <v/>
      </c>
    </row>
    <row r="158" spans="6:38" x14ac:dyDescent="0.2">
      <c r="F158" t="str">
        <f t="shared" si="33"/>
        <v/>
      </c>
      <c r="L158" s="7" t="str">
        <f t="shared" si="34"/>
        <v/>
      </c>
      <c r="N158" s="7" t="str">
        <f t="shared" si="35"/>
        <v/>
      </c>
      <c r="O158" t="str">
        <f t="shared" si="36"/>
        <v/>
      </c>
      <c r="P158" t="str">
        <f t="shared" si="37"/>
        <v/>
      </c>
      <c r="Q158" t="str">
        <f t="shared" si="38"/>
        <v/>
      </c>
      <c r="S158" t="str">
        <f>""</f>
        <v/>
      </c>
      <c r="AL158" s="18" t="str">
        <f>IF(COUNTIF($A$2:A157, A157) = 1, A157, "")</f>
        <v/>
      </c>
    </row>
    <row r="159" spans="6:38" x14ac:dyDescent="0.2">
      <c r="F159" t="str">
        <f t="shared" si="33"/>
        <v/>
      </c>
      <c r="L159" s="7" t="str">
        <f t="shared" si="34"/>
        <v/>
      </c>
      <c r="N159" s="7" t="str">
        <f t="shared" si="35"/>
        <v/>
      </c>
      <c r="O159" t="str">
        <f t="shared" si="36"/>
        <v/>
      </c>
      <c r="P159" t="str">
        <f t="shared" si="37"/>
        <v/>
      </c>
      <c r="Q159" t="str">
        <f t="shared" si="38"/>
        <v/>
      </c>
      <c r="S159" t="str">
        <f>""</f>
        <v/>
      </c>
      <c r="AL159" s="18" t="str">
        <f>IF(COUNTIF($A$2:A158, A158) = 1, A158, "")</f>
        <v/>
      </c>
    </row>
    <row r="160" spans="6:38" x14ac:dyDescent="0.2">
      <c r="F160" t="str">
        <f t="shared" si="33"/>
        <v/>
      </c>
      <c r="L160" s="7" t="str">
        <f t="shared" si="34"/>
        <v/>
      </c>
      <c r="N160" s="7" t="str">
        <f t="shared" si="35"/>
        <v/>
      </c>
      <c r="O160" t="str">
        <f t="shared" si="36"/>
        <v/>
      </c>
      <c r="P160" t="str">
        <f t="shared" si="37"/>
        <v/>
      </c>
      <c r="Q160" t="str">
        <f t="shared" si="38"/>
        <v/>
      </c>
      <c r="S160" t="str">
        <f>""</f>
        <v/>
      </c>
      <c r="AL160" s="18" t="str">
        <f>IF(COUNTIF($A$2:A159, A159) = 1, A159, "")</f>
        <v/>
      </c>
    </row>
    <row r="161" spans="6:38" x14ac:dyDescent="0.2">
      <c r="F161" t="str">
        <f t="shared" si="33"/>
        <v/>
      </c>
      <c r="L161" s="7" t="str">
        <f t="shared" si="34"/>
        <v/>
      </c>
      <c r="N161" s="7" t="str">
        <f t="shared" si="35"/>
        <v/>
      </c>
      <c r="O161" t="str">
        <f t="shared" si="36"/>
        <v/>
      </c>
      <c r="P161" t="str">
        <f t="shared" si="37"/>
        <v/>
      </c>
      <c r="Q161" t="str">
        <f t="shared" si="38"/>
        <v/>
      </c>
      <c r="S161" t="str">
        <f>""</f>
        <v/>
      </c>
      <c r="AL161" s="18" t="str">
        <f>IF(COUNTIF($A$2:A160, A160) = 1, A160, "")</f>
        <v/>
      </c>
    </row>
    <row r="162" spans="6:38" x14ac:dyDescent="0.2">
      <c r="F162" t="str">
        <f t="shared" si="33"/>
        <v/>
      </c>
      <c r="L162" s="7" t="str">
        <f t="shared" si="34"/>
        <v/>
      </c>
      <c r="N162" s="7" t="str">
        <f t="shared" si="35"/>
        <v/>
      </c>
      <c r="O162" t="str">
        <f t="shared" si="36"/>
        <v/>
      </c>
      <c r="P162" t="str">
        <f t="shared" si="37"/>
        <v/>
      </c>
      <c r="Q162" t="str">
        <f t="shared" si="38"/>
        <v/>
      </c>
      <c r="S162" t="str">
        <f>""</f>
        <v/>
      </c>
      <c r="AL162" s="18" t="str">
        <f>IF(COUNTIF($A$2:A161, A161) = 1, A161, "")</f>
        <v/>
      </c>
    </row>
    <row r="163" spans="6:38" x14ac:dyDescent="0.2">
      <c r="F163" t="str">
        <f t="shared" si="33"/>
        <v/>
      </c>
      <c r="L163" s="7" t="str">
        <f t="shared" si="34"/>
        <v/>
      </c>
      <c r="N163" s="7" t="str">
        <f t="shared" si="35"/>
        <v/>
      </c>
      <c r="O163" t="str">
        <f t="shared" si="36"/>
        <v/>
      </c>
      <c r="P163" t="str">
        <f t="shared" si="37"/>
        <v/>
      </c>
      <c r="Q163" t="str">
        <f t="shared" si="38"/>
        <v/>
      </c>
      <c r="S163" t="str">
        <f>""</f>
        <v/>
      </c>
      <c r="AL163" s="18" t="str">
        <f>IF(COUNTIF($A$2:A162, A162) = 1, A162, "")</f>
        <v/>
      </c>
    </row>
    <row r="164" spans="6:38" x14ac:dyDescent="0.2">
      <c r="F164" t="str">
        <f t="shared" si="33"/>
        <v/>
      </c>
      <c r="L164" s="7" t="str">
        <f t="shared" si="34"/>
        <v/>
      </c>
      <c r="N164" s="7" t="str">
        <f t="shared" si="35"/>
        <v/>
      </c>
      <c r="O164" t="str">
        <f t="shared" si="36"/>
        <v/>
      </c>
      <c r="P164" t="str">
        <f t="shared" si="37"/>
        <v/>
      </c>
      <c r="Q164" t="str">
        <f t="shared" si="38"/>
        <v/>
      </c>
      <c r="S164" t="str">
        <f>""</f>
        <v/>
      </c>
      <c r="AL164" s="18" t="str">
        <f>IF(COUNTIF($A$2:A163, A163) = 1, A163, "")</f>
        <v/>
      </c>
    </row>
    <row r="165" spans="6:38" x14ac:dyDescent="0.2">
      <c r="F165" t="str">
        <f t="shared" si="33"/>
        <v/>
      </c>
      <c r="L165" s="7" t="str">
        <f t="shared" si="34"/>
        <v/>
      </c>
      <c r="N165" s="7" t="str">
        <f t="shared" si="35"/>
        <v/>
      </c>
      <c r="O165" t="str">
        <f t="shared" si="36"/>
        <v/>
      </c>
      <c r="P165" t="str">
        <f t="shared" si="37"/>
        <v/>
      </c>
      <c r="Q165" t="str">
        <f t="shared" si="38"/>
        <v/>
      </c>
      <c r="S165" t="str">
        <f>""</f>
        <v/>
      </c>
      <c r="AL165" s="18" t="str">
        <f>IF(COUNTIF($A$2:A164, A164) = 1, A164, "")</f>
        <v/>
      </c>
    </row>
    <row r="166" spans="6:38" x14ac:dyDescent="0.2">
      <c r="F166" t="str">
        <f t="shared" si="33"/>
        <v/>
      </c>
      <c r="L166" s="7" t="str">
        <f t="shared" si="34"/>
        <v/>
      </c>
      <c r="N166" s="7" t="str">
        <f t="shared" si="35"/>
        <v/>
      </c>
      <c r="O166" t="str">
        <f t="shared" si="36"/>
        <v/>
      </c>
      <c r="P166" t="str">
        <f t="shared" si="37"/>
        <v/>
      </c>
      <c r="Q166" t="str">
        <f t="shared" si="38"/>
        <v/>
      </c>
      <c r="S166" t="str">
        <f>""</f>
        <v/>
      </c>
      <c r="AL166" s="18" t="str">
        <f>IF(COUNTIF($A$2:A165, A165) = 1, A165, "")</f>
        <v/>
      </c>
    </row>
    <row r="167" spans="6:38" x14ac:dyDescent="0.2">
      <c r="F167" t="str">
        <f t="shared" si="33"/>
        <v/>
      </c>
      <c r="L167" s="7" t="str">
        <f t="shared" si="34"/>
        <v/>
      </c>
      <c r="N167" s="7" t="str">
        <f t="shared" si="35"/>
        <v/>
      </c>
      <c r="O167" t="str">
        <f t="shared" si="36"/>
        <v/>
      </c>
      <c r="P167" t="str">
        <f t="shared" si="37"/>
        <v/>
      </c>
      <c r="Q167" t="str">
        <f t="shared" si="38"/>
        <v/>
      </c>
      <c r="S167" t="str">
        <f>""</f>
        <v/>
      </c>
      <c r="AL167" s="18" t="str">
        <f>IF(COUNTIF($A$2:A166, A166) = 1, A166, "")</f>
        <v/>
      </c>
    </row>
    <row r="168" spans="6:38" x14ac:dyDescent="0.2">
      <c r="F168" t="str">
        <f t="shared" si="33"/>
        <v/>
      </c>
      <c r="L168" s="7" t="str">
        <f t="shared" si="34"/>
        <v/>
      </c>
      <c r="N168" s="7" t="str">
        <f t="shared" si="35"/>
        <v/>
      </c>
      <c r="O168" t="str">
        <f t="shared" si="36"/>
        <v/>
      </c>
      <c r="P168" t="str">
        <f t="shared" si="37"/>
        <v/>
      </c>
      <c r="Q168" t="str">
        <f t="shared" si="38"/>
        <v/>
      </c>
      <c r="S168" t="str">
        <f>""</f>
        <v/>
      </c>
      <c r="AL168" s="18" t="str">
        <f>IF(COUNTIF($A$2:A167, A167) = 1, A167, "")</f>
        <v/>
      </c>
    </row>
    <row r="169" spans="6:38" x14ac:dyDescent="0.2">
      <c r="F169" t="str">
        <f t="shared" si="33"/>
        <v/>
      </c>
      <c r="L169" s="7" t="str">
        <f t="shared" si="34"/>
        <v/>
      </c>
      <c r="N169" s="7" t="str">
        <f t="shared" si="35"/>
        <v/>
      </c>
      <c r="O169" t="str">
        <f t="shared" si="36"/>
        <v/>
      </c>
      <c r="P169" t="str">
        <f t="shared" si="37"/>
        <v/>
      </c>
      <c r="Q169" t="str">
        <f t="shared" si="38"/>
        <v/>
      </c>
      <c r="S169" t="str">
        <f>""</f>
        <v/>
      </c>
      <c r="AL169" s="18" t="str">
        <f>IF(COUNTIF($A$2:A168, A168) = 1, A168, "")</f>
        <v/>
      </c>
    </row>
    <row r="170" spans="6:38" x14ac:dyDescent="0.2">
      <c r="F170" t="str">
        <f t="shared" si="33"/>
        <v/>
      </c>
      <c r="L170" s="7" t="str">
        <f t="shared" si="34"/>
        <v/>
      </c>
      <c r="N170" s="7" t="str">
        <f t="shared" si="35"/>
        <v/>
      </c>
      <c r="O170" t="str">
        <f t="shared" si="36"/>
        <v/>
      </c>
      <c r="P170" t="str">
        <f t="shared" si="37"/>
        <v/>
      </c>
      <c r="Q170" t="str">
        <f t="shared" si="38"/>
        <v/>
      </c>
      <c r="S170" t="str">
        <f>""</f>
        <v/>
      </c>
      <c r="AL170" s="18" t="str">
        <f>IF(COUNTIF($A$2:A169, A169) = 1, A169, "")</f>
        <v/>
      </c>
    </row>
    <row r="171" spans="6:38" x14ac:dyDescent="0.2">
      <c r="F171" t="str">
        <f t="shared" si="33"/>
        <v/>
      </c>
      <c r="L171" s="7" t="str">
        <f t="shared" si="34"/>
        <v/>
      </c>
      <c r="N171" s="7" t="str">
        <f t="shared" si="35"/>
        <v/>
      </c>
      <c r="O171" t="str">
        <f t="shared" si="36"/>
        <v/>
      </c>
      <c r="P171" t="str">
        <f t="shared" si="37"/>
        <v/>
      </c>
      <c r="Q171" t="str">
        <f t="shared" si="38"/>
        <v/>
      </c>
      <c r="S171" t="str">
        <f>""</f>
        <v/>
      </c>
      <c r="AL171" s="18" t="str">
        <f>IF(COUNTIF($A$2:A170, A170) = 1, A170, "")</f>
        <v/>
      </c>
    </row>
    <row r="172" spans="6:38" x14ac:dyDescent="0.2">
      <c r="F172" t="str">
        <f t="shared" si="33"/>
        <v/>
      </c>
      <c r="L172" s="7" t="str">
        <f t="shared" si="34"/>
        <v/>
      </c>
      <c r="N172" s="7" t="str">
        <f t="shared" si="35"/>
        <v/>
      </c>
      <c r="O172" t="str">
        <f t="shared" si="36"/>
        <v/>
      </c>
      <c r="P172" t="str">
        <f t="shared" si="37"/>
        <v/>
      </c>
      <c r="Q172" t="str">
        <f t="shared" si="38"/>
        <v/>
      </c>
      <c r="S172" t="str">
        <f>""</f>
        <v/>
      </c>
      <c r="AL172" s="18" t="str">
        <f>IF(COUNTIF($A$2:A171, A171) = 1, A171, "")</f>
        <v/>
      </c>
    </row>
    <row r="173" spans="6:38" x14ac:dyDescent="0.2">
      <c r="F173" t="str">
        <f t="shared" si="33"/>
        <v/>
      </c>
      <c r="L173" s="7" t="str">
        <f t="shared" si="34"/>
        <v/>
      </c>
      <c r="N173" s="7" t="str">
        <f t="shared" si="35"/>
        <v/>
      </c>
      <c r="O173" t="str">
        <f t="shared" si="36"/>
        <v/>
      </c>
      <c r="P173" t="str">
        <f t="shared" si="37"/>
        <v/>
      </c>
      <c r="Q173" t="str">
        <f t="shared" si="38"/>
        <v/>
      </c>
      <c r="S173" t="str">
        <f>""</f>
        <v/>
      </c>
      <c r="AL173" s="18" t="str">
        <f>IF(COUNTIF($A$2:A172, A172) = 1, A172, "")</f>
        <v/>
      </c>
    </row>
    <row r="174" spans="6:38" x14ac:dyDescent="0.2">
      <c r="F174" t="str">
        <f t="shared" si="33"/>
        <v/>
      </c>
      <c r="L174" s="7" t="str">
        <f t="shared" si="34"/>
        <v/>
      </c>
      <c r="N174" s="7" t="str">
        <f t="shared" si="35"/>
        <v/>
      </c>
      <c r="O174" t="str">
        <f t="shared" si="36"/>
        <v/>
      </c>
      <c r="P174" t="str">
        <f t="shared" si="37"/>
        <v/>
      </c>
      <c r="Q174" t="str">
        <f t="shared" si="38"/>
        <v/>
      </c>
      <c r="S174" t="str">
        <f>""</f>
        <v/>
      </c>
      <c r="AL174" s="18" t="str">
        <f>IF(COUNTIF($A$2:A173, A173) = 1, A173, "")</f>
        <v/>
      </c>
    </row>
    <row r="175" spans="6:38" x14ac:dyDescent="0.2">
      <c r="F175" t="str">
        <f t="shared" si="33"/>
        <v/>
      </c>
      <c r="L175" s="7" t="str">
        <f t="shared" si="34"/>
        <v/>
      </c>
      <c r="N175" s="7" t="str">
        <f t="shared" si="35"/>
        <v/>
      </c>
      <c r="O175" t="str">
        <f t="shared" si="36"/>
        <v/>
      </c>
      <c r="P175" t="str">
        <f t="shared" si="37"/>
        <v/>
      </c>
      <c r="Q175" t="str">
        <f t="shared" si="38"/>
        <v/>
      </c>
      <c r="S175" t="str">
        <f>""</f>
        <v/>
      </c>
      <c r="AL175" s="18" t="str">
        <f>IF(COUNTIF($A$2:A174, A174) = 1, A174, "")</f>
        <v/>
      </c>
    </row>
    <row r="176" spans="6:38" x14ac:dyDescent="0.2">
      <c r="F176" t="str">
        <f t="shared" si="33"/>
        <v/>
      </c>
      <c r="L176" s="7" t="str">
        <f t="shared" si="34"/>
        <v/>
      </c>
      <c r="N176" s="7" t="str">
        <f t="shared" si="35"/>
        <v/>
      </c>
      <c r="O176" t="str">
        <f t="shared" si="36"/>
        <v/>
      </c>
      <c r="P176" t="str">
        <f t="shared" si="37"/>
        <v/>
      </c>
      <c r="Q176" t="str">
        <f t="shared" si="38"/>
        <v/>
      </c>
      <c r="S176" t="str">
        <f>""</f>
        <v/>
      </c>
      <c r="AL176" s="18" t="str">
        <f>IF(COUNTIF($A$2:A175, A175) = 1, A175, "")</f>
        <v/>
      </c>
    </row>
    <row r="177" spans="6:38" x14ac:dyDescent="0.2">
      <c r="F177" t="str">
        <f t="shared" si="33"/>
        <v/>
      </c>
      <c r="L177" s="7" t="str">
        <f t="shared" si="34"/>
        <v/>
      </c>
      <c r="N177" s="7" t="str">
        <f t="shared" si="35"/>
        <v/>
      </c>
      <c r="O177" t="str">
        <f t="shared" si="36"/>
        <v/>
      </c>
      <c r="P177" t="str">
        <f t="shared" si="37"/>
        <v/>
      </c>
      <c r="Q177" t="str">
        <f t="shared" si="38"/>
        <v/>
      </c>
      <c r="S177" t="str">
        <f>""</f>
        <v/>
      </c>
      <c r="AL177" s="18" t="str">
        <f>IF(COUNTIF($A$2:A176, A176) = 1, A176, "")</f>
        <v/>
      </c>
    </row>
    <row r="178" spans="6:38" x14ac:dyDescent="0.2">
      <c r="F178" t="str">
        <f t="shared" si="33"/>
        <v/>
      </c>
      <c r="L178" s="7" t="str">
        <f t="shared" si="34"/>
        <v/>
      </c>
      <c r="N178" s="7" t="str">
        <f t="shared" si="35"/>
        <v/>
      </c>
      <c r="O178" t="str">
        <f t="shared" si="36"/>
        <v/>
      </c>
      <c r="P178" t="str">
        <f t="shared" si="37"/>
        <v/>
      </c>
      <c r="Q178" t="str">
        <f t="shared" si="38"/>
        <v/>
      </c>
      <c r="S178" t="str">
        <f>""</f>
        <v/>
      </c>
      <c r="AL178" s="18" t="str">
        <f>IF(COUNTIF($A$2:A177, A177) = 1, A177, "")</f>
        <v/>
      </c>
    </row>
    <row r="179" spans="6:38" x14ac:dyDescent="0.2">
      <c r="F179" t="str">
        <f t="shared" si="33"/>
        <v/>
      </c>
      <c r="L179" s="7" t="str">
        <f t="shared" si="34"/>
        <v/>
      </c>
      <c r="N179" s="7" t="str">
        <f t="shared" si="35"/>
        <v/>
      </c>
      <c r="O179" t="str">
        <f t="shared" si="36"/>
        <v/>
      </c>
      <c r="P179" t="str">
        <f t="shared" si="37"/>
        <v/>
      </c>
      <c r="Q179" t="str">
        <f t="shared" si="38"/>
        <v/>
      </c>
      <c r="S179" t="str">
        <f>""</f>
        <v/>
      </c>
      <c r="AL179" s="18" t="str">
        <f>IF(COUNTIF($A$2:A178, A178) = 1, A178, "")</f>
        <v/>
      </c>
    </row>
    <row r="180" spans="6:38" x14ac:dyDescent="0.2">
      <c r="F180" t="str">
        <f t="shared" si="33"/>
        <v/>
      </c>
      <c r="L180" s="7" t="str">
        <f t="shared" si="34"/>
        <v/>
      </c>
      <c r="N180" s="7" t="str">
        <f t="shared" si="35"/>
        <v/>
      </c>
      <c r="O180" t="str">
        <f t="shared" si="36"/>
        <v/>
      </c>
      <c r="P180" t="str">
        <f t="shared" si="37"/>
        <v/>
      </c>
      <c r="Q180" t="str">
        <f t="shared" si="38"/>
        <v/>
      </c>
      <c r="S180" t="str">
        <f>""</f>
        <v/>
      </c>
      <c r="AL180" s="18" t="str">
        <f>IF(COUNTIF($A$2:A179, A179) = 1, A179, "")</f>
        <v/>
      </c>
    </row>
    <row r="181" spans="6:38" x14ac:dyDescent="0.2">
      <c r="F181" t="str">
        <f t="shared" si="33"/>
        <v/>
      </c>
      <c r="L181" s="7" t="str">
        <f t="shared" si="34"/>
        <v/>
      </c>
      <c r="N181" s="7" t="str">
        <f t="shared" si="35"/>
        <v/>
      </c>
      <c r="O181" t="str">
        <f t="shared" si="36"/>
        <v/>
      </c>
      <c r="P181" t="str">
        <f t="shared" si="37"/>
        <v/>
      </c>
      <c r="Q181" t="str">
        <f t="shared" si="38"/>
        <v/>
      </c>
      <c r="S181" t="str">
        <f>""</f>
        <v/>
      </c>
      <c r="AL181" s="18" t="str">
        <f>IF(COUNTIF($A$2:A180, A180) = 1, A180, "")</f>
        <v/>
      </c>
    </row>
    <row r="182" spans="6:38" x14ac:dyDescent="0.2">
      <c r="F182" t="str">
        <f t="shared" si="33"/>
        <v/>
      </c>
      <c r="L182" s="7" t="str">
        <f t="shared" si="34"/>
        <v/>
      </c>
      <c r="N182" s="7" t="str">
        <f t="shared" si="35"/>
        <v/>
      </c>
      <c r="O182" t="str">
        <f t="shared" si="36"/>
        <v/>
      </c>
      <c r="P182" t="str">
        <f t="shared" si="37"/>
        <v/>
      </c>
      <c r="Q182" t="str">
        <f t="shared" si="38"/>
        <v/>
      </c>
      <c r="S182" t="str">
        <f>""</f>
        <v/>
      </c>
      <c r="AL182" s="18" t="str">
        <f>IF(COUNTIF($A$2:A181, A181) = 1, A181, "")</f>
        <v/>
      </c>
    </row>
    <row r="183" spans="6:38" x14ac:dyDescent="0.2">
      <c r="F183" t="str">
        <f t="shared" si="33"/>
        <v/>
      </c>
      <c r="L183" s="7" t="str">
        <f t="shared" si="34"/>
        <v/>
      </c>
      <c r="N183" s="7" t="str">
        <f t="shared" si="35"/>
        <v/>
      </c>
      <c r="O183" t="str">
        <f t="shared" si="36"/>
        <v/>
      </c>
      <c r="P183" t="str">
        <f t="shared" si="37"/>
        <v/>
      </c>
      <c r="Q183" t="str">
        <f t="shared" si="38"/>
        <v/>
      </c>
      <c r="S183" t="str">
        <f>""</f>
        <v/>
      </c>
      <c r="AL183" s="18" t="str">
        <f>IF(COUNTIF($A$2:A182, A182) = 1, A182, "")</f>
        <v/>
      </c>
    </row>
    <row r="184" spans="6:38" x14ac:dyDescent="0.2">
      <c r="F184" t="str">
        <f t="shared" si="33"/>
        <v/>
      </c>
      <c r="L184" s="7" t="str">
        <f t="shared" si="34"/>
        <v/>
      </c>
      <c r="N184" s="7" t="str">
        <f t="shared" si="35"/>
        <v/>
      </c>
      <c r="O184" t="str">
        <f t="shared" si="36"/>
        <v/>
      </c>
      <c r="P184" t="str">
        <f t="shared" si="37"/>
        <v/>
      </c>
      <c r="Q184" t="str">
        <f t="shared" si="38"/>
        <v/>
      </c>
      <c r="S184" t="str">
        <f>""</f>
        <v/>
      </c>
      <c r="AL184" s="18" t="str">
        <f>IF(COUNTIF($A$2:A183, A183) = 1, A183, "")</f>
        <v/>
      </c>
    </row>
    <row r="185" spans="6:38" x14ac:dyDescent="0.2">
      <c r="F185" t="str">
        <f t="shared" si="33"/>
        <v/>
      </c>
      <c r="L185" s="7" t="str">
        <f t="shared" si="34"/>
        <v/>
      </c>
      <c r="N185" s="7" t="str">
        <f t="shared" si="35"/>
        <v/>
      </c>
      <c r="O185" t="str">
        <f t="shared" si="36"/>
        <v/>
      </c>
      <c r="P185" t="str">
        <f t="shared" si="37"/>
        <v/>
      </c>
      <c r="Q185" t="str">
        <f t="shared" si="38"/>
        <v/>
      </c>
      <c r="S185" t="str">
        <f>""</f>
        <v/>
      </c>
      <c r="AL185" s="18" t="str">
        <f>IF(COUNTIF($A$2:A184, A184) = 1, A184, "")</f>
        <v/>
      </c>
    </row>
    <row r="186" spans="6:38" x14ac:dyDescent="0.2">
      <c r="F186" t="str">
        <f t="shared" si="33"/>
        <v/>
      </c>
      <c r="L186" s="7" t="str">
        <f t="shared" si="34"/>
        <v/>
      </c>
      <c r="N186" s="7" t="str">
        <f t="shared" si="35"/>
        <v/>
      </c>
      <c r="O186" t="str">
        <f t="shared" si="36"/>
        <v/>
      </c>
      <c r="P186" t="str">
        <f t="shared" si="37"/>
        <v/>
      </c>
      <c r="Q186" t="str">
        <f t="shared" si="38"/>
        <v/>
      </c>
      <c r="S186" t="str">
        <f>""</f>
        <v/>
      </c>
      <c r="AL186" s="18" t="str">
        <f>IF(COUNTIF($A$2:A185, A185) = 1, A185, "")</f>
        <v/>
      </c>
    </row>
    <row r="187" spans="6:38" x14ac:dyDescent="0.2">
      <c r="F187" t="str">
        <f t="shared" si="33"/>
        <v/>
      </c>
      <c r="L187" s="7" t="str">
        <f t="shared" si="34"/>
        <v/>
      </c>
      <c r="N187" s="7" t="str">
        <f t="shared" si="35"/>
        <v/>
      </c>
      <c r="O187" t="str">
        <f t="shared" si="36"/>
        <v/>
      </c>
      <c r="P187" t="str">
        <f t="shared" si="37"/>
        <v/>
      </c>
      <c r="Q187" t="str">
        <f t="shared" si="38"/>
        <v/>
      </c>
      <c r="S187" t="str">
        <f>""</f>
        <v/>
      </c>
      <c r="AL187" s="18" t="str">
        <f>IF(COUNTIF($A$2:A186, A186) = 1, A186, "")</f>
        <v/>
      </c>
    </row>
    <row r="188" spans="6:38" x14ac:dyDescent="0.2">
      <c r="F188" t="str">
        <f t="shared" si="33"/>
        <v/>
      </c>
      <c r="L188" s="7" t="str">
        <f t="shared" si="34"/>
        <v/>
      </c>
      <c r="N188" s="7" t="str">
        <f t="shared" si="35"/>
        <v/>
      </c>
      <c r="O188" t="str">
        <f t="shared" si="36"/>
        <v/>
      </c>
      <c r="P188" t="str">
        <f t="shared" si="37"/>
        <v/>
      </c>
      <c r="Q188" t="str">
        <f t="shared" si="38"/>
        <v/>
      </c>
      <c r="S188" t="str">
        <f>""</f>
        <v/>
      </c>
      <c r="AL188" s="18" t="str">
        <f>IF(COUNTIF($A$2:A187, A187) = 1, A187, "")</f>
        <v/>
      </c>
    </row>
    <row r="189" spans="6:38" x14ac:dyDescent="0.2">
      <c r="F189" t="str">
        <f t="shared" si="33"/>
        <v/>
      </c>
      <c r="L189" s="7" t="str">
        <f t="shared" si="34"/>
        <v/>
      </c>
      <c r="N189" s="7" t="str">
        <f t="shared" si="35"/>
        <v/>
      </c>
      <c r="O189" t="str">
        <f t="shared" si="36"/>
        <v/>
      </c>
      <c r="P189" t="str">
        <f t="shared" si="37"/>
        <v/>
      </c>
      <c r="Q189" t="str">
        <f t="shared" si="38"/>
        <v/>
      </c>
      <c r="S189" t="str">
        <f>""</f>
        <v/>
      </c>
      <c r="AL189" s="18" t="str">
        <f>IF(COUNTIF($A$2:A188, A188) = 1, A188, "")</f>
        <v/>
      </c>
    </row>
    <row r="190" spans="6:38" x14ac:dyDescent="0.2">
      <c r="F190" t="str">
        <f t="shared" si="33"/>
        <v/>
      </c>
      <c r="L190" s="7" t="str">
        <f t="shared" si="34"/>
        <v/>
      </c>
      <c r="N190" s="7" t="str">
        <f t="shared" si="35"/>
        <v/>
      </c>
      <c r="O190" t="str">
        <f t="shared" si="36"/>
        <v/>
      </c>
      <c r="P190" t="str">
        <f t="shared" si="37"/>
        <v/>
      </c>
      <c r="Q190" t="str">
        <f t="shared" si="38"/>
        <v/>
      </c>
      <c r="S190" t="str">
        <f>""</f>
        <v/>
      </c>
      <c r="AL190" s="18" t="str">
        <f>IF(COUNTIF($A$2:A189, A189) = 1, A189, "")</f>
        <v/>
      </c>
    </row>
    <row r="191" spans="6:38" x14ac:dyDescent="0.2">
      <c r="F191" t="str">
        <f t="shared" si="33"/>
        <v/>
      </c>
      <c r="L191" s="7" t="str">
        <f t="shared" si="34"/>
        <v/>
      </c>
      <c r="N191" s="7" t="str">
        <f t="shared" si="35"/>
        <v/>
      </c>
      <c r="O191" t="str">
        <f t="shared" si="36"/>
        <v/>
      </c>
      <c r="P191" t="str">
        <f t="shared" si="37"/>
        <v/>
      </c>
      <c r="Q191" t="str">
        <f t="shared" si="38"/>
        <v/>
      </c>
      <c r="S191" t="str">
        <f>""</f>
        <v/>
      </c>
      <c r="AL191" s="18" t="str">
        <f>IF(COUNTIF($A$2:A190, A190) = 1, A190, "")</f>
        <v/>
      </c>
    </row>
    <row r="192" spans="6:38" x14ac:dyDescent="0.2">
      <c r="F192" t="str">
        <f t="shared" si="33"/>
        <v/>
      </c>
      <c r="L192" s="7" t="str">
        <f t="shared" si="34"/>
        <v/>
      </c>
      <c r="N192" s="7" t="str">
        <f t="shared" si="35"/>
        <v/>
      </c>
      <c r="O192" t="str">
        <f t="shared" si="36"/>
        <v/>
      </c>
      <c r="P192" t="str">
        <f t="shared" si="37"/>
        <v/>
      </c>
      <c r="Q192" t="str">
        <f t="shared" si="38"/>
        <v/>
      </c>
      <c r="S192" t="str">
        <f>""</f>
        <v/>
      </c>
      <c r="AL192" s="18" t="str">
        <f>IF(COUNTIF($A$2:A191, A191) = 1, A191, "")</f>
        <v/>
      </c>
    </row>
    <row r="193" spans="6:38" x14ac:dyDescent="0.2">
      <c r="F193" t="str">
        <f t="shared" si="33"/>
        <v/>
      </c>
      <c r="L193" s="7" t="str">
        <f t="shared" si="34"/>
        <v/>
      </c>
      <c r="N193" s="7" t="str">
        <f t="shared" si="35"/>
        <v/>
      </c>
      <c r="O193" t="str">
        <f t="shared" si="36"/>
        <v/>
      </c>
      <c r="P193" t="str">
        <f t="shared" si="37"/>
        <v/>
      </c>
      <c r="Q193" t="str">
        <f t="shared" si="38"/>
        <v/>
      </c>
      <c r="S193" t="str">
        <f>""</f>
        <v/>
      </c>
      <c r="AL193" s="18" t="str">
        <f>IF(COUNTIF($A$2:A192, A192) = 1, A192, "")</f>
        <v/>
      </c>
    </row>
    <row r="194" spans="6:38" x14ac:dyDescent="0.2">
      <c r="F194" t="str">
        <f t="shared" si="33"/>
        <v/>
      </c>
      <c r="L194" s="7" t="str">
        <f t="shared" si="34"/>
        <v/>
      </c>
      <c r="N194" s="7" t="str">
        <f t="shared" si="35"/>
        <v/>
      </c>
      <c r="O194" t="str">
        <f t="shared" si="36"/>
        <v/>
      </c>
      <c r="P194" t="str">
        <f t="shared" si="37"/>
        <v/>
      </c>
      <c r="Q194" t="str">
        <f t="shared" si="38"/>
        <v/>
      </c>
      <c r="S194" t="str">
        <f>""</f>
        <v/>
      </c>
      <c r="AL194" s="18" t="str">
        <f>IF(COUNTIF($A$2:A193, A193) = 1, A193, "")</f>
        <v/>
      </c>
    </row>
    <row r="195" spans="6:38" x14ac:dyDescent="0.2">
      <c r="F195" t="str">
        <f t="shared" si="33"/>
        <v/>
      </c>
      <c r="L195" s="7" t="str">
        <f t="shared" si="34"/>
        <v/>
      </c>
      <c r="N195" s="7" t="str">
        <f t="shared" si="35"/>
        <v/>
      </c>
      <c r="O195" t="str">
        <f t="shared" si="36"/>
        <v/>
      </c>
      <c r="P195" t="str">
        <f t="shared" si="37"/>
        <v/>
      </c>
      <c r="Q195" t="str">
        <f t="shared" si="38"/>
        <v/>
      </c>
      <c r="S195" t="str">
        <f>""</f>
        <v/>
      </c>
      <c r="AL195" s="18" t="str">
        <f>IF(COUNTIF($A$2:A194, A194) = 1, A194, "")</f>
        <v/>
      </c>
    </row>
    <row r="196" spans="6:38" x14ac:dyDescent="0.2">
      <c r="F196" t="str">
        <f t="shared" si="33"/>
        <v/>
      </c>
      <c r="L196" s="7" t="str">
        <f t="shared" si="34"/>
        <v/>
      </c>
      <c r="N196" s="7" t="str">
        <f t="shared" si="35"/>
        <v/>
      </c>
      <c r="O196" t="str">
        <f t="shared" si="36"/>
        <v/>
      </c>
      <c r="P196" t="str">
        <f t="shared" si="37"/>
        <v/>
      </c>
      <c r="Q196" t="str">
        <f t="shared" si="38"/>
        <v/>
      </c>
      <c r="S196" t="str">
        <f>""</f>
        <v/>
      </c>
      <c r="AL196" s="18" t="str">
        <f>IF(COUNTIF($A$2:A195, A195) = 1, A195, "")</f>
        <v/>
      </c>
    </row>
    <row r="197" spans="6:38" x14ac:dyDescent="0.2">
      <c r="F197" t="str">
        <f t="shared" si="33"/>
        <v/>
      </c>
      <c r="L197" s="7" t="str">
        <f t="shared" si="34"/>
        <v/>
      </c>
      <c r="N197" s="7" t="str">
        <f t="shared" si="35"/>
        <v/>
      </c>
      <c r="O197" t="str">
        <f t="shared" si="36"/>
        <v/>
      </c>
      <c r="P197" t="str">
        <f t="shared" si="37"/>
        <v/>
      </c>
      <c r="Q197" t="str">
        <f t="shared" si="38"/>
        <v/>
      </c>
      <c r="S197" t="str">
        <f>""</f>
        <v/>
      </c>
      <c r="AL197" s="18" t="str">
        <f>IF(COUNTIF($A$2:A196, A196) = 1, A196, "")</f>
        <v/>
      </c>
    </row>
    <row r="198" spans="6:38" x14ac:dyDescent="0.2">
      <c r="F198" t="str">
        <f t="shared" si="33"/>
        <v/>
      </c>
      <c r="L198" s="7" t="str">
        <f t="shared" si="34"/>
        <v/>
      </c>
      <c r="N198" s="7" t="str">
        <f t="shared" si="35"/>
        <v/>
      </c>
      <c r="O198" t="str">
        <f t="shared" si="36"/>
        <v/>
      </c>
      <c r="P198" t="str">
        <f t="shared" si="37"/>
        <v/>
      </c>
      <c r="Q198" t="str">
        <f t="shared" si="38"/>
        <v/>
      </c>
      <c r="S198" t="str">
        <f>""</f>
        <v/>
      </c>
      <c r="AL198" s="18" t="str">
        <f>IF(COUNTIF($A$2:A197, A197) = 1, A197, "")</f>
        <v/>
      </c>
    </row>
    <row r="199" spans="6:38" x14ac:dyDescent="0.2">
      <c r="F199" t="str">
        <f t="shared" si="33"/>
        <v/>
      </c>
      <c r="L199" s="7" t="str">
        <f t="shared" si="34"/>
        <v/>
      </c>
      <c r="N199" s="7" t="str">
        <f t="shared" si="35"/>
        <v/>
      </c>
      <c r="O199" t="str">
        <f t="shared" si="36"/>
        <v/>
      </c>
      <c r="P199" t="str">
        <f t="shared" si="37"/>
        <v/>
      </c>
      <c r="Q199" t="str">
        <f t="shared" si="38"/>
        <v/>
      </c>
      <c r="S199" t="str">
        <f>""</f>
        <v/>
      </c>
      <c r="AL199" s="18" t="str">
        <f>IF(COUNTIF($A$2:A198, A198) = 1, A198, "")</f>
        <v/>
      </c>
    </row>
    <row r="200" spans="6:38" x14ac:dyDescent="0.2">
      <c r="F200" t="str">
        <f t="shared" si="33"/>
        <v/>
      </c>
      <c r="L200" s="7" t="str">
        <f t="shared" si="34"/>
        <v/>
      </c>
      <c r="N200" s="7" t="str">
        <f t="shared" si="35"/>
        <v/>
      </c>
      <c r="O200" t="str">
        <f t="shared" si="36"/>
        <v/>
      </c>
      <c r="P200" t="str">
        <f t="shared" si="37"/>
        <v/>
      </c>
      <c r="Q200" t="str">
        <f t="shared" si="38"/>
        <v/>
      </c>
      <c r="S200" t="str">
        <f>""</f>
        <v/>
      </c>
      <c r="AL200" s="18" t="str">
        <f>IF(COUNTIF($A$2:A199, A199) = 1, A199, "")</f>
        <v/>
      </c>
    </row>
    <row r="201" spans="6:38" x14ac:dyDescent="0.2">
      <c r="F201" t="str">
        <f t="shared" si="33"/>
        <v/>
      </c>
      <c r="L201" s="7" t="str">
        <f t="shared" si="34"/>
        <v/>
      </c>
      <c r="N201" s="7" t="str">
        <f t="shared" si="35"/>
        <v/>
      </c>
      <c r="O201" t="str">
        <f t="shared" si="36"/>
        <v/>
      </c>
      <c r="P201" t="str">
        <f t="shared" si="37"/>
        <v/>
      </c>
      <c r="Q201" t="str">
        <f t="shared" si="38"/>
        <v/>
      </c>
      <c r="S201" t="str">
        <f>""</f>
        <v/>
      </c>
      <c r="AL201" s="18" t="str">
        <f>IF(COUNTIF($A$2:A200, A200) = 1, A200, "")</f>
        <v/>
      </c>
    </row>
    <row r="202" spans="6:38" x14ac:dyDescent="0.2">
      <c r="F202" t="str">
        <f t="shared" si="33"/>
        <v/>
      </c>
      <c r="L202" s="7" t="str">
        <f t="shared" si="34"/>
        <v/>
      </c>
      <c r="N202" s="7" t="str">
        <f t="shared" si="35"/>
        <v/>
      </c>
      <c r="O202" t="str">
        <f t="shared" si="36"/>
        <v/>
      </c>
      <c r="P202" t="str">
        <f t="shared" si="37"/>
        <v/>
      </c>
      <c r="Q202" t="str">
        <f t="shared" si="38"/>
        <v/>
      </c>
      <c r="S202" t="str">
        <f>""</f>
        <v/>
      </c>
      <c r="AL202" s="18" t="str">
        <f>IF(COUNTIF($A$2:A201, A201) = 1, A201, "")</f>
        <v/>
      </c>
    </row>
    <row r="203" spans="6:38" x14ac:dyDescent="0.2">
      <c r="F203" t="str">
        <f t="shared" si="33"/>
        <v/>
      </c>
      <c r="L203" s="7" t="str">
        <f t="shared" si="34"/>
        <v/>
      </c>
      <c r="N203" s="7" t="str">
        <f t="shared" si="35"/>
        <v/>
      </c>
      <c r="O203" t="str">
        <f t="shared" si="36"/>
        <v/>
      </c>
      <c r="P203" t="str">
        <f t="shared" si="37"/>
        <v/>
      </c>
      <c r="Q203" t="str">
        <f t="shared" si="38"/>
        <v/>
      </c>
      <c r="S203" t="str">
        <f>""</f>
        <v/>
      </c>
      <c r="AL203" s="18" t="str">
        <f>IF(COUNTIF($A$2:A202, A202) = 1, A202, "")</f>
        <v/>
      </c>
    </row>
    <row r="204" spans="6:38" x14ac:dyDescent="0.2">
      <c r="F204" t="str">
        <f t="shared" si="33"/>
        <v/>
      </c>
      <c r="L204" s="7" t="str">
        <f t="shared" si="34"/>
        <v/>
      </c>
      <c r="N204" s="7" t="str">
        <f t="shared" si="35"/>
        <v/>
      </c>
      <c r="O204" t="str">
        <f t="shared" si="36"/>
        <v/>
      </c>
      <c r="P204" t="str">
        <f t="shared" si="37"/>
        <v/>
      </c>
      <c r="Q204" t="str">
        <f t="shared" si="38"/>
        <v/>
      </c>
      <c r="S204" t="str">
        <f>""</f>
        <v/>
      </c>
      <c r="AL204" s="18" t="str">
        <f>IF(COUNTIF($A$2:A203, A203) = 1, A203, "")</f>
        <v/>
      </c>
    </row>
    <row r="205" spans="6:38" x14ac:dyDescent="0.2">
      <c r="F205" t="str">
        <f t="shared" si="33"/>
        <v/>
      </c>
      <c r="L205" s="7" t="str">
        <f t="shared" si="34"/>
        <v/>
      </c>
      <c r="N205" s="7" t="str">
        <f t="shared" si="35"/>
        <v/>
      </c>
      <c r="O205" t="str">
        <f t="shared" si="36"/>
        <v/>
      </c>
      <c r="P205" t="str">
        <f t="shared" si="37"/>
        <v/>
      </c>
      <c r="Q205" t="str">
        <f t="shared" si="38"/>
        <v/>
      </c>
      <c r="S205" t="str">
        <f>""</f>
        <v/>
      </c>
      <c r="AL205" s="18" t="str">
        <f>IF(COUNTIF($A$2:A204, A204) = 1, A204, "")</f>
        <v/>
      </c>
    </row>
    <row r="206" spans="6:38" x14ac:dyDescent="0.2">
      <c r="F206" t="str">
        <f t="shared" si="33"/>
        <v/>
      </c>
      <c r="L206" s="7" t="str">
        <f t="shared" si="34"/>
        <v/>
      </c>
      <c r="N206" s="7" t="str">
        <f t="shared" si="35"/>
        <v/>
      </c>
      <c r="O206" t="str">
        <f t="shared" si="36"/>
        <v/>
      </c>
      <c r="P206" t="str">
        <f t="shared" si="37"/>
        <v/>
      </c>
      <c r="Q206" t="str">
        <f t="shared" si="38"/>
        <v/>
      </c>
      <c r="S206" t="str">
        <f>""</f>
        <v/>
      </c>
      <c r="AL206" s="18" t="str">
        <f>IF(COUNTIF($A$2:A205, A205) = 1, A205, "")</f>
        <v/>
      </c>
    </row>
    <row r="207" spans="6:38" x14ac:dyDescent="0.2">
      <c r="F207" t="str">
        <f t="shared" si="33"/>
        <v/>
      </c>
      <c r="L207" s="7" t="str">
        <f t="shared" si="34"/>
        <v/>
      </c>
      <c r="N207" s="7" t="str">
        <f t="shared" si="35"/>
        <v/>
      </c>
      <c r="O207" t="str">
        <f t="shared" si="36"/>
        <v/>
      </c>
      <c r="P207" t="str">
        <f t="shared" si="37"/>
        <v/>
      </c>
      <c r="Q207" t="str">
        <f t="shared" si="38"/>
        <v/>
      </c>
      <c r="S207" t="str">
        <f>""</f>
        <v/>
      </c>
      <c r="AL207" s="18" t="str">
        <f>IF(COUNTIF($A$2:A206, A206) = 1, A206, "")</f>
        <v/>
      </c>
    </row>
    <row r="208" spans="6:38" x14ac:dyDescent="0.2">
      <c r="F208" t="str">
        <f t="shared" ref="F208:F271" si="39">IF(OR(O208="", P208=""), "", SUM(IF((O208&lt;&gt;"None")*(O208&lt;&gt;""),LEN(O208)-LEN(SUBSTITUTE(O208,",",""))+1,0)) + SUM(IF((P208&lt;&gt;"None")*(P208&lt;&gt;""),LEN(P208)-LEN(SUBSTITUTE(P208,",",""))+1,0)))</f>
        <v/>
      </c>
      <c r="L208" s="7" t="str">
        <f t="shared" ref="L208:L271" si="40">IF(LEN(E208)=0, "", IFERROR(IF(E208&gt;=0, K208 * (1 + E208/100) - K208, K208 / (ABS(E208)/100))+K208, ""))</f>
        <v/>
      </c>
      <c r="N208" s="7" t="str">
        <f t="shared" ref="N208:N271" si="41">IF(M208="Yes",L208-K208,IF(M208="No",-K208,""))</f>
        <v/>
      </c>
      <c r="O208" t="str">
        <f t="shared" ref="O208:O271" si="42">IF(AND(G208="No",H208="No"), "None", "")</f>
        <v/>
      </c>
      <c r="P208" t="str">
        <f t="shared" ref="P208:P271" si="43">IF(I208="No", "None", "")</f>
        <v/>
      </c>
      <c r="Q208" t="str">
        <f t="shared" ref="Q208:Q271" si="44">IF(AND(D208="Straight", M208 = "No"),IF(O208="None",P208,IF(P208="None",O208) ),"")</f>
        <v/>
      </c>
      <c r="S208" t="str">
        <f>""</f>
        <v/>
      </c>
      <c r="AL208" s="18" t="str">
        <f>IF(COUNTIF($A$2:A207, A207) = 1, A207, "")</f>
        <v/>
      </c>
    </row>
    <row r="209" spans="6:38" x14ac:dyDescent="0.2">
      <c r="F209" t="str">
        <f t="shared" si="39"/>
        <v/>
      </c>
      <c r="L209" s="7" t="str">
        <f t="shared" si="40"/>
        <v/>
      </c>
      <c r="N209" s="7" t="str">
        <f t="shared" si="41"/>
        <v/>
      </c>
      <c r="O209" t="str">
        <f t="shared" si="42"/>
        <v/>
      </c>
      <c r="P209" t="str">
        <f t="shared" si="43"/>
        <v/>
      </c>
      <c r="Q209" t="str">
        <f t="shared" si="44"/>
        <v/>
      </c>
      <c r="S209" t="str">
        <f>""</f>
        <v/>
      </c>
      <c r="AL209" s="18" t="str">
        <f>IF(COUNTIF($A$2:A208, A208) = 1, A208, "")</f>
        <v/>
      </c>
    </row>
    <row r="210" spans="6:38" x14ac:dyDescent="0.2">
      <c r="F210" t="str">
        <f t="shared" si="39"/>
        <v/>
      </c>
      <c r="L210" s="7" t="str">
        <f t="shared" si="40"/>
        <v/>
      </c>
      <c r="N210" s="7" t="str">
        <f t="shared" si="41"/>
        <v/>
      </c>
      <c r="O210" t="str">
        <f t="shared" si="42"/>
        <v/>
      </c>
      <c r="P210" t="str">
        <f t="shared" si="43"/>
        <v/>
      </c>
      <c r="Q210" t="str">
        <f t="shared" si="44"/>
        <v/>
      </c>
      <c r="S210" t="str">
        <f>""</f>
        <v/>
      </c>
      <c r="AL210" s="18" t="str">
        <f>IF(COUNTIF($A$2:A209, A209) = 1, A209, "")</f>
        <v/>
      </c>
    </row>
    <row r="211" spans="6:38" x14ac:dyDescent="0.2">
      <c r="F211" t="str">
        <f t="shared" si="39"/>
        <v/>
      </c>
      <c r="L211" s="7" t="str">
        <f t="shared" si="40"/>
        <v/>
      </c>
      <c r="N211" s="7" t="str">
        <f t="shared" si="41"/>
        <v/>
      </c>
      <c r="O211" t="str">
        <f t="shared" si="42"/>
        <v/>
      </c>
      <c r="P211" t="str">
        <f t="shared" si="43"/>
        <v/>
      </c>
      <c r="Q211" t="str">
        <f t="shared" si="44"/>
        <v/>
      </c>
      <c r="S211" t="str">
        <f>""</f>
        <v/>
      </c>
      <c r="AL211" s="18" t="str">
        <f>IF(COUNTIF($A$2:A210, A210) = 1, A210, "")</f>
        <v/>
      </c>
    </row>
    <row r="212" spans="6:38" x14ac:dyDescent="0.2">
      <c r="F212" t="str">
        <f t="shared" si="39"/>
        <v/>
      </c>
      <c r="L212" s="7" t="str">
        <f t="shared" si="40"/>
        <v/>
      </c>
      <c r="N212" s="7" t="str">
        <f t="shared" si="41"/>
        <v/>
      </c>
      <c r="O212" t="str">
        <f t="shared" si="42"/>
        <v/>
      </c>
      <c r="P212" t="str">
        <f t="shared" si="43"/>
        <v/>
      </c>
      <c r="Q212" t="str">
        <f t="shared" si="44"/>
        <v/>
      </c>
      <c r="S212" t="str">
        <f>""</f>
        <v/>
      </c>
      <c r="AL212" s="18" t="str">
        <f>IF(COUNTIF($A$2:A211, A211) = 1, A211, "")</f>
        <v/>
      </c>
    </row>
    <row r="213" spans="6:38" x14ac:dyDescent="0.2">
      <c r="F213" t="str">
        <f t="shared" si="39"/>
        <v/>
      </c>
      <c r="L213" s="7" t="str">
        <f t="shared" si="40"/>
        <v/>
      </c>
      <c r="N213" s="7" t="str">
        <f t="shared" si="41"/>
        <v/>
      </c>
      <c r="O213" t="str">
        <f t="shared" si="42"/>
        <v/>
      </c>
      <c r="P213" t="str">
        <f t="shared" si="43"/>
        <v/>
      </c>
      <c r="Q213" t="str">
        <f t="shared" si="44"/>
        <v/>
      </c>
      <c r="S213" t="str">
        <f>""</f>
        <v/>
      </c>
      <c r="AL213" s="18" t="str">
        <f>IF(COUNTIF($A$2:A212, A212) = 1, A212, "")</f>
        <v/>
      </c>
    </row>
    <row r="214" spans="6:38" x14ac:dyDescent="0.2">
      <c r="F214" t="str">
        <f t="shared" si="39"/>
        <v/>
      </c>
      <c r="L214" s="7" t="str">
        <f t="shared" si="40"/>
        <v/>
      </c>
      <c r="N214" s="7" t="str">
        <f t="shared" si="41"/>
        <v/>
      </c>
      <c r="O214" t="str">
        <f t="shared" si="42"/>
        <v/>
      </c>
      <c r="P214" t="str">
        <f t="shared" si="43"/>
        <v/>
      </c>
      <c r="Q214" t="str">
        <f t="shared" si="44"/>
        <v/>
      </c>
      <c r="S214" t="str">
        <f>""</f>
        <v/>
      </c>
      <c r="AL214" s="18" t="str">
        <f>IF(COUNTIF($A$2:A213, A213) = 1, A213, "")</f>
        <v/>
      </c>
    </row>
    <row r="215" spans="6:38" x14ac:dyDescent="0.2">
      <c r="F215" t="str">
        <f t="shared" si="39"/>
        <v/>
      </c>
      <c r="L215" s="7" t="str">
        <f t="shared" si="40"/>
        <v/>
      </c>
      <c r="N215" s="7" t="str">
        <f t="shared" si="41"/>
        <v/>
      </c>
      <c r="O215" t="str">
        <f t="shared" si="42"/>
        <v/>
      </c>
      <c r="P215" t="str">
        <f t="shared" si="43"/>
        <v/>
      </c>
      <c r="Q215" t="str">
        <f t="shared" si="44"/>
        <v/>
      </c>
      <c r="S215" t="str">
        <f>""</f>
        <v/>
      </c>
      <c r="AL215" s="18" t="str">
        <f>IF(COUNTIF($A$2:A214, A214) = 1, A214, "")</f>
        <v/>
      </c>
    </row>
    <row r="216" spans="6:38" x14ac:dyDescent="0.2">
      <c r="F216" t="str">
        <f t="shared" si="39"/>
        <v/>
      </c>
      <c r="L216" s="7" t="str">
        <f t="shared" si="40"/>
        <v/>
      </c>
      <c r="N216" s="7" t="str">
        <f t="shared" si="41"/>
        <v/>
      </c>
      <c r="O216" t="str">
        <f t="shared" si="42"/>
        <v/>
      </c>
      <c r="P216" t="str">
        <f t="shared" si="43"/>
        <v/>
      </c>
      <c r="Q216" t="str">
        <f t="shared" si="44"/>
        <v/>
      </c>
      <c r="S216" t="str">
        <f>""</f>
        <v/>
      </c>
      <c r="AL216" s="18" t="str">
        <f>IF(COUNTIF($A$2:A215, A215) = 1, A215, "")</f>
        <v/>
      </c>
    </row>
    <row r="217" spans="6:38" x14ac:dyDescent="0.2">
      <c r="F217" t="str">
        <f t="shared" si="39"/>
        <v/>
      </c>
      <c r="L217" s="7" t="str">
        <f t="shared" si="40"/>
        <v/>
      </c>
      <c r="N217" s="7" t="str">
        <f t="shared" si="41"/>
        <v/>
      </c>
      <c r="O217" t="str">
        <f t="shared" si="42"/>
        <v/>
      </c>
      <c r="P217" t="str">
        <f t="shared" si="43"/>
        <v/>
      </c>
      <c r="Q217" t="str">
        <f t="shared" si="44"/>
        <v/>
      </c>
      <c r="S217" t="str">
        <f>""</f>
        <v/>
      </c>
      <c r="AL217" s="18" t="str">
        <f>IF(COUNTIF($A$2:A216, A216) = 1, A216, "")</f>
        <v/>
      </c>
    </row>
    <row r="218" spans="6:38" x14ac:dyDescent="0.2">
      <c r="F218" t="str">
        <f t="shared" si="39"/>
        <v/>
      </c>
      <c r="L218" s="7" t="str">
        <f t="shared" si="40"/>
        <v/>
      </c>
      <c r="N218" s="7" t="str">
        <f t="shared" si="41"/>
        <v/>
      </c>
      <c r="O218" t="str">
        <f t="shared" si="42"/>
        <v/>
      </c>
      <c r="P218" t="str">
        <f t="shared" si="43"/>
        <v/>
      </c>
      <c r="Q218" t="str">
        <f t="shared" si="44"/>
        <v/>
      </c>
      <c r="S218" t="str">
        <f>""</f>
        <v/>
      </c>
      <c r="AL218" s="18" t="str">
        <f>IF(COUNTIF($A$2:A217, A217) = 1, A217, "")</f>
        <v/>
      </c>
    </row>
    <row r="219" spans="6:38" x14ac:dyDescent="0.2">
      <c r="F219" t="str">
        <f t="shared" si="39"/>
        <v/>
      </c>
      <c r="L219" s="7" t="str">
        <f t="shared" si="40"/>
        <v/>
      </c>
      <c r="N219" s="7" t="str">
        <f t="shared" si="41"/>
        <v/>
      </c>
      <c r="O219" t="str">
        <f t="shared" si="42"/>
        <v/>
      </c>
      <c r="P219" t="str">
        <f t="shared" si="43"/>
        <v/>
      </c>
      <c r="Q219" t="str">
        <f t="shared" si="44"/>
        <v/>
      </c>
      <c r="S219" t="str">
        <f>""</f>
        <v/>
      </c>
      <c r="AL219" s="18" t="str">
        <f>IF(COUNTIF($A$2:A218, A218) = 1, A218, "")</f>
        <v/>
      </c>
    </row>
    <row r="220" spans="6:38" x14ac:dyDescent="0.2">
      <c r="F220" t="str">
        <f t="shared" si="39"/>
        <v/>
      </c>
      <c r="L220" s="7" t="str">
        <f t="shared" si="40"/>
        <v/>
      </c>
      <c r="N220" s="7" t="str">
        <f t="shared" si="41"/>
        <v/>
      </c>
      <c r="O220" t="str">
        <f t="shared" si="42"/>
        <v/>
      </c>
      <c r="P220" t="str">
        <f t="shared" si="43"/>
        <v/>
      </c>
      <c r="Q220" t="str">
        <f t="shared" si="44"/>
        <v/>
      </c>
      <c r="S220" t="str">
        <f>""</f>
        <v/>
      </c>
      <c r="AL220" s="18" t="str">
        <f>IF(COUNTIF($A$2:A219, A219) = 1, A219, "")</f>
        <v/>
      </c>
    </row>
    <row r="221" spans="6:38" x14ac:dyDescent="0.2">
      <c r="F221" t="str">
        <f t="shared" si="39"/>
        <v/>
      </c>
      <c r="L221" s="7" t="str">
        <f t="shared" si="40"/>
        <v/>
      </c>
      <c r="N221" s="7" t="str">
        <f t="shared" si="41"/>
        <v/>
      </c>
      <c r="O221" t="str">
        <f t="shared" si="42"/>
        <v/>
      </c>
      <c r="P221" t="str">
        <f t="shared" si="43"/>
        <v/>
      </c>
      <c r="Q221" t="str">
        <f t="shared" si="44"/>
        <v/>
      </c>
      <c r="S221" t="str">
        <f>""</f>
        <v/>
      </c>
      <c r="AL221" s="18" t="str">
        <f>IF(COUNTIF($A$2:A220, A220) = 1, A220, "")</f>
        <v/>
      </c>
    </row>
    <row r="222" spans="6:38" x14ac:dyDescent="0.2">
      <c r="F222" t="str">
        <f t="shared" si="39"/>
        <v/>
      </c>
      <c r="L222" s="7" t="str">
        <f t="shared" si="40"/>
        <v/>
      </c>
      <c r="N222" s="7" t="str">
        <f t="shared" si="41"/>
        <v/>
      </c>
      <c r="O222" t="str">
        <f t="shared" si="42"/>
        <v/>
      </c>
      <c r="P222" t="str">
        <f t="shared" si="43"/>
        <v/>
      </c>
      <c r="Q222" t="str">
        <f t="shared" si="44"/>
        <v/>
      </c>
      <c r="S222" t="str">
        <f>""</f>
        <v/>
      </c>
      <c r="AL222" s="18" t="str">
        <f>IF(COUNTIF($A$2:A221, A221) = 1, A221, "")</f>
        <v/>
      </c>
    </row>
    <row r="223" spans="6:38" x14ac:dyDescent="0.2">
      <c r="F223" t="str">
        <f t="shared" si="39"/>
        <v/>
      </c>
      <c r="L223" s="7" t="str">
        <f t="shared" si="40"/>
        <v/>
      </c>
      <c r="N223" s="7" t="str">
        <f t="shared" si="41"/>
        <v/>
      </c>
      <c r="O223" t="str">
        <f t="shared" si="42"/>
        <v/>
      </c>
      <c r="P223" t="str">
        <f t="shared" si="43"/>
        <v/>
      </c>
      <c r="Q223" t="str">
        <f t="shared" si="44"/>
        <v/>
      </c>
      <c r="S223" t="str">
        <f>""</f>
        <v/>
      </c>
      <c r="AL223" s="18" t="str">
        <f>IF(COUNTIF($A$2:A222, A222) = 1, A222, "")</f>
        <v/>
      </c>
    </row>
    <row r="224" spans="6:38" x14ac:dyDescent="0.2">
      <c r="F224" t="str">
        <f t="shared" si="39"/>
        <v/>
      </c>
      <c r="L224" s="7" t="str">
        <f t="shared" si="40"/>
        <v/>
      </c>
      <c r="N224" s="7" t="str">
        <f t="shared" si="41"/>
        <v/>
      </c>
      <c r="O224" t="str">
        <f t="shared" si="42"/>
        <v/>
      </c>
      <c r="P224" t="str">
        <f t="shared" si="43"/>
        <v/>
      </c>
      <c r="Q224" t="str">
        <f t="shared" si="44"/>
        <v/>
      </c>
      <c r="S224" t="str">
        <f>""</f>
        <v/>
      </c>
      <c r="AL224" s="18" t="str">
        <f>IF(COUNTIF($A$2:A223, A223) = 1, A223, "")</f>
        <v/>
      </c>
    </row>
    <row r="225" spans="6:38" x14ac:dyDescent="0.2">
      <c r="F225" t="str">
        <f t="shared" si="39"/>
        <v/>
      </c>
      <c r="L225" s="7" t="str">
        <f t="shared" si="40"/>
        <v/>
      </c>
      <c r="N225" s="7" t="str">
        <f t="shared" si="41"/>
        <v/>
      </c>
      <c r="O225" t="str">
        <f t="shared" si="42"/>
        <v/>
      </c>
      <c r="P225" t="str">
        <f t="shared" si="43"/>
        <v/>
      </c>
      <c r="Q225" t="str">
        <f t="shared" si="44"/>
        <v/>
      </c>
      <c r="S225" t="str">
        <f>""</f>
        <v/>
      </c>
      <c r="AL225" s="18" t="str">
        <f>IF(COUNTIF($A$2:A224, A224) = 1, A224, "")</f>
        <v/>
      </c>
    </row>
    <row r="226" spans="6:38" x14ac:dyDescent="0.2">
      <c r="F226" t="str">
        <f t="shared" si="39"/>
        <v/>
      </c>
      <c r="L226" s="7" t="str">
        <f t="shared" si="40"/>
        <v/>
      </c>
      <c r="N226" s="7" t="str">
        <f t="shared" si="41"/>
        <v/>
      </c>
      <c r="O226" t="str">
        <f t="shared" si="42"/>
        <v/>
      </c>
      <c r="P226" t="str">
        <f t="shared" si="43"/>
        <v/>
      </c>
      <c r="Q226" t="str">
        <f t="shared" si="44"/>
        <v/>
      </c>
      <c r="S226" t="str">
        <f>""</f>
        <v/>
      </c>
      <c r="AL226" s="18" t="str">
        <f>IF(COUNTIF($A$2:A225, A225) = 1, A225, "")</f>
        <v/>
      </c>
    </row>
    <row r="227" spans="6:38" x14ac:dyDescent="0.2">
      <c r="F227" t="str">
        <f t="shared" si="39"/>
        <v/>
      </c>
      <c r="L227" s="7" t="str">
        <f t="shared" si="40"/>
        <v/>
      </c>
      <c r="N227" s="7" t="str">
        <f t="shared" si="41"/>
        <v/>
      </c>
      <c r="O227" t="str">
        <f t="shared" si="42"/>
        <v/>
      </c>
      <c r="P227" t="str">
        <f t="shared" si="43"/>
        <v/>
      </c>
      <c r="Q227" t="str">
        <f t="shared" si="44"/>
        <v/>
      </c>
      <c r="S227" t="str">
        <f>""</f>
        <v/>
      </c>
      <c r="AL227" s="18" t="str">
        <f>IF(COUNTIF($A$2:A226, A226) = 1, A226, "")</f>
        <v/>
      </c>
    </row>
    <row r="228" spans="6:38" x14ac:dyDescent="0.2">
      <c r="F228" t="str">
        <f t="shared" si="39"/>
        <v/>
      </c>
      <c r="L228" s="7" t="str">
        <f t="shared" si="40"/>
        <v/>
      </c>
      <c r="N228" s="7" t="str">
        <f t="shared" si="41"/>
        <v/>
      </c>
      <c r="O228" t="str">
        <f t="shared" si="42"/>
        <v/>
      </c>
      <c r="P228" t="str">
        <f t="shared" si="43"/>
        <v/>
      </c>
      <c r="Q228" t="str">
        <f t="shared" si="44"/>
        <v/>
      </c>
      <c r="S228" t="str">
        <f>""</f>
        <v/>
      </c>
      <c r="AL228" s="18" t="str">
        <f>IF(COUNTIF($A$2:A227, A227) = 1, A227, "")</f>
        <v/>
      </c>
    </row>
    <row r="229" spans="6:38" x14ac:dyDescent="0.2">
      <c r="F229" t="str">
        <f t="shared" si="39"/>
        <v/>
      </c>
      <c r="L229" s="7" t="str">
        <f t="shared" si="40"/>
        <v/>
      </c>
      <c r="N229" s="7" t="str">
        <f t="shared" si="41"/>
        <v/>
      </c>
      <c r="O229" t="str">
        <f t="shared" si="42"/>
        <v/>
      </c>
      <c r="P229" t="str">
        <f t="shared" si="43"/>
        <v/>
      </c>
      <c r="Q229" t="str">
        <f t="shared" si="44"/>
        <v/>
      </c>
      <c r="S229" t="str">
        <f>""</f>
        <v/>
      </c>
      <c r="AL229" s="18" t="str">
        <f>IF(COUNTIF($A$2:A228, A228) = 1, A228, "")</f>
        <v/>
      </c>
    </row>
    <row r="230" spans="6:38" x14ac:dyDescent="0.2">
      <c r="F230" t="str">
        <f t="shared" si="39"/>
        <v/>
      </c>
      <c r="L230" s="7" t="str">
        <f t="shared" si="40"/>
        <v/>
      </c>
      <c r="N230" s="7" t="str">
        <f t="shared" si="41"/>
        <v/>
      </c>
      <c r="O230" t="str">
        <f t="shared" si="42"/>
        <v/>
      </c>
      <c r="P230" t="str">
        <f t="shared" si="43"/>
        <v/>
      </c>
      <c r="Q230" t="str">
        <f t="shared" si="44"/>
        <v/>
      </c>
      <c r="S230" t="str">
        <f>""</f>
        <v/>
      </c>
      <c r="AL230" s="18" t="str">
        <f>IF(COUNTIF($A$2:A229, A229) = 1, A229, "")</f>
        <v/>
      </c>
    </row>
    <row r="231" spans="6:38" x14ac:dyDescent="0.2">
      <c r="F231" t="str">
        <f t="shared" si="39"/>
        <v/>
      </c>
      <c r="L231" s="7" t="str">
        <f t="shared" si="40"/>
        <v/>
      </c>
      <c r="N231" s="7" t="str">
        <f t="shared" si="41"/>
        <v/>
      </c>
      <c r="O231" t="str">
        <f t="shared" si="42"/>
        <v/>
      </c>
      <c r="P231" t="str">
        <f t="shared" si="43"/>
        <v/>
      </c>
      <c r="Q231" t="str">
        <f t="shared" si="44"/>
        <v/>
      </c>
      <c r="S231" t="str">
        <f>""</f>
        <v/>
      </c>
      <c r="AL231" s="18" t="str">
        <f>IF(COUNTIF($A$2:A230, A230) = 1, A230, "")</f>
        <v/>
      </c>
    </row>
    <row r="232" spans="6:38" x14ac:dyDescent="0.2">
      <c r="F232" t="str">
        <f t="shared" si="39"/>
        <v/>
      </c>
      <c r="L232" s="7" t="str">
        <f t="shared" si="40"/>
        <v/>
      </c>
      <c r="N232" s="7" t="str">
        <f t="shared" si="41"/>
        <v/>
      </c>
      <c r="O232" t="str">
        <f t="shared" si="42"/>
        <v/>
      </c>
      <c r="P232" t="str">
        <f t="shared" si="43"/>
        <v/>
      </c>
      <c r="Q232" t="str">
        <f t="shared" si="44"/>
        <v/>
      </c>
      <c r="S232" t="str">
        <f>""</f>
        <v/>
      </c>
      <c r="AL232" s="18" t="str">
        <f>IF(COUNTIF($A$2:A231, A231) = 1, A231, "")</f>
        <v/>
      </c>
    </row>
    <row r="233" spans="6:38" x14ac:dyDescent="0.2">
      <c r="F233" t="str">
        <f t="shared" si="39"/>
        <v/>
      </c>
      <c r="L233" s="7" t="str">
        <f t="shared" si="40"/>
        <v/>
      </c>
      <c r="N233" s="7" t="str">
        <f t="shared" si="41"/>
        <v/>
      </c>
      <c r="O233" t="str">
        <f t="shared" si="42"/>
        <v/>
      </c>
      <c r="P233" t="str">
        <f t="shared" si="43"/>
        <v/>
      </c>
      <c r="Q233" t="str">
        <f t="shared" si="44"/>
        <v/>
      </c>
      <c r="S233" t="str">
        <f>""</f>
        <v/>
      </c>
      <c r="AL233" s="18" t="str">
        <f>IF(COUNTIF($A$2:A232, A232) = 1, A232, "")</f>
        <v/>
      </c>
    </row>
    <row r="234" spans="6:38" x14ac:dyDescent="0.2">
      <c r="F234" t="str">
        <f t="shared" si="39"/>
        <v/>
      </c>
      <c r="L234" s="7" t="str">
        <f t="shared" si="40"/>
        <v/>
      </c>
      <c r="N234" s="7" t="str">
        <f t="shared" si="41"/>
        <v/>
      </c>
      <c r="O234" t="str">
        <f t="shared" si="42"/>
        <v/>
      </c>
      <c r="P234" t="str">
        <f t="shared" si="43"/>
        <v/>
      </c>
      <c r="Q234" t="str">
        <f t="shared" si="44"/>
        <v/>
      </c>
      <c r="S234" t="str">
        <f>""</f>
        <v/>
      </c>
      <c r="AL234" s="18" t="str">
        <f>IF(COUNTIF($A$2:A233, A233) = 1, A233, "")</f>
        <v/>
      </c>
    </row>
    <row r="235" spans="6:38" x14ac:dyDescent="0.2">
      <c r="F235" t="str">
        <f t="shared" si="39"/>
        <v/>
      </c>
      <c r="L235" s="7" t="str">
        <f t="shared" si="40"/>
        <v/>
      </c>
      <c r="N235" s="7" t="str">
        <f t="shared" si="41"/>
        <v/>
      </c>
      <c r="O235" t="str">
        <f t="shared" si="42"/>
        <v/>
      </c>
      <c r="P235" t="str">
        <f t="shared" si="43"/>
        <v/>
      </c>
      <c r="Q235" t="str">
        <f t="shared" si="44"/>
        <v/>
      </c>
      <c r="S235" t="str">
        <f>""</f>
        <v/>
      </c>
      <c r="AL235" s="18" t="str">
        <f>IF(COUNTIF($A$2:A234, A234) = 1, A234, "")</f>
        <v/>
      </c>
    </row>
    <row r="236" spans="6:38" x14ac:dyDescent="0.2">
      <c r="F236" t="str">
        <f t="shared" si="39"/>
        <v/>
      </c>
      <c r="L236" s="7" t="str">
        <f t="shared" si="40"/>
        <v/>
      </c>
      <c r="N236" s="7" t="str">
        <f t="shared" si="41"/>
        <v/>
      </c>
      <c r="O236" t="str">
        <f t="shared" si="42"/>
        <v/>
      </c>
      <c r="P236" t="str">
        <f t="shared" si="43"/>
        <v/>
      </c>
      <c r="Q236" t="str">
        <f t="shared" si="44"/>
        <v/>
      </c>
      <c r="S236" t="str">
        <f>""</f>
        <v/>
      </c>
      <c r="AL236" s="18" t="str">
        <f>IF(COUNTIF($A$2:A235, A235) = 1, A235, "")</f>
        <v/>
      </c>
    </row>
    <row r="237" spans="6:38" x14ac:dyDescent="0.2">
      <c r="F237" t="str">
        <f t="shared" si="39"/>
        <v/>
      </c>
      <c r="L237" s="7" t="str">
        <f t="shared" si="40"/>
        <v/>
      </c>
      <c r="N237" s="7" t="str">
        <f t="shared" si="41"/>
        <v/>
      </c>
      <c r="O237" t="str">
        <f t="shared" si="42"/>
        <v/>
      </c>
      <c r="P237" t="str">
        <f t="shared" si="43"/>
        <v/>
      </c>
      <c r="Q237" t="str">
        <f t="shared" si="44"/>
        <v/>
      </c>
      <c r="S237" t="str">
        <f>""</f>
        <v/>
      </c>
      <c r="AL237" s="18" t="str">
        <f>IF(COUNTIF($A$2:A236, A236) = 1, A236, "")</f>
        <v/>
      </c>
    </row>
    <row r="238" spans="6:38" x14ac:dyDescent="0.2">
      <c r="F238" t="str">
        <f t="shared" si="39"/>
        <v/>
      </c>
      <c r="L238" s="7" t="str">
        <f t="shared" si="40"/>
        <v/>
      </c>
      <c r="N238" s="7" t="str">
        <f t="shared" si="41"/>
        <v/>
      </c>
      <c r="O238" t="str">
        <f t="shared" si="42"/>
        <v/>
      </c>
      <c r="P238" t="str">
        <f t="shared" si="43"/>
        <v/>
      </c>
      <c r="Q238" t="str">
        <f t="shared" si="44"/>
        <v/>
      </c>
      <c r="S238" t="str">
        <f>""</f>
        <v/>
      </c>
      <c r="AL238" s="18" t="str">
        <f>IF(COUNTIF($A$2:A237, A237) = 1, A237, "")</f>
        <v/>
      </c>
    </row>
    <row r="239" spans="6:38" x14ac:dyDescent="0.2">
      <c r="F239" t="str">
        <f t="shared" si="39"/>
        <v/>
      </c>
      <c r="L239" s="7" t="str">
        <f t="shared" si="40"/>
        <v/>
      </c>
      <c r="N239" s="7" t="str">
        <f t="shared" si="41"/>
        <v/>
      </c>
      <c r="O239" t="str">
        <f t="shared" si="42"/>
        <v/>
      </c>
      <c r="P239" t="str">
        <f t="shared" si="43"/>
        <v/>
      </c>
      <c r="Q239" t="str">
        <f t="shared" si="44"/>
        <v/>
      </c>
      <c r="S239" t="str">
        <f>""</f>
        <v/>
      </c>
      <c r="AL239" s="18" t="str">
        <f>IF(COUNTIF($A$2:A238, A238) = 1, A238, "")</f>
        <v/>
      </c>
    </row>
    <row r="240" spans="6:38" x14ac:dyDescent="0.2">
      <c r="F240" t="str">
        <f t="shared" si="39"/>
        <v/>
      </c>
      <c r="L240" s="7" t="str">
        <f t="shared" si="40"/>
        <v/>
      </c>
      <c r="N240" s="7" t="str">
        <f t="shared" si="41"/>
        <v/>
      </c>
      <c r="O240" t="str">
        <f t="shared" si="42"/>
        <v/>
      </c>
      <c r="P240" t="str">
        <f t="shared" si="43"/>
        <v/>
      </c>
      <c r="Q240" t="str">
        <f t="shared" si="44"/>
        <v/>
      </c>
      <c r="S240" t="str">
        <f>""</f>
        <v/>
      </c>
      <c r="AL240" s="18" t="str">
        <f>IF(COUNTIF($A$2:A239, A239) = 1, A239, "")</f>
        <v/>
      </c>
    </row>
    <row r="241" spans="6:38" x14ac:dyDescent="0.2">
      <c r="F241" t="str">
        <f t="shared" si="39"/>
        <v/>
      </c>
      <c r="L241" s="7" t="str">
        <f t="shared" si="40"/>
        <v/>
      </c>
      <c r="N241" s="7" t="str">
        <f t="shared" si="41"/>
        <v/>
      </c>
      <c r="O241" t="str">
        <f t="shared" si="42"/>
        <v/>
      </c>
      <c r="P241" t="str">
        <f t="shared" si="43"/>
        <v/>
      </c>
      <c r="Q241" t="str">
        <f t="shared" si="44"/>
        <v/>
      </c>
      <c r="S241" t="str">
        <f>""</f>
        <v/>
      </c>
      <c r="AL241" s="18" t="str">
        <f>IF(COUNTIF($A$2:A240, A240) = 1, A240, "")</f>
        <v/>
      </c>
    </row>
    <row r="242" spans="6:38" x14ac:dyDescent="0.2">
      <c r="F242" t="str">
        <f t="shared" si="39"/>
        <v/>
      </c>
      <c r="L242" s="7" t="str">
        <f t="shared" si="40"/>
        <v/>
      </c>
      <c r="N242" s="7" t="str">
        <f t="shared" si="41"/>
        <v/>
      </c>
      <c r="O242" t="str">
        <f t="shared" si="42"/>
        <v/>
      </c>
      <c r="P242" t="str">
        <f t="shared" si="43"/>
        <v/>
      </c>
      <c r="Q242" t="str">
        <f t="shared" si="44"/>
        <v/>
      </c>
      <c r="S242" t="str">
        <f>""</f>
        <v/>
      </c>
      <c r="AL242" s="18" t="str">
        <f>IF(COUNTIF($A$2:A241, A241) = 1, A241, "")</f>
        <v/>
      </c>
    </row>
    <row r="243" spans="6:38" x14ac:dyDescent="0.2">
      <c r="F243" t="str">
        <f t="shared" si="39"/>
        <v/>
      </c>
      <c r="L243" s="7" t="str">
        <f t="shared" si="40"/>
        <v/>
      </c>
      <c r="N243" s="7" t="str">
        <f t="shared" si="41"/>
        <v/>
      </c>
      <c r="O243" t="str">
        <f t="shared" si="42"/>
        <v/>
      </c>
      <c r="P243" t="str">
        <f t="shared" si="43"/>
        <v/>
      </c>
      <c r="Q243" t="str">
        <f t="shared" si="44"/>
        <v/>
      </c>
      <c r="S243" t="str">
        <f>""</f>
        <v/>
      </c>
      <c r="AL243" s="18" t="str">
        <f>IF(COUNTIF($A$2:A242, A242) = 1, A242, "")</f>
        <v/>
      </c>
    </row>
    <row r="244" spans="6:38" x14ac:dyDescent="0.2">
      <c r="F244" t="str">
        <f t="shared" si="39"/>
        <v/>
      </c>
      <c r="L244" s="7" t="str">
        <f t="shared" si="40"/>
        <v/>
      </c>
      <c r="N244" s="7" t="str">
        <f t="shared" si="41"/>
        <v/>
      </c>
      <c r="O244" t="str">
        <f t="shared" si="42"/>
        <v/>
      </c>
      <c r="P244" t="str">
        <f t="shared" si="43"/>
        <v/>
      </c>
      <c r="Q244" t="str">
        <f t="shared" si="44"/>
        <v/>
      </c>
      <c r="S244" t="str">
        <f>""</f>
        <v/>
      </c>
      <c r="AL244" s="18" t="str">
        <f>IF(COUNTIF($A$2:A243, A243) = 1, A243, "")</f>
        <v/>
      </c>
    </row>
    <row r="245" spans="6:38" x14ac:dyDescent="0.2">
      <c r="F245" t="str">
        <f t="shared" si="39"/>
        <v/>
      </c>
      <c r="L245" s="7" t="str">
        <f t="shared" si="40"/>
        <v/>
      </c>
      <c r="N245" s="7" t="str">
        <f t="shared" si="41"/>
        <v/>
      </c>
      <c r="O245" t="str">
        <f t="shared" si="42"/>
        <v/>
      </c>
      <c r="P245" t="str">
        <f t="shared" si="43"/>
        <v/>
      </c>
      <c r="Q245" t="str">
        <f t="shared" si="44"/>
        <v/>
      </c>
      <c r="S245" t="str">
        <f>""</f>
        <v/>
      </c>
      <c r="AL245" s="18" t="str">
        <f>IF(COUNTIF($A$2:A244, A244) = 1, A244, "")</f>
        <v/>
      </c>
    </row>
    <row r="246" spans="6:38" x14ac:dyDescent="0.2">
      <c r="F246" t="str">
        <f t="shared" si="39"/>
        <v/>
      </c>
      <c r="L246" s="7" t="str">
        <f t="shared" si="40"/>
        <v/>
      </c>
      <c r="N246" s="7" t="str">
        <f t="shared" si="41"/>
        <v/>
      </c>
      <c r="O246" t="str">
        <f t="shared" si="42"/>
        <v/>
      </c>
      <c r="P246" t="str">
        <f t="shared" si="43"/>
        <v/>
      </c>
      <c r="Q246" t="str">
        <f t="shared" si="44"/>
        <v/>
      </c>
      <c r="S246" t="str">
        <f>""</f>
        <v/>
      </c>
      <c r="AL246" s="18" t="str">
        <f>IF(COUNTIF($A$2:A245, A245) = 1, A245, "")</f>
        <v/>
      </c>
    </row>
    <row r="247" spans="6:38" x14ac:dyDescent="0.2">
      <c r="F247" t="str">
        <f t="shared" si="39"/>
        <v/>
      </c>
      <c r="L247" s="7" t="str">
        <f t="shared" si="40"/>
        <v/>
      </c>
      <c r="N247" s="7" t="str">
        <f t="shared" si="41"/>
        <v/>
      </c>
      <c r="O247" t="str">
        <f t="shared" si="42"/>
        <v/>
      </c>
      <c r="P247" t="str">
        <f t="shared" si="43"/>
        <v/>
      </c>
      <c r="Q247" t="str">
        <f t="shared" si="44"/>
        <v/>
      </c>
      <c r="S247" t="str">
        <f>""</f>
        <v/>
      </c>
      <c r="AL247" s="18" t="str">
        <f>IF(COUNTIF($A$2:A246, A246) = 1, A246, "")</f>
        <v/>
      </c>
    </row>
    <row r="248" spans="6:38" x14ac:dyDescent="0.2">
      <c r="F248" t="str">
        <f t="shared" si="39"/>
        <v/>
      </c>
      <c r="L248" s="7" t="str">
        <f t="shared" si="40"/>
        <v/>
      </c>
      <c r="N248" s="7" t="str">
        <f t="shared" si="41"/>
        <v/>
      </c>
      <c r="O248" t="str">
        <f t="shared" si="42"/>
        <v/>
      </c>
      <c r="P248" t="str">
        <f t="shared" si="43"/>
        <v/>
      </c>
      <c r="Q248" t="str">
        <f t="shared" si="44"/>
        <v/>
      </c>
      <c r="S248" t="str">
        <f>""</f>
        <v/>
      </c>
      <c r="AL248" s="18" t="str">
        <f>IF(COUNTIF($A$2:A247, A247) = 1, A247, "")</f>
        <v/>
      </c>
    </row>
    <row r="249" spans="6:38" x14ac:dyDescent="0.2">
      <c r="F249" t="str">
        <f t="shared" si="39"/>
        <v/>
      </c>
      <c r="L249" s="7" t="str">
        <f t="shared" si="40"/>
        <v/>
      </c>
      <c r="N249" s="7" t="str">
        <f t="shared" si="41"/>
        <v/>
      </c>
      <c r="O249" t="str">
        <f t="shared" si="42"/>
        <v/>
      </c>
      <c r="P249" t="str">
        <f t="shared" si="43"/>
        <v/>
      </c>
      <c r="Q249" t="str">
        <f t="shared" si="44"/>
        <v/>
      </c>
      <c r="S249" t="str">
        <f>""</f>
        <v/>
      </c>
      <c r="AL249" s="18" t="str">
        <f>IF(COUNTIF($A$2:A248, A248) = 1, A248, "")</f>
        <v/>
      </c>
    </row>
    <row r="250" spans="6:38" x14ac:dyDescent="0.2">
      <c r="F250" t="str">
        <f t="shared" si="39"/>
        <v/>
      </c>
      <c r="L250" s="7" t="str">
        <f t="shared" si="40"/>
        <v/>
      </c>
      <c r="N250" s="7" t="str">
        <f t="shared" si="41"/>
        <v/>
      </c>
      <c r="O250" t="str">
        <f t="shared" si="42"/>
        <v/>
      </c>
      <c r="P250" t="str">
        <f t="shared" si="43"/>
        <v/>
      </c>
      <c r="Q250" t="str">
        <f t="shared" si="44"/>
        <v/>
      </c>
      <c r="S250" t="str">
        <f>""</f>
        <v/>
      </c>
      <c r="AL250" s="18" t="str">
        <f>IF(COUNTIF($A$2:A249, A249) = 1, A249, "")</f>
        <v/>
      </c>
    </row>
    <row r="251" spans="6:38" x14ac:dyDescent="0.2">
      <c r="F251" t="str">
        <f t="shared" si="39"/>
        <v/>
      </c>
      <c r="L251" s="7" t="str">
        <f t="shared" si="40"/>
        <v/>
      </c>
      <c r="N251" s="7" t="str">
        <f t="shared" si="41"/>
        <v/>
      </c>
      <c r="O251" t="str">
        <f t="shared" si="42"/>
        <v/>
      </c>
      <c r="P251" t="str">
        <f t="shared" si="43"/>
        <v/>
      </c>
      <c r="Q251" t="str">
        <f t="shared" si="44"/>
        <v/>
      </c>
      <c r="S251" t="str">
        <f>""</f>
        <v/>
      </c>
      <c r="AL251" s="18" t="str">
        <f>IF(COUNTIF($A$2:A250, A250) = 1, A250, "")</f>
        <v/>
      </c>
    </row>
    <row r="252" spans="6:38" x14ac:dyDescent="0.2">
      <c r="F252" t="str">
        <f t="shared" si="39"/>
        <v/>
      </c>
      <c r="L252" s="7" t="str">
        <f t="shared" si="40"/>
        <v/>
      </c>
      <c r="N252" s="7" t="str">
        <f t="shared" si="41"/>
        <v/>
      </c>
      <c r="O252" t="str">
        <f t="shared" si="42"/>
        <v/>
      </c>
      <c r="P252" t="str">
        <f t="shared" si="43"/>
        <v/>
      </c>
      <c r="Q252" t="str">
        <f t="shared" si="44"/>
        <v/>
      </c>
      <c r="S252" t="str">
        <f>""</f>
        <v/>
      </c>
      <c r="AL252" s="18" t="str">
        <f>IF(COUNTIF($A$2:A251, A251) = 1, A251, "")</f>
        <v/>
      </c>
    </row>
    <row r="253" spans="6:38" x14ac:dyDescent="0.2">
      <c r="F253" t="str">
        <f t="shared" si="39"/>
        <v/>
      </c>
      <c r="L253" s="7" t="str">
        <f t="shared" si="40"/>
        <v/>
      </c>
      <c r="N253" s="7" t="str">
        <f t="shared" si="41"/>
        <v/>
      </c>
      <c r="O253" t="str">
        <f t="shared" si="42"/>
        <v/>
      </c>
      <c r="P253" t="str">
        <f t="shared" si="43"/>
        <v/>
      </c>
      <c r="Q253" t="str">
        <f t="shared" si="44"/>
        <v/>
      </c>
      <c r="S253" t="str">
        <f>""</f>
        <v/>
      </c>
      <c r="AL253" s="18" t="str">
        <f>IF(COUNTIF($A$2:A252, A252) = 1, A252, "")</f>
        <v/>
      </c>
    </row>
    <row r="254" spans="6:38" x14ac:dyDescent="0.2">
      <c r="F254" t="str">
        <f t="shared" si="39"/>
        <v/>
      </c>
      <c r="L254" s="7" t="str">
        <f t="shared" si="40"/>
        <v/>
      </c>
      <c r="N254" s="7" t="str">
        <f t="shared" si="41"/>
        <v/>
      </c>
      <c r="O254" t="str">
        <f t="shared" si="42"/>
        <v/>
      </c>
      <c r="P254" t="str">
        <f t="shared" si="43"/>
        <v/>
      </c>
      <c r="Q254" t="str">
        <f t="shared" si="44"/>
        <v/>
      </c>
      <c r="S254" t="str">
        <f>""</f>
        <v/>
      </c>
      <c r="AL254" s="18" t="str">
        <f>IF(COUNTIF($A$2:A253, A253) = 1, A253, "")</f>
        <v/>
      </c>
    </row>
    <row r="255" spans="6:38" x14ac:dyDescent="0.2">
      <c r="F255" t="str">
        <f t="shared" si="39"/>
        <v/>
      </c>
      <c r="L255" s="7" t="str">
        <f t="shared" si="40"/>
        <v/>
      </c>
      <c r="N255" s="7" t="str">
        <f t="shared" si="41"/>
        <v/>
      </c>
      <c r="O255" t="str">
        <f t="shared" si="42"/>
        <v/>
      </c>
      <c r="P255" t="str">
        <f t="shared" si="43"/>
        <v/>
      </c>
      <c r="Q255" t="str">
        <f t="shared" si="44"/>
        <v/>
      </c>
      <c r="S255" t="str">
        <f>""</f>
        <v/>
      </c>
      <c r="AL255" s="18" t="str">
        <f>IF(COUNTIF($A$2:A254, A254) = 1, A254, "")</f>
        <v/>
      </c>
    </row>
    <row r="256" spans="6:38" x14ac:dyDescent="0.2">
      <c r="F256" t="str">
        <f t="shared" si="39"/>
        <v/>
      </c>
      <c r="L256" s="7" t="str">
        <f t="shared" si="40"/>
        <v/>
      </c>
      <c r="N256" s="7" t="str">
        <f t="shared" si="41"/>
        <v/>
      </c>
      <c r="O256" t="str">
        <f t="shared" si="42"/>
        <v/>
      </c>
      <c r="P256" t="str">
        <f t="shared" si="43"/>
        <v/>
      </c>
      <c r="Q256" t="str">
        <f t="shared" si="44"/>
        <v/>
      </c>
      <c r="S256" t="str">
        <f>""</f>
        <v/>
      </c>
      <c r="AL256" s="18" t="str">
        <f>IF(COUNTIF($A$2:A255, A255) = 1, A255, "")</f>
        <v/>
      </c>
    </row>
    <row r="257" spans="6:38" x14ac:dyDescent="0.2">
      <c r="F257" t="str">
        <f t="shared" si="39"/>
        <v/>
      </c>
      <c r="L257" s="7" t="str">
        <f t="shared" si="40"/>
        <v/>
      </c>
      <c r="N257" s="7" t="str">
        <f t="shared" si="41"/>
        <v/>
      </c>
      <c r="O257" t="str">
        <f t="shared" si="42"/>
        <v/>
      </c>
      <c r="P257" t="str">
        <f t="shared" si="43"/>
        <v/>
      </c>
      <c r="Q257" t="str">
        <f t="shared" si="44"/>
        <v/>
      </c>
      <c r="S257" t="str">
        <f>""</f>
        <v/>
      </c>
      <c r="AL257" s="18" t="str">
        <f>IF(COUNTIF($A$2:A256, A256) = 1, A256, "")</f>
        <v/>
      </c>
    </row>
    <row r="258" spans="6:38" x14ac:dyDescent="0.2">
      <c r="F258" t="str">
        <f t="shared" si="39"/>
        <v/>
      </c>
      <c r="L258" s="7" t="str">
        <f t="shared" si="40"/>
        <v/>
      </c>
      <c r="N258" s="7" t="str">
        <f t="shared" si="41"/>
        <v/>
      </c>
      <c r="O258" t="str">
        <f t="shared" si="42"/>
        <v/>
      </c>
      <c r="P258" t="str">
        <f t="shared" si="43"/>
        <v/>
      </c>
      <c r="Q258" t="str">
        <f t="shared" si="44"/>
        <v/>
      </c>
      <c r="S258" t="str">
        <f>""</f>
        <v/>
      </c>
      <c r="AL258" s="18" t="str">
        <f>IF(COUNTIF($A$2:A257, A257) = 1, A257, "")</f>
        <v/>
      </c>
    </row>
    <row r="259" spans="6:38" x14ac:dyDescent="0.2">
      <c r="F259" t="str">
        <f t="shared" si="39"/>
        <v/>
      </c>
      <c r="L259" s="7" t="str">
        <f t="shared" si="40"/>
        <v/>
      </c>
      <c r="N259" s="7" t="str">
        <f t="shared" si="41"/>
        <v/>
      </c>
      <c r="O259" t="str">
        <f t="shared" si="42"/>
        <v/>
      </c>
      <c r="P259" t="str">
        <f t="shared" si="43"/>
        <v/>
      </c>
      <c r="Q259" t="str">
        <f t="shared" si="44"/>
        <v/>
      </c>
      <c r="S259" t="str">
        <f>""</f>
        <v/>
      </c>
      <c r="AL259" s="18" t="str">
        <f>IF(COUNTIF($A$2:A258, A258) = 1, A258, "")</f>
        <v/>
      </c>
    </row>
    <row r="260" spans="6:38" x14ac:dyDescent="0.2">
      <c r="F260" t="str">
        <f t="shared" si="39"/>
        <v/>
      </c>
      <c r="L260" s="7" t="str">
        <f t="shared" si="40"/>
        <v/>
      </c>
      <c r="N260" s="7" t="str">
        <f t="shared" si="41"/>
        <v/>
      </c>
      <c r="O260" t="str">
        <f t="shared" si="42"/>
        <v/>
      </c>
      <c r="P260" t="str">
        <f t="shared" si="43"/>
        <v/>
      </c>
      <c r="Q260" t="str">
        <f t="shared" si="44"/>
        <v/>
      </c>
      <c r="S260" t="str">
        <f>""</f>
        <v/>
      </c>
      <c r="AL260" s="18" t="str">
        <f>IF(COUNTIF($A$2:A259, A259) = 1, A259, "")</f>
        <v/>
      </c>
    </row>
    <row r="261" spans="6:38" x14ac:dyDescent="0.2">
      <c r="F261" t="str">
        <f t="shared" si="39"/>
        <v/>
      </c>
      <c r="L261" s="7" t="str">
        <f t="shared" si="40"/>
        <v/>
      </c>
      <c r="N261" s="7" t="str">
        <f t="shared" si="41"/>
        <v/>
      </c>
      <c r="O261" t="str">
        <f t="shared" si="42"/>
        <v/>
      </c>
      <c r="P261" t="str">
        <f t="shared" si="43"/>
        <v/>
      </c>
      <c r="Q261" t="str">
        <f t="shared" si="44"/>
        <v/>
      </c>
      <c r="S261" t="str">
        <f>""</f>
        <v/>
      </c>
      <c r="AL261" s="18" t="str">
        <f>IF(COUNTIF($A$2:A260, A260) = 1, A260, "")</f>
        <v/>
      </c>
    </row>
    <row r="262" spans="6:38" x14ac:dyDescent="0.2">
      <c r="F262" t="str">
        <f t="shared" si="39"/>
        <v/>
      </c>
      <c r="L262" s="7" t="str">
        <f t="shared" si="40"/>
        <v/>
      </c>
      <c r="N262" s="7" t="str">
        <f t="shared" si="41"/>
        <v/>
      </c>
      <c r="O262" t="str">
        <f t="shared" si="42"/>
        <v/>
      </c>
      <c r="P262" t="str">
        <f t="shared" si="43"/>
        <v/>
      </c>
      <c r="Q262" t="str">
        <f t="shared" si="44"/>
        <v/>
      </c>
      <c r="S262" t="str">
        <f>""</f>
        <v/>
      </c>
      <c r="AL262" s="18" t="str">
        <f>IF(COUNTIF($A$2:A261, A261) = 1, A261, "")</f>
        <v/>
      </c>
    </row>
    <row r="263" spans="6:38" x14ac:dyDescent="0.2">
      <c r="F263" t="str">
        <f t="shared" si="39"/>
        <v/>
      </c>
      <c r="L263" s="7" t="str">
        <f t="shared" si="40"/>
        <v/>
      </c>
      <c r="N263" s="7" t="str">
        <f t="shared" si="41"/>
        <v/>
      </c>
      <c r="O263" t="str">
        <f t="shared" si="42"/>
        <v/>
      </c>
      <c r="P263" t="str">
        <f t="shared" si="43"/>
        <v/>
      </c>
      <c r="Q263" t="str">
        <f t="shared" si="44"/>
        <v/>
      </c>
      <c r="S263" t="str">
        <f>""</f>
        <v/>
      </c>
      <c r="AL263" s="18" t="str">
        <f>IF(COUNTIF($A$2:A262, A262) = 1, A262, "")</f>
        <v/>
      </c>
    </row>
    <row r="264" spans="6:38" x14ac:dyDescent="0.2">
      <c r="F264" t="str">
        <f t="shared" si="39"/>
        <v/>
      </c>
      <c r="L264" s="7" t="str">
        <f t="shared" si="40"/>
        <v/>
      </c>
      <c r="N264" s="7" t="str">
        <f t="shared" si="41"/>
        <v/>
      </c>
      <c r="O264" t="str">
        <f t="shared" si="42"/>
        <v/>
      </c>
      <c r="P264" t="str">
        <f t="shared" si="43"/>
        <v/>
      </c>
      <c r="Q264" t="str">
        <f t="shared" si="44"/>
        <v/>
      </c>
      <c r="S264" t="str">
        <f>""</f>
        <v/>
      </c>
      <c r="AL264" s="18" t="str">
        <f>IF(COUNTIF($A$2:A263, A263) = 1, A263, "")</f>
        <v/>
      </c>
    </row>
    <row r="265" spans="6:38" x14ac:dyDescent="0.2">
      <c r="F265" t="str">
        <f t="shared" si="39"/>
        <v/>
      </c>
      <c r="L265" s="7" t="str">
        <f t="shared" si="40"/>
        <v/>
      </c>
      <c r="N265" s="7" t="str">
        <f t="shared" si="41"/>
        <v/>
      </c>
      <c r="O265" t="str">
        <f t="shared" si="42"/>
        <v/>
      </c>
      <c r="P265" t="str">
        <f t="shared" si="43"/>
        <v/>
      </c>
      <c r="Q265" t="str">
        <f t="shared" si="44"/>
        <v/>
      </c>
      <c r="S265" t="str">
        <f>""</f>
        <v/>
      </c>
      <c r="AL265" s="18" t="str">
        <f>IF(COUNTIF($A$2:A264, A264) = 1, A264, "")</f>
        <v/>
      </c>
    </row>
    <row r="266" spans="6:38" x14ac:dyDescent="0.2">
      <c r="F266" t="str">
        <f t="shared" si="39"/>
        <v/>
      </c>
      <c r="L266" s="7" t="str">
        <f t="shared" si="40"/>
        <v/>
      </c>
      <c r="N266" s="7" t="str">
        <f t="shared" si="41"/>
        <v/>
      </c>
      <c r="O266" t="str">
        <f t="shared" si="42"/>
        <v/>
      </c>
      <c r="P266" t="str">
        <f t="shared" si="43"/>
        <v/>
      </c>
      <c r="Q266" t="str">
        <f t="shared" si="44"/>
        <v/>
      </c>
      <c r="S266" t="str">
        <f>""</f>
        <v/>
      </c>
      <c r="AL266" s="18" t="str">
        <f>IF(COUNTIF($A$2:A265, A265) = 1, A265, "")</f>
        <v/>
      </c>
    </row>
    <row r="267" spans="6:38" x14ac:dyDescent="0.2">
      <c r="F267" t="str">
        <f t="shared" si="39"/>
        <v/>
      </c>
      <c r="L267" s="7" t="str">
        <f t="shared" si="40"/>
        <v/>
      </c>
      <c r="N267" s="7" t="str">
        <f t="shared" si="41"/>
        <v/>
      </c>
      <c r="O267" t="str">
        <f t="shared" si="42"/>
        <v/>
      </c>
      <c r="P267" t="str">
        <f t="shared" si="43"/>
        <v/>
      </c>
      <c r="Q267" t="str">
        <f t="shared" si="44"/>
        <v/>
      </c>
      <c r="S267" t="str">
        <f>""</f>
        <v/>
      </c>
      <c r="AL267" s="18" t="str">
        <f>IF(COUNTIF($A$2:A266, A266) = 1, A266, "")</f>
        <v/>
      </c>
    </row>
    <row r="268" spans="6:38" x14ac:dyDescent="0.2">
      <c r="F268" t="str">
        <f t="shared" si="39"/>
        <v/>
      </c>
      <c r="L268" s="7" t="str">
        <f t="shared" si="40"/>
        <v/>
      </c>
      <c r="N268" s="7" t="str">
        <f t="shared" si="41"/>
        <v/>
      </c>
      <c r="O268" t="str">
        <f t="shared" si="42"/>
        <v/>
      </c>
      <c r="P268" t="str">
        <f t="shared" si="43"/>
        <v/>
      </c>
      <c r="Q268" t="str">
        <f t="shared" si="44"/>
        <v/>
      </c>
      <c r="S268" t="str">
        <f>""</f>
        <v/>
      </c>
      <c r="AL268" s="18" t="str">
        <f>IF(COUNTIF($A$2:A267, A267) = 1, A267, "")</f>
        <v/>
      </c>
    </row>
    <row r="269" spans="6:38" x14ac:dyDescent="0.2">
      <c r="F269" t="str">
        <f t="shared" si="39"/>
        <v/>
      </c>
      <c r="L269" s="7" t="str">
        <f t="shared" si="40"/>
        <v/>
      </c>
      <c r="N269" s="7" t="str">
        <f t="shared" si="41"/>
        <v/>
      </c>
      <c r="O269" t="str">
        <f t="shared" si="42"/>
        <v/>
      </c>
      <c r="P269" t="str">
        <f t="shared" si="43"/>
        <v/>
      </c>
      <c r="Q269" t="str">
        <f t="shared" si="44"/>
        <v/>
      </c>
      <c r="S269" t="str">
        <f>""</f>
        <v/>
      </c>
      <c r="AL269" s="18" t="str">
        <f>IF(COUNTIF($A$2:A268, A268) = 1, A268, "")</f>
        <v/>
      </c>
    </row>
    <row r="270" spans="6:38" x14ac:dyDescent="0.2">
      <c r="F270" t="str">
        <f t="shared" si="39"/>
        <v/>
      </c>
      <c r="L270" s="7" t="str">
        <f t="shared" si="40"/>
        <v/>
      </c>
      <c r="N270" s="7" t="str">
        <f t="shared" si="41"/>
        <v/>
      </c>
      <c r="O270" t="str">
        <f t="shared" si="42"/>
        <v/>
      </c>
      <c r="P270" t="str">
        <f t="shared" si="43"/>
        <v/>
      </c>
      <c r="Q270" t="str">
        <f t="shared" si="44"/>
        <v/>
      </c>
      <c r="S270" t="str">
        <f>""</f>
        <v/>
      </c>
      <c r="AL270" s="18" t="str">
        <f>IF(COUNTIF($A$2:A269, A269) = 1, A269, "")</f>
        <v/>
      </c>
    </row>
    <row r="271" spans="6:38" x14ac:dyDescent="0.2">
      <c r="F271" t="str">
        <f t="shared" si="39"/>
        <v/>
      </c>
      <c r="L271" s="7" t="str">
        <f t="shared" si="40"/>
        <v/>
      </c>
      <c r="N271" s="7" t="str">
        <f t="shared" si="41"/>
        <v/>
      </c>
      <c r="O271" t="str">
        <f t="shared" si="42"/>
        <v/>
      </c>
      <c r="P271" t="str">
        <f t="shared" si="43"/>
        <v/>
      </c>
      <c r="Q271" t="str">
        <f t="shared" si="44"/>
        <v/>
      </c>
      <c r="S271" t="str">
        <f>""</f>
        <v/>
      </c>
      <c r="AL271" s="18" t="str">
        <f>IF(COUNTIF($A$2:A270, A270) = 1, A270, "")</f>
        <v/>
      </c>
    </row>
    <row r="272" spans="6:38" x14ac:dyDescent="0.2">
      <c r="F272" t="str">
        <f t="shared" ref="F272:F335" si="45">IF(OR(O272="", P272=""), "", SUM(IF((O272&lt;&gt;"None")*(O272&lt;&gt;""),LEN(O272)-LEN(SUBSTITUTE(O272,",",""))+1,0)) + SUM(IF((P272&lt;&gt;"None")*(P272&lt;&gt;""),LEN(P272)-LEN(SUBSTITUTE(P272,",",""))+1,0)))</f>
        <v/>
      </c>
      <c r="L272" s="7" t="str">
        <f t="shared" ref="L272:L335" si="46">IF(LEN(E272)=0, "", IFERROR(IF(E272&gt;=0, K272 * (1 + E272/100) - K272, K272 / (ABS(E272)/100))+K272, ""))</f>
        <v/>
      </c>
      <c r="N272" s="7" t="str">
        <f t="shared" ref="N272:N335" si="47">IF(M272="Yes",L272-K272,IF(M272="No",-K272,""))</f>
        <v/>
      </c>
      <c r="O272" t="str">
        <f t="shared" ref="O272:O335" si="48">IF(AND(G272="No",H272="No"), "None", "")</f>
        <v/>
      </c>
      <c r="P272" t="str">
        <f t="shared" ref="P272:P335" si="49">IF(I272="No", "None", "")</f>
        <v/>
      </c>
      <c r="Q272" t="str">
        <f t="shared" ref="Q272:Q335" si="50">IF(AND(D272="Straight", M272 = "No"),IF(O272="None",P272,IF(P272="None",O272) ),"")</f>
        <v/>
      </c>
      <c r="S272" t="str">
        <f>""</f>
        <v/>
      </c>
      <c r="AL272" s="18" t="str">
        <f>IF(COUNTIF($A$2:A271, A271) = 1, A271, "")</f>
        <v/>
      </c>
    </row>
    <row r="273" spans="6:38" x14ac:dyDescent="0.2">
      <c r="F273" t="str">
        <f t="shared" si="45"/>
        <v/>
      </c>
      <c r="L273" s="7" t="str">
        <f t="shared" si="46"/>
        <v/>
      </c>
      <c r="N273" s="7" t="str">
        <f t="shared" si="47"/>
        <v/>
      </c>
      <c r="O273" t="str">
        <f t="shared" si="48"/>
        <v/>
      </c>
      <c r="P273" t="str">
        <f t="shared" si="49"/>
        <v/>
      </c>
      <c r="Q273" t="str">
        <f t="shared" si="50"/>
        <v/>
      </c>
      <c r="S273" t="str">
        <f>""</f>
        <v/>
      </c>
      <c r="AL273" s="18" t="str">
        <f>IF(COUNTIF($A$2:A272, A272) = 1, A272, "")</f>
        <v/>
      </c>
    </row>
    <row r="274" spans="6:38" x14ac:dyDescent="0.2">
      <c r="F274" t="str">
        <f t="shared" si="45"/>
        <v/>
      </c>
      <c r="L274" s="7" t="str">
        <f t="shared" si="46"/>
        <v/>
      </c>
      <c r="N274" s="7" t="str">
        <f t="shared" si="47"/>
        <v/>
      </c>
      <c r="O274" t="str">
        <f t="shared" si="48"/>
        <v/>
      </c>
      <c r="P274" t="str">
        <f t="shared" si="49"/>
        <v/>
      </c>
      <c r="Q274" t="str">
        <f t="shared" si="50"/>
        <v/>
      </c>
      <c r="S274" t="str">
        <f>""</f>
        <v/>
      </c>
      <c r="AL274" s="18" t="str">
        <f>IF(COUNTIF($A$2:A273, A273) = 1, A273, "")</f>
        <v/>
      </c>
    </row>
    <row r="275" spans="6:38" x14ac:dyDescent="0.2">
      <c r="F275" t="str">
        <f t="shared" si="45"/>
        <v/>
      </c>
      <c r="L275" s="7" t="str">
        <f t="shared" si="46"/>
        <v/>
      </c>
      <c r="N275" s="7" t="str">
        <f t="shared" si="47"/>
        <v/>
      </c>
      <c r="O275" t="str">
        <f t="shared" si="48"/>
        <v/>
      </c>
      <c r="P275" t="str">
        <f t="shared" si="49"/>
        <v/>
      </c>
      <c r="Q275" t="str">
        <f t="shared" si="50"/>
        <v/>
      </c>
      <c r="S275" t="str">
        <f>""</f>
        <v/>
      </c>
      <c r="AL275" s="18" t="str">
        <f>IF(COUNTIF($A$2:A274, A274) = 1, A274, "")</f>
        <v/>
      </c>
    </row>
    <row r="276" spans="6:38" x14ac:dyDescent="0.2">
      <c r="F276" t="str">
        <f t="shared" si="45"/>
        <v/>
      </c>
      <c r="L276" s="7" t="str">
        <f t="shared" si="46"/>
        <v/>
      </c>
      <c r="N276" s="7" t="str">
        <f t="shared" si="47"/>
        <v/>
      </c>
      <c r="O276" t="str">
        <f t="shared" si="48"/>
        <v/>
      </c>
      <c r="P276" t="str">
        <f t="shared" si="49"/>
        <v/>
      </c>
      <c r="Q276" t="str">
        <f t="shared" si="50"/>
        <v/>
      </c>
      <c r="S276" t="str">
        <f>""</f>
        <v/>
      </c>
      <c r="AL276" s="18" t="str">
        <f>IF(COUNTIF($A$2:A275, A275) = 1, A275, "")</f>
        <v/>
      </c>
    </row>
    <row r="277" spans="6:38" x14ac:dyDescent="0.2">
      <c r="F277" t="str">
        <f t="shared" si="45"/>
        <v/>
      </c>
      <c r="L277" s="7" t="str">
        <f t="shared" si="46"/>
        <v/>
      </c>
      <c r="N277" s="7" t="str">
        <f t="shared" si="47"/>
        <v/>
      </c>
      <c r="O277" t="str">
        <f t="shared" si="48"/>
        <v/>
      </c>
      <c r="P277" t="str">
        <f t="shared" si="49"/>
        <v/>
      </c>
      <c r="Q277" t="str">
        <f t="shared" si="50"/>
        <v/>
      </c>
      <c r="S277" t="str">
        <f>""</f>
        <v/>
      </c>
      <c r="AL277" s="18" t="str">
        <f>IF(COUNTIF($A$2:A276, A276) = 1, A276, "")</f>
        <v/>
      </c>
    </row>
    <row r="278" spans="6:38" x14ac:dyDescent="0.2">
      <c r="F278" t="str">
        <f t="shared" si="45"/>
        <v/>
      </c>
      <c r="L278" s="7" t="str">
        <f t="shared" si="46"/>
        <v/>
      </c>
      <c r="N278" s="7" t="str">
        <f t="shared" si="47"/>
        <v/>
      </c>
      <c r="O278" t="str">
        <f t="shared" si="48"/>
        <v/>
      </c>
      <c r="P278" t="str">
        <f t="shared" si="49"/>
        <v/>
      </c>
      <c r="Q278" t="str">
        <f t="shared" si="50"/>
        <v/>
      </c>
      <c r="S278" t="str">
        <f>""</f>
        <v/>
      </c>
      <c r="AL278" s="18" t="str">
        <f>IF(COUNTIF($A$2:A277, A277) = 1, A277, "")</f>
        <v/>
      </c>
    </row>
    <row r="279" spans="6:38" x14ac:dyDescent="0.2">
      <c r="F279" t="str">
        <f t="shared" si="45"/>
        <v/>
      </c>
      <c r="L279" s="7" t="str">
        <f t="shared" si="46"/>
        <v/>
      </c>
      <c r="N279" s="7" t="str">
        <f t="shared" si="47"/>
        <v/>
      </c>
      <c r="O279" t="str">
        <f t="shared" si="48"/>
        <v/>
      </c>
      <c r="P279" t="str">
        <f t="shared" si="49"/>
        <v/>
      </c>
      <c r="Q279" t="str">
        <f t="shared" si="50"/>
        <v/>
      </c>
      <c r="S279" t="str">
        <f>""</f>
        <v/>
      </c>
      <c r="AL279" s="18" t="str">
        <f>IF(COUNTIF($A$2:A278, A278) = 1, A278, "")</f>
        <v/>
      </c>
    </row>
    <row r="280" spans="6:38" x14ac:dyDescent="0.2">
      <c r="F280" t="str">
        <f t="shared" si="45"/>
        <v/>
      </c>
      <c r="L280" s="7" t="str">
        <f t="shared" si="46"/>
        <v/>
      </c>
      <c r="N280" s="7" t="str">
        <f t="shared" si="47"/>
        <v/>
      </c>
      <c r="O280" t="str">
        <f t="shared" si="48"/>
        <v/>
      </c>
      <c r="P280" t="str">
        <f t="shared" si="49"/>
        <v/>
      </c>
      <c r="Q280" t="str">
        <f t="shared" si="50"/>
        <v/>
      </c>
      <c r="S280" t="str">
        <f>""</f>
        <v/>
      </c>
      <c r="AL280" s="18" t="str">
        <f>IF(COUNTIF($A$2:A279, A279) = 1, A279, "")</f>
        <v/>
      </c>
    </row>
    <row r="281" spans="6:38" x14ac:dyDescent="0.2">
      <c r="F281" t="str">
        <f t="shared" si="45"/>
        <v/>
      </c>
      <c r="L281" s="7" t="str">
        <f t="shared" si="46"/>
        <v/>
      </c>
      <c r="N281" s="7" t="str">
        <f t="shared" si="47"/>
        <v/>
      </c>
      <c r="O281" t="str">
        <f t="shared" si="48"/>
        <v/>
      </c>
      <c r="P281" t="str">
        <f t="shared" si="49"/>
        <v/>
      </c>
      <c r="Q281" t="str">
        <f t="shared" si="50"/>
        <v/>
      </c>
      <c r="S281" t="str">
        <f>""</f>
        <v/>
      </c>
      <c r="AL281" s="18" t="str">
        <f>IF(COUNTIF($A$2:A280, A280) = 1, A280, "")</f>
        <v/>
      </c>
    </row>
    <row r="282" spans="6:38" x14ac:dyDescent="0.2">
      <c r="F282" t="str">
        <f t="shared" si="45"/>
        <v/>
      </c>
      <c r="L282" s="7" t="str">
        <f t="shared" si="46"/>
        <v/>
      </c>
      <c r="N282" s="7" t="str">
        <f t="shared" si="47"/>
        <v/>
      </c>
      <c r="O282" t="str">
        <f t="shared" si="48"/>
        <v/>
      </c>
      <c r="P282" t="str">
        <f t="shared" si="49"/>
        <v/>
      </c>
      <c r="Q282" t="str">
        <f t="shared" si="50"/>
        <v/>
      </c>
      <c r="S282" t="str">
        <f>""</f>
        <v/>
      </c>
      <c r="AL282" s="18" t="str">
        <f>IF(COUNTIF($A$2:A281, A281) = 1, A281, "")</f>
        <v/>
      </c>
    </row>
    <row r="283" spans="6:38" x14ac:dyDescent="0.2">
      <c r="F283" t="str">
        <f t="shared" si="45"/>
        <v/>
      </c>
      <c r="L283" s="7" t="str">
        <f t="shared" si="46"/>
        <v/>
      </c>
      <c r="N283" s="7" t="str">
        <f t="shared" si="47"/>
        <v/>
      </c>
      <c r="O283" t="str">
        <f t="shared" si="48"/>
        <v/>
      </c>
      <c r="P283" t="str">
        <f t="shared" si="49"/>
        <v/>
      </c>
      <c r="Q283" t="str">
        <f t="shared" si="50"/>
        <v/>
      </c>
      <c r="S283" t="str">
        <f>""</f>
        <v/>
      </c>
      <c r="AL283" s="18" t="str">
        <f>IF(COUNTIF($A$2:A282, A282) = 1, A282, "")</f>
        <v/>
      </c>
    </row>
    <row r="284" spans="6:38" x14ac:dyDescent="0.2">
      <c r="F284" t="str">
        <f t="shared" si="45"/>
        <v/>
      </c>
      <c r="L284" s="7" t="str">
        <f t="shared" si="46"/>
        <v/>
      </c>
      <c r="N284" s="7" t="str">
        <f t="shared" si="47"/>
        <v/>
      </c>
      <c r="O284" t="str">
        <f t="shared" si="48"/>
        <v/>
      </c>
      <c r="P284" t="str">
        <f t="shared" si="49"/>
        <v/>
      </c>
      <c r="Q284" t="str">
        <f t="shared" si="50"/>
        <v/>
      </c>
      <c r="S284" t="str">
        <f>""</f>
        <v/>
      </c>
      <c r="AL284" s="18" t="str">
        <f>IF(COUNTIF($A$2:A283, A283) = 1, A283, "")</f>
        <v/>
      </c>
    </row>
    <row r="285" spans="6:38" x14ac:dyDescent="0.2">
      <c r="F285" t="str">
        <f t="shared" si="45"/>
        <v/>
      </c>
      <c r="L285" s="7" t="str">
        <f t="shared" si="46"/>
        <v/>
      </c>
      <c r="N285" s="7" t="str">
        <f t="shared" si="47"/>
        <v/>
      </c>
      <c r="O285" t="str">
        <f t="shared" si="48"/>
        <v/>
      </c>
      <c r="P285" t="str">
        <f t="shared" si="49"/>
        <v/>
      </c>
      <c r="Q285" t="str">
        <f t="shared" si="50"/>
        <v/>
      </c>
      <c r="S285" t="str">
        <f>""</f>
        <v/>
      </c>
      <c r="AL285" s="18" t="str">
        <f>IF(COUNTIF($A$2:A284, A284) = 1, A284, "")</f>
        <v/>
      </c>
    </row>
    <row r="286" spans="6:38" x14ac:dyDescent="0.2">
      <c r="F286" t="str">
        <f t="shared" si="45"/>
        <v/>
      </c>
      <c r="L286" s="7" t="str">
        <f t="shared" si="46"/>
        <v/>
      </c>
      <c r="N286" s="7" t="str">
        <f t="shared" si="47"/>
        <v/>
      </c>
      <c r="O286" t="str">
        <f t="shared" si="48"/>
        <v/>
      </c>
      <c r="P286" t="str">
        <f t="shared" si="49"/>
        <v/>
      </c>
      <c r="Q286" t="str">
        <f t="shared" si="50"/>
        <v/>
      </c>
      <c r="S286" t="str">
        <f>""</f>
        <v/>
      </c>
      <c r="AL286" s="18" t="str">
        <f>IF(COUNTIF($A$2:A285, A285) = 1, A285, "")</f>
        <v/>
      </c>
    </row>
    <row r="287" spans="6:38" x14ac:dyDescent="0.2">
      <c r="F287" t="str">
        <f t="shared" si="45"/>
        <v/>
      </c>
      <c r="L287" s="7" t="str">
        <f t="shared" si="46"/>
        <v/>
      </c>
      <c r="N287" s="7" t="str">
        <f t="shared" si="47"/>
        <v/>
      </c>
      <c r="O287" t="str">
        <f t="shared" si="48"/>
        <v/>
      </c>
      <c r="P287" t="str">
        <f t="shared" si="49"/>
        <v/>
      </c>
      <c r="Q287" t="str">
        <f t="shared" si="50"/>
        <v/>
      </c>
      <c r="S287" t="str">
        <f>""</f>
        <v/>
      </c>
      <c r="AL287" s="18" t="str">
        <f>IF(COUNTIF($A$2:A286, A286) = 1, A286, "")</f>
        <v/>
      </c>
    </row>
    <row r="288" spans="6:38" x14ac:dyDescent="0.2">
      <c r="F288" t="str">
        <f t="shared" si="45"/>
        <v/>
      </c>
      <c r="L288" s="7" t="str">
        <f t="shared" si="46"/>
        <v/>
      </c>
      <c r="N288" s="7" t="str">
        <f t="shared" si="47"/>
        <v/>
      </c>
      <c r="O288" t="str">
        <f t="shared" si="48"/>
        <v/>
      </c>
      <c r="P288" t="str">
        <f t="shared" si="49"/>
        <v/>
      </c>
      <c r="Q288" t="str">
        <f t="shared" si="50"/>
        <v/>
      </c>
      <c r="S288" t="str">
        <f>""</f>
        <v/>
      </c>
      <c r="AL288" s="18" t="str">
        <f>IF(COUNTIF($A$2:A287, A287) = 1, A287, "")</f>
        <v/>
      </c>
    </row>
    <row r="289" spans="6:38" x14ac:dyDescent="0.2">
      <c r="F289" t="str">
        <f t="shared" si="45"/>
        <v/>
      </c>
      <c r="L289" s="7" t="str">
        <f t="shared" si="46"/>
        <v/>
      </c>
      <c r="N289" s="7" t="str">
        <f t="shared" si="47"/>
        <v/>
      </c>
      <c r="O289" t="str">
        <f t="shared" si="48"/>
        <v/>
      </c>
      <c r="P289" t="str">
        <f t="shared" si="49"/>
        <v/>
      </c>
      <c r="Q289" t="str">
        <f t="shared" si="50"/>
        <v/>
      </c>
      <c r="S289" t="str">
        <f>""</f>
        <v/>
      </c>
      <c r="AL289" s="18" t="str">
        <f>IF(COUNTIF($A$2:A288, A288) = 1, A288, "")</f>
        <v/>
      </c>
    </row>
    <row r="290" spans="6:38" x14ac:dyDescent="0.2">
      <c r="F290" t="str">
        <f t="shared" si="45"/>
        <v/>
      </c>
      <c r="L290" s="7" t="str">
        <f t="shared" si="46"/>
        <v/>
      </c>
      <c r="N290" s="7" t="str">
        <f t="shared" si="47"/>
        <v/>
      </c>
      <c r="O290" t="str">
        <f t="shared" si="48"/>
        <v/>
      </c>
      <c r="P290" t="str">
        <f t="shared" si="49"/>
        <v/>
      </c>
      <c r="Q290" t="str">
        <f t="shared" si="50"/>
        <v/>
      </c>
      <c r="S290" t="str">
        <f>""</f>
        <v/>
      </c>
      <c r="AL290" s="18" t="str">
        <f>IF(COUNTIF($A$2:A289, A289) = 1, A289, "")</f>
        <v/>
      </c>
    </row>
    <row r="291" spans="6:38" x14ac:dyDescent="0.2">
      <c r="F291" t="str">
        <f t="shared" si="45"/>
        <v/>
      </c>
      <c r="L291" s="7" t="str">
        <f t="shared" si="46"/>
        <v/>
      </c>
      <c r="N291" s="7" t="str">
        <f t="shared" si="47"/>
        <v/>
      </c>
      <c r="O291" t="str">
        <f t="shared" si="48"/>
        <v/>
      </c>
      <c r="P291" t="str">
        <f t="shared" si="49"/>
        <v/>
      </c>
      <c r="Q291" t="str">
        <f t="shared" si="50"/>
        <v/>
      </c>
      <c r="S291" t="str">
        <f>""</f>
        <v/>
      </c>
      <c r="AL291" s="18" t="str">
        <f>IF(COUNTIF($A$2:A290, A290) = 1, A290, "")</f>
        <v/>
      </c>
    </row>
    <row r="292" spans="6:38" x14ac:dyDescent="0.2">
      <c r="F292" t="str">
        <f t="shared" si="45"/>
        <v/>
      </c>
      <c r="L292" s="7" t="str">
        <f t="shared" si="46"/>
        <v/>
      </c>
      <c r="N292" s="7" t="str">
        <f t="shared" si="47"/>
        <v/>
      </c>
      <c r="O292" t="str">
        <f t="shared" si="48"/>
        <v/>
      </c>
      <c r="P292" t="str">
        <f t="shared" si="49"/>
        <v/>
      </c>
      <c r="Q292" t="str">
        <f t="shared" si="50"/>
        <v/>
      </c>
      <c r="S292" t="str">
        <f>""</f>
        <v/>
      </c>
      <c r="AL292" s="18" t="str">
        <f>IF(COUNTIF($A$2:A291, A291) = 1, A291, "")</f>
        <v/>
      </c>
    </row>
    <row r="293" spans="6:38" x14ac:dyDescent="0.2">
      <c r="F293" t="str">
        <f t="shared" si="45"/>
        <v/>
      </c>
      <c r="L293" s="7" t="str">
        <f t="shared" si="46"/>
        <v/>
      </c>
      <c r="N293" s="7" t="str">
        <f t="shared" si="47"/>
        <v/>
      </c>
      <c r="O293" t="str">
        <f t="shared" si="48"/>
        <v/>
      </c>
      <c r="P293" t="str">
        <f t="shared" si="49"/>
        <v/>
      </c>
      <c r="Q293" t="str">
        <f t="shared" si="50"/>
        <v/>
      </c>
      <c r="S293" t="str">
        <f>""</f>
        <v/>
      </c>
      <c r="AL293" s="18" t="str">
        <f>IF(COUNTIF($A$2:A292, A292) = 1, A292, "")</f>
        <v/>
      </c>
    </row>
    <row r="294" spans="6:38" x14ac:dyDescent="0.2">
      <c r="F294" t="str">
        <f t="shared" si="45"/>
        <v/>
      </c>
      <c r="L294" s="7" t="str">
        <f t="shared" si="46"/>
        <v/>
      </c>
      <c r="N294" s="7" t="str">
        <f t="shared" si="47"/>
        <v/>
      </c>
      <c r="O294" t="str">
        <f t="shared" si="48"/>
        <v/>
      </c>
      <c r="P294" t="str">
        <f t="shared" si="49"/>
        <v/>
      </c>
      <c r="Q294" t="str">
        <f t="shared" si="50"/>
        <v/>
      </c>
      <c r="S294" t="str">
        <f>""</f>
        <v/>
      </c>
      <c r="AL294" s="18" t="str">
        <f>IF(COUNTIF($A$2:A293, A293) = 1, A293, "")</f>
        <v/>
      </c>
    </row>
    <row r="295" spans="6:38" x14ac:dyDescent="0.2">
      <c r="F295" t="str">
        <f t="shared" si="45"/>
        <v/>
      </c>
      <c r="L295" s="7" t="str">
        <f t="shared" si="46"/>
        <v/>
      </c>
      <c r="N295" s="7" t="str">
        <f t="shared" si="47"/>
        <v/>
      </c>
      <c r="O295" t="str">
        <f t="shared" si="48"/>
        <v/>
      </c>
      <c r="P295" t="str">
        <f t="shared" si="49"/>
        <v/>
      </c>
      <c r="Q295" t="str">
        <f t="shared" si="50"/>
        <v/>
      </c>
      <c r="S295" t="str">
        <f>""</f>
        <v/>
      </c>
      <c r="AL295" s="18" t="str">
        <f>IF(COUNTIF($A$2:A294, A294) = 1, A294, "")</f>
        <v/>
      </c>
    </row>
    <row r="296" spans="6:38" x14ac:dyDescent="0.2">
      <c r="F296" t="str">
        <f t="shared" si="45"/>
        <v/>
      </c>
      <c r="L296" s="7" t="str">
        <f t="shared" si="46"/>
        <v/>
      </c>
      <c r="N296" s="7" t="str">
        <f t="shared" si="47"/>
        <v/>
      </c>
      <c r="O296" t="str">
        <f t="shared" si="48"/>
        <v/>
      </c>
      <c r="P296" t="str">
        <f t="shared" si="49"/>
        <v/>
      </c>
      <c r="Q296" t="str">
        <f t="shared" si="50"/>
        <v/>
      </c>
      <c r="S296" t="str">
        <f>""</f>
        <v/>
      </c>
      <c r="AL296" s="18" t="str">
        <f>IF(COUNTIF($A$2:A295, A295) = 1, A295, "")</f>
        <v/>
      </c>
    </row>
    <row r="297" spans="6:38" x14ac:dyDescent="0.2">
      <c r="F297" t="str">
        <f t="shared" si="45"/>
        <v/>
      </c>
      <c r="L297" s="7" t="str">
        <f t="shared" si="46"/>
        <v/>
      </c>
      <c r="N297" s="7" t="str">
        <f t="shared" si="47"/>
        <v/>
      </c>
      <c r="O297" t="str">
        <f t="shared" si="48"/>
        <v/>
      </c>
      <c r="P297" t="str">
        <f t="shared" si="49"/>
        <v/>
      </c>
      <c r="Q297" t="str">
        <f t="shared" si="50"/>
        <v/>
      </c>
      <c r="S297" t="str">
        <f>""</f>
        <v/>
      </c>
      <c r="AL297" s="18" t="str">
        <f>IF(COUNTIF($A$2:A296, A296) = 1, A296, "")</f>
        <v/>
      </c>
    </row>
    <row r="298" spans="6:38" x14ac:dyDescent="0.2">
      <c r="F298" t="str">
        <f t="shared" si="45"/>
        <v/>
      </c>
      <c r="L298" s="7" t="str">
        <f t="shared" si="46"/>
        <v/>
      </c>
      <c r="N298" s="7" t="str">
        <f t="shared" si="47"/>
        <v/>
      </c>
      <c r="O298" t="str">
        <f t="shared" si="48"/>
        <v/>
      </c>
      <c r="P298" t="str">
        <f t="shared" si="49"/>
        <v/>
      </c>
      <c r="Q298" t="str">
        <f t="shared" si="50"/>
        <v/>
      </c>
      <c r="S298" t="str">
        <f>""</f>
        <v/>
      </c>
      <c r="AL298" s="18" t="str">
        <f>IF(COUNTIF($A$2:A297, A297) = 1, A297, "")</f>
        <v/>
      </c>
    </row>
    <row r="299" spans="6:38" x14ac:dyDescent="0.2">
      <c r="F299" t="str">
        <f t="shared" si="45"/>
        <v/>
      </c>
      <c r="L299" s="7" t="str">
        <f t="shared" si="46"/>
        <v/>
      </c>
      <c r="N299" s="7" t="str">
        <f t="shared" si="47"/>
        <v/>
      </c>
      <c r="O299" t="str">
        <f t="shared" si="48"/>
        <v/>
      </c>
      <c r="P299" t="str">
        <f t="shared" si="49"/>
        <v/>
      </c>
      <c r="Q299" t="str">
        <f t="shared" si="50"/>
        <v/>
      </c>
      <c r="S299" t="str">
        <f>""</f>
        <v/>
      </c>
      <c r="AL299" s="18" t="str">
        <f>IF(COUNTIF($A$2:A298, A298) = 1, A298, "")</f>
        <v/>
      </c>
    </row>
    <row r="300" spans="6:38" x14ac:dyDescent="0.2">
      <c r="F300" t="str">
        <f t="shared" si="45"/>
        <v/>
      </c>
      <c r="L300" s="7" t="str">
        <f t="shared" si="46"/>
        <v/>
      </c>
      <c r="N300" s="7" t="str">
        <f t="shared" si="47"/>
        <v/>
      </c>
      <c r="O300" t="str">
        <f t="shared" si="48"/>
        <v/>
      </c>
      <c r="P300" t="str">
        <f t="shared" si="49"/>
        <v/>
      </c>
      <c r="Q300" t="str">
        <f t="shared" si="50"/>
        <v/>
      </c>
      <c r="S300" t="str">
        <f>""</f>
        <v/>
      </c>
      <c r="AL300" s="18" t="str">
        <f>IF(COUNTIF($A$2:A299, A299) = 1, A299, "")</f>
        <v/>
      </c>
    </row>
    <row r="301" spans="6:38" x14ac:dyDescent="0.2">
      <c r="F301" t="str">
        <f t="shared" si="45"/>
        <v/>
      </c>
      <c r="L301" s="7" t="str">
        <f t="shared" si="46"/>
        <v/>
      </c>
      <c r="N301" s="7" t="str">
        <f t="shared" si="47"/>
        <v/>
      </c>
      <c r="O301" t="str">
        <f t="shared" si="48"/>
        <v/>
      </c>
      <c r="P301" t="str">
        <f t="shared" si="49"/>
        <v/>
      </c>
      <c r="Q301" t="str">
        <f t="shared" si="50"/>
        <v/>
      </c>
      <c r="S301" t="str">
        <f>""</f>
        <v/>
      </c>
      <c r="AL301" s="18" t="str">
        <f>IF(COUNTIF($A$2:A300, A300) = 1, A300, "")</f>
        <v/>
      </c>
    </row>
    <row r="302" spans="6:38" x14ac:dyDescent="0.2">
      <c r="F302" t="str">
        <f t="shared" si="45"/>
        <v/>
      </c>
      <c r="L302" s="7" t="str">
        <f t="shared" si="46"/>
        <v/>
      </c>
      <c r="N302" s="7" t="str">
        <f t="shared" si="47"/>
        <v/>
      </c>
      <c r="O302" t="str">
        <f t="shared" si="48"/>
        <v/>
      </c>
      <c r="P302" t="str">
        <f t="shared" si="49"/>
        <v/>
      </c>
      <c r="Q302" t="str">
        <f t="shared" si="50"/>
        <v/>
      </c>
      <c r="S302" t="str">
        <f>""</f>
        <v/>
      </c>
      <c r="AL302" s="18" t="str">
        <f>IF(COUNTIF($A$2:A301, A301) = 1, A301, "")</f>
        <v/>
      </c>
    </row>
    <row r="303" spans="6:38" x14ac:dyDescent="0.2">
      <c r="F303" t="str">
        <f t="shared" si="45"/>
        <v/>
      </c>
      <c r="L303" s="7" t="str">
        <f t="shared" si="46"/>
        <v/>
      </c>
      <c r="N303" s="7" t="str">
        <f t="shared" si="47"/>
        <v/>
      </c>
      <c r="O303" t="str">
        <f t="shared" si="48"/>
        <v/>
      </c>
      <c r="P303" t="str">
        <f t="shared" si="49"/>
        <v/>
      </c>
      <c r="Q303" t="str">
        <f t="shared" si="50"/>
        <v/>
      </c>
      <c r="S303" t="str">
        <f>""</f>
        <v/>
      </c>
      <c r="AL303" s="18" t="str">
        <f>IF(COUNTIF($A$2:A302, A302) = 1, A302, "")</f>
        <v/>
      </c>
    </row>
    <row r="304" spans="6:38" x14ac:dyDescent="0.2">
      <c r="F304" t="str">
        <f t="shared" si="45"/>
        <v/>
      </c>
      <c r="L304" s="7" t="str">
        <f t="shared" si="46"/>
        <v/>
      </c>
      <c r="N304" s="7" t="str">
        <f t="shared" si="47"/>
        <v/>
      </c>
      <c r="O304" t="str">
        <f t="shared" si="48"/>
        <v/>
      </c>
      <c r="P304" t="str">
        <f t="shared" si="49"/>
        <v/>
      </c>
      <c r="Q304" t="str">
        <f t="shared" si="50"/>
        <v/>
      </c>
      <c r="S304" t="str">
        <f>""</f>
        <v/>
      </c>
      <c r="AL304" s="18" t="str">
        <f>IF(COUNTIF($A$2:A303, A303) = 1, A303, "")</f>
        <v/>
      </c>
    </row>
    <row r="305" spans="6:38" x14ac:dyDescent="0.2">
      <c r="F305" t="str">
        <f t="shared" si="45"/>
        <v/>
      </c>
      <c r="L305" s="7" t="str">
        <f t="shared" si="46"/>
        <v/>
      </c>
      <c r="N305" s="7" t="str">
        <f t="shared" si="47"/>
        <v/>
      </c>
      <c r="O305" t="str">
        <f t="shared" si="48"/>
        <v/>
      </c>
      <c r="P305" t="str">
        <f t="shared" si="49"/>
        <v/>
      </c>
      <c r="Q305" t="str">
        <f t="shared" si="50"/>
        <v/>
      </c>
      <c r="S305" t="str">
        <f>""</f>
        <v/>
      </c>
      <c r="AL305" s="18" t="str">
        <f>IF(COUNTIF($A$2:A304, A304) = 1, A304, "")</f>
        <v/>
      </c>
    </row>
    <row r="306" spans="6:38" x14ac:dyDescent="0.2">
      <c r="F306" t="str">
        <f t="shared" si="45"/>
        <v/>
      </c>
      <c r="L306" s="7" t="str">
        <f t="shared" si="46"/>
        <v/>
      </c>
      <c r="N306" s="7" t="str">
        <f t="shared" si="47"/>
        <v/>
      </c>
      <c r="O306" t="str">
        <f t="shared" si="48"/>
        <v/>
      </c>
      <c r="P306" t="str">
        <f t="shared" si="49"/>
        <v/>
      </c>
      <c r="Q306" t="str">
        <f t="shared" si="50"/>
        <v/>
      </c>
      <c r="S306" t="str">
        <f>""</f>
        <v/>
      </c>
      <c r="AL306" s="18" t="str">
        <f>IF(COUNTIF($A$2:A305, A305) = 1, A305, "")</f>
        <v/>
      </c>
    </row>
    <row r="307" spans="6:38" x14ac:dyDescent="0.2">
      <c r="F307" t="str">
        <f t="shared" si="45"/>
        <v/>
      </c>
      <c r="L307" s="7" t="str">
        <f t="shared" si="46"/>
        <v/>
      </c>
      <c r="N307" s="7" t="str">
        <f t="shared" si="47"/>
        <v/>
      </c>
      <c r="O307" t="str">
        <f t="shared" si="48"/>
        <v/>
      </c>
      <c r="P307" t="str">
        <f t="shared" si="49"/>
        <v/>
      </c>
      <c r="Q307" t="str">
        <f t="shared" si="50"/>
        <v/>
      </c>
      <c r="S307" t="str">
        <f>""</f>
        <v/>
      </c>
      <c r="AL307" s="18" t="str">
        <f>IF(COUNTIF($A$2:A306, A306) = 1, A306, "")</f>
        <v/>
      </c>
    </row>
    <row r="308" spans="6:38" x14ac:dyDescent="0.2">
      <c r="F308" t="str">
        <f t="shared" si="45"/>
        <v/>
      </c>
      <c r="L308" s="7" t="str">
        <f t="shared" si="46"/>
        <v/>
      </c>
      <c r="N308" s="7" t="str">
        <f t="shared" si="47"/>
        <v/>
      </c>
      <c r="O308" t="str">
        <f t="shared" si="48"/>
        <v/>
      </c>
      <c r="P308" t="str">
        <f t="shared" si="49"/>
        <v/>
      </c>
      <c r="Q308" t="str">
        <f t="shared" si="50"/>
        <v/>
      </c>
      <c r="S308" t="str">
        <f>""</f>
        <v/>
      </c>
      <c r="AL308" s="18" t="str">
        <f>IF(COUNTIF($A$2:A307, A307) = 1, A307, "")</f>
        <v/>
      </c>
    </row>
    <row r="309" spans="6:38" x14ac:dyDescent="0.2">
      <c r="F309" t="str">
        <f t="shared" si="45"/>
        <v/>
      </c>
      <c r="L309" s="7" t="str">
        <f t="shared" si="46"/>
        <v/>
      </c>
      <c r="N309" s="7" t="str">
        <f t="shared" si="47"/>
        <v/>
      </c>
      <c r="O309" t="str">
        <f t="shared" si="48"/>
        <v/>
      </c>
      <c r="P309" t="str">
        <f t="shared" si="49"/>
        <v/>
      </c>
      <c r="Q309" t="str">
        <f t="shared" si="50"/>
        <v/>
      </c>
      <c r="S309" t="str">
        <f>""</f>
        <v/>
      </c>
      <c r="AL309" s="18" t="str">
        <f>IF(COUNTIF($A$2:A308, A308) = 1, A308, "")</f>
        <v/>
      </c>
    </row>
    <row r="310" spans="6:38" x14ac:dyDescent="0.2">
      <c r="F310" t="str">
        <f t="shared" si="45"/>
        <v/>
      </c>
      <c r="L310" s="7" t="str">
        <f t="shared" si="46"/>
        <v/>
      </c>
      <c r="N310" s="7" t="str">
        <f t="shared" si="47"/>
        <v/>
      </c>
      <c r="O310" t="str">
        <f t="shared" si="48"/>
        <v/>
      </c>
      <c r="P310" t="str">
        <f t="shared" si="49"/>
        <v/>
      </c>
      <c r="Q310" t="str">
        <f t="shared" si="50"/>
        <v/>
      </c>
      <c r="S310" t="str">
        <f>""</f>
        <v/>
      </c>
      <c r="AL310" s="18" t="str">
        <f>IF(COUNTIF($A$2:A309, A309) = 1, A309, "")</f>
        <v/>
      </c>
    </row>
    <row r="311" spans="6:38" x14ac:dyDescent="0.2">
      <c r="F311" t="str">
        <f t="shared" si="45"/>
        <v/>
      </c>
      <c r="L311" s="7" t="str">
        <f t="shared" si="46"/>
        <v/>
      </c>
      <c r="N311" s="7" t="str">
        <f t="shared" si="47"/>
        <v/>
      </c>
      <c r="O311" t="str">
        <f t="shared" si="48"/>
        <v/>
      </c>
      <c r="P311" t="str">
        <f t="shared" si="49"/>
        <v/>
      </c>
      <c r="Q311" t="str">
        <f t="shared" si="50"/>
        <v/>
      </c>
      <c r="S311" t="str">
        <f>""</f>
        <v/>
      </c>
      <c r="AL311" s="18" t="str">
        <f>IF(COUNTIF($A$2:A310, A310) = 1, A310, "")</f>
        <v/>
      </c>
    </row>
    <row r="312" spans="6:38" x14ac:dyDescent="0.2">
      <c r="F312" t="str">
        <f t="shared" si="45"/>
        <v/>
      </c>
      <c r="L312" s="7" t="str">
        <f t="shared" si="46"/>
        <v/>
      </c>
      <c r="N312" s="7" t="str">
        <f t="shared" si="47"/>
        <v/>
      </c>
      <c r="O312" t="str">
        <f t="shared" si="48"/>
        <v/>
      </c>
      <c r="P312" t="str">
        <f t="shared" si="49"/>
        <v/>
      </c>
      <c r="Q312" t="str">
        <f t="shared" si="50"/>
        <v/>
      </c>
      <c r="S312" t="str">
        <f>""</f>
        <v/>
      </c>
      <c r="AL312" s="18" t="str">
        <f>IF(COUNTIF($A$2:A311, A311) = 1, A311, "")</f>
        <v/>
      </c>
    </row>
    <row r="313" spans="6:38" x14ac:dyDescent="0.2">
      <c r="F313" t="str">
        <f t="shared" si="45"/>
        <v/>
      </c>
      <c r="L313" s="7" t="str">
        <f t="shared" si="46"/>
        <v/>
      </c>
      <c r="N313" s="7" t="str">
        <f t="shared" si="47"/>
        <v/>
      </c>
      <c r="O313" t="str">
        <f t="shared" si="48"/>
        <v/>
      </c>
      <c r="P313" t="str">
        <f t="shared" si="49"/>
        <v/>
      </c>
      <c r="Q313" t="str">
        <f t="shared" si="50"/>
        <v/>
      </c>
      <c r="S313" t="str">
        <f>""</f>
        <v/>
      </c>
      <c r="AL313" s="18" t="str">
        <f>IF(COUNTIF($A$2:A312, A312) = 1, A312, "")</f>
        <v/>
      </c>
    </row>
    <row r="314" spans="6:38" x14ac:dyDescent="0.2">
      <c r="F314" t="str">
        <f t="shared" si="45"/>
        <v/>
      </c>
      <c r="L314" s="7" t="str">
        <f t="shared" si="46"/>
        <v/>
      </c>
      <c r="N314" s="7" t="str">
        <f t="shared" si="47"/>
        <v/>
      </c>
      <c r="O314" t="str">
        <f t="shared" si="48"/>
        <v/>
      </c>
      <c r="P314" t="str">
        <f t="shared" si="49"/>
        <v/>
      </c>
      <c r="Q314" t="str">
        <f t="shared" si="50"/>
        <v/>
      </c>
      <c r="S314" t="str">
        <f>""</f>
        <v/>
      </c>
      <c r="AL314" s="18" t="str">
        <f>IF(COUNTIF($A$2:A313, A313) = 1, A313, "")</f>
        <v/>
      </c>
    </row>
    <row r="315" spans="6:38" x14ac:dyDescent="0.2">
      <c r="F315" t="str">
        <f t="shared" si="45"/>
        <v/>
      </c>
      <c r="L315" s="7" t="str">
        <f t="shared" si="46"/>
        <v/>
      </c>
      <c r="N315" s="7" t="str">
        <f t="shared" si="47"/>
        <v/>
      </c>
      <c r="O315" t="str">
        <f t="shared" si="48"/>
        <v/>
      </c>
      <c r="P315" t="str">
        <f t="shared" si="49"/>
        <v/>
      </c>
      <c r="Q315" t="str">
        <f t="shared" si="50"/>
        <v/>
      </c>
      <c r="S315" t="str">
        <f>""</f>
        <v/>
      </c>
      <c r="AL315" s="18" t="str">
        <f>IF(COUNTIF($A$2:A314, A314) = 1, A314, "")</f>
        <v/>
      </c>
    </row>
    <row r="316" spans="6:38" x14ac:dyDescent="0.2">
      <c r="F316" t="str">
        <f t="shared" si="45"/>
        <v/>
      </c>
      <c r="L316" s="7" t="str">
        <f t="shared" si="46"/>
        <v/>
      </c>
      <c r="N316" s="7" t="str">
        <f t="shared" si="47"/>
        <v/>
      </c>
      <c r="O316" t="str">
        <f t="shared" si="48"/>
        <v/>
      </c>
      <c r="P316" t="str">
        <f t="shared" si="49"/>
        <v/>
      </c>
      <c r="Q316" t="str">
        <f t="shared" si="50"/>
        <v/>
      </c>
      <c r="S316" t="str">
        <f>""</f>
        <v/>
      </c>
      <c r="AL316" s="18" t="str">
        <f>IF(COUNTIF($A$2:A315, A315) = 1, A315, "")</f>
        <v/>
      </c>
    </row>
    <row r="317" spans="6:38" x14ac:dyDescent="0.2">
      <c r="F317" t="str">
        <f t="shared" si="45"/>
        <v/>
      </c>
      <c r="L317" s="7" t="str">
        <f t="shared" si="46"/>
        <v/>
      </c>
      <c r="N317" s="7" t="str">
        <f t="shared" si="47"/>
        <v/>
      </c>
      <c r="O317" t="str">
        <f t="shared" si="48"/>
        <v/>
      </c>
      <c r="P317" t="str">
        <f t="shared" si="49"/>
        <v/>
      </c>
      <c r="Q317" t="str">
        <f t="shared" si="50"/>
        <v/>
      </c>
      <c r="S317" t="str">
        <f>""</f>
        <v/>
      </c>
      <c r="AL317" s="18" t="str">
        <f>IF(COUNTIF($A$2:A316, A316) = 1, A316, "")</f>
        <v/>
      </c>
    </row>
    <row r="318" spans="6:38" x14ac:dyDescent="0.2">
      <c r="F318" t="str">
        <f t="shared" si="45"/>
        <v/>
      </c>
      <c r="L318" s="7" t="str">
        <f t="shared" si="46"/>
        <v/>
      </c>
      <c r="N318" s="7" t="str">
        <f t="shared" si="47"/>
        <v/>
      </c>
      <c r="O318" t="str">
        <f t="shared" si="48"/>
        <v/>
      </c>
      <c r="P318" t="str">
        <f t="shared" si="49"/>
        <v/>
      </c>
      <c r="Q318" t="str">
        <f t="shared" si="50"/>
        <v/>
      </c>
      <c r="S318" t="str">
        <f>""</f>
        <v/>
      </c>
      <c r="AL318" s="18" t="str">
        <f>IF(COUNTIF($A$2:A317, A317) = 1, A317, "")</f>
        <v/>
      </c>
    </row>
    <row r="319" spans="6:38" x14ac:dyDescent="0.2">
      <c r="F319" t="str">
        <f t="shared" si="45"/>
        <v/>
      </c>
      <c r="L319" s="7" t="str">
        <f t="shared" si="46"/>
        <v/>
      </c>
      <c r="N319" s="7" t="str">
        <f t="shared" si="47"/>
        <v/>
      </c>
      <c r="O319" t="str">
        <f t="shared" si="48"/>
        <v/>
      </c>
      <c r="P319" t="str">
        <f t="shared" si="49"/>
        <v/>
      </c>
      <c r="Q319" t="str">
        <f t="shared" si="50"/>
        <v/>
      </c>
      <c r="S319" t="str">
        <f>""</f>
        <v/>
      </c>
      <c r="AL319" s="18" t="str">
        <f>IF(COUNTIF($A$2:A318, A318) = 1, A318, "")</f>
        <v/>
      </c>
    </row>
    <row r="320" spans="6:38" x14ac:dyDescent="0.2">
      <c r="F320" t="str">
        <f t="shared" si="45"/>
        <v/>
      </c>
      <c r="L320" s="7" t="str">
        <f t="shared" si="46"/>
        <v/>
      </c>
      <c r="N320" s="7" t="str">
        <f t="shared" si="47"/>
        <v/>
      </c>
      <c r="O320" t="str">
        <f t="shared" si="48"/>
        <v/>
      </c>
      <c r="P320" t="str">
        <f t="shared" si="49"/>
        <v/>
      </c>
      <c r="Q320" t="str">
        <f t="shared" si="50"/>
        <v/>
      </c>
      <c r="S320" t="str">
        <f>""</f>
        <v/>
      </c>
      <c r="AL320" s="18" t="str">
        <f>IF(COUNTIF($A$2:A319, A319) = 1, A319, "")</f>
        <v/>
      </c>
    </row>
    <row r="321" spans="6:38" x14ac:dyDescent="0.2">
      <c r="F321" t="str">
        <f t="shared" si="45"/>
        <v/>
      </c>
      <c r="L321" s="7" t="str">
        <f t="shared" si="46"/>
        <v/>
      </c>
      <c r="N321" s="7" t="str">
        <f t="shared" si="47"/>
        <v/>
      </c>
      <c r="O321" t="str">
        <f t="shared" si="48"/>
        <v/>
      </c>
      <c r="P321" t="str">
        <f t="shared" si="49"/>
        <v/>
      </c>
      <c r="Q321" t="str">
        <f t="shared" si="50"/>
        <v/>
      </c>
      <c r="S321" t="str">
        <f>""</f>
        <v/>
      </c>
      <c r="AL321" s="18" t="str">
        <f>IF(COUNTIF($A$2:A320, A320) = 1, A320, "")</f>
        <v/>
      </c>
    </row>
    <row r="322" spans="6:38" x14ac:dyDescent="0.2">
      <c r="F322" t="str">
        <f t="shared" si="45"/>
        <v/>
      </c>
      <c r="L322" s="7" t="str">
        <f t="shared" si="46"/>
        <v/>
      </c>
      <c r="N322" s="7" t="str">
        <f t="shared" si="47"/>
        <v/>
      </c>
      <c r="O322" t="str">
        <f t="shared" si="48"/>
        <v/>
      </c>
      <c r="P322" t="str">
        <f t="shared" si="49"/>
        <v/>
      </c>
      <c r="Q322" t="str">
        <f t="shared" si="50"/>
        <v/>
      </c>
      <c r="S322" t="str">
        <f>""</f>
        <v/>
      </c>
      <c r="AL322" s="18" t="str">
        <f>IF(COUNTIF($A$2:A321, A321) = 1, A321, "")</f>
        <v/>
      </c>
    </row>
    <row r="323" spans="6:38" x14ac:dyDescent="0.2">
      <c r="F323" t="str">
        <f t="shared" si="45"/>
        <v/>
      </c>
      <c r="L323" s="7" t="str">
        <f t="shared" si="46"/>
        <v/>
      </c>
      <c r="N323" s="7" t="str">
        <f t="shared" si="47"/>
        <v/>
      </c>
      <c r="O323" t="str">
        <f t="shared" si="48"/>
        <v/>
      </c>
      <c r="P323" t="str">
        <f t="shared" si="49"/>
        <v/>
      </c>
      <c r="Q323" t="str">
        <f t="shared" si="50"/>
        <v/>
      </c>
      <c r="S323" t="str">
        <f>""</f>
        <v/>
      </c>
      <c r="AL323" s="18" t="str">
        <f>IF(COUNTIF($A$2:A322, A322) = 1, A322, "")</f>
        <v/>
      </c>
    </row>
    <row r="324" spans="6:38" x14ac:dyDescent="0.2">
      <c r="F324" t="str">
        <f t="shared" si="45"/>
        <v/>
      </c>
      <c r="L324" s="7" t="str">
        <f t="shared" si="46"/>
        <v/>
      </c>
      <c r="N324" s="7" t="str">
        <f t="shared" si="47"/>
        <v/>
      </c>
      <c r="O324" t="str">
        <f t="shared" si="48"/>
        <v/>
      </c>
      <c r="P324" t="str">
        <f t="shared" si="49"/>
        <v/>
      </c>
      <c r="Q324" t="str">
        <f t="shared" si="50"/>
        <v/>
      </c>
      <c r="S324" t="str">
        <f>""</f>
        <v/>
      </c>
      <c r="AL324" s="18" t="str">
        <f>IF(COUNTIF($A$2:A323, A323) = 1, A323, "")</f>
        <v/>
      </c>
    </row>
    <row r="325" spans="6:38" x14ac:dyDescent="0.2">
      <c r="F325" t="str">
        <f t="shared" si="45"/>
        <v/>
      </c>
      <c r="L325" s="7" t="str">
        <f t="shared" si="46"/>
        <v/>
      </c>
      <c r="N325" s="7" t="str">
        <f t="shared" si="47"/>
        <v/>
      </c>
      <c r="O325" t="str">
        <f t="shared" si="48"/>
        <v/>
      </c>
      <c r="P325" t="str">
        <f t="shared" si="49"/>
        <v/>
      </c>
      <c r="Q325" t="str">
        <f t="shared" si="50"/>
        <v/>
      </c>
      <c r="S325" t="str">
        <f>""</f>
        <v/>
      </c>
      <c r="AL325" s="18" t="str">
        <f>IF(COUNTIF($A$2:A324, A324) = 1, A324, "")</f>
        <v/>
      </c>
    </row>
    <row r="326" spans="6:38" x14ac:dyDescent="0.2">
      <c r="F326" t="str">
        <f t="shared" si="45"/>
        <v/>
      </c>
      <c r="L326" s="7" t="str">
        <f t="shared" si="46"/>
        <v/>
      </c>
      <c r="N326" s="7" t="str">
        <f t="shared" si="47"/>
        <v/>
      </c>
      <c r="O326" t="str">
        <f t="shared" si="48"/>
        <v/>
      </c>
      <c r="P326" t="str">
        <f t="shared" si="49"/>
        <v/>
      </c>
      <c r="Q326" t="str">
        <f t="shared" si="50"/>
        <v/>
      </c>
      <c r="S326" t="str">
        <f>""</f>
        <v/>
      </c>
      <c r="AL326" s="18" t="str">
        <f>IF(COUNTIF($A$2:A325, A325) = 1, A325, "")</f>
        <v/>
      </c>
    </row>
    <row r="327" spans="6:38" x14ac:dyDescent="0.2">
      <c r="F327" t="str">
        <f t="shared" si="45"/>
        <v/>
      </c>
      <c r="L327" s="7" t="str">
        <f t="shared" si="46"/>
        <v/>
      </c>
      <c r="N327" s="7" t="str">
        <f t="shared" si="47"/>
        <v/>
      </c>
      <c r="O327" t="str">
        <f t="shared" si="48"/>
        <v/>
      </c>
      <c r="P327" t="str">
        <f t="shared" si="49"/>
        <v/>
      </c>
      <c r="Q327" t="str">
        <f t="shared" si="50"/>
        <v/>
      </c>
      <c r="S327" t="str">
        <f>""</f>
        <v/>
      </c>
      <c r="AL327" s="18" t="str">
        <f>IF(COUNTIF($A$2:A326, A326) = 1, A326, "")</f>
        <v/>
      </c>
    </row>
    <row r="328" spans="6:38" x14ac:dyDescent="0.2">
      <c r="F328" t="str">
        <f t="shared" si="45"/>
        <v/>
      </c>
      <c r="L328" s="7" t="str">
        <f t="shared" si="46"/>
        <v/>
      </c>
      <c r="N328" s="7" t="str">
        <f t="shared" si="47"/>
        <v/>
      </c>
      <c r="O328" t="str">
        <f t="shared" si="48"/>
        <v/>
      </c>
      <c r="P328" t="str">
        <f t="shared" si="49"/>
        <v/>
      </c>
      <c r="Q328" t="str">
        <f t="shared" si="50"/>
        <v/>
      </c>
      <c r="S328" t="str">
        <f>""</f>
        <v/>
      </c>
      <c r="AL328" s="18" t="str">
        <f>IF(COUNTIF($A$2:A327, A327) = 1, A327, "")</f>
        <v/>
      </c>
    </row>
    <row r="329" spans="6:38" x14ac:dyDescent="0.2">
      <c r="F329" t="str">
        <f t="shared" si="45"/>
        <v/>
      </c>
      <c r="L329" s="7" t="str">
        <f t="shared" si="46"/>
        <v/>
      </c>
      <c r="N329" s="7" t="str">
        <f t="shared" si="47"/>
        <v/>
      </c>
      <c r="O329" t="str">
        <f t="shared" si="48"/>
        <v/>
      </c>
      <c r="P329" t="str">
        <f t="shared" si="49"/>
        <v/>
      </c>
      <c r="Q329" t="str">
        <f t="shared" si="50"/>
        <v/>
      </c>
      <c r="S329" t="str">
        <f>""</f>
        <v/>
      </c>
      <c r="AL329" s="18" t="str">
        <f>IF(COUNTIF($A$2:A328, A328) = 1, A328, "")</f>
        <v/>
      </c>
    </row>
    <row r="330" spans="6:38" x14ac:dyDescent="0.2">
      <c r="F330" t="str">
        <f t="shared" si="45"/>
        <v/>
      </c>
      <c r="L330" s="7" t="str">
        <f t="shared" si="46"/>
        <v/>
      </c>
      <c r="N330" s="7" t="str">
        <f t="shared" si="47"/>
        <v/>
      </c>
      <c r="O330" t="str">
        <f t="shared" si="48"/>
        <v/>
      </c>
      <c r="P330" t="str">
        <f t="shared" si="49"/>
        <v/>
      </c>
      <c r="Q330" t="str">
        <f t="shared" si="50"/>
        <v/>
      </c>
      <c r="S330" t="str">
        <f>""</f>
        <v/>
      </c>
      <c r="AL330" s="18" t="str">
        <f>IF(COUNTIF($A$2:A329, A329) = 1, A329, "")</f>
        <v/>
      </c>
    </row>
    <row r="331" spans="6:38" x14ac:dyDescent="0.2">
      <c r="F331" t="str">
        <f t="shared" si="45"/>
        <v/>
      </c>
      <c r="L331" s="7" t="str">
        <f t="shared" si="46"/>
        <v/>
      </c>
      <c r="N331" s="7" t="str">
        <f t="shared" si="47"/>
        <v/>
      </c>
      <c r="O331" t="str">
        <f t="shared" si="48"/>
        <v/>
      </c>
      <c r="P331" t="str">
        <f t="shared" si="49"/>
        <v/>
      </c>
      <c r="Q331" t="str">
        <f t="shared" si="50"/>
        <v/>
      </c>
      <c r="S331" t="str">
        <f>""</f>
        <v/>
      </c>
      <c r="AL331" s="18" t="str">
        <f>IF(COUNTIF($A$2:A330, A330) = 1, A330, "")</f>
        <v/>
      </c>
    </row>
    <row r="332" spans="6:38" x14ac:dyDescent="0.2">
      <c r="F332" t="str">
        <f t="shared" si="45"/>
        <v/>
      </c>
      <c r="L332" s="7" t="str">
        <f t="shared" si="46"/>
        <v/>
      </c>
      <c r="N332" s="7" t="str">
        <f t="shared" si="47"/>
        <v/>
      </c>
      <c r="O332" t="str">
        <f t="shared" si="48"/>
        <v/>
      </c>
      <c r="P332" t="str">
        <f t="shared" si="49"/>
        <v/>
      </c>
      <c r="Q332" t="str">
        <f t="shared" si="50"/>
        <v/>
      </c>
      <c r="S332" t="str">
        <f>""</f>
        <v/>
      </c>
      <c r="AL332" s="18" t="str">
        <f>IF(COUNTIF($A$2:A331, A331) = 1, A331, "")</f>
        <v/>
      </c>
    </row>
    <row r="333" spans="6:38" x14ac:dyDescent="0.2">
      <c r="F333" t="str">
        <f t="shared" si="45"/>
        <v/>
      </c>
      <c r="L333" s="7" t="str">
        <f t="shared" si="46"/>
        <v/>
      </c>
      <c r="N333" s="7" t="str">
        <f t="shared" si="47"/>
        <v/>
      </c>
      <c r="O333" t="str">
        <f t="shared" si="48"/>
        <v/>
      </c>
      <c r="P333" t="str">
        <f t="shared" si="49"/>
        <v/>
      </c>
      <c r="Q333" t="str">
        <f t="shared" si="50"/>
        <v/>
      </c>
      <c r="S333" t="str">
        <f>""</f>
        <v/>
      </c>
      <c r="AL333" s="18" t="str">
        <f>IF(COUNTIF($A$2:A332, A332) = 1, A332, "")</f>
        <v/>
      </c>
    </row>
    <row r="334" spans="6:38" x14ac:dyDescent="0.2">
      <c r="F334" t="str">
        <f t="shared" si="45"/>
        <v/>
      </c>
      <c r="L334" s="7" t="str">
        <f t="shared" si="46"/>
        <v/>
      </c>
      <c r="N334" s="7" t="str">
        <f t="shared" si="47"/>
        <v/>
      </c>
      <c r="O334" t="str">
        <f t="shared" si="48"/>
        <v/>
      </c>
      <c r="P334" t="str">
        <f t="shared" si="49"/>
        <v/>
      </c>
      <c r="Q334" t="str">
        <f t="shared" si="50"/>
        <v/>
      </c>
      <c r="S334" t="str">
        <f>""</f>
        <v/>
      </c>
      <c r="AL334" s="18" t="str">
        <f>IF(COUNTIF($A$2:A333, A333) = 1, A333, "")</f>
        <v/>
      </c>
    </row>
    <row r="335" spans="6:38" x14ac:dyDescent="0.2">
      <c r="F335" t="str">
        <f t="shared" si="45"/>
        <v/>
      </c>
      <c r="L335" s="7" t="str">
        <f t="shared" si="46"/>
        <v/>
      </c>
      <c r="N335" s="7" t="str">
        <f t="shared" si="47"/>
        <v/>
      </c>
      <c r="O335" t="str">
        <f t="shared" si="48"/>
        <v/>
      </c>
      <c r="P335" t="str">
        <f t="shared" si="49"/>
        <v/>
      </c>
      <c r="Q335" t="str">
        <f t="shared" si="50"/>
        <v/>
      </c>
      <c r="S335" t="str">
        <f>""</f>
        <v/>
      </c>
      <c r="AL335" s="18" t="str">
        <f>IF(COUNTIF($A$2:A334, A334) = 1, A334, "")</f>
        <v/>
      </c>
    </row>
    <row r="336" spans="6:38" x14ac:dyDescent="0.2">
      <c r="F336" t="str">
        <f t="shared" ref="F336:F399" si="51">IF(OR(O336="", P336=""), "", SUM(IF((O336&lt;&gt;"None")*(O336&lt;&gt;""),LEN(O336)-LEN(SUBSTITUTE(O336,",",""))+1,0)) + SUM(IF((P336&lt;&gt;"None")*(P336&lt;&gt;""),LEN(P336)-LEN(SUBSTITUTE(P336,",",""))+1,0)))</f>
        <v/>
      </c>
      <c r="L336" s="7" t="str">
        <f t="shared" ref="L336:L399" si="52">IF(LEN(E336)=0, "", IFERROR(IF(E336&gt;=0, K336 * (1 + E336/100) - K336, K336 / (ABS(E336)/100))+K336, ""))</f>
        <v/>
      </c>
      <c r="N336" s="7" t="str">
        <f t="shared" ref="N336:N399" si="53">IF(M336="Yes",L336-K336,IF(M336="No",-K336,""))</f>
        <v/>
      </c>
      <c r="O336" t="str">
        <f t="shared" ref="O336:O399" si="54">IF(AND(G336="No",H336="No"), "None", "")</f>
        <v/>
      </c>
      <c r="P336" t="str">
        <f t="shared" ref="P336:P399" si="55">IF(I336="No", "None", "")</f>
        <v/>
      </c>
      <c r="Q336" t="str">
        <f t="shared" ref="Q336:Q399" si="56">IF(AND(D336="Straight", M336 = "No"),IF(O336="None",P336,IF(P336="None",O336) ),"")</f>
        <v/>
      </c>
      <c r="S336" t="str">
        <f>""</f>
        <v/>
      </c>
      <c r="AL336" s="18" t="str">
        <f>IF(COUNTIF($A$2:A335, A335) = 1, A335, "")</f>
        <v/>
      </c>
    </row>
    <row r="337" spans="6:38" x14ac:dyDescent="0.2">
      <c r="F337" t="str">
        <f t="shared" si="51"/>
        <v/>
      </c>
      <c r="L337" s="7" t="str">
        <f t="shared" si="52"/>
        <v/>
      </c>
      <c r="N337" s="7" t="str">
        <f t="shared" si="53"/>
        <v/>
      </c>
      <c r="O337" t="str">
        <f t="shared" si="54"/>
        <v/>
      </c>
      <c r="P337" t="str">
        <f t="shared" si="55"/>
        <v/>
      </c>
      <c r="Q337" t="str">
        <f t="shared" si="56"/>
        <v/>
      </c>
      <c r="S337" t="str">
        <f>""</f>
        <v/>
      </c>
      <c r="AL337" s="18" t="str">
        <f>IF(COUNTIF($A$2:A336, A336) = 1, A336, "")</f>
        <v/>
      </c>
    </row>
    <row r="338" spans="6:38" x14ac:dyDescent="0.2">
      <c r="F338" t="str">
        <f t="shared" si="51"/>
        <v/>
      </c>
      <c r="L338" s="7" t="str">
        <f t="shared" si="52"/>
        <v/>
      </c>
      <c r="N338" s="7" t="str">
        <f t="shared" si="53"/>
        <v/>
      </c>
      <c r="O338" t="str">
        <f t="shared" si="54"/>
        <v/>
      </c>
      <c r="P338" t="str">
        <f t="shared" si="55"/>
        <v/>
      </c>
      <c r="Q338" t="str">
        <f t="shared" si="56"/>
        <v/>
      </c>
      <c r="S338" t="str">
        <f>""</f>
        <v/>
      </c>
      <c r="AL338" s="18" t="str">
        <f>IF(COUNTIF($A$2:A337, A337) = 1, A337, "")</f>
        <v/>
      </c>
    </row>
    <row r="339" spans="6:38" x14ac:dyDescent="0.2">
      <c r="F339" t="str">
        <f t="shared" si="51"/>
        <v/>
      </c>
      <c r="L339" s="7" t="str">
        <f t="shared" si="52"/>
        <v/>
      </c>
      <c r="N339" s="7" t="str">
        <f t="shared" si="53"/>
        <v/>
      </c>
      <c r="O339" t="str">
        <f t="shared" si="54"/>
        <v/>
      </c>
      <c r="P339" t="str">
        <f t="shared" si="55"/>
        <v/>
      </c>
      <c r="Q339" t="str">
        <f t="shared" si="56"/>
        <v/>
      </c>
      <c r="S339" t="str">
        <f>""</f>
        <v/>
      </c>
      <c r="AL339" s="18" t="str">
        <f>IF(COUNTIF($A$2:A338, A338) = 1, A338, "")</f>
        <v/>
      </c>
    </row>
    <row r="340" spans="6:38" x14ac:dyDescent="0.2">
      <c r="F340" t="str">
        <f t="shared" si="51"/>
        <v/>
      </c>
      <c r="L340" s="7" t="str">
        <f t="shared" si="52"/>
        <v/>
      </c>
      <c r="N340" s="7" t="str">
        <f t="shared" si="53"/>
        <v/>
      </c>
      <c r="O340" t="str">
        <f t="shared" si="54"/>
        <v/>
      </c>
      <c r="P340" t="str">
        <f t="shared" si="55"/>
        <v/>
      </c>
      <c r="Q340" t="str">
        <f t="shared" si="56"/>
        <v/>
      </c>
      <c r="S340" t="str">
        <f>""</f>
        <v/>
      </c>
      <c r="AL340" s="18" t="str">
        <f>IF(COUNTIF($A$2:A339, A339) = 1, A339, "")</f>
        <v/>
      </c>
    </row>
    <row r="341" spans="6:38" x14ac:dyDescent="0.2">
      <c r="F341" t="str">
        <f t="shared" si="51"/>
        <v/>
      </c>
      <c r="L341" s="7" t="str">
        <f t="shared" si="52"/>
        <v/>
      </c>
      <c r="N341" s="7" t="str">
        <f t="shared" si="53"/>
        <v/>
      </c>
      <c r="O341" t="str">
        <f t="shared" si="54"/>
        <v/>
      </c>
      <c r="P341" t="str">
        <f t="shared" si="55"/>
        <v/>
      </c>
      <c r="Q341" t="str">
        <f t="shared" si="56"/>
        <v/>
      </c>
      <c r="S341" t="str">
        <f>""</f>
        <v/>
      </c>
      <c r="AL341" s="18" t="str">
        <f>IF(COUNTIF($A$2:A340, A340) = 1, A340, "")</f>
        <v/>
      </c>
    </row>
    <row r="342" spans="6:38" x14ac:dyDescent="0.2">
      <c r="F342" t="str">
        <f t="shared" si="51"/>
        <v/>
      </c>
      <c r="L342" s="7" t="str">
        <f t="shared" si="52"/>
        <v/>
      </c>
      <c r="N342" s="7" t="str">
        <f t="shared" si="53"/>
        <v/>
      </c>
      <c r="O342" t="str">
        <f t="shared" si="54"/>
        <v/>
      </c>
      <c r="P342" t="str">
        <f t="shared" si="55"/>
        <v/>
      </c>
      <c r="Q342" t="str">
        <f t="shared" si="56"/>
        <v/>
      </c>
      <c r="S342" t="str">
        <f>""</f>
        <v/>
      </c>
      <c r="AL342" s="18" t="str">
        <f>IF(COUNTIF($A$2:A341, A341) = 1, A341, "")</f>
        <v/>
      </c>
    </row>
    <row r="343" spans="6:38" x14ac:dyDescent="0.2">
      <c r="F343" t="str">
        <f t="shared" si="51"/>
        <v/>
      </c>
      <c r="L343" s="7" t="str">
        <f t="shared" si="52"/>
        <v/>
      </c>
      <c r="N343" s="7" t="str">
        <f t="shared" si="53"/>
        <v/>
      </c>
      <c r="O343" t="str">
        <f t="shared" si="54"/>
        <v/>
      </c>
      <c r="P343" t="str">
        <f t="shared" si="55"/>
        <v/>
      </c>
      <c r="Q343" t="str">
        <f t="shared" si="56"/>
        <v/>
      </c>
      <c r="S343" t="str">
        <f>""</f>
        <v/>
      </c>
      <c r="AL343" s="18" t="str">
        <f>IF(COUNTIF($A$2:A342, A342) = 1, A342, "")</f>
        <v/>
      </c>
    </row>
    <row r="344" spans="6:38" x14ac:dyDescent="0.2">
      <c r="F344" t="str">
        <f t="shared" si="51"/>
        <v/>
      </c>
      <c r="L344" s="7" t="str">
        <f t="shared" si="52"/>
        <v/>
      </c>
      <c r="N344" s="7" t="str">
        <f t="shared" si="53"/>
        <v/>
      </c>
      <c r="O344" t="str">
        <f t="shared" si="54"/>
        <v/>
      </c>
      <c r="P344" t="str">
        <f t="shared" si="55"/>
        <v/>
      </c>
      <c r="Q344" t="str">
        <f t="shared" si="56"/>
        <v/>
      </c>
      <c r="S344" t="str">
        <f>""</f>
        <v/>
      </c>
      <c r="AL344" s="18" t="str">
        <f>IF(COUNTIF($A$2:A343, A343) = 1, A343, "")</f>
        <v/>
      </c>
    </row>
    <row r="345" spans="6:38" x14ac:dyDescent="0.2">
      <c r="F345" t="str">
        <f t="shared" si="51"/>
        <v/>
      </c>
      <c r="L345" s="7" t="str">
        <f t="shared" si="52"/>
        <v/>
      </c>
      <c r="N345" s="7" t="str">
        <f t="shared" si="53"/>
        <v/>
      </c>
      <c r="O345" t="str">
        <f t="shared" si="54"/>
        <v/>
      </c>
      <c r="P345" t="str">
        <f t="shared" si="55"/>
        <v/>
      </c>
      <c r="Q345" t="str">
        <f t="shared" si="56"/>
        <v/>
      </c>
      <c r="S345" t="str">
        <f>""</f>
        <v/>
      </c>
      <c r="AL345" s="18" t="str">
        <f>IF(COUNTIF($A$2:A344, A344) = 1, A344, "")</f>
        <v/>
      </c>
    </row>
    <row r="346" spans="6:38" x14ac:dyDescent="0.2">
      <c r="F346" t="str">
        <f t="shared" si="51"/>
        <v/>
      </c>
      <c r="L346" s="7" t="str">
        <f t="shared" si="52"/>
        <v/>
      </c>
      <c r="N346" s="7" t="str">
        <f t="shared" si="53"/>
        <v/>
      </c>
      <c r="O346" t="str">
        <f t="shared" si="54"/>
        <v/>
      </c>
      <c r="P346" t="str">
        <f t="shared" si="55"/>
        <v/>
      </c>
      <c r="Q346" t="str">
        <f t="shared" si="56"/>
        <v/>
      </c>
      <c r="S346" t="str">
        <f>""</f>
        <v/>
      </c>
      <c r="AL346" s="18" t="str">
        <f>IF(COUNTIF($A$2:A345, A345) = 1, A345, "")</f>
        <v/>
      </c>
    </row>
    <row r="347" spans="6:38" x14ac:dyDescent="0.2">
      <c r="F347" t="str">
        <f t="shared" si="51"/>
        <v/>
      </c>
      <c r="L347" s="7" t="str">
        <f t="shared" si="52"/>
        <v/>
      </c>
      <c r="N347" s="7" t="str">
        <f t="shared" si="53"/>
        <v/>
      </c>
      <c r="O347" t="str">
        <f t="shared" si="54"/>
        <v/>
      </c>
      <c r="P347" t="str">
        <f t="shared" si="55"/>
        <v/>
      </c>
      <c r="Q347" t="str">
        <f t="shared" si="56"/>
        <v/>
      </c>
      <c r="S347" t="str">
        <f>""</f>
        <v/>
      </c>
      <c r="AL347" s="18" t="str">
        <f>IF(COUNTIF($A$2:A346, A346) = 1, A346, "")</f>
        <v/>
      </c>
    </row>
    <row r="348" spans="6:38" x14ac:dyDescent="0.2">
      <c r="F348" t="str">
        <f t="shared" si="51"/>
        <v/>
      </c>
      <c r="L348" s="7" t="str">
        <f t="shared" si="52"/>
        <v/>
      </c>
      <c r="N348" s="7" t="str">
        <f t="shared" si="53"/>
        <v/>
      </c>
      <c r="O348" t="str">
        <f t="shared" si="54"/>
        <v/>
      </c>
      <c r="P348" t="str">
        <f t="shared" si="55"/>
        <v/>
      </c>
      <c r="Q348" t="str">
        <f t="shared" si="56"/>
        <v/>
      </c>
      <c r="S348" t="str">
        <f>""</f>
        <v/>
      </c>
      <c r="AL348" s="18" t="str">
        <f>IF(COUNTIF($A$2:A347, A347) = 1, A347, "")</f>
        <v/>
      </c>
    </row>
    <row r="349" spans="6:38" x14ac:dyDescent="0.2">
      <c r="F349" t="str">
        <f t="shared" si="51"/>
        <v/>
      </c>
      <c r="L349" s="7" t="str">
        <f t="shared" si="52"/>
        <v/>
      </c>
      <c r="N349" s="7" t="str">
        <f t="shared" si="53"/>
        <v/>
      </c>
      <c r="O349" t="str">
        <f t="shared" si="54"/>
        <v/>
      </c>
      <c r="P349" t="str">
        <f t="shared" si="55"/>
        <v/>
      </c>
      <c r="Q349" t="str">
        <f t="shared" si="56"/>
        <v/>
      </c>
      <c r="S349" t="str">
        <f>""</f>
        <v/>
      </c>
      <c r="AL349" s="18" t="str">
        <f>IF(COUNTIF($A$2:A348, A348) = 1, A348, "")</f>
        <v/>
      </c>
    </row>
    <row r="350" spans="6:38" x14ac:dyDescent="0.2">
      <c r="F350" t="str">
        <f t="shared" si="51"/>
        <v/>
      </c>
      <c r="L350" s="7" t="str">
        <f t="shared" si="52"/>
        <v/>
      </c>
      <c r="N350" s="7" t="str">
        <f t="shared" si="53"/>
        <v/>
      </c>
      <c r="O350" t="str">
        <f t="shared" si="54"/>
        <v/>
      </c>
      <c r="P350" t="str">
        <f t="shared" si="55"/>
        <v/>
      </c>
      <c r="Q350" t="str">
        <f t="shared" si="56"/>
        <v/>
      </c>
      <c r="S350" t="str">
        <f>""</f>
        <v/>
      </c>
      <c r="AL350" s="18" t="str">
        <f>IF(COUNTIF($A$2:A349, A349) = 1, A349, "")</f>
        <v/>
      </c>
    </row>
    <row r="351" spans="6:38" x14ac:dyDescent="0.2">
      <c r="F351" t="str">
        <f t="shared" si="51"/>
        <v/>
      </c>
      <c r="L351" s="7" t="str">
        <f t="shared" si="52"/>
        <v/>
      </c>
      <c r="N351" s="7" t="str">
        <f t="shared" si="53"/>
        <v/>
      </c>
      <c r="O351" t="str">
        <f t="shared" si="54"/>
        <v/>
      </c>
      <c r="P351" t="str">
        <f t="shared" si="55"/>
        <v/>
      </c>
      <c r="Q351" t="str">
        <f t="shared" si="56"/>
        <v/>
      </c>
      <c r="S351" t="str">
        <f>""</f>
        <v/>
      </c>
      <c r="AL351" s="18" t="str">
        <f>IF(COUNTIF($A$2:A350, A350) = 1, A350, "")</f>
        <v/>
      </c>
    </row>
    <row r="352" spans="6:38" x14ac:dyDescent="0.2">
      <c r="F352" t="str">
        <f t="shared" si="51"/>
        <v/>
      </c>
      <c r="L352" s="7" t="str">
        <f t="shared" si="52"/>
        <v/>
      </c>
      <c r="N352" s="7" t="str">
        <f t="shared" si="53"/>
        <v/>
      </c>
      <c r="O352" t="str">
        <f t="shared" si="54"/>
        <v/>
      </c>
      <c r="P352" t="str">
        <f t="shared" si="55"/>
        <v/>
      </c>
      <c r="Q352" t="str">
        <f t="shared" si="56"/>
        <v/>
      </c>
      <c r="S352" t="str">
        <f>""</f>
        <v/>
      </c>
      <c r="AL352" s="18" t="str">
        <f>IF(COUNTIF($A$2:A351, A351) = 1, A351, "")</f>
        <v/>
      </c>
    </row>
    <row r="353" spans="6:38" x14ac:dyDescent="0.2">
      <c r="F353" t="str">
        <f t="shared" si="51"/>
        <v/>
      </c>
      <c r="L353" s="7" t="str">
        <f t="shared" si="52"/>
        <v/>
      </c>
      <c r="N353" s="7" t="str">
        <f t="shared" si="53"/>
        <v/>
      </c>
      <c r="O353" t="str">
        <f t="shared" si="54"/>
        <v/>
      </c>
      <c r="P353" t="str">
        <f t="shared" si="55"/>
        <v/>
      </c>
      <c r="Q353" t="str">
        <f t="shared" si="56"/>
        <v/>
      </c>
      <c r="S353" t="str">
        <f>""</f>
        <v/>
      </c>
      <c r="AL353" s="18" t="str">
        <f>IF(COUNTIF($A$2:A352, A352) = 1, A352, "")</f>
        <v/>
      </c>
    </row>
    <row r="354" spans="6:38" x14ac:dyDescent="0.2">
      <c r="F354" t="str">
        <f t="shared" si="51"/>
        <v/>
      </c>
      <c r="L354" s="7" t="str">
        <f t="shared" si="52"/>
        <v/>
      </c>
      <c r="N354" s="7" t="str">
        <f t="shared" si="53"/>
        <v/>
      </c>
      <c r="O354" t="str">
        <f t="shared" si="54"/>
        <v/>
      </c>
      <c r="P354" t="str">
        <f t="shared" si="55"/>
        <v/>
      </c>
      <c r="Q354" t="str">
        <f t="shared" si="56"/>
        <v/>
      </c>
      <c r="S354" t="str">
        <f>""</f>
        <v/>
      </c>
      <c r="AL354" s="18" t="str">
        <f>IF(COUNTIF($A$2:A353, A353) = 1, A353, "")</f>
        <v/>
      </c>
    </row>
    <row r="355" spans="6:38" x14ac:dyDescent="0.2">
      <c r="F355" t="str">
        <f t="shared" si="51"/>
        <v/>
      </c>
      <c r="L355" s="7" t="str">
        <f t="shared" si="52"/>
        <v/>
      </c>
      <c r="N355" s="7" t="str">
        <f t="shared" si="53"/>
        <v/>
      </c>
      <c r="O355" t="str">
        <f t="shared" si="54"/>
        <v/>
      </c>
      <c r="P355" t="str">
        <f t="shared" si="55"/>
        <v/>
      </c>
      <c r="Q355" t="str">
        <f t="shared" si="56"/>
        <v/>
      </c>
      <c r="S355" t="str">
        <f>""</f>
        <v/>
      </c>
      <c r="AL355" s="18" t="str">
        <f>IF(COUNTIF($A$2:A354, A354) = 1, A354, "")</f>
        <v/>
      </c>
    </row>
    <row r="356" spans="6:38" x14ac:dyDescent="0.2">
      <c r="F356" t="str">
        <f t="shared" si="51"/>
        <v/>
      </c>
      <c r="L356" s="7" t="str">
        <f t="shared" si="52"/>
        <v/>
      </c>
      <c r="N356" s="7" t="str">
        <f t="shared" si="53"/>
        <v/>
      </c>
      <c r="O356" t="str">
        <f t="shared" si="54"/>
        <v/>
      </c>
      <c r="P356" t="str">
        <f t="shared" si="55"/>
        <v/>
      </c>
      <c r="Q356" t="str">
        <f t="shared" si="56"/>
        <v/>
      </c>
      <c r="S356" t="str">
        <f>""</f>
        <v/>
      </c>
      <c r="AL356" s="18" t="str">
        <f>IF(COUNTIF($A$2:A355, A355) = 1, A355, "")</f>
        <v/>
      </c>
    </row>
    <row r="357" spans="6:38" x14ac:dyDescent="0.2">
      <c r="F357" t="str">
        <f t="shared" si="51"/>
        <v/>
      </c>
      <c r="L357" s="7" t="str">
        <f t="shared" si="52"/>
        <v/>
      </c>
      <c r="N357" s="7" t="str">
        <f t="shared" si="53"/>
        <v/>
      </c>
      <c r="O357" t="str">
        <f t="shared" si="54"/>
        <v/>
      </c>
      <c r="P357" t="str">
        <f t="shared" si="55"/>
        <v/>
      </c>
      <c r="Q357" t="str">
        <f t="shared" si="56"/>
        <v/>
      </c>
      <c r="S357" t="str">
        <f>""</f>
        <v/>
      </c>
      <c r="AL357" s="18" t="str">
        <f>IF(COUNTIF($A$2:A356, A356) = 1, A356, "")</f>
        <v/>
      </c>
    </row>
    <row r="358" spans="6:38" x14ac:dyDescent="0.2">
      <c r="F358" t="str">
        <f t="shared" si="51"/>
        <v/>
      </c>
      <c r="L358" s="7" t="str">
        <f t="shared" si="52"/>
        <v/>
      </c>
      <c r="N358" s="7" t="str">
        <f t="shared" si="53"/>
        <v/>
      </c>
      <c r="O358" t="str">
        <f t="shared" si="54"/>
        <v/>
      </c>
      <c r="P358" t="str">
        <f t="shared" si="55"/>
        <v/>
      </c>
      <c r="Q358" t="str">
        <f t="shared" si="56"/>
        <v/>
      </c>
      <c r="S358" t="str">
        <f>""</f>
        <v/>
      </c>
      <c r="AL358" s="18" t="str">
        <f>IF(COUNTIF($A$2:A357, A357) = 1, A357, "")</f>
        <v/>
      </c>
    </row>
    <row r="359" spans="6:38" x14ac:dyDescent="0.2">
      <c r="F359" t="str">
        <f t="shared" si="51"/>
        <v/>
      </c>
      <c r="L359" s="7" t="str">
        <f t="shared" si="52"/>
        <v/>
      </c>
      <c r="N359" s="7" t="str">
        <f t="shared" si="53"/>
        <v/>
      </c>
      <c r="O359" t="str">
        <f t="shared" si="54"/>
        <v/>
      </c>
      <c r="P359" t="str">
        <f t="shared" si="55"/>
        <v/>
      </c>
      <c r="Q359" t="str">
        <f t="shared" si="56"/>
        <v/>
      </c>
      <c r="S359" t="str">
        <f>""</f>
        <v/>
      </c>
      <c r="AL359" s="18" t="str">
        <f>IF(COUNTIF($A$2:A358, A358) = 1, A358, "")</f>
        <v/>
      </c>
    </row>
    <row r="360" spans="6:38" x14ac:dyDescent="0.2">
      <c r="F360" t="str">
        <f t="shared" si="51"/>
        <v/>
      </c>
      <c r="L360" s="7" t="str">
        <f t="shared" si="52"/>
        <v/>
      </c>
      <c r="N360" s="7" t="str">
        <f t="shared" si="53"/>
        <v/>
      </c>
      <c r="O360" t="str">
        <f t="shared" si="54"/>
        <v/>
      </c>
      <c r="P360" t="str">
        <f t="shared" si="55"/>
        <v/>
      </c>
      <c r="Q360" t="str">
        <f t="shared" si="56"/>
        <v/>
      </c>
      <c r="S360" t="str">
        <f>""</f>
        <v/>
      </c>
      <c r="AL360" s="18" t="str">
        <f>IF(COUNTIF($A$2:A359, A359) = 1, A359, "")</f>
        <v/>
      </c>
    </row>
    <row r="361" spans="6:38" x14ac:dyDescent="0.2">
      <c r="F361" t="str">
        <f t="shared" si="51"/>
        <v/>
      </c>
      <c r="L361" s="7" t="str">
        <f t="shared" si="52"/>
        <v/>
      </c>
      <c r="N361" s="7" t="str">
        <f t="shared" si="53"/>
        <v/>
      </c>
      <c r="O361" t="str">
        <f t="shared" si="54"/>
        <v/>
      </c>
      <c r="P361" t="str">
        <f t="shared" si="55"/>
        <v/>
      </c>
      <c r="Q361" t="str">
        <f t="shared" si="56"/>
        <v/>
      </c>
      <c r="S361" t="str">
        <f>""</f>
        <v/>
      </c>
      <c r="AL361" s="18" t="str">
        <f>IF(COUNTIF($A$2:A360, A360) = 1, A360, "")</f>
        <v/>
      </c>
    </row>
    <row r="362" spans="6:38" x14ac:dyDescent="0.2">
      <c r="F362" t="str">
        <f t="shared" si="51"/>
        <v/>
      </c>
      <c r="L362" s="7" t="str">
        <f t="shared" si="52"/>
        <v/>
      </c>
      <c r="N362" s="7" t="str">
        <f t="shared" si="53"/>
        <v/>
      </c>
      <c r="O362" t="str">
        <f t="shared" si="54"/>
        <v/>
      </c>
      <c r="P362" t="str">
        <f t="shared" si="55"/>
        <v/>
      </c>
      <c r="Q362" t="str">
        <f t="shared" si="56"/>
        <v/>
      </c>
      <c r="S362" t="str">
        <f>""</f>
        <v/>
      </c>
      <c r="AL362" s="18" t="str">
        <f>IF(COUNTIF($A$2:A361, A361) = 1, A361, "")</f>
        <v/>
      </c>
    </row>
    <row r="363" spans="6:38" x14ac:dyDescent="0.2">
      <c r="F363" t="str">
        <f t="shared" si="51"/>
        <v/>
      </c>
      <c r="L363" s="7" t="str">
        <f t="shared" si="52"/>
        <v/>
      </c>
      <c r="N363" s="7" t="str">
        <f t="shared" si="53"/>
        <v/>
      </c>
      <c r="O363" t="str">
        <f t="shared" si="54"/>
        <v/>
      </c>
      <c r="P363" t="str">
        <f t="shared" si="55"/>
        <v/>
      </c>
      <c r="Q363" t="str">
        <f t="shared" si="56"/>
        <v/>
      </c>
      <c r="S363" t="str">
        <f>""</f>
        <v/>
      </c>
      <c r="AL363" s="18" t="str">
        <f>IF(COUNTIF($A$2:A362, A362) = 1, A362, "")</f>
        <v/>
      </c>
    </row>
    <row r="364" spans="6:38" x14ac:dyDescent="0.2">
      <c r="F364" t="str">
        <f t="shared" si="51"/>
        <v/>
      </c>
      <c r="L364" s="7" t="str">
        <f t="shared" si="52"/>
        <v/>
      </c>
      <c r="N364" s="7" t="str">
        <f t="shared" si="53"/>
        <v/>
      </c>
      <c r="O364" t="str">
        <f t="shared" si="54"/>
        <v/>
      </c>
      <c r="P364" t="str">
        <f t="shared" si="55"/>
        <v/>
      </c>
      <c r="Q364" t="str">
        <f t="shared" si="56"/>
        <v/>
      </c>
      <c r="S364" t="str">
        <f>""</f>
        <v/>
      </c>
      <c r="AL364" s="18" t="str">
        <f>IF(COUNTIF($A$2:A363, A363) = 1, A363, "")</f>
        <v/>
      </c>
    </row>
    <row r="365" spans="6:38" x14ac:dyDescent="0.2">
      <c r="F365" t="str">
        <f t="shared" si="51"/>
        <v/>
      </c>
      <c r="L365" s="7" t="str">
        <f t="shared" si="52"/>
        <v/>
      </c>
      <c r="N365" s="7" t="str">
        <f t="shared" si="53"/>
        <v/>
      </c>
      <c r="O365" t="str">
        <f t="shared" si="54"/>
        <v/>
      </c>
      <c r="P365" t="str">
        <f t="shared" si="55"/>
        <v/>
      </c>
      <c r="Q365" t="str">
        <f t="shared" si="56"/>
        <v/>
      </c>
      <c r="S365" t="str">
        <f>""</f>
        <v/>
      </c>
      <c r="AL365" s="18" t="str">
        <f>IF(COUNTIF($A$2:A364, A364) = 1, A364, "")</f>
        <v/>
      </c>
    </row>
    <row r="366" spans="6:38" x14ac:dyDescent="0.2">
      <c r="F366" t="str">
        <f t="shared" si="51"/>
        <v/>
      </c>
      <c r="L366" s="7" t="str">
        <f t="shared" si="52"/>
        <v/>
      </c>
      <c r="N366" s="7" t="str">
        <f t="shared" si="53"/>
        <v/>
      </c>
      <c r="O366" t="str">
        <f t="shared" si="54"/>
        <v/>
      </c>
      <c r="P366" t="str">
        <f t="shared" si="55"/>
        <v/>
      </c>
      <c r="Q366" t="str">
        <f t="shared" si="56"/>
        <v/>
      </c>
      <c r="S366" t="str">
        <f>""</f>
        <v/>
      </c>
      <c r="AL366" s="18" t="str">
        <f>IF(COUNTIF($A$2:A365, A365) = 1, A365, "")</f>
        <v/>
      </c>
    </row>
    <row r="367" spans="6:38" x14ac:dyDescent="0.2">
      <c r="F367" t="str">
        <f t="shared" si="51"/>
        <v/>
      </c>
      <c r="L367" s="7" t="str">
        <f t="shared" si="52"/>
        <v/>
      </c>
      <c r="N367" s="7" t="str">
        <f t="shared" si="53"/>
        <v/>
      </c>
      <c r="O367" t="str">
        <f t="shared" si="54"/>
        <v/>
      </c>
      <c r="P367" t="str">
        <f t="shared" si="55"/>
        <v/>
      </c>
      <c r="Q367" t="str">
        <f t="shared" si="56"/>
        <v/>
      </c>
      <c r="S367" t="str">
        <f>""</f>
        <v/>
      </c>
      <c r="AL367" s="18" t="str">
        <f>IF(COUNTIF($A$2:A366, A366) = 1, A366, "")</f>
        <v/>
      </c>
    </row>
    <row r="368" spans="6:38" x14ac:dyDescent="0.2">
      <c r="F368" t="str">
        <f t="shared" si="51"/>
        <v/>
      </c>
      <c r="L368" s="7" t="str">
        <f t="shared" si="52"/>
        <v/>
      </c>
      <c r="N368" s="7" t="str">
        <f t="shared" si="53"/>
        <v/>
      </c>
      <c r="O368" t="str">
        <f t="shared" si="54"/>
        <v/>
      </c>
      <c r="P368" t="str">
        <f t="shared" si="55"/>
        <v/>
      </c>
      <c r="Q368" t="str">
        <f t="shared" si="56"/>
        <v/>
      </c>
      <c r="S368" t="str">
        <f>""</f>
        <v/>
      </c>
      <c r="AL368" s="18" t="str">
        <f>IF(COUNTIF($A$2:A367, A367) = 1, A367, "")</f>
        <v/>
      </c>
    </row>
    <row r="369" spans="6:38" x14ac:dyDescent="0.2">
      <c r="F369" t="str">
        <f t="shared" si="51"/>
        <v/>
      </c>
      <c r="L369" s="7" t="str">
        <f t="shared" si="52"/>
        <v/>
      </c>
      <c r="N369" s="7" t="str">
        <f t="shared" si="53"/>
        <v/>
      </c>
      <c r="O369" t="str">
        <f t="shared" si="54"/>
        <v/>
      </c>
      <c r="P369" t="str">
        <f t="shared" si="55"/>
        <v/>
      </c>
      <c r="Q369" t="str">
        <f t="shared" si="56"/>
        <v/>
      </c>
      <c r="S369" t="str">
        <f>""</f>
        <v/>
      </c>
      <c r="AL369" s="18" t="str">
        <f>IF(COUNTIF($A$2:A368, A368) = 1, A368, "")</f>
        <v/>
      </c>
    </row>
    <row r="370" spans="6:38" x14ac:dyDescent="0.2">
      <c r="F370" t="str">
        <f t="shared" si="51"/>
        <v/>
      </c>
      <c r="L370" s="7" t="str">
        <f t="shared" si="52"/>
        <v/>
      </c>
      <c r="N370" s="7" t="str">
        <f t="shared" si="53"/>
        <v/>
      </c>
      <c r="O370" t="str">
        <f t="shared" si="54"/>
        <v/>
      </c>
      <c r="P370" t="str">
        <f t="shared" si="55"/>
        <v/>
      </c>
      <c r="Q370" t="str">
        <f t="shared" si="56"/>
        <v/>
      </c>
      <c r="S370" t="str">
        <f>""</f>
        <v/>
      </c>
      <c r="AL370" s="18" t="str">
        <f>IF(COUNTIF($A$2:A369, A369) = 1, A369, "")</f>
        <v/>
      </c>
    </row>
    <row r="371" spans="6:38" x14ac:dyDescent="0.2">
      <c r="F371" t="str">
        <f t="shared" si="51"/>
        <v/>
      </c>
      <c r="L371" s="7" t="str">
        <f t="shared" si="52"/>
        <v/>
      </c>
      <c r="N371" s="7" t="str">
        <f t="shared" si="53"/>
        <v/>
      </c>
      <c r="O371" t="str">
        <f t="shared" si="54"/>
        <v/>
      </c>
      <c r="P371" t="str">
        <f t="shared" si="55"/>
        <v/>
      </c>
      <c r="Q371" t="str">
        <f t="shared" si="56"/>
        <v/>
      </c>
      <c r="S371" t="str">
        <f>""</f>
        <v/>
      </c>
      <c r="AL371" s="18" t="str">
        <f>IF(COUNTIF($A$2:A370, A370) = 1, A370, "")</f>
        <v/>
      </c>
    </row>
    <row r="372" spans="6:38" x14ac:dyDescent="0.2">
      <c r="F372" t="str">
        <f t="shared" si="51"/>
        <v/>
      </c>
      <c r="L372" s="7" t="str">
        <f t="shared" si="52"/>
        <v/>
      </c>
      <c r="N372" s="7" t="str">
        <f t="shared" si="53"/>
        <v/>
      </c>
      <c r="O372" t="str">
        <f t="shared" si="54"/>
        <v/>
      </c>
      <c r="P372" t="str">
        <f t="shared" si="55"/>
        <v/>
      </c>
      <c r="Q372" t="str">
        <f t="shared" si="56"/>
        <v/>
      </c>
      <c r="S372" t="str">
        <f>""</f>
        <v/>
      </c>
      <c r="AL372" s="18" t="str">
        <f>IF(COUNTIF($A$2:A371, A371) = 1, A371, "")</f>
        <v/>
      </c>
    </row>
    <row r="373" spans="6:38" x14ac:dyDescent="0.2">
      <c r="F373" t="str">
        <f t="shared" si="51"/>
        <v/>
      </c>
      <c r="L373" s="7" t="str">
        <f t="shared" si="52"/>
        <v/>
      </c>
      <c r="N373" s="7" t="str">
        <f t="shared" si="53"/>
        <v/>
      </c>
      <c r="O373" t="str">
        <f t="shared" si="54"/>
        <v/>
      </c>
      <c r="P373" t="str">
        <f t="shared" si="55"/>
        <v/>
      </c>
      <c r="Q373" t="str">
        <f t="shared" si="56"/>
        <v/>
      </c>
      <c r="S373" t="str">
        <f>""</f>
        <v/>
      </c>
      <c r="AL373" s="18" t="str">
        <f>IF(COUNTIF($A$2:A372, A372) = 1, A372, "")</f>
        <v/>
      </c>
    </row>
    <row r="374" spans="6:38" x14ac:dyDescent="0.2">
      <c r="F374" t="str">
        <f t="shared" si="51"/>
        <v/>
      </c>
      <c r="L374" s="7" t="str">
        <f t="shared" si="52"/>
        <v/>
      </c>
      <c r="N374" s="7" t="str">
        <f t="shared" si="53"/>
        <v/>
      </c>
      <c r="O374" t="str">
        <f t="shared" si="54"/>
        <v/>
      </c>
      <c r="P374" t="str">
        <f t="shared" si="55"/>
        <v/>
      </c>
      <c r="Q374" t="str">
        <f t="shared" si="56"/>
        <v/>
      </c>
      <c r="S374" t="str">
        <f>""</f>
        <v/>
      </c>
      <c r="AL374" s="18" t="str">
        <f>IF(COUNTIF($A$2:A373, A373) = 1, A373, "")</f>
        <v/>
      </c>
    </row>
    <row r="375" spans="6:38" x14ac:dyDescent="0.2">
      <c r="F375" t="str">
        <f t="shared" si="51"/>
        <v/>
      </c>
      <c r="L375" s="7" t="str">
        <f t="shared" si="52"/>
        <v/>
      </c>
      <c r="N375" s="7" t="str">
        <f t="shared" si="53"/>
        <v/>
      </c>
      <c r="O375" t="str">
        <f t="shared" si="54"/>
        <v/>
      </c>
      <c r="P375" t="str">
        <f t="shared" si="55"/>
        <v/>
      </c>
      <c r="Q375" t="str">
        <f t="shared" si="56"/>
        <v/>
      </c>
      <c r="S375" t="str">
        <f>""</f>
        <v/>
      </c>
      <c r="AL375" s="18" t="str">
        <f>IF(COUNTIF($A$2:A374, A374) = 1, A374, "")</f>
        <v/>
      </c>
    </row>
    <row r="376" spans="6:38" x14ac:dyDescent="0.2">
      <c r="F376" t="str">
        <f t="shared" si="51"/>
        <v/>
      </c>
      <c r="L376" s="7" t="str">
        <f t="shared" si="52"/>
        <v/>
      </c>
      <c r="N376" s="7" t="str">
        <f t="shared" si="53"/>
        <v/>
      </c>
      <c r="O376" t="str">
        <f t="shared" si="54"/>
        <v/>
      </c>
      <c r="P376" t="str">
        <f t="shared" si="55"/>
        <v/>
      </c>
      <c r="Q376" t="str">
        <f t="shared" si="56"/>
        <v/>
      </c>
      <c r="S376" t="str">
        <f>""</f>
        <v/>
      </c>
      <c r="AL376" s="18" t="str">
        <f>IF(COUNTIF($A$2:A375, A375) = 1, A375, "")</f>
        <v/>
      </c>
    </row>
    <row r="377" spans="6:38" x14ac:dyDescent="0.2">
      <c r="F377" t="str">
        <f t="shared" si="51"/>
        <v/>
      </c>
      <c r="L377" s="7" t="str">
        <f t="shared" si="52"/>
        <v/>
      </c>
      <c r="N377" s="7" t="str">
        <f t="shared" si="53"/>
        <v/>
      </c>
      <c r="O377" t="str">
        <f t="shared" si="54"/>
        <v/>
      </c>
      <c r="P377" t="str">
        <f t="shared" si="55"/>
        <v/>
      </c>
      <c r="Q377" t="str">
        <f t="shared" si="56"/>
        <v/>
      </c>
      <c r="S377" t="str">
        <f>""</f>
        <v/>
      </c>
      <c r="AL377" s="18" t="str">
        <f>IF(COUNTIF($A$2:A376, A376) = 1, A376, "")</f>
        <v/>
      </c>
    </row>
    <row r="378" spans="6:38" x14ac:dyDescent="0.2">
      <c r="F378" t="str">
        <f t="shared" si="51"/>
        <v/>
      </c>
      <c r="L378" s="7" t="str">
        <f t="shared" si="52"/>
        <v/>
      </c>
      <c r="N378" s="7" t="str">
        <f t="shared" si="53"/>
        <v/>
      </c>
      <c r="O378" t="str">
        <f t="shared" si="54"/>
        <v/>
      </c>
      <c r="P378" t="str">
        <f t="shared" si="55"/>
        <v/>
      </c>
      <c r="Q378" t="str">
        <f t="shared" si="56"/>
        <v/>
      </c>
      <c r="S378" t="str">
        <f>""</f>
        <v/>
      </c>
      <c r="AL378" s="18" t="str">
        <f>IF(COUNTIF($A$2:A377, A377) = 1, A377, "")</f>
        <v/>
      </c>
    </row>
    <row r="379" spans="6:38" x14ac:dyDescent="0.2">
      <c r="F379" t="str">
        <f t="shared" si="51"/>
        <v/>
      </c>
      <c r="L379" s="7" t="str">
        <f t="shared" si="52"/>
        <v/>
      </c>
      <c r="N379" s="7" t="str">
        <f t="shared" si="53"/>
        <v/>
      </c>
      <c r="O379" t="str">
        <f t="shared" si="54"/>
        <v/>
      </c>
      <c r="P379" t="str">
        <f t="shared" si="55"/>
        <v/>
      </c>
      <c r="Q379" t="str">
        <f t="shared" si="56"/>
        <v/>
      </c>
      <c r="S379" t="str">
        <f>""</f>
        <v/>
      </c>
      <c r="AL379" s="18" t="str">
        <f>IF(COUNTIF($A$2:A378, A378) = 1, A378, "")</f>
        <v/>
      </c>
    </row>
    <row r="380" spans="6:38" x14ac:dyDescent="0.2">
      <c r="F380" t="str">
        <f t="shared" si="51"/>
        <v/>
      </c>
      <c r="L380" s="7" t="str">
        <f t="shared" si="52"/>
        <v/>
      </c>
      <c r="N380" s="7" t="str">
        <f t="shared" si="53"/>
        <v/>
      </c>
      <c r="O380" t="str">
        <f t="shared" si="54"/>
        <v/>
      </c>
      <c r="P380" t="str">
        <f t="shared" si="55"/>
        <v/>
      </c>
      <c r="Q380" t="str">
        <f t="shared" si="56"/>
        <v/>
      </c>
      <c r="S380" t="str">
        <f>""</f>
        <v/>
      </c>
      <c r="AL380" s="18" t="str">
        <f>IF(COUNTIF($A$2:A379, A379) = 1, A379, "")</f>
        <v/>
      </c>
    </row>
    <row r="381" spans="6:38" x14ac:dyDescent="0.2">
      <c r="F381" t="str">
        <f t="shared" si="51"/>
        <v/>
      </c>
      <c r="L381" s="7" t="str">
        <f t="shared" si="52"/>
        <v/>
      </c>
      <c r="N381" s="7" t="str">
        <f t="shared" si="53"/>
        <v/>
      </c>
      <c r="O381" t="str">
        <f t="shared" si="54"/>
        <v/>
      </c>
      <c r="P381" t="str">
        <f t="shared" si="55"/>
        <v/>
      </c>
      <c r="Q381" t="str">
        <f t="shared" si="56"/>
        <v/>
      </c>
      <c r="S381" t="str">
        <f>""</f>
        <v/>
      </c>
      <c r="AL381" s="18" t="str">
        <f>IF(COUNTIF($A$2:A380, A380) = 1, A380, "")</f>
        <v/>
      </c>
    </row>
    <row r="382" spans="6:38" x14ac:dyDescent="0.2">
      <c r="F382" t="str">
        <f t="shared" si="51"/>
        <v/>
      </c>
      <c r="L382" s="7" t="str">
        <f t="shared" si="52"/>
        <v/>
      </c>
      <c r="N382" s="7" t="str">
        <f t="shared" si="53"/>
        <v/>
      </c>
      <c r="O382" t="str">
        <f t="shared" si="54"/>
        <v/>
      </c>
      <c r="P382" t="str">
        <f t="shared" si="55"/>
        <v/>
      </c>
      <c r="Q382" t="str">
        <f t="shared" si="56"/>
        <v/>
      </c>
      <c r="S382" t="str">
        <f>""</f>
        <v/>
      </c>
      <c r="AL382" s="18" t="str">
        <f>IF(COUNTIF($A$2:A381, A381) = 1, A381, "")</f>
        <v/>
      </c>
    </row>
    <row r="383" spans="6:38" x14ac:dyDescent="0.2">
      <c r="F383" t="str">
        <f t="shared" si="51"/>
        <v/>
      </c>
      <c r="L383" s="7" t="str">
        <f t="shared" si="52"/>
        <v/>
      </c>
      <c r="N383" s="7" t="str">
        <f t="shared" si="53"/>
        <v/>
      </c>
      <c r="O383" t="str">
        <f t="shared" si="54"/>
        <v/>
      </c>
      <c r="P383" t="str">
        <f t="shared" si="55"/>
        <v/>
      </c>
      <c r="Q383" t="str">
        <f t="shared" si="56"/>
        <v/>
      </c>
      <c r="S383" t="str">
        <f>""</f>
        <v/>
      </c>
      <c r="AL383" s="18" t="str">
        <f>IF(COUNTIF($A$2:A382, A382) = 1, A382, "")</f>
        <v/>
      </c>
    </row>
    <row r="384" spans="6:38" x14ac:dyDescent="0.2">
      <c r="F384" t="str">
        <f t="shared" si="51"/>
        <v/>
      </c>
      <c r="L384" s="7" t="str">
        <f t="shared" si="52"/>
        <v/>
      </c>
      <c r="N384" s="7" t="str">
        <f t="shared" si="53"/>
        <v/>
      </c>
      <c r="O384" t="str">
        <f t="shared" si="54"/>
        <v/>
      </c>
      <c r="P384" t="str">
        <f t="shared" si="55"/>
        <v/>
      </c>
      <c r="Q384" t="str">
        <f t="shared" si="56"/>
        <v/>
      </c>
      <c r="S384" t="str">
        <f>""</f>
        <v/>
      </c>
      <c r="AL384" s="18" t="str">
        <f>IF(COUNTIF($A$2:A383, A383) = 1, A383, "")</f>
        <v/>
      </c>
    </row>
    <row r="385" spans="6:38" x14ac:dyDescent="0.2">
      <c r="F385" t="str">
        <f t="shared" si="51"/>
        <v/>
      </c>
      <c r="L385" s="7" t="str">
        <f t="shared" si="52"/>
        <v/>
      </c>
      <c r="N385" s="7" t="str">
        <f t="shared" si="53"/>
        <v/>
      </c>
      <c r="O385" t="str">
        <f t="shared" si="54"/>
        <v/>
      </c>
      <c r="P385" t="str">
        <f t="shared" si="55"/>
        <v/>
      </c>
      <c r="Q385" t="str">
        <f t="shared" si="56"/>
        <v/>
      </c>
      <c r="S385" t="str">
        <f>""</f>
        <v/>
      </c>
      <c r="AL385" s="18" t="str">
        <f>IF(COUNTIF($A$2:A384, A384) = 1, A384, "")</f>
        <v/>
      </c>
    </row>
    <row r="386" spans="6:38" x14ac:dyDescent="0.2">
      <c r="F386" t="str">
        <f t="shared" si="51"/>
        <v/>
      </c>
      <c r="L386" s="7" t="str">
        <f t="shared" si="52"/>
        <v/>
      </c>
      <c r="N386" s="7" t="str">
        <f t="shared" si="53"/>
        <v/>
      </c>
      <c r="O386" t="str">
        <f t="shared" si="54"/>
        <v/>
      </c>
      <c r="P386" t="str">
        <f t="shared" si="55"/>
        <v/>
      </c>
      <c r="Q386" t="str">
        <f t="shared" si="56"/>
        <v/>
      </c>
      <c r="S386" t="str">
        <f>""</f>
        <v/>
      </c>
      <c r="AL386" s="18" t="str">
        <f>IF(COUNTIF($A$2:A385, A385) = 1, A385, "")</f>
        <v/>
      </c>
    </row>
    <row r="387" spans="6:38" x14ac:dyDescent="0.2">
      <c r="F387" t="str">
        <f t="shared" si="51"/>
        <v/>
      </c>
      <c r="L387" s="7" t="str">
        <f t="shared" si="52"/>
        <v/>
      </c>
      <c r="N387" s="7" t="str">
        <f t="shared" si="53"/>
        <v/>
      </c>
      <c r="O387" t="str">
        <f t="shared" si="54"/>
        <v/>
      </c>
      <c r="P387" t="str">
        <f t="shared" si="55"/>
        <v/>
      </c>
      <c r="Q387" t="str">
        <f t="shared" si="56"/>
        <v/>
      </c>
      <c r="S387" t="str">
        <f>""</f>
        <v/>
      </c>
      <c r="AL387" s="18" t="str">
        <f>IF(COUNTIF($A$2:A386, A386) = 1, A386, "")</f>
        <v/>
      </c>
    </row>
    <row r="388" spans="6:38" x14ac:dyDescent="0.2">
      <c r="F388" t="str">
        <f t="shared" si="51"/>
        <v/>
      </c>
      <c r="L388" s="7" t="str">
        <f t="shared" si="52"/>
        <v/>
      </c>
      <c r="N388" s="7" t="str">
        <f t="shared" si="53"/>
        <v/>
      </c>
      <c r="O388" t="str">
        <f t="shared" si="54"/>
        <v/>
      </c>
      <c r="P388" t="str">
        <f t="shared" si="55"/>
        <v/>
      </c>
      <c r="Q388" t="str">
        <f t="shared" si="56"/>
        <v/>
      </c>
      <c r="S388" t="str">
        <f>""</f>
        <v/>
      </c>
      <c r="AL388" s="18" t="str">
        <f>IF(COUNTIF($A$2:A387, A387) = 1, A387, "")</f>
        <v/>
      </c>
    </row>
    <row r="389" spans="6:38" x14ac:dyDescent="0.2">
      <c r="F389" t="str">
        <f t="shared" si="51"/>
        <v/>
      </c>
      <c r="L389" s="7" t="str">
        <f t="shared" si="52"/>
        <v/>
      </c>
      <c r="N389" s="7" t="str">
        <f t="shared" si="53"/>
        <v/>
      </c>
      <c r="O389" t="str">
        <f t="shared" si="54"/>
        <v/>
      </c>
      <c r="P389" t="str">
        <f t="shared" si="55"/>
        <v/>
      </c>
      <c r="Q389" t="str">
        <f t="shared" si="56"/>
        <v/>
      </c>
      <c r="S389" t="str">
        <f>""</f>
        <v/>
      </c>
      <c r="AL389" s="18" t="str">
        <f>IF(COUNTIF($A$2:A388, A388) = 1, A388, "")</f>
        <v/>
      </c>
    </row>
    <row r="390" spans="6:38" x14ac:dyDescent="0.2">
      <c r="F390" t="str">
        <f t="shared" si="51"/>
        <v/>
      </c>
      <c r="L390" s="7" t="str">
        <f t="shared" si="52"/>
        <v/>
      </c>
      <c r="N390" s="7" t="str">
        <f t="shared" si="53"/>
        <v/>
      </c>
      <c r="O390" t="str">
        <f t="shared" si="54"/>
        <v/>
      </c>
      <c r="P390" t="str">
        <f t="shared" si="55"/>
        <v/>
      </c>
      <c r="Q390" t="str">
        <f t="shared" si="56"/>
        <v/>
      </c>
      <c r="S390" t="str">
        <f>""</f>
        <v/>
      </c>
      <c r="AL390" s="18" t="str">
        <f>IF(COUNTIF($A$2:A389, A389) = 1, A389, "")</f>
        <v/>
      </c>
    </row>
    <row r="391" spans="6:38" x14ac:dyDescent="0.2">
      <c r="F391" t="str">
        <f t="shared" si="51"/>
        <v/>
      </c>
      <c r="L391" s="7" t="str">
        <f t="shared" si="52"/>
        <v/>
      </c>
      <c r="N391" s="7" t="str">
        <f t="shared" si="53"/>
        <v/>
      </c>
      <c r="O391" t="str">
        <f t="shared" si="54"/>
        <v/>
      </c>
      <c r="P391" t="str">
        <f t="shared" si="55"/>
        <v/>
      </c>
      <c r="Q391" t="str">
        <f t="shared" si="56"/>
        <v/>
      </c>
      <c r="S391" t="str">
        <f>""</f>
        <v/>
      </c>
      <c r="AL391" s="18" t="str">
        <f>IF(COUNTIF($A$2:A390, A390) = 1, A390, "")</f>
        <v/>
      </c>
    </row>
    <row r="392" spans="6:38" x14ac:dyDescent="0.2">
      <c r="F392" t="str">
        <f t="shared" si="51"/>
        <v/>
      </c>
      <c r="L392" s="7" t="str">
        <f t="shared" si="52"/>
        <v/>
      </c>
      <c r="N392" s="7" t="str">
        <f t="shared" si="53"/>
        <v/>
      </c>
      <c r="O392" t="str">
        <f t="shared" si="54"/>
        <v/>
      </c>
      <c r="P392" t="str">
        <f t="shared" si="55"/>
        <v/>
      </c>
      <c r="Q392" t="str">
        <f t="shared" si="56"/>
        <v/>
      </c>
      <c r="S392" t="str">
        <f>""</f>
        <v/>
      </c>
      <c r="AL392" s="18" t="str">
        <f>IF(COUNTIF($A$2:A391, A391) = 1, A391, "")</f>
        <v/>
      </c>
    </row>
    <row r="393" spans="6:38" x14ac:dyDescent="0.2">
      <c r="F393" t="str">
        <f t="shared" si="51"/>
        <v/>
      </c>
      <c r="L393" s="7" t="str">
        <f t="shared" si="52"/>
        <v/>
      </c>
      <c r="N393" s="7" t="str">
        <f t="shared" si="53"/>
        <v/>
      </c>
      <c r="O393" t="str">
        <f t="shared" si="54"/>
        <v/>
      </c>
      <c r="P393" t="str">
        <f t="shared" si="55"/>
        <v/>
      </c>
      <c r="Q393" t="str">
        <f t="shared" si="56"/>
        <v/>
      </c>
      <c r="S393" t="str">
        <f>""</f>
        <v/>
      </c>
      <c r="AL393" s="18" t="str">
        <f>IF(COUNTIF($A$2:A392, A392) = 1, A392, "")</f>
        <v/>
      </c>
    </row>
    <row r="394" spans="6:38" x14ac:dyDescent="0.2">
      <c r="F394" t="str">
        <f t="shared" si="51"/>
        <v/>
      </c>
      <c r="L394" s="7" t="str">
        <f t="shared" si="52"/>
        <v/>
      </c>
      <c r="N394" s="7" t="str">
        <f t="shared" si="53"/>
        <v/>
      </c>
      <c r="O394" t="str">
        <f t="shared" si="54"/>
        <v/>
      </c>
      <c r="P394" t="str">
        <f t="shared" si="55"/>
        <v/>
      </c>
      <c r="Q394" t="str">
        <f t="shared" si="56"/>
        <v/>
      </c>
      <c r="S394" t="str">
        <f>""</f>
        <v/>
      </c>
      <c r="AL394" s="18" t="str">
        <f>IF(COUNTIF($A$2:A393, A393) = 1, A393, "")</f>
        <v/>
      </c>
    </row>
    <row r="395" spans="6:38" x14ac:dyDescent="0.2">
      <c r="F395" t="str">
        <f t="shared" si="51"/>
        <v/>
      </c>
      <c r="L395" s="7" t="str">
        <f t="shared" si="52"/>
        <v/>
      </c>
      <c r="N395" s="7" t="str">
        <f t="shared" si="53"/>
        <v/>
      </c>
      <c r="O395" t="str">
        <f t="shared" si="54"/>
        <v/>
      </c>
      <c r="P395" t="str">
        <f t="shared" si="55"/>
        <v/>
      </c>
      <c r="Q395" t="str">
        <f t="shared" si="56"/>
        <v/>
      </c>
      <c r="S395" t="str">
        <f>""</f>
        <v/>
      </c>
      <c r="AL395" s="18" t="str">
        <f>IF(COUNTIF($A$2:A394, A394) = 1, A394, "")</f>
        <v/>
      </c>
    </row>
    <row r="396" spans="6:38" x14ac:dyDescent="0.2">
      <c r="F396" t="str">
        <f t="shared" si="51"/>
        <v/>
      </c>
      <c r="L396" s="7" t="str">
        <f t="shared" si="52"/>
        <v/>
      </c>
      <c r="N396" s="7" t="str">
        <f t="shared" si="53"/>
        <v/>
      </c>
      <c r="O396" t="str">
        <f t="shared" si="54"/>
        <v/>
      </c>
      <c r="P396" t="str">
        <f t="shared" si="55"/>
        <v/>
      </c>
      <c r="Q396" t="str">
        <f t="shared" si="56"/>
        <v/>
      </c>
      <c r="S396" t="str">
        <f>""</f>
        <v/>
      </c>
      <c r="AL396" s="18" t="str">
        <f>IF(COUNTIF($A$2:A395, A395) = 1, A395, "")</f>
        <v/>
      </c>
    </row>
    <row r="397" spans="6:38" x14ac:dyDescent="0.2">
      <c r="F397" t="str">
        <f t="shared" si="51"/>
        <v/>
      </c>
      <c r="L397" s="7" t="str">
        <f t="shared" si="52"/>
        <v/>
      </c>
      <c r="N397" s="7" t="str">
        <f t="shared" si="53"/>
        <v/>
      </c>
      <c r="O397" t="str">
        <f t="shared" si="54"/>
        <v/>
      </c>
      <c r="P397" t="str">
        <f t="shared" si="55"/>
        <v/>
      </c>
      <c r="Q397" t="str">
        <f t="shared" si="56"/>
        <v/>
      </c>
      <c r="S397" t="str">
        <f>""</f>
        <v/>
      </c>
      <c r="AL397" s="18" t="str">
        <f>IF(COUNTIF($A$2:A396, A396) = 1, A396, "")</f>
        <v/>
      </c>
    </row>
    <row r="398" spans="6:38" x14ac:dyDescent="0.2">
      <c r="F398" t="str">
        <f t="shared" si="51"/>
        <v/>
      </c>
      <c r="L398" s="7" t="str">
        <f t="shared" si="52"/>
        <v/>
      </c>
      <c r="N398" s="7" t="str">
        <f t="shared" si="53"/>
        <v/>
      </c>
      <c r="O398" t="str">
        <f t="shared" si="54"/>
        <v/>
      </c>
      <c r="P398" t="str">
        <f t="shared" si="55"/>
        <v/>
      </c>
      <c r="Q398" t="str">
        <f t="shared" si="56"/>
        <v/>
      </c>
      <c r="S398" t="str">
        <f>""</f>
        <v/>
      </c>
      <c r="AL398" s="18" t="str">
        <f>IF(COUNTIF($A$2:A397, A397) = 1, A397, "")</f>
        <v/>
      </c>
    </row>
    <row r="399" spans="6:38" x14ac:dyDescent="0.2">
      <c r="F399" t="str">
        <f t="shared" si="51"/>
        <v/>
      </c>
      <c r="L399" s="7" t="str">
        <f t="shared" si="52"/>
        <v/>
      </c>
      <c r="N399" s="7" t="str">
        <f t="shared" si="53"/>
        <v/>
      </c>
      <c r="O399" t="str">
        <f t="shared" si="54"/>
        <v/>
      </c>
      <c r="P399" t="str">
        <f t="shared" si="55"/>
        <v/>
      </c>
      <c r="Q399" t="str">
        <f t="shared" si="56"/>
        <v/>
      </c>
      <c r="S399" t="str">
        <f>""</f>
        <v/>
      </c>
      <c r="AL399" s="18" t="str">
        <f>IF(COUNTIF($A$2:A398, A398) = 1, A398, "")</f>
        <v/>
      </c>
    </row>
    <row r="400" spans="6:38" x14ac:dyDescent="0.2">
      <c r="F400" t="str">
        <f t="shared" ref="F400:F463" si="57">IF(OR(O400="", P400=""), "", SUM(IF((O400&lt;&gt;"None")*(O400&lt;&gt;""),LEN(O400)-LEN(SUBSTITUTE(O400,",",""))+1,0)) + SUM(IF((P400&lt;&gt;"None")*(P400&lt;&gt;""),LEN(P400)-LEN(SUBSTITUTE(P400,",",""))+1,0)))</f>
        <v/>
      </c>
      <c r="L400" s="7" t="str">
        <f t="shared" ref="L400:L463" si="58">IF(LEN(E400)=0, "", IFERROR(IF(E400&gt;=0, K400 * (1 + E400/100) - K400, K400 / (ABS(E400)/100))+K400, ""))</f>
        <v/>
      </c>
      <c r="N400" s="7" t="str">
        <f t="shared" ref="N400:N463" si="59">IF(M400="Yes",L400-K400,IF(M400="No",-K400,""))</f>
        <v/>
      </c>
      <c r="O400" t="str">
        <f t="shared" ref="O400:O463" si="60">IF(AND(G400="No",H400="No"), "None", "")</f>
        <v/>
      </c>
      <c r="P400" t="str">
        <f t="shared" ref="P400:P463" si="61">IF(I400="No", "None", "")</f>
        <v/>
      </c>
      <c r="Q400" t="str">
        <f t="shared" ref="Q400:Q463" si="62">IF(AND(D400="Straight", M400 = "No"),IF(O400="None",P400,IF(P400="None",O400) ),"")</f>
        <v/>
      </c>
      <c r="S400" t="str">
        <f>""</f>
        <v/>
      </c>
      <c r="AL400" s="18" t="str">
        <f>IF(COUNTIF($A$2:A399, A399) = 1, A399, "")</f>
        <v/>
      </c>
    </row>
    <row r="401" spans="6:38" x14ac:dyDescent="0.2">
      <c r="F401" t="str">
        <f t="shared" si="57"/>
        <v/>
      </c>
      <c r="L401" s="7" t="str">
        <f t="shared" si="58"/>
        <v/>
      </c>
      <c r="N401" s="7" t="str">
        <f t="shared" si="59"/>
        <v/>
      </c>
      <c r="O401" t="str">
        <f t="shared" si="60"/>
        <v/>
      </c>
      <c r="P401" t="str">
        <f t="shared" si="61"/>
        <v/>
      </c>
      <c r="Q401" t="str">
        <f t="shared" si="62"/>
        <v/>
      </c>
      <c r="S401" t="str">
        <f>""</f>
        <v/>
      </c>
      <c r="AL401" s="18" t="str">
        <f>IF(COUNTIF($A$2:A400, A400) = 1, A400, "")</f>
        <v/>
      </c>
    </row>
    <row r="402" spans="6:38" x14ac:dyDescent="0.2">
      <c r="F402" t="str">
        <f t="shared" si="57"/>
        <v/>
      </c>
      <c r="L402" s="7" t="str">
        <f t="shared" si="58"/>
        <v/>
      </c>
      <c r="N402" s="7" t="str">
        <f t="shared" si="59"/>
        <v/>
      </c>
      <c r="O402" t="str">
        <f t="shared" si="60"/>
        <v/>
      </c>
      <c r="P402" t="str">
        <f t="shared" si="61"/>
        <v/>
      </c>
      <c r="Q402" t="str">
        <f t="shared" si="62"/>
        <v/>
      </c>
      <c r="S402" t="str">
        <f>""</f>
        <v/>
      </c>
      <c r="AL402" s="18" t="str">
        <f>IF(COUNTIF($A$2:A401, A401) = 1, A401, "")</f>
        <v/>
      </c>
    </row>
    <row r="403" spans="6:38" x14ac:dyDescent="0.2">
      <c r="F403" t="str">
        <f t="shared" si="57"/>
        <v/>
      </c>
      <c r="L403" s="7" t="str">
        <f t="shared" si="58"/>
        <v/>
      </c>
      <c r="N403" s="7" t="str">
        <f t="shared" si="59"/>
        <v/>
      </c>
      <c r="O403" t="str">
        <f t="shared" si="60"/>
        <v/>
      </c>
      <c r="P403" t="str">
        <f t="shared" si="61"/>
        <v/>
      </c>
      <c r="Q403" t="str">
        <f t="shared" si="62"/>
        <v/>
      </c>
      <c r="S403" t="str">
        <f>""</f>
        <v/>
      </c>
      <c r="AL403" s="18" t="str">
        <f>IF(COUNTIF($A$2:A402, A402) = 1, A402, "")</f>
        <v/>
      </c>
    </row>
    <row r="404" spans="6:38" x14ac:dyDescent="0.2">
      <c r="F404" t="str">
        <f t="shared" si="57"/>
        <v/>
      </c>
      <c r="L404" s="7" t="str">
        <f t="shared" si="58"/>
        <v/>
      </c>
      <c r="N404" s="7" t="str">
        <f t="shared" si="59"/>
        <v/>
      </c>
      <c r="O404" t="str">
        <f t="shared" si="60"/>
        <v/>
      </c>
      <c r="P404" t="str">
        <f t="shared" si="61"/>
        <v/>
      </c>
      <c r="Q404" t="str">
        <f t="shared" si="62"/>
        <v/>
      </c>
      <c r="S404" t="str">
        <f>""</f>
        <v/>
      </c>
      <c r="AL404" s="18" t="str">
        <f>IF(COUNTIF($A$2:A403, A403) = 1, A403, "")</f>
        <v/>
      </c>
    </row>
    <row r="405" spans="6:38" x14ac:dyDescent="0.2">
      <c r="F405" t="str">
        <f t="shared" si="57"/>
        <v/>
      </c>
      <c r="L405" s="7" t="str">
        <f t="shared" si="58"/>
        <v/>
      </c>
      <c r="N405" s="7" t="str">
        <f t="shared" si="59"/>
        <v/>
      </c>
      <c r="O405" t="str">
        <f t="shared" si="60"/>
        <v/>
      </c>
      <c r="P405" t="str">
        <f t="shared" si="61"/>
        <v/>
      </c>
      <c r="Q405" t="str">
        <f t="shared" si="62"/>
        <v/>
      </c>
      <c r="S405" t="str">
        <f>""</f>
        <v/>
      </c>
      <c r="AL405" s="18" t="str">
        <f>IF(COUNTIF($A$2:A404, A404) = 1, A404, "")</f>
        <v/>
      </c>
    </row>
    <row r="406" spans="6:38" x14ac:dyDescent="0.2">
      <c r="F406" t="str">
        <f t="shared" si="57"/>
        <v/>
      </c>
      <c r="L406" s="7" t="str">
        <f t="shared" si="58"/>
        <v/>
      </c>
      <c r="N406" s="7" t="str">
        <f t="shared" si="59"/>
        <v/>
      </c>
      <c r="O406" t="str">
        <f t="shared" si="60"/>
        <v/>
      </c>
      <c r="P406" t="str">
        <f t="shared" si="61"/>
        <v/>
      </c>
      <c r="Q406" t="str">
        <f t="shared" si="62"/>
        <v/>
      </c>
      <c r="S406" t="str">
        <f>""</f>
        <v/>
      </c>
      <c r="AL406" s="18" t="str">
        <f>IF(COUNTIF($A$2:A405, A405) = 1, A405, "")</f>
        <v/>
      </c>
    </row>
    <row r="407" spans="6:38" x14ac:dyDescent="0.2">
      <c r="F407" t="str">
        <f t="shared" si="57"/>
        <v/>
      </c>
      <c r="L407" s="7" t="str">
        <f t="shared" si="58"/>
        <v/>
      </c>
      <c r="N407" s="7" t="str">
        <f t="shared" si="59"/>
        <v/>
      </c>
      <c r="O407" t="str">
        <f t="shared" si="60"/>
        <v/>
      </c>
      <c r="P407" t="str">
        <f t="shared" si="61"/>
        <v/>
      </c>
      <c r="Q407" t="str">
        <f t="shared" si="62"/>
        <v/>
      </c>
      <c r="S407" t="str">
        <f>""</f>
        <v/>
      </c>
      <c r="AL407" s="18" t="str">
        <f>IF(COUNTIF($A$2:A406, A406) = 1, A406, "")</f>
        <v/>
      </c>
    </row>
    <row r="408" spans="6:38" x14ac:dyDescent="0.2">
      <c r="F408" t="str">
        <f t="shared" si="57"/>
        <v/>
      </c>
      <c r="L408" s="7" t="str">
        <f t="shared" si="58"/>
        <v/>
      </c>
      <c r="N408" s="7" t="str">
        <f t="shared" si="59"/>
        <v/>
      </c>
      <c r="O408" t="str">
        <f t="shared" si="60"/>
        <v/>
      </c>
      <c r="P408" t="str">
        <f t="shared" si="61"/>
        <v/>
      </c>
      <c r="Q408" t="str">
        <f t="shared" si="62"/>
        <v/>
      </c>
      <c r="S408" t="str">
        <f>""</f>
        <v/>
      </c>
      <c r="AL408" s="18" t="str">
        <f>IF(COUNTIF($A$2:A407, A407) = 1, A407, "")</f>
        <v/>
      </c>
    </row>
    <row r="409" spans="6:38" x14ac:dyDescent="0.2">
      <c r="F409" t="str">
        <f t="shared" si="57"/>
        <v/>
      </c>
      <c r="L409" s="7" t="str">
        <f t="shared" si="58"/>
        <v/>
      </c>
      <c r="N409" s="7" t="str">
        <f t="shared" si="59"/>
        <v/>
      </c>
      <c r="O409" t="str">
        <f t="shared" si="60"/>
        <v/>
      </c>
      <c r="P409" t="str">
        <f t="shared" si="61"/>
        <v/>
      </c>
      <c r="Q409" t="str">
        <f t="shared" si="62"/>
        <v/>
      </c>
      <c r="S409" t="str">
        <f>""</f>
        <v/>
      </c>
      <c r="AL409" s="18" t="str">
        <f>IF(COUNTIF($A$2:A408, A408) = 1, A408, "")</f>
        <v/>
      </c>
    </row>
    <row r="410" spans="6:38" x14ac:dyDescent="0.2">
      <c r="F410" t="str">
        <f t="shared" si="57"/>
        <v/>
      </c>
      <c r="L410" s="7" t="str">
        <f t="shared" si="58"/>
        <v/>
      </c>
      <c r="N410" s="7" t="str">
        <f t="shared" si="59"/>
        <v/>
      </c>
      <c r="O410" t="str">
        <f t="shared" si="60"/>
        <v/>
      </c>
      <c r="P410" t="str">
        <f t="shared" si="61"/>
        <v/>
      </c>
      <c r="Q410" t="str">
        <f t="shared" si="62"/>
        <v/>
      </c>
      <c r="S410" t="str">
        <f>""</f>
        <v/>
      </c>
      <c r="AL410" s="18" t="str">
        <f>IF(COUNTIF($A$2:A409, A409) = 1, A409, "")</f>
        <v/>
      </c>
    </row>
    <row r="411" spans="6:38" x14ac:dyDescent="0.2">
      <c r="F411" t="str">
        <f t="shared" si="57"/>
        <v/>
      </c>
      <c r="L411" s="7" t="str">
        <f t="shared" si="58"/>
        <v/>
      </c>
      <c r="N411" s="7" t="str">
        <f t="shared" si="59"/>
        <v/>
      </c>
      <c r="O411" t="str">
        <f t="shared" si="60"/>
        <v/>
      </c>
      <c r="P411" t="str">
        <f t="shared" si="61"/>
        <v/>
      </c>
      <c r="Q411" t="str">
        <f t="shared" si="62"/>
        <v/>
      </c>
      <c r="S411" t="str">
        <f>""</f>
        <v/>
      </c>
      <c r="AL411" s="18" t="str">
        <f>IF(COUNTIF($A$2:A410, A410) = 1, A410, "")</f>
        <v/>
      </c>
    </row>
    <row r="412" spans="6:38" x14ac:dyDescent="0.2">
      <c r="F412" t="str">
        <f t="shared" si="57"/>
        <v/>
      </c>
      <c r="L412" s="7" t="str">
        <f t="shared" si="58"/>
        <v/>
      </c>
      <c r="N412" s="7" t="str">
        <f t="shared" si="59"/>
        <v/>
      </c>
      <c r="O412" t="str">
        <f t="shared" si="60"/>
        <v/>
      </c>
      <c r="P412" t="str">
        <f t="shared" si="61"/>
        <v/>
      </c>
      <c r="Q412" t="str">
        <f t="shared" si="62"/>
        <v/>
      </c>
      <c r="S412" t="str">
        <f>""</f>
        <v/>
      </c>
      <c r="AL412" s="18" t="str">
        <f>IF(COUNTIF($A$2:A411, A411) = 1, A411, "")</f>
        <v/>
      </c>
    </row>
    <row r="413" spans="6:38" x14ac:dyDescent="0.2">
      <c r="F413" t="str">
        <f t="shared" si="57"/>
        <v/>
      </c>
      <c r="L413" s="7" t="str">
        <f t="shared" si="58"/>
        <v/>
      </c>
      <c r="N413" s="7" t="str">
        <f t="shared" si="59"/>
        <v/>
      </c>
      <c r="O413" t="str">
        <f t="shared" si="60"/>
        <v/>
      </c>
      <c r="P413" t="str">
        <f t="shared" si="61"/>
        <v/>
      </c>
      <c r="Q413" t="str">
        <f t="shared" si="62"/>
        <v/>
      </c>
      <c r="S413" t="str">
        <f>""</f>
        <v/>
      </c>
      <c r="AL413" s="18" t="str">
        <f>IF(COUNTIF($A$2:A412, A412) = 1, A412, "")</f>
        <v/>
      </c>
    </row>
    <row r="414" spans="6:38" x14ac:dyDescent="0.2">
      <c r="F414" t="str">
        <f t="shared" si="57"/>
        <v/>
      </c>
      <c r="L414" s="7" t="str">
        <f t="shared" si="58"/>
        <v/>
      </c>
      <c r="N414" s="7" t="str">
        <f t="shared" si="59"/>
        <v/>
      </c>
      <c r="O414" t="str">
        <f t="shared" si="60"/>
        <v/>
      </c>
      <c r="P414" t="str">
        <f t="shared" si="61"/>
        <v/>
      </c>
      <c r="Q414" t="str">
        <f t="shared" si="62"/>
        <v/>
      </c>
      <c r="S414" t="str">
        <f>""</f>
        <v/>
      </c>
      <c r="AL414" s="18" t="str">
        <f>IF(COUNTIF($A$2:A413, A413) = 1, A413, "")</f>
        <v/>
      </c>
    </row>
    <row r="415" spans="6:38" x14ac:dyDescent="0.2">
      <c r="F415" t="str">
        <f t="shared" si="57"/>
        <v/>
      </c>
      <c r="L415" s="7" t="str">
        <f t="shared" si="58"/>
        <v/>
      </c>
      <c r="N415" s="7" t="str">
        <f t="shared" si="59"/>
        <v/>
      </c>
      <c r="O415" t="str">
        <f t="shared" si="60"/>
        <v/>
      </c>
      <c r="P415" t="str">
        <f t="shared" si="61"/>
        <v/>
      </c>
      <c r="Q415" t="str">
        <f t="shared" si="62"/>
        <v/>
      </c>
      <c r="S415" t="str">
        <f>""</f>
        <v/>
      </c>
      <c r="AL415" s="18" t="str">
        <f>IF(COUNTIF($A$2:A414, A414) = 1, A414, "")</f>
        <v/>
      </c>
    </row>
    <row r="416" spans="6:38" x14ac:dyDescent="0.2">
      <c r="F416" t="str">
        <f t="shared" si="57"/>
        <v/>
      </c>
      <c r="L416" s="7" t="str">
        <f t="shared" si="58"/>
        <v/>
      </c>
      <c r="N416" s="7" t="str">
        <f t="shared" si="59"/>
        <v/>
      </c>
      <c r="O416" t="str">
        <f t="shared" si="60"/>
        <v/>
      </c>
      <c r="P416" t="str">
        <f t="shared" si="61"/>
        <v/>
      </c>
      <c r="Q416" t="str">
        <f t="shared" si="62"/>
        <v/>
      </c>
      <c r="S416" t="str">
        <f>""</f>
        <v/>
      </c>
      <c r="AL416" s="18" t="str">
        <f>IF(COUNTIF($A$2:A415, A415) = 1, A415, "")</f>
        <v/>
      </c>
    </row>
    <row r="417" spans="6:38" x14ac:dyDescent="0.2">
      <c r="F417" t="str">
        <f t="shared" si="57"/>
        <v/>
      </c>
      <c r="L417" s="7" t="str">
        <f t="shared" si="58"/>
        <v/>
      </c>
      <c r="N417" s="7" t="str">
        <f t="shared" si="59"/>
        <v/>
      </c>
      <c r="O417" t="str">
        <f t="shared" si="60"/>
        <v/>
      </c>
      <c r="P417" t="str">
        <f t="shared" si="61"/>
        <v/>
      </c>
      <c r="Q417" t="str">
        <f t="shared" si="62"/>
        <v/>
      </c>
      <c r="S417" t="str">
        <f>""</f>
        <v/>
      </c>
      <c r="AL417" s="18" t="str">
        <f>IF(COUNTIF($A$2:A416, A416) = 1, A416, "")</f>
        <v/>
      </c>
    </row>
    <row r="418" spans="6:38" x14ac:dyDescent="0.2">
      <c r="F418" t="str">
        <f t="shared" si="57"/>
        <v/>
      </c>
      <c r="L418" s="7" t="str">
        <f t="shared" si="58"/>
        <v/>
      </c>
      <c r="N418" s="7" t="str">
        <f t="shared" si="59"/>
        <v/>
      </c>
      <c r="O418" t="str">
        <f t="shared" si="60"/>
        <v/>
      </c>
      <c r="P418" t="str">
        <f t="shared" si="61"/>
        <v/>
      </c>
      <c r="Q418" t="str">
        <f t="shared" si="62"/>
        <v/>
      </c>
      <c r="S418" t="str">
        <f>""</f>
        <v/>
      </c>
      <c r="AL418" s="18" t="str">
        <f>IF(COUNTIF($A$2:A417, A417) = 1, A417, "")</f>
        <v/>
      </c>
    </row>
    <row r="419" spans="6:38" x14ac:dyDescent="0.2">
      <c r="F419" t="str">
        <f t="shared" si="57"/>
        <v/>
      </c>
      <c r="L419" s="7" t="str">
        <f t="shared" si="58"/>
        <v/>
      </c>
      <c r="N419" s="7" t="str">
        <f t="shared" si="59"/>
        <v/>
      </c>
      <c r="O419" t="str">
        <f t="shared" si="60"/>
        <v/>
      </c>
      <c r="P419" t="str">
        <f t="shared" si="61"/>
        <v/>
      </c>
      <c r="Q419" t="str">
        <f t="shared" si="62"/>
        <v/>
      </c>
      <c r="S419" t="str">
        <f>""</f>
        <v/>
      </c>
      <c r="AL419" s="18" t="str">
        <f>IF(COUNTIF($A$2:A418, A418) = 1, A418, "")</f>
        <v/>
      </c>
    </row>
    <row r="420" spans="6:38" x14ac:dyDescent="0.2">
      <c r="F420" t="str">
        <f t="shared" si="57"/>
        <v/>
      </c>
      <c r="L420" s="7" t="str">
        <f t="shared" si="58"/>
        <v/>
      </c>
      <c r="N420" s="7" t="str">
        <f t="shared" si="59"/>
        <v/>
      </c>
      <c r="O420" t="str">
        <f t="shared" si="60"/>
        <v/>
      </c>
      <c r="P420" t="str">
        <f t="shared" si="61"/>
        <v/>
      </c>
      <c r="Q420" t="str">
        <f t="shared" si="62"/>
        <v/>
      </c>
      <c r="S420" t="str">
        <f>""</f>
        <v/>
      </c>
      <c r="AL420" s="18" t="str">
        <f>IF(COUNTIF($A$2:A419, A419) = 1, A419, "")</f>
        <v/>
      </c>
    </row>
    <row r="421" spans="6:38" x14ac:dyDescent="0.2">
      <c r="F421" t="str">
        <f t="shared" si="57"/>
        <v/>
      </c>
      <c r="L421" s="7" t="str">
        <f t="shared" si="58"/>
        <v/>
      </c>
      <c r="N421" s="7" t="str">
        <f t="shared" si="59"/>
        <v/>
      </c>
      <c r="O421" t="str">
        <f t="shared" si="60"/>
        <v/>
      </c>
      <c r="P421" t="str">
        <f t="shared" si="61"/>
        <v/>
      </c>
      <c r="Q421" t="str">
        <f t="shared" si="62"/>
        <v/>
      </c>
      <c r="S421" t="str">
        <f>""</f>
        <v/>
      </c>
      <c r="AL421" s="18" t="str">
        <f>IF(COUNTIF($A$2:A420, A420) = 1, A420, "")</f>
        <v/>
      </c>
    </row>
    <row r="422" spans="6:38" x14ac:dyDescent="0.2">
      <c r="F422" t="str">
        <f t="shared" si="57"/>
        <v/>
      </c>
      <c r="L422" s="7" t="str">
        <f t="shared" si="58"/>
        <v/>
      </c>
      <c r="N422" s="7" t="str">
        <f t="shared" si="59"/>
        <v/>
      </c>
      <c r="O422" t="str">
        <f t="shared" si="60"/>
        <v/>
      </c>
      <c r="P422" t="str">
        <f t="shared" si="61"/>
        <v/>
      </c>
      <c r="Q422" t="str">
        <f t="shared" si="62"/>
        <v/>
      </c>
      <c r="S422" t="str">
        <f>""</f>
        <v/>
      </c>
      <c r="AL422" s="18" t="str">
        <f>IF(COUNTIF($A$2:A421, A421) = 1, A421, "")</f>
        <v/>
      </c>
    </row>
    <row r="423" spans="6:38" x14ac:dyDescent="0.2">
      <c r="F423" t="str">
        <f t="shared" si="57"/>
        <v/>
      </c>
      <c r="L423" s="7" t="str">
        <f t="shared" si="58"/>
        <v/>
      </c>
      <c r="N423" s="7" t="str">
        <f t="shared" si="59"/>
        <v/>
      </c>
      <c r="O423" t="str">
        <f t="shared" si="60"/>
        <v/>
      </c>
      <c r="P423" t="str">
        <f t="shared" si="61"/>
        <v/>
      </c>
      <c r="Q423" t="str">
        <f t="shared" si="62"/>
        <v/>
      </c>
      <c r="S423" t="str">
        <f>""</f>
        <v/>
      </c>
      <c r="AL423" s="18" t="str">
        <f>IF(COUNTIF($A$2:A422, A422) = 1, A422, "")</f>
        <v/>
      </c>
    </row>
    <row r="424" spans="6:38" x14ac:dyDescent="0.2">
      <c r="F424" t="str">
        <f t="shared" si="57"/>
        <v/>
      </c>
      <c r="L424" s="7" t="str">
        <f t="shared" si="58"/>
        <v/>
      </c>
      <c r="N424" s="7" t="str">
        <f t="shared" si="59"/>
        <v/>
      </c>
      <c r="O424" t="str">
        <f t="shared" si="60"/>
        <v/>
      </c>
      <c r="P424" t="str">
        <f t="shared" si="61"/>
        <v/>
      </c>
      <c r="Q424" t="str">
        <f t="shared" si="62"/>
        <v/>
      </c>
      <c r="S424" t="str">
        <f>""</f>
        <v/>
      </c>
      <c r="AL424" s="18" t="str">
        <f>IF(COUNTIF($A$2:A423, A423) = 1, A423, "")</f>
        <v/>
      </c>
    </row>
    <row r="425" spans="6:38" x14ac:dyDescent="0.2">
      <c r="F425" t="str">
        <f t="shared" si="57"/>
        <v/>
      </c>
      <c r="L425" s="7" t="str">
        <f t="shared" si="58"/>
        <v/>
      </c>
      <c r="N425" s="7" t="str">
        <f t="shared" si="59"/>
        <v/>
      </c>
      <c r="O425" t="str">
        <f t="shared" si="60"/>
        <v/>
      </c>
      <c r="P425" t="str">
        <f t="shared" si="61"/>
        <v/>
      </c>
      <c r="Q425" t="str">
        <f t="shared" si="62"/>
        <v/>
      </c>
      <c r="S425" t="str">
        <f>""</f>
        <v/>
      </c>
      <c r="AL425" s="18" t="str">
        <f>IF(COUNTIF($A$2:A424, A424) = 1, A424, "")</f>
        <v/>
      </c>
    </row>
    <row r="426" spans="6:38" x14ac:dyDescent="0.2">
      <c r="F426" t="str">
        <f t="shared" si="57"/>
        <v/>
      </c>
      <c r="L426" s="7" t="str">
        <f t="shared" si="58"/>
        <v/>
      </c>
      <c r="N426" s="7" t="str">
        <f t="shared" si="59"/>
        <v/>
      </c>
      <c r="O426" t="str">
        <f t="shared" si="60"/>
        <v/>
      </c>
      <c r="P426" t="str">
        <f t="shared" si="61"/>
        <v/>
      </c>
      <c r="Q426" t="str">
        <f t="shared" si="62"/>
        <v/>
      </c>
      <c r="S426" t="str">
        <f>""</f>
        <v/>
      </c>
      <c r="AL426" s="18" t="str">
        <f>IF(COUNTIF($A$2:A425, A425) = 1, A425, "")</f>
        <v/>
      </c>
    </row>
    <row r="427" spans="6:38" x14ac:dyDescent="0.2">
      <c r="F427" t="str">
        <f t="shared" si="57"/>
        <v/>
      </c>
      <c r="L427" s="7" t="str">
        <f t="shared" si="58"/>
        <v/>
      </c>
      <c r="N427" s="7" t="str">
        <f t="shared" si="59"/>
        <v/>
      </c>
      <c r="O427" t="str">
        <f t="shared" si="60"/>
        <v/>
      </c>
      <c r="P427" t="str">
        <f t="shared" si="61"/>
        <v/>
      </c>
      <c r="Q427" t="str">
        <f t="shared" si="62"/>
        <v/>
      </c>
      <c r="S427" t="str">
        <f>""</f>
        <v/>
      </c>
      <c r="AL427" s="18" t="str">
        <f>IF(COUNTIF($A$2:A426, A426) = 1, A426, "")</f>
        <v/>
      </c>
    </row>
    <row r="428" spans="6:38" x14ac:dyDescent="0.2">
      <c r="F428" t="str">
        <f t="shared" si="57"/>
        <v/>
      </c>
      <c r="L428" s="7" t="str">
        <f t="shared" si="58"/>
        <v/>
      </c>
      <c r="N428" s="7" t="str">
        <f t="shared" si="59"/>
        <v/>
      </c>
      <c r="O428" t="str">
        <f t="shared" si="60"/>
        <v/>
      </c>
      <c r="P428" t="str">
        <f t="shared" si="61"/>
        <v/>
      </c>
      <c r="Q428" t="str">
        <f t="shared" si="62"/>
        <v/>
      </c>
      <c r="S428" t="str">
        <f>""</f>
        <v/>
      </c>
      <c r="AL428" s="18" t="str">
        <f>IF(COUNTIF($A$2:A427, A427) = 1, A427, "")</f>
        <v/>
      </c>
    </row>
    <row r="429" spans="6:38" x14ac:dyDescent="0.2">
      <c r="F429" t="str">
        <f t="shared" si="57"/>
        <v/>
      </c>
      <c r="L429" s="7" t="str">
        <f t="shared" si="58"/>
        <v/>
      </c>
      <c r="N429" s="7" t="str">
        <f t="shared" si="59"/>
        <v/>
      </c>
      <c r="O429" t="str">
        <f t="shared" si="60"/>
        <v/>
      </c>
      <c r="P429" t="str">
        <f t="shared" si="61"/>
        <v/>
      </c>
      <c r="Q429" t="str">
        <f t="shared" si="62"/>
        <v/>
      </c>
      <c r="S429" t="str">
        <f>""</f>
        <v/>
      </c>
      <c r="AL429" s="18" t="str">
        <f>IF(COUNTIF($A$2:A428, A428) = 1, A428, "")</f>
        <v/>
      </c>
    </row>
    <row r="430" spans="6:38" x14ac:dyDescent="0.2">
      <c r="F430" t="str">
        <f t="shared" si="57"/>
        <v/>
      </c>
      <c r="L430" s="7" t="str">
        <f t="shared" si="58"/>
        <v/>
      </c>
      <c r="N430" s="7" t="str">
        <f t="shared" si="59"/>
        <v/>
      </c>
      <c r="O430" t="str">
        <f t="shared" si="60"/>
        <v/>
      </c>
      <c r="P430" t="str">
        <f t="shared" si="61"/>
        <v/>
      </c>
      <c r="Q430" t="str">
        <f t="shared" si="62"/>
        <v/>
      </c>
      <c r="S430" t="str">
        <f>""</f>
        <v/>
      </c>
      <c r="AL430" s="18" t="str">
        <f>IF(COUNTIF($A$2:A429, A429) = 1, A429, "")</f>
        <v/>
      </c>
    </row>
    <row r="431" spans="6:38" x14ac:dyDescent="0.2">
      <c r="F431" t="str">
        <f t="shared" si="57"/>
        <v/>
      </c>
      <c r="L431" s="7" t="str">
        <f t="shared" si="58"/>
        <v/>
      </c>
      <c r="N431" s="7" t="str">
        <f t="shared" si="59"/>
        <v/>
      </c>
      <c r="O431" t="str">
        <f t="shared" si="60"/>
        <v/>
      </c>
      <c r="P431" t="str">
        <f t="shared" si="61"/>
        <v/>
      </c>
      <c r="Q431" t="str">
        <f t="shared" si="62"/>
        <v/>
      </c>
      <c r="S431" t="str">
        <f>""</f>
        <v/>
      </c>
      <c r="AL431" s="18" t="str">
        <f>IF(COUNTIF($A$2:A430, A430) = 1, A430, "")</f>
        <v/>
      </c>
    </row>
    <row r="432" spans="6:38" x14ac:dyDescent="0.2">
      <c r="F432" t="str">
        <f t="shared" si="57"/>
        <v/>
      </c>
      <c r="L432" s="7" t="str">
        <f t="shared" si="58"/>
        <v/>
      </c>
      <c r="N432" s="7" t="str">
        <f t="shared" si="59"/>
        <v/>
      </c>
      <c r="O432" t="str">
        <f t="shared" si="60"/>
        <v/>
      </c>
      <c r="P432" t="str">
        <f t="shared" si="61"/>
        <v/>
      </c>
      <c r="Q432" t="str">
        <f t="shared" si="62"/>
        <v/>
      </c>
      <c r="S432" t="str">
        <f>""</f>
        <v/>
      </c>
      <c r="AL432" s="18" t="str">
        <f>IF(COUNTIF($A$2:A431, A431) = 1, A431, "")</f>
        <v/>
      </c>
    </row>
    <row r="433" spans="6:38" x14ac:dyDescent="0.2">
      <c r="F433" t="str">
        <f t="shared" si="57"/>
        <v/>
      </c>
      <c r="L433" s="7" t="str">
        <f t="shared" si="58"/>
        <v/>
      </c>
      <c r="N433" s="7" t="str">
        <f t="shared" si="59"/>
        <v/>
      </c>
      <c r="O433" t="str">
        <f t="shared" si="60"/>
        <v/>
      </c>
      <c r="P433" t="str">
        <f t="shared" si="61"/>
        <v/>
      </c>
      <c r="Q433" t="str">
        <f t="shared" si="62"/>
        <v/>
      </c>
      <c r="S433" t="str">
        <f>""</f>
        <v/>
      </c>
      <c r="AL433" s="18" t="str">
        <f>IF(COUNTIF($A$2:A432, A432) = 1, A432, "")</f>
        <v/>
      </c>
    </row>
    <row r="434" spans="6:38" x14ac:dyDescent="0.2">
      <c r="F434" t="str">
        <f t="shared" si="57"/>
        <v/>
      </c>
      <c r="L434" s="7" t="str">
        <f t="shared" si="58"/>
        <v/>
      </c>
      <c r="N434" s="7" t="str">
        <f t="shared" si="59"/>
        <v/>
      </c>
      <c r="O434" t="str">
        <f t="shared" si="60"/>
        <v/>
      </c>
      <c r="P434" t="str">
        <f t="shared" si="61"/>
        <v/>
      </c>
      <c r="Q434" t="str">
        <f t="shared" si="62"/>
        <v/>
      </c>
      <c r="S434" t="str">
        <f>""</f>
        <v/>
      </c>
      <c r="AL434" s="18" t="str">
        <f>IF(COUNTIF($A$2:A433, A433) = 1, A433, "")</f>
        <v/>
      </c>
    </row>
    <row r="435" spans="6:38" x14ac:dyDescent="0.2">
      <c r="F435" t="str">
        <f t="shared" si="57"/>
        <v/>
      </c>
      <c r="L435" s="7" t="str">
        <f t="shared" si="58"/>
        <v/>
      </c>
      <c r="N435" s="7" t="str">
        <f t="shared" si="59"/>
        <v/>
      </c>
      <c r="O435" t="str">
        <f t="shared" si="60"/>
        <v/>
      </c>
      <c r="P435" t="str">
        <f t="shared" si="61"/>
        <v/>
      </c>
      <c r="Q435" t="str">
        <f t="shared" si="62"/>
        <v/>
      </c>
      <c r="S435" t="str">
        <f>""</f>
        <v/>
      </c>
      <c r="AL435" s="18" t="str">
        <f>IF(COUNTIF($A$2:A434, A434) = 1, A434, "")</f>
        <v/>
      </c>
    </row>
    <row r="436" spans="6:38" x14ac:dyDescent="0.2">
      <c r="F436" t="str">
        <f t="shared" si="57"/>
        <v/>
      </c>
      <c r="L436" s="7" t="str">
        <f t="shared" si="58"/>
        <v/>
      </c>
      <c r="N436" s="7" t="str">
        <f t="shared" si="59"/>
        <v/>
      </c>
      <c r="O436" t="str">
        <f t="shared" si="60"/>
        <v/>
      </c>
      <c r="P436" t="str">
        <f t="shared" si="61"/>
        <v/>
      </c>
      <c r="Q436" t="str">
        <f t="shared" si="62"/>
        <v/>
      </c>
      <c r="S436" t="str">
        <f>""</f>
        <v/>
      </c>
      <c r="AL436" s="18" t="str">
        <f>IF(COUNTIF($A$2:A435, A435) = 1, A435, "")</f>
        <v/>
      </c>
    </row>
    <row r="437" spans="6:38" x14ac:dyDescent="0.2">
      <c r="F437" t="str">
        <f t="shared" si="57"/>
        <v/>
      </c>
      <c r="L437" s="7" t="str">
        <f t="shared" si="58"/>
        <v/>
      </c>
      <c r="N437" s="7" t="str">
        <f t="shared" si="59"/>
        <v/>
      </c>
      <c r="O437" t="str">
        <f t="shared" si="60"/>
        <v/>
      </c>
      <c r="P437" t="str">
        <f t="shared" si="61"/>
        <v/>
      </c>
      <c r="Q437" t="str">
        <f t="shared" si="62"/>
        <v/>
      </c>
      <c r="S437" t="str">
        <f>""</f>
        <v/>
      </c>
      <c r="AL437" s="18" t="str">
        <f>IF(COUNTIF($A$2:A436, A436) = 1, A436, "")</f>
        <v/>
      </c>
    </row>
    <row r="438" spans="6:38" x14ac:dyDescent="0.2">
      <c r="F438" t="str">
        <f t="shared" si="57"/>
        <v/>
      </c>
      <c r="L438" s="7" t="str">
        <f t="shared" si="58"/>
        <v/>
      </c>
      <c r="N438" s="7" t="str">
        <f t="shared" si="59"/>
        <v/>
      </c>
      <c r="O438" t="str">
        <f t="shared" si="60"/>
        <v/>
      </c>
      <c r="P438" t="str">
        <f t="shared" si="61"/>
        <v/>
      </c>
      <c r="Q438" t="str">
        <f t="shared" si="62"/>
        <v/>
      </c>
      <c r="S438" t="str">
        <f>""</f>
        <v/>
      </c>
      <c r="AL438" s="18" t="str">
        <f>IF(COUNTIF($A$2:A437, A437) = 1, A437, "")</f>
        <v/>
      </c>
    </row>
    <row r="439" spans="6:38" x14ac:dyDescent="0.2">
      <c r="F439" t="str">
        <f t="shared" si="57"/>
        <v/>
      </c>
      <c r="L439" s="7" t="str">
        <f t="shared" si="58"/>
        <v/>
      </c>
      <c r="N439" s="7" t="str">
        <f t="shared" si="59"/>
        <v/>
      </c>
      <c r="O439" t="str">
        <f t="shared" si="60"/>
        <v/>
      </c>
      <c r="P439" t="str">
        <f t="shared" si="61"/>
        <v/>
      </c>
      <c r="Q439" t="str">
        <f t="shared" si="62"/>
        <v/>
      </c>
      <c r="S439" t="str">
        <f>""</f>
        <v/>
      </c>
      <c r="AL439" s="18" t="str">
        <f>IF(COUNTIF($A$2:A438, A438) = 1, A438, "")</f>
        <v/>
      </c>
    </row>
    <row r="440" spans="6:38" x14ac:dyDescent="0.2">
      <c r="F440" t="str">
        <f t="shared" si="57"/>
        <v/>
      </c>
      <c r="L440" s="7" t="str">
        <f t="shared" si="58"/>
        <v/>
      </c>
      <c r="N440" s="7" t="str">
        <f t="shared" si="59"/>
        <v/>
      </c>
      <c r="O440" t="str">
        <f t="shared" si="60"/>
        <v/>
      </c>
      <c r="P440" t="str">
        <f t="shared" si="61"/>
        <v/>
      </c>
      <c r="Q440" t="str">
        <f t="shared" si="62"/>
        <v/>
      </c>
      <c r="S440" t="str">
        <f>""</f>
        <v/>
      </c>
      <c r="AL440" s="18" t="str">
        <f>IF(COUNTIF($A$2:A439, A439) = 1, A439, "")</f>
        <v/>
      </c>
    </row>
    <row r="441" spans="6:38" x14ac:dyDescent="0.2">
      <c r="F441" t="str">
        <f t="shared" si="57"/>
        <v/>
      </c>
      <c r="L441" s="7" t="str">
        <f t="shared" si="58"/>
        <v/>
      </c>
      <c r="N441" s="7" t="str">
        <f t="shared" si="59"/>
        <v/>
      </c>
      <c r="O441" t="str">
        <f t="shared" si="60"/>
        <v/>
      </c>
      <c r="P441" t="str">
        <f t="shared" si="61"/>
        <v/>
      </c>
      <c r="Q441" t="str">
        <f t="shared" si="62"/>
        <v/>
      </c>
      <c r="S441" t="str">
        <f>""</f>
        <v/>
      </c>
      <c r="AL441" s="18" t="str">
        <f>IF(COUNTIF($A$2:A440, A440) = 1, A440, "")</f>
        <v/>
      </c>
    </row>
    <row r="442" spans="6:38" x14ac:dyDescent="0.2">
      <c r="F442" t="str">
        <f t="shared" si="57"/>
        <v/>
      </c>
      <c r="L442" s="7" t="str">
        <f t="shared" si="58"/>
        <v/>
      </c>
      <c r="N442" s="7" t="str">
        <f t="shared" si="59"/>
        <v/>
      </c>
      <c r="O442" t="str">
        <f t="shared" si="60"/>
        <v/>
      </c>
      <c r="P442" t="str">
        <f t="shared" si="61"/>
        <v/>
      </c>
      <c r="Q442" t="str">
        <f t="shared" si="62"/>
        <v/>
      </c>
      <c r="S442" t="str">
        <f>""</f>
        <v/>
      </c>
      <c r="AL442" s="18" t="str">
        <f>IF(COUNTIF($A$2:A441, A441) = 1, A441, "")</f>
        <v/>
      </c>
    </row>
    <row r="443" spans="6:38" x14ac:dyDescent="0.2">
      <c r="F443" t="str">
        <f t="shared" si="57"/>
        <v/>
      </c>
      <c r="L443" s="7" t="str">
        <f t="shared" si="58"/>
        <v/>
      </c>
      <c r="N443" s="7" t="str">
        <f t="shared" si="59"/>
        <v/>
      </c>
      <c r="O443" t="str">
        <f t="shared" si="60"/>
        <v/>
      </c>
      <c r="P443" t="str">
        <f t="shared" si="61"/>
        <v/>
      </c>
      <c r="Q443" t="str">
        <f t="shared" si="62"/>
        <v/>
      </c>
      <c r="S443" t="str">
        <f>""</f>
        <v/>
      </c>
      <c r="AL443" s="18" t="str">
        <f>IF(COUNTIF($A$2:A442, A442) = 1, A442, "")</f>
        <v/>
      </c>
    </row>
    <row r="444" spans="6:38" x14ac:dyDescent="0.2">
      <c r="F444" t="str">
        <f t="shared" si="57"/>
        <v/>
      </c>
      <c r="L444" s="7" t="str">
        <f t="shared" si="58"/>
        <v/>
      </c>
      <c r="N444" s="7" t="str">
        <f t="shared" si="59"/>
        <v/>
      </c>
      <c r="O444" t="str">
        <f t="shared" si="60"/>
        <v/>
      </c>
      <c r="P444" t="str">
        <f t="shared" si="61"/>
        <v/>
      </c>
      <c r="Q444" t="str">
        <f t="shared" si="62"/>
        <v/>
      </c>
      <c r="S444" t="str">
        <f>""</f>
        <v/>
      </c>
      <c r="AL444" s="18" t="str">
        <f>IF(COUNTIF($A$2:A443, A443) = 1, A443, "")</f>
        <v/>
      </c>
    </row>
    <row r="445" spans="6:38" x14ac:dyDescent="0.2">
      <c r="F445" t="str">
        <f t="shared" si="57"/>
        <v/>
      </c>
      <c r="L445" s="7" t="str">
        <f t="shared" si="58"/>
        <v/>
      </c>
      <c r="N445" s="7" t="str">
        <f t="shared" si="59"/>
        <v/>
      </c>
      <c r="O445" t="str">
        <f t="shared" si="60"/>
        <v/>
      </c>
      <c r="P445" t="str">
        <f t="shared" si="61"/>
        <v/>
      </c>
      <c r="Q445" t="str">
        <f t="shared" si="62"/>
        <v/>
      </c>
      <c r="S445" t="str">
        <f>""</f>
        <v/>
      </c>
      <c r="AL445" s="18" t="str">
        <f>IF(COUNTIF($A$2:A444, A444) = 1, A444, "")</f>
        <v/>
      </c>
    </row>
    <row r="446" spans="6:38" x14ac:dyDescent="0.2">
      <c r="F446" t="str">
        <f t="shared" si="57"/>
        <v/>
      </c>
      <c r="L446" s="7" t="str">
        <f t="shared" si="58"/>
        <v/>
      </c>
      <c r="N446" s="7" t="str">
        <f t="shared" si="59"/>
        <v/>
      </c>
      <c r="O446" t="str">
        <f t="shared" si="60"/>
        <v/>
      </c>
      <c r="P446" t="str">
        <f t="shared" si="61"/>
        <v/>
      </c>
      <c r="Q446" t="str">
        <f t="shared" si="62"/>
        <v/>
      </c>
      <c r="S446" t="str">
        <f>""</f>
        <v/>
      </c>
      <c r="AL446" s="18" t="str">
        <f>IF(COUNTIF($A$2:A445, A445) = 1, A445, "")</f>
        <v/>
      </c>
    </row>
    <row r="447" spans="6:38" x14ac:dyDescent="0.2">
      <c r="F447" t="str">
        <f t="shared" si="57"/>
        <v/>
      </c>
      <c r="L447" s="7" t="str">
        <f t="shared" si="58"/>
        <v/>
      </c>
      <c r="N447" s="7" t="str">
        <f t="shared" si="59"/>
        <v/>
      </c>
      <c r="O447" t="str">
        <f t="shared" si="60"/>
        <v/>
      </c>
      <c r="P447" t="str">
        <f t="shared" si="61"/>
        <v/>
      </c>
      <c r="Q447" t="str">
        <f t="shared" si="62"/>
        <v/>
      </c>
      <c r="S447" t="str">
        <f>""</f>
        <v/>
      </c>
      <c r="AL447" s="18" t="str">
        <f>IF(COUNTIF($A$2:A446, A446) = 1, A446, "")</f>
        <v/>
      </c>
    </row>
    <row r="448" spans="6:38" x14ac:dyDescent="0.2">
      <c r="F448" t="str">
        <f t="shared" si="57"/>
        <v/>
      </c>
      <c r="L448" s="7" t="str">
        <f t="shared" si="58"/>
        <v/>
      </c>
      <c r="N448" s="7" t="str">
        <f t="shared" si="59"/>
        <v/>
      </c>
      <c r="O448" t="str">
        <f t="shared" si="60"/>
        <v/>
      </c>
      <c r="P448" t="str">
        <f t="shared" si="61"/>
        <v/>
      </c>
      <c r="Q448" t="str">
        <f t="shared" si="62"/>
        <v/>
      </c>
      <c r="S448" t="str">
        <f>""</f>
        <v/>
      </c>
      <c r="AL448" s="18" t="str">
        <f>IF(COUNTIF($A$2:A447, A447) = 1, A447, "")</f>
        <v/>
      </c>
    </row>
    <row r="449" spans="6:38" x14ac:dyDescent="0.2">
      <c r="F449" t="str">
        <f t="shared" si="57"/>
        <v/>
      </c>
      <c r="L449" s="7" t="str">
        <f t="shared" si="58"/>
        <v/>
      </c>
      <c r="N449" s="7" t="str">
        <f t="shared" si="59"/>
        <v/>
      </c>
      <c r="O449" t="str">
        <f t="shared" si="60"/>
        <v/>
      </c>
      <c r="P449" t="str">
        <f t="shared" si="61"/>
        <v/>
      </c>
      <c r="Q449" t="str">
        <f t="shared" si="62"/>
        <v/>
      </c>
      <c r="S449" t="str">
        <f>""</f>
        <v/>
      </c>
      <c r="AL449" s="18" t="str">
        <f>IF(COUNTIF($A$2:A448, A448) = 1, A448, "")</f>
        <v/>
      </c>
    </row>
    <row r="450" spans="6:38" x14ac:dyDescent="0.2">
      <c r="F450" t="str">
        <f t="shared" si="57"/>
        <v/>
      </c>
      <c r="L450" s="7" t="str">
        <f t="shared" si="58"/>
        <v/>
      </c>
      <c r="N450" s="7" t="str">
        <f t="shared" si="59"/>
        <v/>
      </c>
      <c r="O450" t="str">
        <f t="shared" si="60"/>
        <v/>
      </c>
      <c r="P450" t="str">
        <f t="shared" si="61"/>
        <v/>
      </c>
      <c r="Q450" t="str">
        <f t="shared" si="62"/>
        <v/>
      </c>
      <c r="S450" t="str">
        <f>""</f>
        <v/>
      </c>
      <c r="AL450" s="18" t="str">
        <f>IF(COUNTIF($A$2:A449, A449) = 1, A449, "")</f>
        <v/>
      </c>
    </row>
    <row r="451" spans="6:38" x14ac:dyDescent="0.2">
      <c r="F451" t="str">
        <f t="shared" si="57"/>
        <v/>
      </c>
      <c r="L451" s="7" t="str">
        <f t="shared" si="58"/>
        <v/>
      </c>
      <c r="N451" s="7" t="str">
        <f t="shared" si="59"/>
        <v/>
      </c>
      <c r="O451" t="str">
        <f t="shared" si="60"/>
        <v/>
      </c>
      <c r="P451" t="str">
        <f t="shared" si="61"/>
        <v/>
      </c>
      <c r="Q451" t="str">
        <f t="shared" si="62"/>
        <v/>
      </c>
      <c r="S451" t="str">
        <f>""</f>
        <v/>
      </c>
      <c r="AL451" s="18" t="str">
        <f>IF(COUNTIF($A$2:A450, A450) = 1, A450, "")</f>
        <v/>
      </c>
    </row>
    <row r="452" spans="6:38" x14ac:dyDescent="0.2">
      <c r="F452" t="str">
        <f t="shared" si="57"/>
        <v/>
      </c>
      <c r="L452" s="7" t="str">
        <f t="shared" si="58"/>
        <v/>
      </c>
      <c r="N452" s="7" t="str">
        <f t="shared" si="59"/>
        <v/>
      </c>
      <c r="O452" t="str">
        <f t="shared" si="60"/>
        <v/>
      </c>
      <c r="P452" t="str">
        <f t="shared" si="61"/>
        <v/>
      </c>
      <c r="Q452" t="str">
        <f t="shared" si="62"/>
        <v/>
      </c>
      <c r="S452" t="str">
        <f>""</f>
        <v/>
      </c>
      <c r="AL452" s="18" t="str">
        <f>IF(COUNTIF($A$2:A451, A451) = 1, A451, "")</f>
        <v/>
      </c>
    </row>
    <row r="453" spans="6:38" x14ac:dyDescent="0.2">
      <c r="F453" t="str">
        <f t="shared" si="57"/>
        <v/>
      </c>
      <c r="L453" s="7" t="str">
        <f t="shared" si="58"/>
        <v/>
      </c>
      <c r="N453" s="7" t="str">
        <f t="shared" si="59"/>
        <v/>
      </c>
      <c r="O453" t="str">
        <f t="shared" si="60"/>
        <v/>
      </c>
      <c r="P453" t="str">
        <f t="shared" si="61"/>
        <v/>
      </c>
      <c r="Q453" t="str">
        <f t="shared" si="62"/>
        <v/>
      </c>
      <c r="S453" t="str">
        <f>""</f>
        <v/>
      </c>
      <c r="AL453" s="18" t="str">
        <f>IF(COUNTIF($A$2:A452, A452) = 1, A452, "")</f>
        <v/>
      </c>
    </row>
    <row r="454" spans="6:38" x14ac:dyDescent="0.2">
      <c r="F454" t="str">
        <f t="shared" si="57"/>
        <v/>
      </c>
      <c r="L454" s="7" t="str">
        <f t="shared" si="58"/>
        <v/>
      </c>
      <c r="N454" s="7" t="str">
        <f t="shared" si="59"/>
        <v/>
      </c>
      <c r="O454" t="str">
        <f t="shared" si="60"/>
        <v/>
      </c>
      <c r="P454" t="str">
        <f t="shared" si="61"/>
        <v/>
      </c>
      <c r="Q454" t="str">
        <f t="shared" si="62"/>
        <v/>
      </c>
      <c r="S454" t="str">
        <f>""</f>
        <v/>
      </c>
      <c r="AL454" s="18" t="str">
        <f>IF(COUNTIF($A$2:A453, A453) = 1, A453, "")</f>
        <v/>
      </c>
    </row>
    <row r="455" spans="6:38" x14ac:dyDescent="0.2">
      <c r="F455" t="str">
        <f t="shared" si="57"/>
        <v/>
      </c>
      <c r="L455" s="7" t="str">
        <f t="shared" si="58"/>
        <v/>
      </c>
      <c r="N455" s="7" t="str">
        <f t="shared" si="59"/>
        <v/>
      </c>
      <c r="O455" t="str">
        <f t="shared" si="60"/>
        <v/>
      </c>
      <c r="P455" t="str">
        <f t="shared" si="61"/>
        <v/>
      </c>
      <c r="Q455" t="str">
        <f t="shared" si="62"/>
        <v/>
      </c>
      <c r="S455" t="str">
        <f>""</f>
        <v/>
      </c>
      <c r="AL455" s="18" t="str">
        <f>IF(COUNTIF($A$2:A454, A454) = 1, A454, "")</f>
        <v/>
      </c>
    </row>
    <row r="456" spans="6:38" x14ac:dyDescent="0.2">
      <c r="F456" t="str">
        <f t="shared" si="57"/>
        <v/>
      </c>
      <c r="L456" s="7" t="str">
        <f t="shared" si="58"/>
        <v/>
      </c>
      <c r="N456" s="7" t="str">
        <f t="shared" si="59"/>
        <v/>
      </c>
      <c r="O456" t="str">
        <f t="shared" si="60"/>
        <v/>
      </c>
      <c r="P456" t="str">
        <f t="shared" si="61"/>
        <v/>
      </c>
      <c r="Q456" t="str">
        <f t="shared" si="62"/>
        <v/>
      </c>
      <c r="S456" t="str">
        <f>""</f>
        <v/>
      </c>
      <c r="AL456" s="18" t="str">
        <f>IF(COUNTIF($A$2:A455, A455) = 1, A455, "")</f>
        <v/>
      </c>
    </row>
    <row r="457" spans="6:38" x14ac:dyDescent="0.2">
      <c r="F457" t="str">
        <f t="shared" si="57"/>
        <v/>
      </c>
      <c r="L457" s="7" t="str">
        <f t="shared" si="58"/>
        <v/>
      </c>
      <c r="N457" s="7" t="str">
        <f t="shared" si="59"/>
        <v/>
      </c>
      <c r="O457" t="str">
        <f t="shared" si="60"/>
        <v/>
      </c>
      <c r="P457" t="str">
        <f t="shared" si="61"/>
        <v/>
      </c>
      <c r="Q457" t="str">
        <f t="shared" si="62"/>
        <v/>
      </c>
      <c r="S457" t="str">
        <f>""</f>
        <v/>
      </c>
      <c r="AL457" s="18" t="str">
        <f>IF(COUNTIF($A$2:A456, A456) = 1, A456, "")</f>
        <v/>
      </c>
    </row>
    <row r="458" spans="6:38" x14ac:dyDescent="0.2">
      <c r="F458" t="str">
        <f t="shared" si="57"/>
        <v/>
      </c>
      <c r="L458" s="7" t="str">
        <f t="shared" si="58"/>
        <v/>
      </c>
      <c r="N458" s="7" t="str">
        <f t="shared" si="59"/>
        <v/>
      </c>
      <c r="O458" t="str">
        <f t="shared" si="60"/>
        <v/>
      </c>
      <c r="P458" t="str">
        <f t="shared" si="61"/>
        <v/>
      </c>
      <c r="Q458" t="str">
        <f t="shared" si="62"/>
        <v/>
      </c>
      <c r="S458" t="str">
        <f>""</f>
        <v/>
      </c>
      <c r="AL458" s="18" t="str">
        <f>IF(COUNTIF($A$2:A457, A457) = 1, A457, "")</f>
        <v/>
      </c>
    </row>
    <row r="459" spans="6:38" x14ac:dyDescent="0.2">
      <c r="F459" t="str">
        <f t="shared" si="57"/>
        <v/>
      </c>
      <c r="L459" s="7" t="str">
        <f t="shared" si="58"/>
        <v/>
      </c>
      <c r="N459" s="7" t="str">
        <f t="shared" si="59"/>
        <v/>
      </c>
      <c r="O459" t="str">
        <f t="shared" si="60"/>
        <v/>
      </c>
      <c r="P459" t="str">
        <f t="shared" si="61"/>
        <v/>
      </c>
      <c r="Q459" t="str">
        <f t="shared" si="62"/>
        <v/>
      </c>
      <c r="S459" t="str">
        <f>""</f>
        <v/>
      </c>
      <c r="AL459" s="18" t="str">
        <f>IF(COUNTIF($A$2:A458, A458) = 1, A458, "")</f>
        <v/>
      </c>
    </row>
    <row r="460" spans="6:38" x14ac:dyDescent="0.2">
      <c r="F460" t="str">
        <f t="shared" si="57"/>
        <v/>
      </c>
      <c r="L460" s="7" t="str">
        <f t="shared" si="58"/>
        <v/>
      </c>
      <c r="N460" s="7" t="str">
        <f t="shared" si="59"/>
        <v/>
      </c>
      <c r="O460" t="str">
        <f t="shared" si="60"/>
        <v/>
      </c>
      <c r="P460" t="str">
        <f t="shared" si="61"/>
        <v/>
      </c>
      <c r="Q460" t="str">
        <f t="shared" si="62"/>
        <v/>
      </c>
      <c r="S460" t="str">
        <f>""</f>
        <v/>
      </c>
      <c r="AL460" s="18" t="str">
        <f>IF(COUNTIF($A$2:A459, A459) = 1, A459, "")</f>
        <v/>
      </c>
    </row>
    <row r="461" spans="6:38" x14ac:dyDescent="0.2">
      <c r="F461" t="str">
        <f t="shared" si="57"/>
        <v/>
      </c>
      <c r="L461" s="7" t="str">
        <f t="shared" si="58"/>
        <v/>
      </c>
      <c r="N461" s="7" t="str">
        <f t="shared" si="59"/>
        <v/>
      </c>
      <c r="O461" t="str">
        <f t="shared" si="60"/>
        <v/>
      </c>
      <c r="P461" t="str">
        <f t="shared" si="61"/>
        <v/>
      </c>
      <c r="Q461" t="str">
        <f t="shared" si="62"/>
        <v/>
      </c>
      <c r="S461" t="str">
        <f>""</f>
        <v/>
      </c>
      <c r="AL461" s="18" t="str">
        <f>IF(COUNTIF($A$2:A460, A460) = 1, A460, "")</f>
        <v/>
      </c>
    </row>
    <row r="462" spans="6:38" x14ac:dyDescent="0.2">
      <c r="F462" t="str">
        <f t="shared" si="57"/>
        <v/>
      </c>
      <c r="L462" s="7" t="str">
        <f t="shared" si="58"/>
        <v/>
      </c>
      <c r="N462" s="7" t="str">
        <f t="shared" si="59"/>
        <v/>
      </c>
      <c r="O462" t="str">
        <f t="shared" si="60"/>
        <v/>
      </c>
      <c r="P462" t="str">
        <f t="shared" si="61"/>
        <v/>
      </c>
      <c r="Q462" t="str">
        <f t="shared" si="62"/>
        <v/>
      </c>
      <c r="S462" t="str">
        <f>""</f>
        <v/>
      </c>
      <c r="AL462" s="18" t="str">
        <f>IF(COUNTIF($A$2:A461, A461) = 1, A461, "")</f>
        <v/>
      </c>
    </row>
    <row r="463" spans="6:38" x14ac:dyDescent="0.2">
      <c r="F463" t="str">
        <f t="shared" si="57"/>
        <v/>
      </c>
      <c r="L463" s="7" t="str">
        <f t="shared" si="58"/>
        <v/>
      </c>
      <c r="N463" s="7" t="str">
        <f t="shared" si="59"/>
        <v/>
      </c>
      <c r="O463" t="str">
        <f t="shared" si="60"/>
        <v/>
      </c>
      <c r="P463" t="str">
        <f t="shared" si="61"/>
        <v/>
      </c>
      <c r="Q463" t="str">
        <f t="shared" si="62"/>
        <v/>
      </c>
      <c r="S463" t="str">
        <f>""</f>
        <v/>
      </c>
      <c r="AL463" s="18" t="str">
        <f>IF(COUNTIF($A$2:A462, A462) = 1, A462, "")</f>
        <v/>
      </c>
    </row>
    <row r="464" spans="6:38" x14ac:dyDescent="0.2">
      <c r="F464" t="str">
        <f t="shared" ref="F464:F519" si="63">IF(OR(O464="", P464=""), "", SUM(IF((O464&lt;&gt;"None")*(O464&lt;&gt;""),LEN(O464)-LEN(SUBSTITUTE(O464,",",""))+1,0)) + SUM(IF((P464&lt;&gt;"None")*(P464&lt;&gt;""),LEN(P464)-LEN(SUBSTITUTE(P464,",",""))+1,0)))</f>
        <v/>
      </c>
      <c r="L464" s="7" t="str">
        <f t="shared" ref="L464:L519" si="64">IF(LEN(E464)=0, "", IFERROR(IF(E464&gt;=0, K464 * (1 + E464/100) - K464, K464 / (ABS(E464)/100))+K464, ""))</f>
        <v/>
      </c>
      <c r="N464" s="7" t="str">
        <f t="shared" ref="N464:N519" si="65">IF(M464="Yes",L464-K464,IF(M464="No",-K464,""))</f>
        <v/>
      </c>
      <c r="O464" t="str">
        <f t="shared" ref="O464:O519" si="66">IF(AND(G464="No",H464="No"), "None", "")</f>
        <v/>
      </c>
      <c r="P464" t="str">
        <f t="shared" ref="P464:P519" si="67">IF(I464="No", "None", "")</f>
        <v/>
      </c>
      <c r="Q464" t="str">
        <f t="shared" ref="Q464:Q519" si="68">IF(AND(D464="Straight", M464 = "No"),IF(O464="None",P464,IF(P464="None",O464) ),"")</f>
        <v/>
      </c>
      <c r="S464" t="str">
        <f>""</f>
        <v/>
      </c>
      <c r="AL464" s="18" t="str">
        <f>IF(COUNTIF($A$2:A463, A463) = 1, A463, "")</f>
        <v/>
      </c>
    </row>
    <row r="465" spans="6:38" x14ac:dyDescent="0.2">
      <c r="F465" t="str">
        <f t="shared" si="63"/>
        <v/>
      </c>
      <c r="L465" s="7" t="str">
        <f t="shared" si="64"/>
        <v/>
      </c>
      <c r="N465" s="7" t="str">
        <f t="shared" si="65"/>
        <v/>
      </c>
      <c r="O465" t="str">
        <f t="shared" si="66"/>
        <v/>
      </c>
      <c r="P465" t="str">
        <f t="shared" si="67"/>
        <v/>
      </c>
      <c r="Q465" t="str">
        <f t="shared" si="68"/>
        <v/>
      </c>
      <c r="S465" t="str">
        <f>""</f>
        <v/>
      </c>
      <c r="AL465" s="18" t="str">
        <f>IF(COUNTIF($A$2:A464, A464) = 1, A464, "")</f>
        <v/>
      </c>
    </row>
    <row r="466" spans="6:38" x14ac:dyDescent="0.2">
      <c r="F466" t="str">
        <f t="shared" si="63"/>
        <v/>
      </c>
      <c r="L466" s="7" t="str">
        <f t="shared" si="64"/>
        <v/>
      </c>
      <c r="N466" s="7" t="str">
        <f t="shared" si="65"/>
        <v/>
      </c>
      <c r="O466" t="str">
        <f t="shared" si="66"/>
        <v/>
      </c>
      <c r="P466" t="str">
        <f t="shared" si="67"/>
        <v/>
      </c>
      <c r="Q466" t="str">
        <f t="shared" si="68"/>
        <v/>
      </c>
      <c r="S466" t="str">
        <f>""</f>
        <v/>
      </c>
      <c r="AL466" s="18" t="str">
        <f>IF(COUNTIF($A$2:A465, A465) = 1, A465, "")</f>
        <v/>
      </c>
    </row>
    <row r="467" spans="6:38" x14ac:dyDescent="0.2">
      <c r="F467" t="str">
        <f t="shared" si="63"/>
        <v/>
      </c>
      <c r="L467" s="7" t="str">
        <f t="shared" si="64"/>
        <v/>
      </c>
      <c r="N467" s="7" t="str">
        <f t="shared" si="65"/>
        <v/>
      </c>
      <c r="O467" t="str">
        <f t="shared" si="66"/>
        <v/>
      </c>
      <c r="P467" t="str">
        <f t="shared" si="67"/>
        <v/>
      </c>
      <c r="Q467" t="str">
        <f t="shared" si="68"/>
        <v/>
      </c>
      <c r="S467" t="str">
        <f>""</f>
        <v/>
      </c>
      <c r="AL467" s="18" t="str">
        <f>IF(COUNTIF($A$2:A466, A466) = 1, A466, "")</f>
        <v/>
      </c>
    </row>
    <row r="468" spans="6:38" x14ac:dyDescent="0.2">
      <c r="F468" t="str">
        <f t="shared" si="63"/>
        <v/>
      </c>
      <c r="L468" s="7" t="str">
        <f t="shared" si="64"/>
        <v/>
      </c>
      <c r="N468" s="7" t="str">
        <f t="shared" si="65"/>
        <v/>
      </c>
      <c r="O468" t="str">
        <f t="shared" si="66"/>
        <v/>
      </c>
      <c r="P468" t="str">
        <f t="shared" si="67"/>
        <v/>
      </c>
      <c r="Q468" t="str">
        <f t="shared" si="68"/>
        <v/>
      </c>
      <c r="S468" t="str">
        <f>""</f>
        <v/>
      </c>
      <c r="AL468" s="18" t="str">
        <f>IF(COUNTIF($A$2:A467, A467) = 1, A467, "")</f>
        <v/>
      </c>
    </row>
    <row r="469" spans="6:38" x14ac:dyDescent="0.2">
      <c r="F469" t="str">
        <f t="shared" si="63"/>
        <v/>
      </c>
      <c r="L469" s="7" t="str">
        <f t="shared" si="64"/>
        <v/>
      </c>
      <c r="N469" s="7" t="str">
        <f t="shared" si="65"/>
        <v/>
      </c>
      <c r="O469" t="str">
        <f t="shared" si="66"/>
        <v/>
      </c>
      <c r="P469" t="str">
        <f t="shared" si="67"/>
        <v/>
      </c>
      <c r="Q469" t="str">
        <f t="shared" si="68"/>
        <v/>
      </c>
      <c r="S469" t="str">
        <f>""</f>
        <v/>
      </c>
      <c r="AL469" s="18" t="str">
        <f>IF(COUNTIF($A$2:A468, A468) = 1, A468, "")</f>
        <v/>
      </c>
    </row>
    <row r="470" spans="6:38" x14ac:dyDescent="0.2">
      <c r="F470" t="str">
        <f t="shared" si="63"/>
        <v/>
      </c>
      <c r="L470" s="7" t="str">
        <f t="shared" si="64"/>
        <v/>
      </c>
      <c r="N470" s="7" t="str">
        <f t="shared" si="65"/>
        <v/>
      </c>
      <c r="O470" t="str">
        <f t="shared" si="66"/>
        <v/>
      </c>
      <c r="P470" t="str">
        <f t="shared" si="67"/>
        <v/>
      </c>
      <c r="Q470" t="str">
        <f t="shared" si="68"/>
        <v/>
      </c>
      <c r="S470" t="str">
        <f>""</f>
        <v/>
      </c>
      <c r="AL470" s="18" t="str">
        <f>IF(COUNTIF($A$2:A469, A469) = 1, A469, "")</f>
        <v/>
      </c>
    </row>
    <row r="471" spans="6:38" x14ac:dyDescent="0.2">
      <c r="F471" t="str">
        <f t="shared" si="63"/>
        <v/>
      </c>
      <c r="L471" s="7" t="str">
        <f t="shared" si="64"/>
        <v/>
      </c>
      <c r="N471" s="7" t="str">
        <f t="shared" si="65"/>
        <v/>
      </c>
      <c r="O471" t="str">
        <f t="shared" si="66"/>
        <v/>
      </c>
      <c r="P471" t="str">
        <f t="shared" si="67"/>
        <v/>
      </c>
      <c r="Q471" t="str">
        <f t="shared" si="68"/>
        <v/>
      </c>
      <c r="S471" t="str">
        <f>""</f>
        <v/>
      </c>
      <c r="AL471" s="18" t="str">
        <f>IF(COUNTIF($A$2:A470, A470) = 1, A470, "")</f>
        <v/>
      </c>
    </row>
    <row r="472" spans="6:38" x14ac:dyDescent="0.2">
      <c r="F472" t="str">
        <f t="shared" si="63"/>
        <v/>
      </c>
      <c r="L472" s="7" t="str">
        <f t="shared" si="64"/>
        <v/>
      </c>
      <c r="N472" s="7" t="str">
        <f t="shared" si="65"/>
        <v/>
      </c>
      <c r="O472" t="str">
        <f t="shared" si="66"/>
        <v/>
      </c>
      <c r="P472" t="str">
        <f t="shared" si="67"/>
        <v/>
      </c>
      <c r="Q472" t="str">
        <f t="shared" si="68"/>
        <v/>
      </c>
      <c r="S472" t="str">
        <f>""</f>
        <v/>
      </c>
      <c r="AL472" s="18" t="str">
        <f>IF(COUNTIF($A$2:A471, A471) = 1, A471, "")</f>
        <v/>
      </c>
    </row>
    <row r="473" spans="6:38" x14ac:dyDescent="0.2">
      <c r="F473" t="str">
        <f t="shared" si="63"/>
        <v/>
      </c>
      <c r="L473" s="7" t="str">
        <f t="shared" si="64"/>
        <v/>
      </c>
      <c r="N473" s="7" t="str">
        <f t="shared" si="65"/>
        <v/>
      </c>
      <c r="O473" t="str">
        <f t="shared" si="66"/>
        <v/>
      </c>
      <c r="P473" t="str">
        <f t="shared" si="67"/>
        <v/>
      </c>
      <c r="Q473" t="str">
        <f t="shared" si="68"/>
        <v/>
      </c>
      <c r="S473" t="str">
        <f>""</f>
        <v/>
      </c>
      <c r="AL473" s="18" t="str">
        <f>IF(COUNTIF($A$2:A472, A472) = 1, A472, "")</f>
        <v/>
      </c>
    </row>
    <row r="474" spans="6:38" x14ac:dyDescent="0.2">
      <c r="F474" t="str">
        <f t="shared" si="63"/>
        <v/>
      </c>
      <c r="L474" s="7" t="str">
        <f t="shared" si="64"/>
        <v/>
      </c>
      <c r="N474" s="7" t="str">
        <f t="shared" si="65"/>
        <v/>
      </c>
      <c r="O474" t="str">
        <f t="shared" si="66"/>
        <v/>
      </c>
      <c r="P474" t="str">
        <f t="shared" si="67"/>
        <v/>
      </c>
      <c r="Q474" t="str">
        <f t="shared" si="68"/>
        <v/>
      </c>
      <c r="S474" t="str">
        <f>""</f>
        <v/>
      </c>
      <c r="AL474" s="18" t="str">
        <f>IF(COUNTIF($A$2:A473, A473) = 1, A473, "")</f>
        <v/>
      </c>
    </row>
    <row r="475" spans="6:38" x14ac:dyDescent="0.2">
      <c r="F475" t="str">
        <f t="shared" si="63"/>
        <v/>
      </c>
      <c r="L475" s="7" t="str">
        <f t="shared" si="64"/>
        <v/>
      </c>
      <c r="N475" s="7" t="str">
        <f t="shared" si="65"/>
        <v/>
      </c>
      <c r="O475" t="str">
        <f t="shared" si="66"/>
        <v/>
      </c>
      <c r="P475" t="str">
        <f t="shared" si="67"/>
        <v/>
      </c>
      <c r="Q475" t="str">
        <f t="shared" si="68"/>
        <v/>
      </c>
      <c r="S475" t="str">
        <f>""</f>
        <v/>
      </c>
      <c r="AL475" s="18" t="str">
        <f>IF(COUNTIF($A$2:A474, A474) = 1, A474, "")</f>
        <v/>
      </c>
    </row>
    <row r="476" spans="6:38" x14ac:dyDescent="0.2">
      <c r="F476" t="str">
        <f t="shared" si="63"/>
        <v/>
      </c>
      <c r="L476" s="7" t="str">
        <f t="shared" si="64"/>
        <v/>
      </c>
      <c r="N476" s="7" t="str">
        <f t="shared" si="65"/>
        <v/>
      </c>
      <c r="O476" t="str">
        <f t="shared" si="66"/>
        <v/>
      </c>
      <c r="P476" t="str">
        <f t="shared" si="67"/>
        <v/>
      </c>
      <c r="Q476" t="str">
        <f t="shared" si="68"/>
        <v/>
      </c>
      <c r="S476" t="str">
        <f>""</f>
        <v/>
      </c>
      <c r="AL476" s="18" t="str">
        <f>IF(COUNTIF($A$2:A475, A475) = 1, A475, "")</f>
        <v/>
      </c>
    </row>
    <row r="477" spans="6:38" x14ac:dyDescent="0.2">
      <c r="F477" t="str">
        <f t="shared" si="63"/>
        <v/>
      </c>
      <c r="L477" s="7" t="str">
        <f t="shared" si="64"/>
        <v/>
      </c>
      <c r="N477" s="7" t="str">
        <f t="shared" si="65"/>
        <v/>
      </c>
      <c r="O477" t="str">
        <f t="shared" si="66"/>
        <v/>
      </c>
      <c r="P477" t="str">
        <f t="shared" si="67"/>
        <v/>
      </c>
      <c r="Q477" t="str">
        <f t="shared" si="68"/>
        <v/>
      </c>
      <c r="S477" t="str">
        <f>""</f>
        <v/>
      </c>
      <c r="AL477" s="18" t="str">
        <f>IF(COUNTIF($A$2:A476, A476) = 1, A476, "")</f>
        <v/>
      </c>
    </row>
    <row r="478" spans="6:38" x14ac:dyDescent="0.2">
      <c r="F478" t="str">
        <f t="shared" si="63"/>
        <v/>
      </c>
      <c r="L478" s="7" t="str">
        <f t="shared" si="64"/>
        <v/>
      </c>
      <c r="N478" s="7" t="str">
        <f t="shared" si="65"/>
        <v/>
      </c>
      <c r="O478" t="str">
        <f t="shared" si="66"/>
        <v/>
      </c>
      <c r="P478" t="str">
        <f t="shared" si="67"/>
        <v/>
      </c>
      <c r="Q478" t="str">
        <f t="shared" si="68"/>
        <v/>
      </c>
      <c r="S478" t="str">
        <f>""</f>
        <v/>
      </c>
      <c r="AL478" s="18" t="str">
        <f>IF(COUNTIF($A$2:A477, A477) = 1, A477, "")</f>
        <v/>
      </c>
    </row>
    <row r="479" spans="6:38" x14ac:dyDescent="0.2">
      <c r="F479" t="str">
        <f t="shared" si="63"/>
        <v/>
      </c>
      <c r="L479" s="7" t="str">
        <f t="shared" si="64"/>
        <v/>
      </c>
      <c r="N479" s="7" t="str">
        <f t="shared" si="65"/>
        <v/>
      </c>
      <c r="O479" t="str">
        <f t="shared" si="66"/>
        <v/>
      </c>
      <c r="P479" t="str">
        <f t="shared" si="67"/>
        <v/>
      </c>
      <c r="Q479" t="str">
        <f t="shared" si="68"/>
        <v/>
      </c>
      <c r="S479" t="str">
        <f>""</f>
        <v/>
      </c>
      <c r="AL479" s="18" t="str">
        <f>IF(COUNTIF($A$2:A478, A478) = 1, A478, "")</f>
        <v/>
      </c>
    </row>
    <row r="480" spans="6:38" x14ac:dyDescent="0.2">
      <c r="F480" t="str">
        <f t="shared" si="63"/>
        <v/>
      </c>
      <c r="L480" s="7" t="str">
        <f t="shared" si="64"/>
        <v/>
      </c>
      <c r="N480" s="7" t="str">
        <f t="shared" si="65"/>
        <v/>
      </c>
      <c r="O480" t="str">
        <f t="shared" si="66"/>
        <v/>
      </c>
      <c r="P480" t="str">
        <f t="shared" si="67"/>
        <v/>
      </c>
      <c r="Q480" t="str">
        <f t="shared" si="68"/>
        <v/>
      </c>
      <c r="S480" t="str">
        <f>""</f>
        <v/>
      </c>
      <c r="AL480" s="18" t="str">
        <f>IF(COUNTIF($A$2:A479, A479) = 1, A479, "")</f>
        <v/>
      </c>
    </row>
    <row r="481" spans="6:38" x14ac:dyDescent="0.2">
      <c r="F481" t="str">
        <f t="shared" si="63"/>
        <v/>
      </c>
      <c r="L481" s="7" t="str">
        <f t="shared" si="64"/>
        <v/>
      </c>
      <c r="N481" s="7" t="str">
        <f t="shared" si="65"/>
        <v/>
      </c>
      <c r="O481" t="str">
        <f t="shared" si="66"/>
        <v/>
      </c>
      <c r="P481" t="str">
        <f t="shared" si="67"/>
        <v/>
      </c>
      <c r="Q481" t="str">
        <f t="shared" si="68"/>
        <v/>
      </c>
      <c r="S481" t="str">
        <f>""</f>
        <v/>
      </c>
      <c r="AL481" s="18" t="str">
        <f>IF(COUNTIF($A$2:A480, A480) = 1, A480, "")</f>
        <v/>
      </c>
    </row>
    <row r="482" spans="6:38" x14ac:dyDescent="0.2">
      <c r="F482" t="str">
        <f t="shared" si="63"/>
        <v/>
      </c>
      <c r="L482" s="7" t="str">
        <f t="shared" si="64"/>
        <v/>
      </c>
      <c r="N482" s="7" t="str">
        <f t="shared" si="65"/>
        <v/>
      </c>
      <c r="O482" t="str">
        <f t="shared" si="66"/>
        <v/>
      </c>
      <c r="P482" t="str">
        <f t="shared" si="67"/>
        <v/>
      </c>
      <c r="Q482" t="str">
        <f t="shared" si="68"/>
        <v/>
      </c>
      <c r="S482" t="str">
        <f>""</f>
        <v/>
      </c>
      <c r="AL482" s="18" t="str">
        <f>IF(COUNTIF($A$2:A481, A481) = 1, A481, "")</f>
        <v/>
      </c>
    </row>
    <row r="483" spans="6:38" x14ac:dyDescent="0.2">
      <c r="F483" t="str">
        <f t="shared" si="63"/>
        <v/>
      </c>
      <c r="L483" s="7" t="str">
        <f t="shared" si="64"/>
        <v/>
      </c>
      <c r="N483" s="7" t="str">
        <f t="shared" si="65"/>
        <v/>
      </c>
      <c r="O483" t="str">
        <f t="shared" si="66"/>
        <v/>
      </c>
      <c r="P483" t="str">
        <f t="shared" si="67"/>
        <v/>
      </c>
      <c r="Q483" t="str">
        <f t="shared" si="68"/>
        <v/>
      </c>
      <c r="S483" t="str">
        <f>""</f>
        <v/>
      </c>
      <c r="AL483" s="18" t="str">
        <f>IF(COUNTIF($A$2:A482, A482) = 1, A482, "")</f>
        <v/>
      </c>
    </row>
    <row r="484" spans="6:38" x14ac:dyDescent="0.2">
      <c r="F484" t="str">
        <f t="shared" si="63"/>
        <v/>
      </c>
      <c r="L484" s="7" t="str">
        <f t="shared" si="64"/>
        <v/>
      </c>
      <c r="N484" s="7" t="str">
        <f t="shared" si="65"/>
        <v/>
      </c>
      <c r="O484" t="str">
        <f t="shared" si="66"/>
        <v/>
      </c>
      <c r="P484" t="str">
        <f t="shared" si="67"/>
        <v/>
      </c>
      <c r="Q484" t="str">
        <f t="shared" si="68"/>
        <v/>
      </c>
      <c r="S484" t="str">
        <f>""</f>
        <v/>
      </c>
      <c r="AL484" s="18" t="str">
        <f>IF(COUNTIF($A$2:A483, A483) = 1, A483, "")</f>
        <v/>
      </c>
    </row>
    <row r="485" spans="6:38" x14ac:dyDescent="0.2">
      <c r="F485" t="str">
        <f t="shared" si="63"/>
        <v/>
      </c>
      <c r="L485" s="7" t="str">
        <f t="shared" si="64"/>
        <v/>
      </c>
      <c r="N485" s="7" t="str">
        <f t="shared" si="65"/>
        <v/>
      </c>
      <c r="O485" t="str">
        <f t="shared" si="66"/>
        <v/>
      </c>
      <c r="P485" t="str">
        <f t="shared" si="67"/>
        <v/>
      </c>
      <c r="Q485" t="str">
        <f t="shared" si="68"/>
        <v/>
      </c>
      <c r="S485" t="str">
        <f>""</f>
        <v/>
      </c>
      <c r="AL485" s="18" t="str">
        <f>IF(COUNTIF($A$2:A484, A484) = 1, A484, "")</f>
        <v/>
      </c>
    </row>
    <row r="486" spans="6:38" x14ac:dyDescent="0.2">
      <c r="F486" t="str">
        <f t="shared" si="63"/>
        <v/>
      </c>
      <c r="L486" s="7" t="str">
        <f t="shared" si="64"/>
        <v/>
      </c>
      <c r="N486" s="7" t="str">
        <f t="shared" si="65"/>
        <v/>
      </c>
      <c r="O486" t="str">
        <f t="shared" si="66"/>
        <v/>
      </c>
      <c r="P486" t="str">
        <f t="shared" si="67"/>
        <v/>
      </c>
      <c r="Q486" t="str">
        <f t="shared" si="68"/>
        <v/>
      </c>
      <c r="S486" t="str">
        <f>""</f>
        <v/>
      </c>
      <c r="AL486" s="18" t="str">
        <f>IF(COUNTIF($A$2:A485, A485) = 1, A485, "")</f>
        <v/>
      </c>
    </row>
    <row r="487" spans="6:38" x14ac:dyDescent="0.2">
      <c r="F487" t="str">
        <f t="shared" si="63"/>
        <v/>
      </c>
      <c r="L487" s="7" t="str">
        <f t="shared" si="64"/>
        <v/>
      </c>
      <c r="N487" s="7" t="str">
        <f t="shared" si="65"/>
        <v/>
      </c>
      <c r="O487" t="str">
        <f t="shared" si="66"/>
        <v/>
      </c>
      <c r="P487" t="str">
        <f t="shared" si="67"/>
        <v/>
      </c>
      <c r="Q487" t="str">
        <f t="shared" si="68"/>
        <v/>
      </c>
      <c r="S487" t="str">
        <f>""</f>
        <v/>
      </c>
      <c r="AL487" s="18" t="str">
        <f>IF(COUNTIF($A$2:A486, A486) = 1, A486, "")</f>
        <v/>
      </c>
    </row>
    <row r="488" spans="6:38" x14ac:dyDescent="0.2">
      <c r="F488" t="str">
        <f t="shared" si="63"/>
        <v/>
      </c>
      <c r="L488" s="7" t="str">
        <f t="shared" si="64"/>
        <v/>
      </c>
      <c r="N488" s="7" t="str">
        <f t="shared" si="65"/>
        <v/>
      </c>
      <c r="O488" t="str">
        <f t="shared" si="66"/>
        <v/>
      </c>
      <c r="P488" t="str">
        <f t="shared" si="67"/>
        <v/>
      </c>
      <c r="Q488" t="str">
        <f t="shared" si="68"/>
        <v/>
      </c>
      <c r="S488" t="str">
        <f>""</f>
        <v/>
      </c>
      <c r="AL488" s="18" t="str">
        <f>IF(COUNTIF($A$2:A487, A487) = 1, A487, "")</f>
        <v/>
      </c>
    </row>
    <row r="489" spans="6:38" x14ac:dyDescent="0.2">
      <c r="F489" t="str">
        <f t="shared" si="63"/>
        <v/>
      </c>
      <c r="L489" s="7" t="str">
        <f t="shared" si="64"/>
        <v/>
      </c>
      <c r="N489" s="7" t="str">
        <f t="shared" si="65"/>
        <v/>
      </c>
      <c r="O489" t="str">
        <f t="shared" si="66"/>
        <v/>
      </c>
      <c r="P489" t="str">
        <f t="shared" si="67"/>
        <v/>
      </c>
      <c r="Q489" t="str">
        <f t="shared" si="68"/>
        <v/>
      </c>
      <c r="S489" t="str">
        <f>""</f>
        <v/>
      </c>
      <c r="AL489" s="18" t="str">
        <f>IF(COUNTIF($A$2:A488, A488) = 1, A488, "")</f>
        <v/>
      </c>
    </row>
    <row r="490" spans="6:38" x14ac:dyDescent="0.2">
      <c r="F490" t="str">
        <f t="shared" si="63"/>
        <v/>
      </c>
      <c r="L490" s="7" t="str">
        <f t="shared" si="64"/>
        <v/>
      </c>
      <c r="N490" s="7" t="str">
        <f t="shared" si="65"/>
        <v/>
      </c>
      <c r="O490" t="str">
        <f t="shared" si="66"/>
        <v/>
      </c>
      <c r="P490" t="str">
        <f t="shared" si="67"/>
        <v/>
      </c>
      <c r="Q490" t="str">
        <f t="shared" si="68"/>
        <v/>
      </c>
      <c r="S490" t="str">
        <f>""</f>
        <v/>
      </c>
      <c r="AL490" s="18" t="str">
        <f>IF(COUNTIF($A$2:A489, A489) = 1, A489, "")</f>
        <v/>
      </c>
    </row>
    <row r="491" spans="6:38" x14ac:dyDescent="0.2">
      <c r="F491" t="str">
        <f t="shared" si="63"/>
        <v/>
      </c>
      <c r="L491" s="7" t="str">
        <f t="shared" si="64"/>
        <v/>
      </c>
      <c r="N491" s="7" t="str">
        <f t="shared" si="65"/>
        <v/>
      </c>
      <c r="O491" t="str">
        <f t="shared" si="66"/>
        <v/>
      </c>
      <c r="P491" t="str">
        <f t="shared" si="67"/>
        <v/>
      </c>
      <c r="Q491" t="str">
        <f t="shared" si="68"/>
        <v/>
      </c>
      <c r="S491" t="str">
        <f>""</f>
        <v/>
      </c>
      <c r="AL491" s="18" t="str">
        <f>IF(COUNTIF($A$2:A490, A490) = 1, A490, "")</f>
        <v/>
      </c>
    </row>
    <row r="492" spans="6:38" x14ac:dyDescent="0.2">
      <c r="F492" t="str">
        <f t="shared" si="63"/>
        <v/>
      </c>
      <c r="L492" s="7" t="str">
        <f t="shared" si="64"/>
        <v/>
      </c>
      <c r="N492" s="7" t="str">
        <f t="shared" si="65"/>
        <v/>
      </c>
      <c r="O492" t="str">
        <f t="shared" si="66"/>
        <v/>
      </c>
      <c r="P492" t="str">
        <f t="shared" si="67"/>
        <v/>
      </c>
      <c r="Q492" t="str">
        <f t="shared" si="68"/>
        <v/>
      </c>
      <c r="S492" t="str">
        <f>""</f>
        <v/>
      </c>
      <c r="AL492" s="18" t="str">
        <f>IF(COUNTIF($A$2:A491, A491) = 1, A491, "")</f>
        <v/>
      </c>
    </row>
    <row r="493" spans="6:38" x14ac:dyDescent="0.2">
      <c r="F493" t="str">
        <f t="shared" si="63"/>
        <v/>
      </c>
      <c r="L493" s="7" t="str">
        <f t="shared" si="64"/>
        <v/>
      </c>
      <c r="N493" s="7" t="str">
        <f t="shared" si="65"/>
        <v/>
      </c>
      <c r="O493" t="str">
        <f t="shared" si="66"/>
        <v/>
      </c>
      <c r="P493" t="str">
        <f t="shared" si="67"/>
        <v/>
      </c>
      <c r="Q493" t="str">
        <f t="shared" si="68"/>
        <v/>
      </c>
      <c r="S493" t="str">
        <f>""</f>
        <v/>
      </c>
      <c r="AL493" s="18" t="str">
        <f>IF(COUNTIF($A$2:A492, A492) = 1, A492, "")</f>
        <v/>
      </c>
    </row>
    <row r="494" spans="6:38" x14ac:dyDescent="0.2">
      <c r="F494" t="str">
        <f t="shared" si="63"/>
        <v/>
      </c>
      <c r="L494" s="7" t="str">
        <f t="shared" si="64"/>
        <v/>
      </c>
      <c r="N494" s="7" t="str">
        <f t="shared" si="65"/>
        <v/>
      </c>
      <c r="O494" t="str">
        <f t="shared" si="66"/>
        <v/>
      </c>
      <c r="P494" t="str">
        <f t="shared" si="67"/>
        <v/>
      </c>
      <c r="Q494" t="str">
        <f t="shared" si="68"/>
        <v/>
      </c>
      <c r="S494" t="str">
        <f>""</f>
        <v/>
      </c>
      <c r="AL494" s="18" t="str">
        <f>IF(COUNTIF($A$2:A493, A493) = 1, A493, "")</f>
        <v/>
      </c>
    </row>
    <row r="495" spans="6:38" x14ac:dyDescent="0.2">
      <c r="F495" t="str">
        <f t="shared" si="63"/>
        <v/>
      </c>
      <c r="L495" s="7" t="str">
        <f t="shared" si="64"/>
        <v/>
      </c>
      <c r="N495" s="7" t="str">
        <f t="shared" si="65"/>
        <v/>
      </c>
      <c r="O495" t="str">
        <f t="shared" si="66"/>
        <v/>
      </c>
      <c r="P495" t="str">
        <f t="shared" si="67"/>
        <v/>
      </c>
      <c r="Q495" t="str">
        <f t="shared" si="68"/>
        <v/>
      </c>
      <c r="S495" t="str">
        <f>""</f>
        <v/>
      </c>
      <c r="AL495" s="18" t="str">
        <f>IF(COUNTIF($A$2:A494, A494) = 1, A494, "")</f>
        <v/>
      </c>
    </row>
    <row r="496" spans="6:38" x14ac:dyDescent="0.2">
      <c r="F496" t="str">
        <f t="shared" si="63"/>
        <v/>
      </c>
      <c r="L496" s="7" t="str">
        <f t="shared" si="64"/>
        <v/>
      </c>
      <c r="N496" s="7" t="str">
        <f t="shared" si="65"/>
        <v/>
      </c>
      <c r="O496" t="str">
        <f t="shared" si="66"/>
        <v/>
      </c>
      <c r="P496" t="str">
        <f t="shared" si="67"/>
        <v/>
      </c>
      <c r="Q496" t="str">
        <f t="shared" si="68"/>
        <v/>
      </c>
      <c r="S496" t="str">
        <f>""</f>
        <v/>
      </c>
      <c r="AL496" s="18" t="str">
        <f>IF(COUNTIF($A$2:A495, A495) = 1, A495, "")</f>
        <v/>
      </c>
    </row>
    <row r="497" spans="6:38" x14ac:dyDescent="0.2">
      <c r="F497" t="str">
        <f t="shared" si="63"/>
        <v/>
      </c>
      <c r="L497" s="7" t="str">
        <f t="shared" si="64"/>
        <v/>
      </c>
      <c r="N497" s="7" t="str">
        <f t="shared" si="65"/>
        <v/>
      </c>
      <c r="O497" t="str">
        <f t="shared" si="66"/>
        <v/>
      </c>
      <c r="P497" t="str">
        <f t="shared" si="67"/>
        <v/>
      </c>
      <c r="Q497" t="str">
        <f t="shared" si="68"/>
        <v/>
      </c>
      <c r="S497" t="str">
        <f>""</f>
        <v/>
      </c>
      <c r="AL497" s="18" t="str">
        <f>IF(COUNTIF($A$2:A496, A496) = 1, A496, "")</f>
        <v/>
      </c>
    </row>
    <row r="498" spans="6:38" x14ac:dyDescent="0.2">
      <c r="F498" t="str">
        <f t="shared" si="63"/>
        <v/>
      </c>
      <c r="L498" s="7" t="str">
        <f t="shared" si="64"/>
        <v/>
      </c>
      <c r="N498" s="7" t="str">
        <f t="shared" si="65"/>
        <v/>
      </c>
      <c r="O498" t="str">
        <f t="shared" si="66"/>
        <v/>
      </c>
      <c r="P498" t="str">
        <f t="shared" si="67"/>
        <v/>
      </c>
      <c r="Q498" t="str">
        <f t="shared" si="68"/>
        <v/>
      </c>
      <c r="S498" t="str">
        <f>""</f>
        <v/>
      </c>
      <c r="AL498" s="18" t="str">
        <f>IF(COUNTIF($A$2:A497, A497) = 1, A497, "")</f>
        <v/>
      </c>
    </row>
    <row r="499" spans="6:38" x14ac:dyDescent="0.2">
      <c r="F499" t="str">
        <f t="shared" si="63"/>
        <v/>
      </c>
      <c r="L499" s="7" t="str">
        <f t="shared" si="64"/>
        <v/>
      </c>
      <c r="N499" s="7" t="str">
        <f t="shared" si="65"/>
        <v/>
      </c>
      <c r="O499" t="str">
        <f t="shared" si="66"/>
        <v/>
      </c>
      <c r="P499" t="str">
        <f t="shared" si="67"/>
        <v/>
      </c>
      <c r="Q499" t="str">
        <f t="shared" si="68"/>
        <v/>
      </c>
      <c r="S499" t="str">
        <f>""</f>
        <v/>
      </c>
      <c r="AL499" s="18" t="str">
        <f>IF(COUNTIF($A$2:A498, A498) = 1, A498, "")</f>
        <v/>
      </c>
    </row>
    <row r="500" spans="6:38" x14ac:dyDescent="0.2">
      <c r="F500" t="str">
        <f t="shared" si="63"/>
        <v/>
      </c>
      <c r="L500" s="7" t="str">
        <f t="shared" si="64"/>
        <v/>
      </c>
      <c r="N500" s="7" t="str">
        <f t="shared" si="65"/>
        <v/>
      </c>
      <c r="O500" t="str">
        <f t="shared" si="66"/>
        <v/>
      </c>
      <c r="P500" t="str">
        <f t="shared" si="67"/>
        <v/>
      </c>
      <c r="Q500" t="str">
        <f t="shared" si="68"/>
        <v/>
      </c>
      <c r="S500" t="str">
        <f>""</f>
        <v/>
      </c>
      <c r="AL500" s="18" t="str">
        <f>IF(COUNTIF($A$2:A499, A499) = 1, A499, "")</f>
        <v/>
      </c>
    </row>
    <row r="501" spans="6:38" x14ac:dyDescent="0.2">
      <c r="F501" t="str">
        <f t="shared" si="63"/>
        <v/>
      </c>
      <c r="L501" s="7" t="str">
        <f t="shared" si="64"/>
        <v/>
      </c>
      <c r="N501" s="7" t="str">
        <f t="shared" si="65"/>
        <v/>
      </c>
      <c r="O501" t="str">
        <f t="shared" si="66"/>
        <v/>
      </c>
      <c r="P501" t="str">
        <f t="shared" si="67"/>
        <v/>
      </c>
      <c r="Q501" t="str">
        <f t="shared" si="68"/>
        <v/>
      </c>
      <c r="S501" t="str">
        <f>""</f>
        <v/>
      </c>
      <c r="AL501" s="18" t="str">
        <f>IF(COUNTIF($A$2:A500, A500) = 1, A500, "")</f>
        <v/>
      </c>
    </row>
    <row r="502" spans="6:38" x14ac:dyDescent="0.2">
      <c r="F502" t="str">
        <f t="shared" si="63"/>
        <v/>
      </c>
      <c r="L502" s="7" t="str">
        <f t="shared" si="64"/>
        <v/>
      </c>
      <c r="N502" s="7" t="str">
        <f t="shared" si="65"/>
        <v/>
      </c>
      <c r="O502" t="str">
        <f t="shared" si="66"/>
        <v/>
      </c>
      <c r="P502" t="str">
        <f t="shared" si="67"/>
        <v/>
      </c>
      <c r="Q502" t="str">
        <f t="shared" si="68"/>
        <v/>
      </c>
      <c r="S502" t="str">
        <f>""</f>
        <v/>
      </c>
      <c r="AL502" s="18" t="str">
        <f>IF(COUNTIF($A$2:A501, A501) = 1, A501, "")</f>
        <v/>
      </c>
    </row>
    <row r="503" spans="6:38" x14ac:dyDescent="0.2">
      <c r="F503" t="str">
        <f t="shared" si="63"/>
        <v/>
      </c>
      <c r="L503" s="7" t="str">
        <f t="shared" si="64"/>
        <v/>
      </c>
      <c r="N503" s="7" t="str">
        <f t="shared" si="65"/>
        <v/>
      </c>
      <c r="O503" t="str">
        <f t="shared" si="66"/>
        <v/>
      </c>
      <c r="P503" t="str">
        <f t="shared" si="67"/>
        <v/>
      </c>
      <c r="Q503" t="str">
        <f t="shared" si="68"/>
        <v/>
      </c>
      <c r="S503" t="str">
        <f>""</f>
        <v/>
      </c>
      <c r="AL503" s="18" t="str">
        <f>IF(COUNTIF($A$2:A502, A502) = 1, A502, "")</f>
        <v/>
      </c>
    </row>
    <row r="504" spans="6:38" x14ac:dyDescent="0.2">
      <c r="F504" t="str">
        <f t="shared" si="63"/>
        <v/>
      </c>
      <c r="L504" s="7" t="str">
        <f t="shared" si="64"/>
        <v/>
      </c>
      <c r="N504" s="7" t="str">
        <f t="shared" si="65"/>
        <v/>
      </c>
      <c r="O504" t="str">
        <f t="shared" si="66"/>
        <v/>
      </c>
      <c r="P504" t="str">
        <f t="shared" si="67"/>
        <v/>
      </c>
      <c r="Q504" t="str">
        <f t="shared" si="68"/>
        <v/>
      </c>
      <c r="S504" t="str">
        <f>""</f>
        <v/>
      </c>
      <c r="AL504" s="18" t="str">
        <f>IF(COUNTIF($A$2:A503, A503) = 1, A503, "")</f>
        <v/>
      </c>
    </row>
    <row r="505" spans="6:38" x14ac:dyDescent="0.2">
      <c r="F505" t="str">
        <f t="shared" si="63"/>
        <v/>
      </c>
      <c r="L505" s="7" t="str">
        <f t="shared" si="64"/>
        <v/>
      </c>
      <c r="N505" s="7" t="str">
        <f t="shared" si="65"/>
        <v/>
      </c>
      <c r="O505" t="str">
        <f t="shared" si="66"/>
        <v/>
      </c>
      <c r="P505" t="str">
        <f t="shared" si="67"/>
        <v/>
      </c>
      <c r="Q505" t="str">
        <f t="shared" si="68"/>
        <v/>
      </c>
      <c r="S505" t="str">
        <f>""</f>
        <v/>
      </c>
      <c r="AL505" s="18" t="str">
        <f>IF(COUNTIF($A$2:A504, A504) = 1, A504, "")</f>
        <v/>
      </c>
    </row>
    <row r="506" spans="6:38" x14ac:dyDescent="0.2">
      <c r="F506" t="str">
        <f t="shared" si="63"/>
        <v/>
      </c>
      <c r="L506" s="7" t="str">
        <f t="shared" si="64"/>
        <v/>
      </c>
      <c r="N506" s="7" t="str">
        <f t="shared" si="65"/>
        <v/>
      </c>
      <c r="O506" t="str">
        <f t="shared" si="66"/>
        <v/>
      </c>
      <c r="P506" t="str">
        <f t="shared" si="67"/>
        <v/>
      </c>
      <c r="Q506" t="str">
        <f t="shared" si="68"/>
        <v/>
      </c>
      <c r="S506" t="str">
        <f>""</f>
        <v/>
      </c>
      <c r="AL506" s="18" t="str">
        <f>IF(COUNTIF($A$2:A505, A505) = 1, A505, "")</f>
        <v/>
      </c>
    </row>
    <row r="507" spans="6:38" x14ac:dyDescent="0.2">
      <c r="F507" t="str">
        <f t="shared" si="63"/>
        <v/>
      </c>
      <c r="L507" s="7" t="str">
        <f t="shared" si="64"/>
        <v/>
      </c>
      <c r="N507" s="7" t="str">
        <f t="shared" si="65"/>
        <v/>
      </c>
      <c r="O507" t="str">
        <f t="shared" si="66"/>
        <v/>
      </c>
      <c r="P507" t="str">
        <f t="shared" si="67"/>
        <v/>
      </c>
      <c r="Q507" t="str">
        <f t="shared" si="68"/>
        <v/>
      </c>
      <c r="S507" t="str">
        <f>""</f>
        <v/>
      </c>
      <c r="AL507" s="18" t="str">
        <f>IF(COUNTIF($A$2:A506, A506) = 1, A506, "")</f>
        <v/>
      </c>
    </row>
    <row r="508" spans="6:38" x14ac:dyDescent="0.2">
      <c r="F508" t="str">
        <f t="shared" si="63"/>
        <v/>
      </c>
      <c r="L508" s="7" t="str">
        <f t="shared" si="64"/>
        <v/>
      </c>
      <c r="N508" s="7" t="str">
        <f t="shared" si="65"/>
        <v/>
      </c>
      <c r="O508" t="str">
        <f t="shared" si="66"/>
        <v/>
      </c>
      <c r="P508" t="str">
        <f t="shared" si="67"/>
        <v/>
      </c>
      <c r="Q508" t="str">
        <f t="shared" si="68"/>
        <v/>
      </c>
      <c r="S508" t="str">
        <f>""</f>
        <v/>
      </c>
      <c r="AL508" s="18" t="str">
        <f>IF(COUNTIF($A$2:A507, A507) = 1, A507, "")</f>
        <v/>
      </c>
    </row>
    <row r="509" spans="6:38" x14ac:dyDescent="0.2">
      <c r="F509" t="str">
        <f t="shared" si="63"/>
        <v/>
      </c>
      <c r="L509" s="7" t="str">
        <f t="shared" si="64"/>
        <v/>
      </c>
      <c r="N509" s="7" t="str">
        <f t="shared" si="65"/>
        <v/>
      </c>
      <c r="O509" t="str">
        <f t="shared" si="66"/>
        <v/>
      </c>
      <c r="P509" t="str">
        <f t="shared" si="67"/>
        <v/>
      </c>
      <c r="Q509" t="str">
        <f t="shared" si="68"/>
        <v/>
      </c>
      <c r="S509" t="str">
        <f>""</f>
        <v/>
      </c>
      <c r="AL509" s="18" t="str">
        <f>IF(COUNTIF($A$2:A508, A508) = 1, A508, "")</f>
        <v/>
      </c>
    </row>
    <row r="510" spans="6:38" x14ac:dyDescent="0.2">
      <c r="F510" t="str">
        <f t="shared" si="63"/>
        <v/>
      </c>
      <c r="L510" s="7" t="str">
        <f t="shared" si="64"/>
        <v/>
      </c>
      <c r="N510" s="7" t="str">
        <f t="shared" si="65"/>
        <v/>
      </c>
      <c r="O510" t="str">
        <f t="shared" si="66"/>
        <v/>
      </c>
      <c r="P510" t="str">
        <f t="shared" si="67"/>
        <v/>
      </c>
      <c r="Q510" t="str">
        <f t="shared" si="68"/>
        <v/>
      </c>
      <c r="S510" t="str">
        <f>""</f>
        <v/>
      </c>
      <c r="AL510" s="18" t="str">
        <f>IF(COUNTIF($A$2:A509, A509) = 1, A509, "")</f>
        <v/>
      </c>
    </row>
    <row r="511" spans="6:38" x14ac:dyDescent="0.2">
      <c r="F511" t="str">
        <f t="shared" si="63"/>
        <v/>
      </c>
      <c r="L511" s="7" t="str">
        <f t="shared" si="64"/>
        <v/>
      </c>
      <c r="N511" s="7" t="str">
        <f t="shared" si="65"/>
        <v/>
      </c>
      <c r="O511" t="str">
        <f t="shared" si="66"/>
        <v/>
      </c>
      <c r="P511" t="str">
        <f t="shared" si="67"/>
        <v/>
      </c>
      <c r="Q511" t="str">
        <f t="shared" si="68"/>
        <v/>
      </c>
      <c r="S511" t="str">
        <f>""</f>
        <v/>
      </c>
      <c r="AL511" s="18" t="str">
        <f>IF(COUNTIF($A$2:A510, A510) = 1, A510, "")</f>
        <v/>
      </c>
    </row>
    <row r="512" spans="6:38" x14ac:dyDescent="0.2">
      <c r="F512" t="str">
        <f t="shared" si="63"/>
        <v/>
      </c>
      <c r="L512" s="7" t="str">
        <f t="shared" si="64"/>
        <v/>
      </c>
      <c r="N512" s="7" t="str">
        <f t="shared" si="65"/>
        <v/>
      </c>
      <c r="O512" t="str">
        <f t="shared" si="66"/>
        <v/>
      </c>
      <c r="P512" t="str">
        <f t="shared" si="67"/>
        <v/>
      </c>
      <c r="Q512" t="str">
        <f t="shared" si="68"/>
        <v/>
      </c>
      <c r="S512" t="str">
        <f>""</f>
        <v/>
      </c>
      <c r="AL512" s="18" t="str">
        <f>IF(COUNTIF($A$2:A511, A511) = 1, A511, "")</f>
        <v/>
      </c>
    </row>
    <row r="513" spans="6:38" x14ac:dyDescent="0.2">
      <c r="F513" t="str">
        <f t="shared" si="63"/>
        <v/>
      </c>
      <c r="L513" s="7" t="str">
        <f t="shared" si="64"/>
        <v/>
      </c>
      <c r="N513" s="7" t="str">
        <f t="shared" si="65"/>
        <v/>
      </c>
      <c r="O513" t="str">
        <f t="shared" si="66"/>
        <v/>
      </c>
      <c r="P513" t="str">
        <f t="shared" si="67"/>
        <v/>
      </c>
      <c r="Q513" t="str">
        <f t="shared" si="68"/>
        <v/>
      </c>
      <c r="S513" t="str">
        <f>""</f>
        <v/>
      </c>
      <c r="AL513" s="18" t="str">
        <f>IF(COUNTIF($A$2:A512, A512) = 1, A512, "")</f>
        <v/>
      </c>
    </row>
    <row r="514" spans="6:38" x14ac:dyDescent="0.2">
      <c r="F514" t="str">
        <f t="shared" si="63"/>
        <v/>
      </c>
      <c r="L514" s="7" t="str">
        <f t="shared" si="64"/>
        <v/>
      </c>
      <c r="N514" s="7" t="str">
        <f t="shared" si="65"/>
        <v/>
      </c>
      <c r="O514" t="str">
        <f t="shared" si="66"/>
        <v/>
      </c>
      <c r="P514" t="str">
        <f t="shared" si="67"/>
        <v/>
      </c>
      <c r="Q514" t="str">
        <f t="shared" si="68"/>
        <v/>
      </c>
      <c r="S514" t="str">
        <f>""</f>
        <v/>
      </c>
      <c r="AL514" s="18" t="str">
        <f>IF(COUNTIF($A$2:A513, A513) = 1, A513, "")</f>
        <v/>
      </c>
    </row>
    <row r="515" spans="6:38" x14ac:dyDescent="0.2">
      <c r="F515" t="str">
        <f t="shared" si="63"/>
        <v/>
      </c>
      <c r="L515" s="7" t="str">
        <f t="shared" si="64"/>
        <v/>
      </c>
      <c r="N515" s="7" t="str">
        <f t="shared" si="65"/>
        <v/>
      </c>
      <c r="O515" t="str">
        <f t="shared" si="66"/>
        <v/>
      </c>
      <c r="P515" t="str">
        <f t="shared" si="67"/>
        <v/>
      </c>
      <c r="Q515" t="str">
        <f t="shared" si="68"/>
        <v/>
      </c>
      <c r="S515" t="str">
        <f>""</f>
        <v/>
      </c>
      <c r="AL515" s="18" t="str">
        <f>IF(COUNTIF($A$2:A514, A514) = 1, A514, "")</f>
        <v/>
      </c>
    </row>
    <row r="516" spans="6:38" x14ac:dyDescent="0.2">
      <c r="F516" t="str">
        <f t="shared" si="63"/>
        <v/>
      </c>
      <c r="L516" s="7" t="str">
        <f t="shared" si="64"/>
        <v/>
      </c>
      <c r="N516" s="7" t="str">
        <f t="shared" si="65"/>
        <v/>
      </c>
      <c r="O516" t="str">
        <f t="shared" si="66"/>
        <v/>
      </c>
      <c r="P516" t="str">
        <f t="shared" si="67"/>
        <v/>
      </c>
      <c r="Q516" t="str">
        <f t="shared" si="68"/>
        <v/>
      </c>
      <c r="S516" t="str">
        <f>""</f>
        <v/>
      </c>
      <c r="AL516" s="18" t="str">
        <f>IF(COUNTIF($A$2:A515, A515) = 1, A515, "")</f>
        <v/>
      </c>
    </row>
    <row r="517" spans="6:38" x14ac:dyDescent="0.2">
      <c r="F517" t="str">
        <f t="shared" si="63"/>
        <v/>
      </c>
      <c r="L517" s="7" t="str">
        <f t="shared" si="64"/>
        <v/>
      </c>
      <c r="N517" s="7" t="str">
        <f t="shared" si="65"/>
        <v/>
      </c>
      <c r="O517" t="str">
        <f t="shared" si="66"/>
        <v/>
      </c>
      <c r="P517" t="str">
        <f t="shared" si="67"/>
        <v/>
      </c>
      <c r="Q517" t="str">
        <f t="shared" si="68"/>
        <v/>
      </c>
      <c r="S517" t="str">
        <f>""</f>
        <v/>
      </c>
      <c r="AL517" s="18" t="str">
        <f>IF(COUNTIF($A$2:A516, A516) = 1, A516, "")</f>
        <v/>
      </c>
    </row>
    <row r="518" spans="6:38" x14ac:dyDescent="0.2">
      <c r="F518" t="str">
        <f t="shared" si="63"/>
        <v/>
      </c>
      <c r="L518" s="7" t="str">
        <f t="shared" si="64"/>
        <v/>
      </c>
      <c r="N518" s="7" t="str">
        <f t="shared" si="65"/>
        <v/>
      </c>
      <c r="O518" t="str">
        <f t="shared" si="66"/>
        <v/>
      </c>
      <c r="P518" t="str">
        <f t="shared" si="67"/>
        <v/>
      </c>
      <c r="Q518" t="str">
        <f t="shared" si="68"/>
        <v/>
      </c>
      <c r="S518" t="str">
        <f>""</f>
        <v/>
      </c>
      <c r="AL518" s="18" t="str">
        <f>IF(COUNTIF($A$2:A517, A517) = 1, A517, "")</f>
        <v/>
      </c>
    </row>
    <row r="519" spans="6:38" x14ac:dyDescent="0.2">
      <c r="F519" t="str">
        <f t="shared" si="63"/>
        <v/>
      </c>
      <c r="L519" s="7" t="str">
        <f t="shared" si="64"/>
        <v/>
      </c>
      <c r="N519" s="7" t="str">
        <f t="shared" si="65"/>
        <v/>
      </c>
      <c r="O519" t="str">
        <f t="shared" si="66"/>
        <v/>
      </c>
      <c r="P519" t="str">
        <f t="shared" si="67"/>
        <v/>
      </c>
      <c r="Q519" t="str">
        <f t="shared" si="68"/>
        <v/>
      </c>
      <c r="S519" t="str">
        <f>""</f>
        <v/>
      </c>
      <c r="AL519" s="18" t="str">
        <f>IF(COUNTIF($A$2:A518, A518) = 1, A518, "")</f>
        <v/>
      </c>
    </row>
    <row r="520" spans="6:38" x14ac:dyDescent="0.2">
      <c r="AL520" s="18" t="str">
        <f>IF(COUNTIF($A$2:A519, A519) = 1, A519, "")</f>
        <v/>
      </c>
    </row>
    <row r="521" spans="6:38" x14ac:dyDescent="0.2">
      <c r="AL521" s="18" t="str">
        <f>IF(COUNTIF($A$2:A520, A520) = 1, A520, "")</f>
        <v/>
      </c>
    </row>
    <row r="522" spans="6:38" x14ac:dyDescent="0.2">
      <c r="AL522" s="18" t="str">
        <f>IF(COUNTIF($A$2:A521, A521) = 1, A521, "")</f>
        <v/>
      </c>
    </row>
    <row r="523" spans="6:38" x14ac:dyDescent="0.2">
      <c r="AL523" s="18" t="str">
        <f>IF(COUNTIF($A$2:A522, A522) = 1, A522, "")</f>
        <v/>
      </c>
    </row>
    <row r="524" spans="6:38" x14ac:dyDescent="0.2">
      <c r="AL524" s="18" t="str">
        <f>IF(COUNTIF($A$2:A523, A523) = 1, A523, "")</f>
        <v/>
      </c>
    </row>
    <row r="525" spans="6:38" x14ac:dyDescent="0.2">
      <c r="AL525" s="18" t="str">
        <f>IF(COUNTIF($A$2:A524, A524) = 1, A524, "")</f>
        <v/>
      </c>
    </row>
    <row r="526" spans="6:38" x14ac:dyDescent="0.2">
      <c r="AL526" s="18" t="str">
        <f>IF(COUNTIF($A$2:A525, A525) = 1, A525, "")</f>
        <v/>
      </c>
    </row>
    <row r="527" spans="6:38" x14ac:dyDescent="0.2">
      <c r="AL527" s="18" t="str">
        <f>IF(COUNTIF($A$2:A526, A526) = 1, A526, "")</f>
        <v/>
      </c>
    </row>
    <row r="528" spans="6:38" x14ac:dyDescent="0.2">
      <c r="AL528" s="18" t="str">
        <f>IF(COUNTIF($A$2:A527, A527) = 1, A527, "")</f>
        <v/>
      </c>
    </row>
    <row r="529" spans="38:38" x14ac:dyDescent="0.2">
      <c r="AL529" s="18" t="str">
        <f>IF(COUNTIF($A$2:A528, A528) = 1, A528, "")</f>
        <v/>
      </c>
    </row>
    <row r="530" spans="38:38" x14ac:dyDescent="0.2">
      <c r="AL530" s="18" t="str">
        <f>IF(COUNTIF($A$2:A529, A529) = 1, A529, "")</f>
        <v/>
      </c>
    </row>
    <row r="531" spans="38:38" x14ac:dyDescent="0.2">
      <c r="AL531" s="18" t="str">
        <f>IF(COUNTIF($A$2:A530, A530) = 1, A530, "")</f>
        <v/>
      </c>
    </row>
    <row r="532" spans="38:38" x14ac:dyDescent="0.2">
      <c r="AL532" s="18" t="str">
        <f>IF(COUNTIF($A$2:A531, A531) = 1, A531, "")</f>
        <v/>
      </c>
    </row>
    <row r="533" spans="38:38" x14ac:dyDescent="0.2">
      <c r="AL533" s="18" t="str">
        <f>IF(COUNTIF($A$2:A532, A532) = 1, A532, "")</f>
        <v/>
      </c>
    </row>
    <row r="534" spans="38:38" x14ac:dyDescent="0.2">
      <c r="AL534" s="18" t="str">
        <f>IF(COUNTIF($A$2:A533, A533) = 1, A533, "")</f>
        <v/>
      </c>
    </row>
    <row r="535" spans="38:38" x14ac:dyDescent="0.2">
      <c r="AL535" s="18" t="str">
        <f>IF(COUNTIF($A$2:A534, A534) = 1, A534, "")</f>
        <v/>
      </c>
    </row>
    <row r="536" spans="38:38" x14ac:dyDescent="0.2">
      <c r="AL536" s="18" t="str">
        <f>IF(COUNTIF($A$2:A535, A535) = 1, A535, "")</f>
        <v/>
      </c>
    </row>
    <row r="537" spans="38:38" x14ac:dyDescent="0.2">
      <c r="AL537" s="18" t="str">
        <f>IF(COUNTIF($A$2:A536, A536) = 1, A536, "")</f>
        <v/>
      </c>
    </row>
    <row r="538" spans="38:38" x14ac:dyDescent="0.2">
      <c r="AL538" s="18" t="str">
        <f>IF(COUNTIF($A$2:A537, A537) = 1, A537, "")</f>
        <v/>
      </c>
    </row>
    <row r="539" spans="38:38" x14ac:dyDescent="0.2">
      <c r="AL539" s="18" t="str">
        <f>IF(COUNTIF($A$2:A538, A538) = 1, A538, "")</f>
        <v/>
      </c>
    </row>
    <row r="540" spans="38:38" x14ac:dyDescent="0.2">
      <c r="AL540" s="18" t="str">
        <f>IF(COUNTIF($A$2:A539, A539) = 1, A539, "")</f>
        <v/>
      </c>
    </row>
    <row r="541" spans="38:38" x14ac:dyDescent="0.2">
      <c r="AL541" s="18" t="str">
        <f>IF(COUNTIF($A$2:A540, A540) = 1, A540, "")</f>
        <v/>
      </c>
    </row>
    <row r="542" spans="38:38" x14ac:dyDescent="0.2">
      <c r="AL542" s="18" t="str">
        <f>IF(COUNTIF($A$2:A541, A541) = 1, A541, "")</f>
        <v/>
      </c>
    </row>
    <row r="543" spans="38:38" x14ac:dyDescent="0.2">
      <c r="AL543" s="18" t="str">
        <f>IF(COUNTIF($A$2:A542, A542) = 1, A542, "")</f>
        <v/>
      </c>
    </row>
    <row r="544" spans="38:38" x14ac:dyDescent="0.2">
      <c r="AL544" s="18" t="str">
        <f>IF(COUNTIF($A$2:A543, A543) = 1, A543, "")</f>
        <v/>
      </c>
    </row>
    <row r="545" spans="38:38" x14ac:dyDescent="0.2">
      <c r="AL545" s="18" t="str">
        <f>IF(COUNTIF($A$2:A544, A544) = 1, A544, "")</f>
        <v/>
      </c>
    </row>
    <row r="546" spans="38:38" x14ac:dyDescent="0.2">
      <c r="AL546" s="18" t="str">
        <f>IF(COUNTIF($A$2:A545, A545) = 1, A545, "")</f>
        <v/>
      </c>
    </row>
    <row r="547" spans="38:38" x14ac:dyDescent="0.2">
      <c r="AL547" s="18" t="str">
        <f>IF(COUNTIF($A$2:A546, A546) = 1, A546, "")</f>
        <v/>
      </c>
    </row>
    <row r="548" spans="38:38" x14ac:dyDescent="0.2">
      <c r="AL548" s="18" t="str">
        <f>IF(COUNTIF($A$2:A547, A547) = 1, A547, "")</f>
        <v/>
      </c>
    </row>
    <row r="549" spans="38:38" x14ac:dyDescent="0.2">
      <c r="AL549" s="18" t="str">
        <f>IF(COUNTIF($A$2:A548, A548) = 1, A548, "")</f>
        <v/>
      </c>
    </row>
    <row r="550" spans="38:38" x14ac:dyDescent="0.2">
      <c r="AL550" s="18" t="str">
        <f>IF(COUNTIF($A$2:A549, A549) = 1, A549, "")</f>
        <v/>
      </c>
    </row>
    <row r="551" spans="38:38" x14ac:dyDescent="0.2">
      <c r="AL551" s="18" t="str">
        <f>IF(COUNTIF($A$2:A550, A550) = 1, A550, "")</f>
        <v/>
      </c>
    </row>
    <row r="552" spans="38:38" x14ac:dyDescent="0.2">
      <c r="AL552" s="18" t="str">
        <f>IF(COUNTIF($A$2:A551, A551) = 1, A551, "")</f>
        <v/>
      </c>
    </row>
    <row r="553" spans="38:38" x14ac:dyDescent="0.2">
      <c r="AL553" s="18" t="str">
        <f>IF(COUNTIF($A$2:A552, A552) = 1, A552, "")</f>
        <v/>
      </c>
    </row>
    <row r="554" spans="38:38" x14ac:dyDescent="0.2">
      <c r="AL554" s="18" t="str">
        <f>IF(COUNTIF($A$2:A553, A553) = 1, A553, "")</f>
        <v/>
      </c>
    </row>
    <row r="555" spans="38:38" x14ac:dyDescent="0.2">
      <c r="AL555" s="18" t="str">
        <f>IF(COUNTIF($A$2:A554, A554) = 1, A554, "")</f>
        <v/>
      </c>
    </row>
    <row r="556" spans="38:38" x14ac:dyDescent="0.2">
      <c r="AL556" s="18" t="str">
        <f>IF(COUNTIF($A$2:A555, A555) = 1, A555, "")</f>
        <v/>
      </c>
    </row>
    <row r="557" spans="38:38" x14ac:dyDescent="0.2">
      <c r="AL557" s="18" t="str">
        <f>IF(COUNTIF($A$2:A556, A556) = 1, A556, "")</f>
        <v/>
      </c>
    </row>
    <row r="558" spans="38:38" x14ac:dyDescent="0.2">
      <c r="AL558" s="18" t="str">
        <f>IF(COUNTIF($A$2:A557, A557) = 1, A557, "")</f>
        <v/>
      </c>
    </row>
    <row r="559" spans="38:38" x14ac:dyDescent="0.2">
      <c r="AL559" s="18" t="str">
        <f>IF(COUNTIF($A$2:A558, A558) = 1, A558, "")</f>
        <v/>
      </c>
    </row>
    <row r="560" spans="38:38" x14ac:dyDescent="0.2">
      <c r="AL560" s="18" t="str">
        <f>IF(COUNTIF($A$2:A559, A559) = 1, A559, "")</f>
        <v/>
      </c>
    </row>
    <row r="561" spans="38:38" x14ac:dyDescent="0.2">
      <c r="AL561" s="18" t="str">
        <f>IF(COUNTIF($A$2:A560, A560) = 1, A560, "")</f>
        <v/>
      </c>
    </row>
    <row r="562" spans="38:38" x14ac:dyDescent="0.2">
      <c r="AL562" s="18" t="str">
        <f>IF(COUNTIF($A$2:A561, A561) = 1, A561, "")</f>
        <v/>
      </c>
    </row>
    <row r="563" spans="38:38" x14ac:dyDescent="0.2">
      <c r="AL563" s="18" t="str">
        <f>IF(COUNTIF($A$2:A562, A562) = 1, A562, "")</f>
        <v/>
      </c>
    </row>
    <row r="564" spans="38:38" x14ac:dyDescent="0.2">
      <c r="AL564" s="18" t="str">
        <f>IF(COUNTIF($A$2:A563, A563) = 1, A563, "")</f>
        <v/>
      </c>
    </row>
    <row r="565" spans="38:38" x14ac:dyDescent="0.2">
      <c r="AL565" s="18" t="str">
        <f>IF(COUNTIF($A$2:A564, A564) = 1, A564, "")</f>
        <v/>
      </c>
    </row>
    <row r="566" spans="38:38" x14ac:dyDescent="0.2">
      <c r="AL566" s="18" t="str">
        <f>IF(COUNTIF($A$2:A565, A565) = 1, A565, "")</f>
        <v/>
      </c>
    </row>
    <row r="567" spans="38:38" x14ac:dyDescent="0.2">
      <c r="AL567" s="18" t="str">
        <f>IF(COUNTIF($A$2:A566, A566) = 1, A566, "")</f>
        <v/>
      </c>
    </row>
    <row r="568" spans="38:38" x14ac:dyDescent="0.2">
      <c r="AL568" s="18" t="str">
        <f>IF(COUNTIF($A$2:A567, A567) = 1, A567, "")</f>
        <v/>
      </c>
    </row>
    <row r="569" spans="38:38" x14ac:dyDescent="0.2">
      <c r="AL569" s="18" t="str">
        <f>IF(COUNTIF($A$2:A568, A568) = 1, A568, "")</f>
        <v/>
      </c>
    </row>
    <row r="570" spans="38:38" x14ac:dyDescent="0.2">
      <c r="AL570" s="18" t="str">
        <f>IF(COUNTIF($A$2:A569, A569) = 1, A569, "")</f>
        <v/>
      </c>
    </row>
    <row r="571" spans="38:38" x14ac:dyDescent="0.2">
      <c r="AL571" s="18" t="str">
        <f>IF(COUNTIF($A$2:A570, A570) = 1, A570, "")</f>
        <v/>
      </c>
    </row>
    <row r="572" spans="38:38" x14ac:dyDescent="0.2">
      <c r="AL572" s="18" t="str">
        <f>IF(COUNTIF($A$2:A571, A571) = 1, A571, "")</f>
        <v/>
      </c>
    </row>
    <row r="573" spans="38:38" x14ac:dyDescent="0.2">
      <c r="AL573" s="18" t="str">
        <f>IF(COUNTIF($A$2:A572, A572) = 1, A572, "")</f>
        <v/>
      </c>
    </row>
    <row r="574" spans="38:38" x14ac:dyDescent="0.2">
      <c r="AL574" s="18" t="str">
        <f>IF(COUNTIF($A$2:A573, A573) = 1, A573, "")</f>
        <v/>
      </c>
    </row>
    <row r="575" spans="38:38" x14ac:dyDescent="0.2">
      <c r="AL575" s="18" t="str">
        <f>IF(COUNTIF($A$2:A574, A574) = 1, A574, "")</f>
        <v/>
      </c>
    </row>
    <row r="576" spans="38:38" x14ac:dyDescent="0.2">
      <c r="AL576" s="18" t="str">
        <f>IF(COUNTIF($A$2:A575, A575) = 1, A575, "")</f>
        <v/>
      </c>
    </row>
    <row r="577" spans="38:38" x14ac:dyDescent="0.2">
      <c r="AL577" s="18" t="str">
        <f>IF(COUNTIF($A$2:A576, A576) = 1, A576, "")</f>
        <v/>
      </c>
    </row>
    <row r="578" spans="38:38" x14ac:dyDescent="0.2">
      <c r="AL578" s="18" t="str">
        <f>IF(COUNTIF($A$2:A577, A577) = 1, A577, "")</f>
        <v/>
      </c>
    </row>
    <row r="579" spans="38:38" x14ac:dyDescent="0.2">
      <c r="AL579" s="18" t="str">
        <f>IF(COUNTIF($A$2:A578, A578) = 1, A578, "")</f>
        <v/>
      </c>
    </row>
    <row r="580" spans="38:38" x14ac:dyDescent="0.2">
      <c r="AL580" s="18" t="str">
        <f>IF(COUNTIF($A$2:A579, A579) = 1, A579, "")</f>
        <v/>
      </c>
    </row>
    <row r="581" spans="38:38" x14ac:dyDescent="0.2">
      <c r="AL581" s="18" t="str">
        <f>IF(COUNTIF($A$2:A580, A580) = 1, A580, "")</f>
        <v/>
      </c>
    </row>
  </sheetData>
  <mergeCells count="19">
    <mergeCell ref="T2:U2"/>
    <mergeCell ref="T3:U3"/>
    <mergeCell ref="T4:U4"/>
    <mergeCell ref="T6:U6"/>
    <mergeCell ref="T19:U19"/>
    <mergeCell ref="T20:U20"/>
    <mergeCell ref="T21:U21"/>
    <mergeCell ref="T22:U22"/>
    <mergeCell ref="T7:U7"/>
    <mergeCell ref="T8:U8"/>
    <mergeCell ref="T9:U9"/>
    <mergeCell ref="T10:U10"/>
    <mergeCell ref="T11:V11"/>
    <mergeCell ref="T12:U12"/>
    <mergeCell ref="T14:U14"/>
    <mergeCell ref="T15:U15"/>
    <mergeCell ref="T16:U16"/>
    <mergeCell ref="T17:V17"/>
    <mergeCell ref="T13:U13"/>
  </mergeCells>
  <conditionalFormatting sqref="N1:N1048576">
    <cfRule type="dataBar" priority="69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{04C72309-D1C7-F247-A170-9579B9389004}</x14:id>
        </ext>
      </extLst>
    </cfRule>
  </conditionalFormatting>
  <conditionalFormatting sqref="V4">
    <cfRule type="colorScale" priority="62">
      <colorScale>
        <cfvo type="num" val="-50"/>
        <cfvo type="num" val="0"/>
        <cfvo type="num" val="50"/>
        <color rgb="FFC00000"/>
        <color theme="0"/>
        <color rgb="FF00B050"/>
      </colorScale>
    </cfRule>
  </conditionalFormatting>
  <conditionalFormatting sqref="V9">
    <cfRule type="dataBar" priority="61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{D740DB26-CB33-2C49-9924-A447D04E1549}</x14:id>
        </ext>
      </extLst>
    </cfRule>
  </conditionalFormatting>
  <conditionalFormatting sqref="V15">
    <cfRule type="dataBar" priority="60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{AF33B5D1-044F-DB4B-BAEE-8B36289A5280}</x14:id>
        </ext>
      </extLst>
    </cfRule>
  </conditionalFormatting>
  <conditionalFormatting sqref="V10">
    <cfRule type="dataBar" priority="42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{A885E9FA-0AE7-E144-BCA1-35BDC53AA9CE}</x14:id>
        </ext>
      </extLst>
    </cfRule>
    <cfRule type="colorScale" priority="43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V16">
    <cfRule type="dataBar" priority="40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{765FF8C2-99AD-DA4E-AE44-CF3A2776D408}</x14:id>
        </ext>
      </extLst>
    </cfRule>
    <cfRule type="colorScale" priority="41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12:Y18">
    <cfRule type="dataBar" priority="16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{61C90731-4BD1-A74B-AC54-14C85CF7F0B4}</x14:id>
        </ext>
      </extLst>
    </cfRule>
    <cfRule type="colorScale" priority="17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A41:AA43 AA26:AA31 AA3:AA9 AA34:AA38 AA12:AA18 AA21:AA23">
    <cfRule type="dataBar" priority="11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{E3FDDB49-4D62-1347-A95C-7FE0C147401A}</x14:id>
        </ext>
      </extLst>
    </cfRule>
  </conditionalFormatting>
  <conditionalFormatting sqref="AA46:AA47">
    <cfRule type="dataBar" priority="10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{28071F4A-A477-DE43-9BEA-A627B356E785}</x14:id>
        </ext>
      </extLst>
    </cfRule>
  </conditionalFormatting>
  <conditionalFormatting sqref="Z2:Z47">
    <cfRule type="dataBar" priority="9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{5DAA57CE-2BE3-E84F-881F-BFE3860A95F9}</x14:id>
        </ext>
      </extLst>
    </cfRule>
  </conditionalFormatting>
  <conditionalFormatting sqref="AE3:AE50">
    <cfRule type="dataBar" priority="12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{70252AA4-05A8-294E-B8C8-267C428F5D69}</x14:id>
        </ext>
      </extLst>
    </cfRule>
    <cfRule type="colorScale" priority="13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D3:AD50">
    <cfRule type="dataBar" priority="14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{AE99D7BD-91A9-1749-AD42-2CF7CAA12282}</x14:id>
        </ext>
      </extLst>
    </cfRule>
    <cfRule type="colorScale" priority="15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3:Y9">
    <cfRule type="dataBar" priority="7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{B97C4A90-1D3D-1D48-A028-1BF15144D812}</x14:id>
        </ext>
      </extLst>
    </cfRule>
    <cfRule type="colorScale" priority="8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21:Y47">
    <cfRule type="dataBar" priority="5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{3F396B8B-7325-EB4B-8594-5CD798B22AF8}</x14:id>
        </ext>
      </extLst>
    </cfRule>
    <cfRule type="colorScale" priority="6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A50:AA58">
    <cfRule type="dataBar" priority="4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{AD829F24-7EAF-4344-A8C6-6B9781D2EB35}</x14:id>
        </ext>
      </extLst>
    </cfRule>
  </conditionalFormatting>
  <conditionalFormatting sqref="Z49:Z58">
    <cfRule type="dataBar" priority="3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{2B07F64F-6E3E-BB4C-A69C-4CE1E3D5B84A}</x14:id>
        </ext>
      </extLst>
    </cfRule>
  </conditionalFormatting>
  <conditionalFormatting sqref="Y49:Y58">
    <cfRule type="dataBar" priority="1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{2E66628A-5AE1-1C49-B43C-92EEC4CAAA0C}</x14:id>
        </ext>
      </extLst>
    </cfRule>
    <cfRule type="colorScale" priority="2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dataValidations count="3">
    <dataValidation type="list" allowBlank="1" showInputMessage="1" showErrorMessage="1" sqref="G2:J519 M2:M519" xr:uid="{F3830B0B-A2D9-CF4E-AF20-15138E3E4876}">
      <formula1>"Yes, No"</formula1>
    </dataValidation>
    <dataValidation type="list" allowBlank="1" showInputMessage="1" showErrorMessage="1" sqref="D2:D519" xr:uid="{CF4BE6C6-3664-6541-BB22-AEABEBDD2132}">
      <formula1>"Straight, Parlay, Boost"</formula1>
    </dataValidation>
    <dataValidation type="list" allowBlank="1" showInputMessage="1" showErrorMessage="1" sqref="R2:R1048576" xr:uid="{6AA02AA1-5134-7A48-B515-B80BC3C3E2F5}">
      <formula1>$X$50:$X$58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C72309-D1C7-F247-A170-9579B938900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N1:N1048576</xm:sqref>
        </x14:conditionalFormatting>
        <x14:conditionalFormatting xmlns:xm="http://schemas.microsoft.com/office/excel/2006/main">
          <x14:cfRule type="dataBar" id="{D740DB26-CB33-2C49-9924-A447D04E1549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AF33B5D1-044F-DB4B-BAEE-8B36289A5280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A885E9FA-0AE7-E144-BCA1-35BDC53AA9C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765FF8C2-99AD-DA4E-AE44-CF3A2776D40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61C90731-4BD1-A74B-AC54-14C85CF7F0B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Y12:Y18</xm:sqref>
        </x14:conditionalFormatting>
        <x14:conditionalFormatting xmlns:xm="http://schemas.microsoft.com/office/excel/2006/main">
          <x14:cfRule type="dataBar" id="{E3FDDB49-4D62-1347-A95C-7FE0C147401A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AA41:AA43 AA26:AA31 AA3:AA9 AA34:AA38 AA12:AA18 AA21:AA23</xm:sqref>
        </x14:conditionalFormatting>
        <x14:conditionalFormatting xmlns:xm="http://schemas.microsoft.com/office/excel/2006/main">
          <x14:cfRule type="dataBar" id="{28071F4A-A477-DE43-9BEA-A627B356E785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AA46:AA47</xm:sqref>
        </x14:conditionalFormatting>
        <x14:conditionalFormatting xmlns:xm="http://schemas.microsoft.com/office/excel/2006/main">
          <x14:cfRule type="dataBar" id="{5DAA57CE-2BE3-E84F-881F-BFE3860A95F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Z2:Z47</xm:sqref>
        </x14:conditionalFormatting>
        <x14:conditionalFormatting xmlns:xm="http://schemas.microsoft.com/office/excel/2006/main">
          <x14:cfRule type="dataBar" id="{70252AA4-05A8-294E-B8C8-267C428F5D6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AE3:AE50</xm:sqref>
        </x14:conditionalFormatting>
        <x14:conditionalFormatting xmlns:xm="http://schemas.microsoft.com/office/excel/2006/main">
          <x14:cfRule type="dataBar" id="{AE99D7BD-91A9-1749-AD42-2CF7CAA122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AD3:AD50</xm:sqref>
        </x14:conditionalFormatting>
        <x14:conditionalFormatting xmlns:xm="http://schemas.microsoft.com/office/excel/2006/main">
          <x14:cfRule type="dataBar" id="{B97C4A90-1D3D-1D48-A028-1BF15144D81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Y3:Y9</xm:sqref>
        </x14:conditionalFormatting>
        <x14:conditionalFormatting xmlns:xm="http://schemas.microsoft.com/office/excel/2006/main">
          <x14:cfRule type="dataBar" id="{3F396B8B-7325-EB4B-8594-5CD798B22AF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Y21:Y47</xm:sqref>
        </x14:conditionalFormatting>
        <x14:conditionalFormatting xmlns:xm="http://schemas.microsoft.com/office/excel/2006/main">
          <x14:cfRule type="dataBar" id="{AD829F24-7EAF-4344-A8C6-6B9781D2EB35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AA50:AA58</xm:sqref>
        </x14:conditionalFormatting>
        <x14:conditionalFormatting xmlns:xm="http://schemas.microsoft.com/office/excel/2006/main">
          <x14:cfRule type="dataBar" id="{2B07F64F-6E3E-BB4C-A69C-4CE1E3D5B84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Z49:Z58</xm:sqref>
        </x14:conditionalFormatting>
        <x14:conditionalFormatting xmlns:xm="http://schemas.microsoft.com/office/excel/2006/main">
          <x14:cfRule type="dataBar" id="{2E66628A-5AE1-1C49-B43C-92EEC4CAAA0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Y49:Y58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A6B4E-47C1-5444-84E7-FF85870BFB11}">
  <sheetPr codeName="Sheet8"/>
  <dimension ref="A1:AL581"/>
  <sheetViews>
    <sheetView topLeftCell="D1" zoomScale="80" zoomScaleNormal="80" workbookViewId="0">
      <pane ySplit="1" topLeftCell="A3" activePane="bottomLeft" state="frozen"/>
      <selection pane="bottomLeft" activeCell="B2" sqref="B2:B1048576"/>
    </sheetView>
  </sheetViews>
  <sheetFormatPr baseColWidth="10" defaultRowHeight="16" x14ac:dyDescent="0.2"/>
  <cols>
    <col min="1" max="1" width="11.5" style="18" bestFit="1" customWidth="1"/>
    <col min="4" max="4" width="11.5" bestFit="1" customWidth="1"/>
    <col min="6" max="6" width="14.83203125" bestFit="1" customWidth="1"/>
    <col min="8" max="8" width="12.5" bestFit="1" customWidth="1"/>
    <col min="11" max="11" width="10.83203125" style="7"/>
    <col min="14" max="14" width="13.5" bestFit="1" customWidth="1"/>
    <col min="15" max="15" width="21.1640625" bestFit="1" customWidth="1"/>
    <col min="16" max="16" width="31.33203125" customWidth="1"/>
    <col min="17" max="17" width="30.5" customWidth="1"/>
    <col min="18" max="18" width="11.5" customWidth="1"/>
    <col min="19" max="19" width="19.33203125" customWidth="1"/>
    <col min="20" max="20" width="11.6640625" bestFit="1" customWidth="1"/>
    <col min="22" max="22" width="12.6640625" bestFit="1" customWidth="1"/>
    <col min="24" max="24" width="14.83203125" style="32" bestFit="1" customWidth="1"/>
    <col min="26" max="26" width="10.83203125" hidden="1" customWidth="1"/>
    <col min="29" max="29" width="10.83203125" style="18"/>
    <col min="30" max="30" width="11" customWidth="1"/>
    <col min="31" max="31" width="10.1640625" bestFit="1" customWidth="1"/>
    <col min="38" max="38" width="0" hidden="1" customWidth="1"/>
  </cols>
  <sheetData>
    <row r="1" spans="1:38" ht="17" thickBot="1" x14ac:dyDescent="0.25">
      <c r="A1" s="56" t="s">
        <v>15</v>
      </c>
      <c r="B1" s="57" t="s">
        <v>10</v>
      </c>
      <c r="C1" s="57" t="s">
        <v>11</v>
      </c>
      <c r="D1" s="57" t="s">
        <v>50</v>
      </c>
      <c r="E1" s="57" t="s">
        <v>12</v>
      </c>
      <c r="F1" s="57" t="s">
        <v>3</v>
      </c>
      <c r="G1" s="57" t="s">
        <v>4</v>
      </c>
      <c r="H1" s="57" t="s">
        <v>60</v>
      </c>
      <c r="I1" s="57" t="s">
        <v>6</v>
      </c>
      <c r="J1" s="57" t="s">
        <v>69</v>
      </c>
      <c r="K1" s="57" t="s">
        <v>7</v>
      </c>
      <c r="L1" s="57" t="s">
        <v>8</v>
      </c>
      <c r="M1" s="57" t="s">
        <v>21</v>
      </c>
      <c r="N1" s="57" t="s">
        <v>9</v>
      </c>
      <c r="O1" s="57" t="s">
        <v>51</v>
      </c>
      <c r="P1" s="57" t="s">
        <v>13</v>
      </c>
      <c r="Q1" s="57" t="s">
        <v>14</v>
      </c>
      <c r="R1" s="57" t="s">
        <v>89</v>
      </c>
      <c r="S1" s="57" t="s">
        <v>61</v>
      </c>
    </row>
    <row r="2" spans="1:38" ht="17" thickBot="1" x14ac:dyDescent="0.25">
      <c r="A2" s="55" t="s">
        <v>86</v>
      </c>
      <c r="F2" t="str">
        <f t="shared" ref="F2:F65" si="0">IF(OR(O2="", P2=""), "", SUM(IF((O2&lt;&gt;"None")*(O2&lt;&gt;""),LEN(O2)-LEN(SUBSTITUTE(O2,",",""))+1,0)) + SUM(IF((P2&lt;&gt;"None")*(P2&lt;&gt;""),LEN(P2)-LEN(SUBSTITUTE(P2,",",""))+1,0)))</f>
        <v/>
      </c>
      <c r="L2" s="7" t="str">
        <f t="shared" ref="L2:L65" si="1">IF(LEN(E2)=0, "", IFERROR(IF(E2&gt;=0, K2 * (1 + E2/100) - K2, K2 / (ABS(E2)/100))+K2, ""))</f>
        <v/>
      </c>
      <c r="N2" s="7" t="str">
        <f t="shared" ref="N2:N65" si="2">IF(M2="Yes",L2-K2,IF(M2="No",-K2,""))</f>
        <v/>
      </c>
      <c r="O2" t="str">
        <f t="shared" ref="O2:O65" si="3">IF(AND(G2="No",H2="No"), "None", "")</f>
        <v/>
      </c>
      <c r="P2" t="str">
        <f t="shared" ref="P2:P17" si="4">IF(I2="No", "None", "")</f>
        <v/>
      </c>
      <c r="Q2" t="str">
        <f t="shared" ref="Q2:Q65" si="5">IF(AND(D2="Straight", M2 = "No"),IF(O2="None",P2,IF(P2="None",O2) ),"")</f>
        <v/>
      </c>
      <c r="S2" t="str">
        <f>""</f>
        <v/>
      </c>
      <c r="T2" s="109" t="s">
        <v>0</v>
      </c>
      <c r="U2" s="110"/>
      <c r="V2" s="4">
        <f>'May 2025'!V3</f>
        <v>0</v>
      </c>
      <c r="X2" s="79" t="s">
        <v>10</v>
      </c>
      <c r="Y2" s="80" t="s">
        <v>9</v>
      </c>
      <c r="Z2" s="81" t="s">
        <v>84</v>
      </c>
      <c r="AA2" s="82" t="s">
        <v>39</v>
      </c>
      <c r="AC2" s="86" t="s">
        <v>70</v>
      </c>
      <c r="AD2" s="87" t="s">
        <v>9</v>
      </c>
      <c r="AE2" s="88" t="s">
        <v>71</v>
      </c>
    </row>
    <row r="3" spans="1:38" x14ac:dyDescent="0.2">
      <c r="F3" t="str">
        <f t="shared" si="0"/>
        <v/>
      </c>
      <c r="L3" s="7" t="str">
        <f t="shared" si="1"/>
        <v/>
      </c>
      <c r="N3" s="7" t="str">
        <f t="shared" si="2"/>
        <v/>
      </c>
      <c r="O3" t="str">
        <f t="shared" si="3"/>
        <v/>
      </c>
      <c r="P3" t="str">
        <f t="shared" si="4"/>
        <v/>
      </c>
      <c r="Q3" t="str">
        <f t="shared" si="5"/>
        <v/>
      </c>
      <c r="S3" t="str">
        <f>""</f>
        <v/>
      </c>
      <c r="T3" s="101" t="s">
        <v>1</v>
      </c>
      <c r="U3" s="102"/>
      <c r="V3" s="5">
        <f>V2+V4</f>
        <v>0</v>
      </c>
      <c r="X3" s="47" t="s">
        <v>16</v>
      </c>
      <c r="Y3" s="45">
        <f>SUMIF($B:B,X3,N:N)</f>
        <v>0</v>
      </c>
      <c r="Z3" s="40">
        <f t="shared" ref="Z3:Z9" si="6">COUNTIF(B:B,X3)</f>
        <v>0</v>
      </c>
      <c r="AA3" s="41">
        <f t="shared" ref="AA3:AA9" si="7">IFERROR(COUNTIFS(B:B, X3)/COUNTA($B$2:$B$994),0)</f>
        <v>0</v>
      </c>
      <c r="AC3" s="17" t="str" cm="1">
        <f t="array" ref="AC3">IFERROR(INDEX($AL$2:$AL$300, MATCH(0, COUNTIF($AC$2:AC2, $AL$2:$AL$300) + IF($AL$2:$AL$300="", 1, 0), 0)), "")</f>
        <v/>
      </c>
      <c r="AD3" s="9">
        <f t="shared" ref="AD3:AD25" si="8">IF(ISBLANK(AC3),"",SUMIF(A:A,AC3,N:N))</f>
        <v>0</v>
      </c>
      <c r="AE3" s="19">
        <f>SUM(AD$3:AD3)</f>
        <v>0</v>
      </c>
      <c r="AL3" s="18" t="str">
        <f>IF(COUNTIF($A$2:A2, A2) = 1, A2, "")</f>
        <v/>
      </c>
    </row>
    <row r="4" spans="1:38" ht="17" thickBot="1" x14ac:dyDescent="0.25">
      <c r="F4" t="str">
        <f t="shared" si="0"/>
        <v/>
      </c>
      <c r="L4" s="7" t="str">
        <f t="shared" si="1"/>
        <v/>
      </c>
      <c r="N4" s="7" t="str">
        <f t="shared" si="2"/>
        <v/>
      </c>
      <c r="O4" t="str">
        <f t="shared" si="3"/>
        <v/>
      </c>
      <c r="P4" t="str">
        <f t="shared" si="4"/>
        <v/>
      </c>
      <c r="Q4" t="str">
        <f t="shared" si="5"/>
        <v/>
      </c>
      <c r="S4" t="str">
        <f>""</f>
        <v/>
      </c>
      <c r="T4" s="96" t="s">
        <v>2</v>
      </c>
      <c r="U4" s="97"/>
      <c r="V4" s="10">
        <f>SUM(N2:N1048576)</f>
        <v>0</v>
      </c>
      <c r="X4" s="48" t="s">
        <v>23</v>
      </c>
      <c r="Y4" s="45">
        <f>SUMIF($B:B,X4,N:N)</f>
        <v>0</v>
      </c>
      <c r="Z4" s="34">
        <f t="shared" si="6"/>
        <v>0</v>
      </c>
      <c r="AA4" s="38">
        <f t="shared" si="7"/>
        <v>0</v>
      </c>
      <c r="AC4" s="17" t="str" cm="1">
        <f t="array" ref="AC4">IFERROR(INDEX($AL$2:$AL$300, MATCH(0, COUNTIF($AC$2:AC3, $AL$2:$AL$300) + IF($AL$2:$AL$300="", 1, 0), 0)), "")</f>
        <v/>
      </c>
      <c r="AD4" s="9">
        <f t="shared" si="8"/>
        <v>0</v>
      </c>
      <c r="AE4" s="19">
        <f>SUM(AD$3:AD4)</f>
        <v>0</v>
      </c>
      <c r="AL4" s="18" t="str">
        <f>IF(COUNTIF($A$2:A3, A3) = 1, A3, "")</f>
        <v/>
      </c>
    </row>
    <row r="5" spans="1:38" ht="17" thickBot="1" x14ac:dyDescent="0.25">
      <c r="F5" t="str">
        <f t="shared" si="0"/>
        <v/>
      </c>
      <c r="L5" s="7" t="str">
        <f t="shared" si="1"/>
        <v/>
      </c>
      <c r="N5" s="7" t="str">
        <f t="shared" si="2"/>
        <v/>
      </c>
      <c r="O5" t="str">
        <f t="shared" si="3"/>
        <v/>
      </c>
      <c r="P5" t="str">
        <f t="shared" si="4"/>
        <v/>
      </c>
      <c r="Q5" t="str">
        <f t="shared" si="5"/>
        <v/>
      </c>
      <c r="S5" t="str">
        <f>""</f>
        <v/>
      </c>
      <c r="X5" s="48" t="s">
        <v>24</v>
      </c>
      <c r="Y5" s="45">
        <f>SUMIF($B:B,X5,N:N)</f>
        <v>0</v>
      </c>
      <c r="Z5" s="34">
        <f t="shared" si="6"/>
        <v>0</v>
      </c>
      <c r="AA5" s="38">
        <f t="shared" si="7"/>
        <v>0</v>
      </c>
      <c r="AC5" s="17" t="str" cm="1">
        <f t="array" ref="AC5">IFERROR(INDEX($AL$2:$AL$300, MATCH(0, COUNTIF($AC$2:AC4, $AL$2:$AL$300) + IF($AL$2:$AL$300="", 1, 0), 0)), "")</f>
        <v/>
      </c>
      <c r="AD5" s="9">
        <f t="shared" si="8"/>
        <v>0</v>
      </c>
      <c r="AE5" s="19">
        <f>SUM(AD$3:AD5)</f>
        <v>0</v>
      </c>
      <c r="AL5" s="18" t="str">
        <f>IF(COUNTIF($A$2:A4, A4) = 1, A4, "")</f>
        <v/>
      </c>
    </row>
    <row r="6" spans="1:38" x14ac:dyDescent="0.2">
      <c r="F6" t="str">
        <f t="shared" si="0"/>
        <v/>
      </c>
      <c r="L6" s="7" t="str">
        <f t="shared" si="1"/>
        <v/>
      </c>
      <c r="N6" s="7" t="str">
        <f t="shared" si="2"/>
        <v/>
      </c>
      <c r="O6" t="str">
        <f t="shared" si="3"/>
        <v/>
      </c>
      <c r="P6" t="str">
        <f t="shared" si="4"/>
        <v/>
      </c>
      <c r="Q6" t="str">
        <f t="shared" si="5"/>
        <v/>
      </c>
      <c r="S6" t="str">
        <f>""</f>
        <v/>
      </c>
      <c r="T6" s="109" t="s">
        <v>27</v>
      </c>
      <c r="U6" s="110"/>
      <c r="V6" s="58" t="str">
        <f>Master!D6</f>
        <v>Lions</v>
      </c>
      <c r="X6" s="48" t="s">
        <v>52</v>
      </c>
      <c r="Y6" s="45">
        <f>SUMIF($B:B,X6,N:N)</f>
        <v>0</v>
      </c>
      <c r="Z6" s="34">
        <f t="shared" si="6"/>
        <v>0</v>
      </c>
      <c r="AA6" s="38">
        <f t="shared" si="7"/>
        <v>0</v>
      </c>
      <c r="AC6" s="17" t="str" cm="1">
        <f t="array" ref="AC6">IFERROR(INDEX($AL$2:$AL$300, MATCH(0, COUNTIF($AC$2:AC5, $AL$2:$AL$300) + IF($AL$2:$AL$300="", 1, 0), 0)), "")</f>
        <v/>
      </c>
      <c r="AD6" s="9">
        <f t="shared" si="8"/>
        <v>0</v>
      </c>
      <c r="AE6" s="19">
        <f>SUM(AD$3:AD6)</f>
        <v>0</v>
      </c>
      <c r="AL6" s="18" t="str">
        <f>IF(COUNTIF($A$2:A5, A5) = 1, A5, "")</f>
        <v/>
      </c>
    </row>
    <row r="7" spans="1:38" x14ac:dyDescent="0.2">
      <c r="F7" t="str">
        <f t="shared" si="0"/>
        <v/>
      </c>
      <c r="L7" s="7" t="str">
        <f t="shared" si="1"/>
        <v/>
      </c>
      <c r="N7" s="7" t="str">
        <f t="shared" si="2"/>
        <v/>
      </c>
      <c r="O7" t="str">
        <f t="shared" si="3"/>
        <v/>
      </c>
      <c r="P7" t="str">
        <f t="shared" si="4"/>
        <v/>
      </c>
      <c r="Q7" t="str">
        <f t="shared" si="5"/>
        <v/>
      </c>
      <c r="S7" t="str">
        <f>""</f>
        <v/>
      </c>
      <c r="T7" s="101" t="s">
        <v>99</v>
      </c>
      <c r="U7" s="102"/>
      <c r="V7" s="8" cm="1">
        <f t="array" ref="V7">SUM(IF(ISNUMBER(SEARCH(V6, SUBSTITUTE($O$2:$O$998, ",", ""))), 1, 0))</f>
        <v>0</v>
      </c>
      <c r="X7" s="48" t="s">
        <v>87</v>
      </c>
      <c r="Y7" s="45">
        <f>SUMIF($B:B,X7,N:N)</f>
        <v>0</v>
      </c>
      <c r="Z7" s="34">
        <f t="shared" si="6"/>
        <v>0</v>
      </c>
      <c r="AA7" s="38">
        <f t="shared" si="7"/>
        <v>0</v>
      </c>
      <c r="AC7" s="17" t="str" cm="1">
        <f t="array" ref="AC7">IFERROR(INDEX($AL$2:$AL$300, MATCH(0, COUNTIF($AC$2:AC6, $AL$2:$AL$300) + IF($AL$2:$AL$300="", 1, 0), 0)), "")</f>
        <v/>
      </c>
      <c r="AD7" s="9">
        <f t="shared" si="8"/>
        <v>0</v>
      </c>
      <c r="AE7" s="20">
        <f>SUM(AD$3:AD7)</f>
        <v>0</v>
      </c>
      <c r="AL7" s="18" t="str">
        <f>IF(COUNTIF($A$2:A6, A6) = 1, A6, "")</f>
        <v/>
      </c>
    </row>
    <row r="8" spans="1:38" x14ac:dyDescent="0.2">
      <c r="F8" t="str">
        <f t="shared" si="0"/>
        <v/>
      </c>
      <c r="L8" s="7" t="str">
        <f t="shared" si="1"/>
        <v/>
      </c>
      <c r="N8" s="7" t="str">
        <f t="shared" si="2"/>
        <v/>
      </c>
      <c r="O8" t="str">
        <f t="shared" si="3"/>
        <v/>
      </c>
      <c r="P8" t="str">
        <f t="shared" si="4"/>
        <v/>
      </c>
      <c r="Q8" t="str">
        <f t="shared" si="5"/>
        <v/>
      </c>
      <c r="S8" t="str">
        <f>""</f>
        <v/>
      </c>
      <c r="T8" s="101" t="s">
        <v>100</v>
      </c>
      <c r="U8" s="102"/>
      <c r="V8" s="8" cm="1">
        <f t="array" ref="V8">SUM(IF(ISNUMBER(SEARCH(V6, SUBSTITUTE($Q$2:$Q$998, ",", ""))), 1, 0))</f>
        <v>0</v>
      </c>
      <c r="X8" s="48" t="s">
        <v>85</v>
      </c>
      <c r="Y8" s="45">
        <f>SUMIF($B:B,X8,N:N)</f>
        <v>0</v>
      </c>
      <c r="Z8" s="34">
        <f t="shared" si="6"/>
        <v>0</v>
      </c>
      <c r="AA8" s="38">
        <f t="shared" si="7"/>
        <v>0</v>
      </c>
      <c r="AC8" s="17" t="str" cm="1">
        <f t="array" ref="AC8">IFERROR(INDEX($AL$2:$AL$300, MATCH(0, COUNTIF($AC$2:AC7, $AL$2:$AL$300) + IF($AL$2:$AL$300="", 1, 0), 0)), "")</f>
        <v/>
      </c>
      <c r="AD8" s="9">
        <f t="shared" si="8"/>
        <v>0</v>
      </c>
      <c r="AE8" s="19">
        <f>SUM(AD$3:AD8)</f>
        <v>0</v>
      </c>
      <c r="AL8" s="18" t="str">
        <f>IF(COUNTIF($A$2:A7, A7) = 1, A7, "")</f>
        <v/>
      </c>
    </row>
    <row r="9" spans="1:38" ht="17" thickBot="1" x14ac:dyDescent="0.25">
      <c r="F9" t="str">
        <f t="shared" si="0"/>
        <v/>
      </c>
      <c r="L9" s="7" t="str">
        <f t="shared" si="1"/>
        <v/>
      </c>
      <c r="N9" s="7" t="str">
        <f t="shared" si="2"/>
        <v/>
      </c>
      <c r="O9" t="str">
        <f t="shared" si="3"/>
        <v/>
      </c>
      <c r="P9" t="str">
        <f t="shared" si="4"/>
        <v/>
      </c>
      <c r="Q9" t="str">
        <f t="shared" si="5"/>
        <v/>
      </c>
      <c r="S9" t="str">
        <f>""</f>
        <v/>
      </c>
      <c r="T9" s="101" t="s">
        <v>28</v>
      </c>
      <c r="U9" s="102"/>
      <c r="V9" s="51" t="e">
        <f>1-(V8/V7)</f>
        <v>#DIV/0!</v>
      </c>
      <c r="X9" s="50" t="s">
        <v>53</v>
      </c>
      <c r="Y9" s="44">
        <f>SUMIF($B:B,X9,N:N)</f>
        <v>0</v>
      </c>
      <c r="Z9" s="35">
        <f t="shared" si="6"/>
        <v>0</v>
      </c>
      <c r="AA9" s="39">
        <f t="shared" si="7"/>
        <v>0</v>
      </c>
      <c r="AC9" s="17" t="str" cm="1">
        <f t="array" ref="AC9">IFERROR(INDEX($AL$2:$AL$300, MATCH(0, COUNTIF($AC$2:AC8, $AL$2:$AL$300) + IF($AL$2:$AL$300="", 1, 0), 0)), "")</f>
        <v/>
      </c>
      <c r="AD9" s="9">
        <f t="shared" si="8"/>
        <v>0</v>
      </c>
      <c r="AE9" s="19">
        <f>SUM(AD$3:AD9)</f>
        <v>0</v>
      </c>
      <c r="AL9" s="18" t="str">
        <f>IF(COUNTIF($A$2:A8, A8) = 1, A8, "")</f>
        <v/>
      </c>
    </row>
    <row r="10" spans="1:38" ht="17" thickBot="1" x14ac:dyDescent="0.25">
      <c r="F10" t="str">
        <f t="shared" si="0"/>
        <v/>
      </c>
      <c r="L10" s="7" t="str">
        <f t="shared" si="1"/>
        <v/>
      </c>
      <c r="N10" s="7" t="str">
        <f t="shared" si="2"/>
        <v/>
      </c>
      <c r="O10" t="str">
        <f t="shared" si="3"/>
        <v/>
      </c>
      <c r="P10" t="str">
        <f t="shared" si="4"/>
        <v/>
      </c>
      <c r="Q10" t="str">
        <f t="shared" si="5"/>
        <v/>
      </c>
      <c r="S10" t="str">
        <f>""</f>
        <v/>
      </c>
      <c r="T10" s="115" t="s">
        <v>9</v>
      </c>
      <c r="U10" s="116"/>
      <c r="V10" s="45" cm="1">
        <f t="array" ref="V10">SUMPRODUCT(--($D$2:$D$998="Straight"), --ISNUMBER(SEARCH(V6, SUBSTITUTE($O$2:$O$998, ",", ""))), $N$2:$N$998)</f>
        <v>0</v>
      </c>
      <c r="Y10" s="7"/>
      <c r="AC10" s="17" t="str" cm="1">
        <f t="array" ref="AC10">IFERROR(INDEX($AL$2:$AL$300, MATCH(0, COUNTIF($AC$2:AC9, $AL$2:$AL$300) + IF($AL$2:$AL$300="", 1, 0), 0)), "")</f>
        <v/>
      </c>
      <c r="AD10" s="9">
        <f t="shared" si="8"/>
        <v>0</v>
      </c>
      <c r="AE10" s="19">
        <f>SUM(AD$3:AD10)</f>
        <v>0</v>
      </c>
      <c r="AL10" s="18" t="str">
        <f>IF(COUNTIF($A$2:A9, A9) = 1, A9, "")</f>
        <v/>
      </c>
    </row>
    <row r="11" spans="1:38" ht="17" thickBot="1" x14ac:dyDescent="0.25">
      <c r="F11" t="str">
        <f t="shared" si="0"/>
        <v/>
      </c>
      <c r="L11" s="7" t="str">
        <f t="shared" si="1"/>
        <v/>
      </c>
      <c r="N11" s="7" t="str">
        <f t="shared" si="2"/>
        <v/>
      </c>
      <c r="O11" t="str">
        <f t="shared" si="3"/>
        <v/>
      </c>
      <c r="P11" t="str">
        <f t="shared" si="4"/>
        <v/>
      </c>
      <c r="Q11" t="str">
        <f t="shared" si="5"/>
        <v/>
      </c>
      <c r="S11" t="str">
        <f>""</f>
        <v/>
      </c>
      <c r="T11" s="117" t="s">
        <v>57</v>
      </c>
      <c r="U11" s="118"/>
      <c r="V11" s="119"/>
      <c r="X11" s="79" t="s">
        <v>11</v>
      </c>
      <c r="Y11" s="83" t="s">
        <v>9</v>
      </c>
      <c r="Z11" s="81" t="s">
        <v>84</v>
      </c>
      <c r="AA11" s="82" t="s">
        <v>39</v>
      </c>
      <c r="AC11" s="17" t="str" cm="1">
        <f t="array" ref="AC11">IFERROR(INDEX($AL$2:$AL$300, MATCH(0, COUNTIF($AC$2:AC10, $AL$2:$AL$300) + IF($AL$2:$AL$300="", 1, 0), 0)), "")</f>
        <v/>
      </c>
      <c r="AD11" s="9">
        <f t="shared" si="8"/>
        <v>0</v>
      </c>
      <c r="AE11" s="20">
        <f>SUM(AD$3:AD11)</f>
        <v>0</v>
      </c>
      <c r="AL11" s="18" t="str">
        <f>IF(COUNTIF($A$2:A10, A10) = 1, A10, "")</f>
        <v/>
      </c>
    </row>
    <row r="12" spans="1:38" x14ac:dyDescent="0.2">
      <c r="F12" t="str">
        <f t="shared" si="0"/>
        <v/>
      </c>
      <c r="L12" s="7" t="str">
        <f t="shared" si="1"/>
        <v/>
      </c>
      <c r="N12" s="7" t="str">
        <f t="shared" si="2"/>
        <v/>
      </c>
      <c r="O12" t="str">
        <f t="shared" si="3"/>
        <v/>
      </c>
      <c r="P12" t="str">
        <f t="shared" si="4"/>
        <v/>
      </c>
      <c r="Q12" t="str">
        <f t="shared" si="5"/>
        <v/>
      </c>
      <c r="S12" t="str">
        <f>""</f>
        <v/>
      </c>
      <c r="T12" s="109" t="s">
        <v>22</v>
      </c>
      <c r="U12" s="110"/>
      <c r="V12" s="58" t="str">
        <f>Master!D12</f>
        <v>Josh Allen</v>
      </c>
      <c r="X12" s="47" t="s">
        <v>17</v>
      </c>
      <c r="Y12" s="45">
        <f t="shared" ref="Y12:Y18" si="9">SUMIF(C:C,X12,N:N)</f>
        <v>0</v>
      </c>
      <c r="Z12" s="40">
        <f t="shared" ref="Z12:Z18" si="10">COUNTIF(C:C,X12)</f>
        <v>0</v>
      </c>
      <c r="AA12" s="41">
        <f t="shared" ref="AA12:AA18" si="11">IFERROR(COUNTIFS(C:C, X12)/COUNTA($C$2:$C$994),0)</f>
        <v>0</v>
      </c>
      <c r="AC12" s="17" t="str" cm="1">
        <f t="array" ref="AC12">IFERROR(INDEX($AL$2:$AL$300, MATCH(0, COUNTIF($AC$2:AC11, $AL$2:$AL$300) + IF($AL$2:$AL$300="", 1, 0), 0)), "")</f>
        <v/>
      </c>
      <c r="AD12" s="9">
        <f t="shared" si="8"/>
        <v>0</v>
      </c>
      <c r="AE12" s="19">
        <f>SUM(AD$3:AD12)</f>
        <v>0</v>
      </c>
      <c r="AL12" s="18" t="str">
        <f>IF(COUNTIF($A$2:A11, A11) = 1, A11, "")</f>
        <v/>
      </c>
    </row>
    <row r="13" spans="1:38" x14ac:dyDescent="0.2">
      <c r="F13" t="str">
        <f t="shared" si="0"/>
        <v/>
      </c>
      <c r="L13" s="7" t="str">
        <f t="shared" si="1"/>
        <v/>
      </c>
      <c r="N13" s="7" t="str">
        <f t="shared" si="2"/>
        <v/>
      </c>
      <c r="O13" t="str">
        <f t="shared" si="3"/>
        <v/>
      </c>
      <c r="P13" t="str">
        <f t="shared" si="4"/>
        <v/>
      </c>
      <c r="Q13" t="str">
        <f t="shared" si="5"/>
        <v/>
      </c>
      <c r="S13" t="str">
        <f>""</f>
        <v/>
      </c>
      <c r="T13" s="101" t="s">
        <v>99</v>
      </c>
      <c r="U13" s="102"/>
      <c r="V13" s="8" cm="1">
        <f t="array" ref="V13">SUM(IF(ISNUMBER(SEARCH(V12, SUBSTITUTE($P$2:$P$998, ",", ""))), 1, 0))</f>
        <v>0</v>
      </c>
      <c r="X13" s="48" t="s">
        <v>19</v>
      </c>
      <c r="Y13" s="43">
        <f t="shared" si="9"/>
        <v>0</v>
      </c>
      <c r="Z13" s="34">
        <f t="shared" si="10"/>
        <v>0</v>
      </c>
      <c r="AA13" s="41">
        <f t="shared" si="11"/>
        <v>0</v>
      </c>
      <c r="AC13" s="17" t="str" cm="1">
        <f t="array" ref="AC13">IFERROR(INDEX($AL$2:$AL$300, MATCH(0, COUNTIF($AC$2:AC12, $AL$2:$AL$300) + IF($AL$2:$AL$300="", 1, 0), 0)), "")</f>
        <v/>
      </c>
      <c r="AD13" s="9">
        <f t="shared" si="8"/>
        <v>0</v>
      </c>
      <c r="AE13" s="19">
        <f>SUM(AD$3:AD13)</f>
        <v>0</v>
      </c>
      <c r="AL13" s="18" t="str">
        <f>IF(COUNTIF($A$2:A12, A12) = 1, A12, "")</f>
        <v/>
      </c>
    </row>
    <row r="14" spans="1:38" x14ac:dyDescent="0.2">
      <c r="F14" t="str">
        <f t="shared" si="0"/>
        <v/>
      </c>
      <c r="L14" s="7" t="str">
        <f t="shared" si="1"/>
        <v/>
      </c>
      <c r="N14" s="7" t="str">
        <f t="shared" si="2"/>
        <v/>
      </c>
      <c r="O14" t="str">
        <f t="shared" si="3"/>
        <v/>
      </c>
      <c r="P14" t="str">
        <f t="shared" si="4"/>
        <v/>
      </c>
      <c r="Q14" t="str">
        <f t="shared" si="5"/>
        <v/>
      </c>
      <c r="S14" t="str">
        <f>""</f>
        <v/>
      </c>
      <c r="T14" s="101" t="s">
        <v>100</v>
      </c>
      <c r="U14" s="102"/>
      <c r="V14" s="8" cm="1">
        <f t="array" ref="V14">SUM(IF(ISNUMBER(SEARCH(V12, SUBSTITUTE($Q$2:$Q$998, ",", ""))), 1, 0))</f>
        <v>0</v>
      </c>
      <c r="X14" s="48" t="s">
        <v>25</v>
      </c>
      <c r="Y14" s="43">
        <f t="shared" si="9"/>
        <v>0</v>
      </c>
      <c r="Z14" s="34">
        <f t="shared" si="10"/>
        <v>0</v>
      </c>
      <c r="AA14" s="41">
        <f t="shared" si="11"/>
        <v>0</v>
      </c>
      <c r="AC14" s="17" t="str" cm="1">
        <f t="array" ref="AC14">IFERROR(INDEX($AL$2:$AL$300, MATCH(0, COUNTIF($AC$2:AC13, $AL$2:$AL$300) + IF($AL$2:$AL$300="", 1, 0), 0)), "")</f>
        <v/>
      </c>
      <c r="AD14" s="9">
        <f t="shared" si="8"/>
        <v>0</v>
      </c>
      <c r="AE14" s="19">
        <f>SUM(AD$3:AD14)</f>
        <v>0</v>
      </c>
      <c r="AL14" s="18" t="str">
        <f>IF(COUNTIF($A$2:A13, A13) = 1, A13, "")</f>
        <v/>
      </c>
    </row>
    <row r="15" spans="1:38" x14ac:dyDescent="0.2">
      <c r="F15" t="str">
        <f t="shared" si="0"/>
        <v/>
      </c>
      <c r="L15" s="7" t="str">
        <f t="shared" si="1"/>
        <v/>
      </c>
      <c r="N15" s="7" t="str">
        <f t="shared" si="2"/>
        <v/>
      </c>
      <c r="O15" t="str">
        <f t="shared" si="3"/>
        <v/>
      </c>
      <c r="P15" t="str">
        <f t="shared" si="4"/>
        <v/>
      </c>
      <c r="Q15" t="str">
        <f t="shared" si="5"/>
        <v/>
      </c>
      <c r="S15" t="str">
        <f>""</f>
        <v/>
      </c>
      <c r="T15" s="101" t="s">
        <v>28</v>
      </c>
      <c r="U15" s="102"/>
      <c r="V15" s="51" t="e">
        <f>1-(V14/V13)</f>
        <v>#DIV/0!</v>
      </c>
      <c r="X15" s="47" t="s">
        <v>26</v>
      </c>
      <c r="Y15" s="43">
        <f t="shared" si="9"/>
        <v>0</v>
      </c>
      <c r="Z15" s="34">
        <f t="shared" si="10"/>
        <v>0</v>
      </c>
      <c r="AA15" s="41">
        <f t="shared" si="11"/>
        <v>0</v>
      </c>
      <c r="AC15" s="17" t="str" cm="1">
        <f t="array" ref="AC15">IFERROR(INDEX($AL$2:$AL$300, MATCH(0, COUNTIF($AC$2:AC14, $AL$2:$AL$300) + IF($AL$2:$AL$300="", 1, 0), 0)), "")</f>
        <v/>
      </c>
      <c r="AD15" s="9">
        <f t="shared" si="8"/>
        <v>0</v>
      </c>
      <c r="AE15" s="20">
        <f>SUM(AD$3:AD15)</f>
        <v>0</v>
      </c>
      <c r="AL15" s="18" t="str">
        <f>IF(COUNTIF($A$2:A14, A14) = 1, A14, "")</f>
        <v/>
      </c>
    </row>
    <row r="16" spans="1:38" ht="17" thickBot="1" x14ac:dyDescent="0.25">
      <c r="F16" t="str">
        <f t="shared" si="0"/>
        <v/>
      </c>
      <c r="L16" s="7" t="str">
        <f t="shared" si="1"/>
        <v/>
      </c>
      <c r="N16" s="7" t="str">
        <f t="shared" si="2"/>
        <v/>
      </c>
      <c r="O16" t="str">
        <f t="shared" si="3"/>
        <v/>
      </c>
      <c r="P16" t="str">
        <f t="shared" si="4"/>
        <v/>
      </c>
      <c r="Q16" t="str">
        <f t="shared" si="5"/>
        <v/>
      </c>
      <c r="S16" t="str">
        <f>""</f>
        <v/>
      </c>
      <c r="T16" s="115" t="s">
        <v>9</v>
      </c>
      <c r="U16" s="116"/>
      <c r="V16" s="45" cm="1">
        <f t="array" ref="V16">SUMPRODUCT(--($D$2:$D$998="Straight"), --ISNUMBER(SEARCH(V12, SUBSTITUTE($P$2:$P$998, ",", ""))), $N$2:$N$998)</f>
        <v>0</v>
      </c>
      <c r="X16" s="48" t="s">
        <v>29</v>
      </c>
      <c r="Y16" s="43">
        <f t="shared" si="9"/>
        <v>0</v>
      </c>
      <c r="Z16" s="34">
        <f t="shared" si="10"/>
        <v>0</v>
      </c>
      <c r="AA16" s="41">
        <f t="shared" si="11"/>
        <v>0</v>
      </c>
      <c r="AC16" s="17" t="str" cm="1">
        <f t="array" ref="AC16">IFERROR(INDEX($AL$2:$AL$300, MATCH(0, COUNTIF($AC$2:AC15, $AL$2:$AL$300) + IF($AL$2:$AL$300="", 1, 0), 0)), "")</f>
        <v/>
      </c>
      <c r="AD16" s="9">
        <f t="shared" si="8"/>
        <v>0</v>
      </c>
      <c r="AE16" s="19">
        <f>SUM(AD$3:AD16)</f>
        <v>0</v>
      </c>
      <c r="AL16" s="18" t="str">
        <f>IF(COUNTIF($A$2:A15, A15) = 1, A15, "")</f>
        <v/>
      </c>
    </row>
    <row r="17" spans="6:38" ht="17" thickBot="1" x14ac:dyDescent="0.25">
      <c r="F17" t="str">
        <f t="shared" si="0"/>
        <v/>
      </c>
      <c r="L17" s="7" t="str">
        <f t="shared" si="1"/>
        <v/>
      </c>
      <c r="N17" s="7" t="str">
        <f t="shared" si="2"/>
        <v/>
      </c>
      <c r="O17" t="str">
        <f t="shared" si="3"/>
        <v/>
      </c>
      <c r="P17" t="str">
        <f t="shared" si="4"/>
        <v/>
      </c>
      <c r="Q17" t="str">
        <f t="shared" si="5"/>
        <v/>
      </c>
      <c r="S17" t="str">
        <f>""</f>
        <v/>
      </c>
      <c r="T17" s="117" t="s">
        <v>57</v>
      </c>
      <c r="U17" s="118"/>
      <c r="V17" s="119"/>
      <c r="X17" s="48" t="s">
        <v>30</v>
      </c>
      <c r="Y17" s="43">
        <f t="shared" si="9"/>
        <v>0</v>
      </c>
      <c r="Z17" s="34">
        <f t="shared" si="10"/>
        <v>0</v>
      </c>
      <c r="AA17" s="41">
        <f t="shared" si="11"/>
        <v>0</v>
      </c>
      <c r="AC17" s="17" t="str" cm="1">
        <f t="array" ref="AC17">IFERROR(INDEX($AL$2:$AL$300, MATCH(0, COUNTIF($AC$2:AC16, $AL$2:$AL$300) + IF($AL$2:$AL$300="", 1, 0), 0)), "")</f>
        <v/>
      </c>
      <c r="AD17" s="9">
        <f t="shared" si="8"/>
        <v>0</v>
      </c>
      <c r="AE17" s="19">
        <f>SUM(AD$3:AD17)</f>
        <v>0</v>
      </c>
      <c r="AL17" s="18" t="str">
        <f>IF(COUNTIF($A$2:A16, A16) = 1, A16, "")</f>
        <v/>
      </c>
    </row>
    <row r="18" spans="6:38" ht="17" thickBot="1" x14ac:dyDescent="0.25">
      <c r="F18" t="str">
        <f t="shared" si="0"/>
        <v/>
      </c>
      <c r="L18" s="7" t="str">
        <f t="shared" si="1"/>
        <v/>
      </c>
      <c r="N18" s="7" t="str">
        <f t="shared" si="2"/>
        <v/>
      </c>
      <c r="O18" t="str">
        <f t="shared" si="3"/>
        <v/>
      </c>
      <c r="P18" t="str">
        <f>IF(I18="No", "None", "")</f>
        <v/>
      </c>
      <c r="Q18" t="str">
        <f t="shared" si="5"/>
        <v/>
      </c>
      <c r="S18" t="str">
        <f>""</f>
        <v/>
      </c>
      <c r="X18" s="50" t="s">
        <v>82</v>
      </c>
      <c r="Y18" s="44">
        <f t="shared" si="9"/>
        <v>0</v>
      </c>
      <c r="Z18" s="35">
        <f t="shared" si="10"/>
        <v>0</v>
      </c>
      <c r="AA18" s="52">
        <f t="shared" si="11"/>
        <v>0</v>
      </c>
      <c r="AC18" s="17" t="str" cm="1">
        <f t="array" ref="AC18">IFERROR(INDEX($AL$2:$AL$300, MATCH(0, COUNTIF($AC$2:AC17, $AL$2:$AL$300) + IF($AL$2:$AL$300="", 1, 0), 0)), "")</f>
        <v/>
      </c>
      <c r="AD18" s="9">
        <f t="shared" si="8"/>
        <v>0</v>
      </c>
      <c r="AE18" s="19">
        <f>SUM(AD$3:AD18)</f>
        <v>0</v>
      </c>
      <c r="AL18" s="18" t="str">
        <f>IF(COUNTIF($A$2:A17, A17) = 1, A17, "")</f>
        <v/>
      </c>
    </row>
    <row r="19" spans="6:38" ht="17" thickBot="1" x14ac:dyDescent="0.25">
      <c r="F19" t="str">
        <f t="shared" si="0"/>
        <v/>
      </c>
      <c r="L19" s="7" t="str">
        <f t="shared" si="1"/>
        <v/>
      </c>
      <c r="N19" s="7" t="str">
        <f t="shared" si="2"/>
        <v/>
      </c>
      <c r="O19" t="str">
        <f t="shared" si="3"/>
        <v/>
      </c>
      <c r="P19" t="str">
        <f t="shared" ref="P19:P82" si="12">IF(I19="No", "None", "")</f>
        <v/>
      </c>
      <c r="Q19" t="str">
        <f t="shared" si="5"/>
        <v/>
      </c>
      <c r="S19" t="str">
        <f>""</f>
        <v/>
      </c>
      <c r="T19" s="103" t="s">
        <v>62</v>
      </c>
      <c r="U19" s="104"/>
      <c r="V19" s="13">
        <f>COUNTA(B:B) - 1</f>
        <v>0</v>
      </c>
      <c r="Y19" s="7"/>
      <c r="AC19" s="17" t="str" cm="1">
        <f t="array" ref="AC19">IFERROR(INDEX($AL$2:$AL$300, MATCH(0, COUNTIF($AC$2:AC18, $AL$2:$AL$300) + IF($AL$2:$AL$300="", 1, 0), 0)), "")</f>
        <v/>
      </c>
      <c r="AD19" s="9">
        <f t="shared" si="8"/>
        <v>0</v>
      </c>
      <c r="AE19" s="20">
        <f>SUM(AD$3:AD19)</f>
        <v>0</v>
      </c>
      <c r="AL19" s="18" t="str">
        <f>IF(COUNTIF($A$2:A18, A18) = 1, A18, "")</f>
        <v/>
      </c>
    </row>
    <row r="20" spans="6:38" ht="17" thickBot="1" x14ac:dyDescent="0.25">
      <c r="F20" t="str">
        <f t="shared" si="0"/>
        <v/>
      </c>
      <c r="L20" s="7" t="str">
        <f t="shared" si="1"/>
        <v/>
      </c>
      <c r="N20" s="7" t="str">
        <f t="shared" si="2"/>
        <v/>
      </c>
      <c r="O20" t="str">
        <f t="shared" si="3"/>
        <v/>
      </c>
      <c r="P20" t="str">
        <f t="shared" si="12"/>
        <v/>
      </c>
      <c r="Q20" t="str">
        <f t="shared" si="5"/>
        <v/>
      </c>
      <c r="S20" t="str">
        <f>""</f>
        <v/>
      </c>
      <c r="T20" s="111" t="s">
        <v>64</v>
      </c>
      <c r="U20" s="112"/>
      <c r="V20" s="24">
        <f>COUNTIF(M:M, "Yes")</f>
        <v>0</v>
      </c>
      <c r="X20" s="79" t="s">
        <v>50</v>
      </c>
      <c r="Y20" s="83" t="s">
        <v>9</v>
      </c>
      <c r="Z20" s="81" t="s">
        <v>84</v>
      </c>
      <c r="AA20" s="82" t="s">
        <v>39</v>
      </c>
      <c r="AC20" s="17" t="str" cm="1">
        <f t="array" ref="AC20">IFERROR(INDEX($AL$2:$AL$300, MATCH(0, COUNTIF($AC$2:AC19, $AL$2:$AL$300) + IF($AL$2:$AL$300="", 1, 0), 0)), "")</f>
        <v/>
      </c>
      <c r="AD20" s="9">
        <f t="shared" si="8"/>
        <v>0</v>
      </c>
      <c r="AE20" s="19">
        <f>SUM(AD$3:AD20)</f>
        <v>0</v>
      </c>
      <c r="AL20" s="18" t="str">
        <f>IF(COUNTIF($A$2:A19, A19) = 1, A19, "")</f>
        <v/>
      </c>
    </row>
    <row r="21" spans="6:38" x14ac:dyDescent="0.2">
      <c r="F21" t="str">
        <f t="shared" si="0"/>
        <v/>
      </c>
      <c r="L21" s="7" t="str">
        <f t="shared" si="1"/>
        <v/>
      </c>
      <c r="N21" s="7" t="str">
        <f t="shared" si="2"/>
        <v/>
      </c>
      <c r="O21" t="str">
        <f t="shared" si="3"/>
        <v/>
      </c>
      <c r="P21" t="str">
        <f t="shared" si="12"/>
        <v/>
      </c>
      <c r="Q21" t="str">
        <f t="shared" si="5"/>
        <v/>
      </c>
      <c r="S21" t="str">
        <f>""</f>
        <v/>
      </c>
      <c r="T21" s="111" t="s">
        <v>65</v>
      </c>
      <c r="U21" s="112"/>
      <c r="V21" s="25">
        <f>COUNTIF(M:M, "No")</f>
        <v>0</v>
      </c>
      <c r="X21" s="47" t="s">
        <v>20</v>
      </c>
      <c r="Y21" s="45">
        <f>SUMIF(D:D,X21,N:N)</f>
        <v>0</v>
      </c>
      <c r="Z21" s="40">
        <f>COUNTIF(D:D,X21)</f>
        <v>0</v>
      </c>
      <c r="AA21" s="41">
        <f>IFERROR(COUNTIFS(D:D, X21)/COUNTA($D$2:$D$994),0)</f>
        <v>0</v>
      </c>
      <c r="AC21" s="17" t="str" cm="1">
        <f t="array" ref="AC21">IFERROR(INDEX($AL$2:$AL$300, MATCH(0, COUNTIF($AC$2:AC20, $AL$2:$AL$300) + IF($AL$2:$AL$300="", 1, 0), 0)), "")</f>
        <v/>
      </c>
      <c r="AD21" s="9">
        <f t="shared" si="8"/>
        <v>0</v>
      </c>
      <c r="AE21" s="19">
        <f>SUM(AD$3:AD21)</f>
        <v>0</v>
      </c>
      <c r="AL21" s="18" t="str">
        <f>IF(COUNTIF($A$2:A20, A20) = 1, A20, "")</f>
        <v/>
      </c>
    </row>
    <row r="22" spans="6:38" ht="17" thickBot="1" x14ac:dyDescent="0.25">
      <c r="F22" t="str">
        <f t="shared" si="0"/>
        <v/>
      </c>
      <c r="L22" s="7" t="str">
        <f t="shared" si="1"/>
        <v/>
      </c>
      <c r="N22" s="7" t="str">
        <f t="shared" si="2"/>
        <v/>
      </c>
      <c r="O22" t="str">
        <f t="shared" si="3"/>
        <v/>
      </c>
      <c r="P22" t="str">
        <f t="shared" si="12"/>
        <v/>
      </c>
      <c r="Q22" t="str">
        <f t="shared" si="5"/>
        <v/>
      </c>
      <c r="S22" t="str">
        <f>""</f>
        <v/>
      </c>
      <c r="T22" s="107" t="s">
        <v>76</v>
      </c>
      <c r="U22" s="108"/>
      <c r="V22" s="14">
        <f>V19-V20-V21</f>
        <v>0</v>
      </c>
      <c r="X22" s="48" t="s">
        <v>18</v>
      </c>
      <c r="Y22" s="45">
        <f>SUMIF(D:D,X22,N:N)</f>
        <v>0</v>
      </c>
      <c r="Z22" s="34">
        <f>COUNTIF(D:D,X22)</f>
        <v>0</v>
      </c>
      <c r="AA22" s="41">
        <f>IFERROR(COUNTIFS(D:D, X22)/COUNTA($D$2:$D$994),0)</f>
        <v>0</v>
      </c>
      <c r="AC22" s="17" t="str" cm="1">
        <f t="array" ref="AC22">IFERROR(INDEX($AL$2:$AL$300, MATCH(0, COUNTIF($AC$2:AC21, $AL$2:$AL$300) + IF($AL$2:$AL$300="", 1, 0), 0)), "")</f>
        <v/>
      </c>
      <c r="AD22" s="9">
        <f t="shared" si="8"/>
        <v>0</v>
      </c>
      <c r="AE22" s="19">
        <f>SUM(AD$3:AD22)</f>
        <v>0</v>
      </c>
      <c r="AL22" s="18" t="str">
        <f>IF(COUNTIF($A$2:A21, A21) = 1, A21, "")</f>
        <v/>
      </c>
    </row>
    <row r="23" spans="6:38" ht="17" thickBot="1" x14ac:dyDescent="0.25">
      <c r="F23" t="str">
        <f t="shared" si="0"/>
        <v/>
      </c>
      <c r="L23" s="7" t="str">
        <f t="shared" si="1"/>
        <v/>
      </c>
      <c r="N23" s="7" t="str">
        <f t="shared" si="2"/>
        <v/>
      </c>
      <c r="O23" t="str">
        <f t="shared" si="3"/>
        <v/>
      </c>
      <c r="P23" t="str">
        <f t="shared" si="12"/>
        <v/>
      </c>
      <c r="Q23" t="str">
        <f t="shared" si="5"/>
        <v/>
      </c>
      <c r="S23" t="str">
        <f>""</f>
        <v/>
      </c>
      <c r="X23" s="50" t="s">
        <v>31</v>
      </c>
      <c r="Y23" s="44">
        <f>SUMIF(D:D,X23,N:N)</f>
        <v>0</v>
      </c>
      <c r="Z23" s="35">
        <f>COUNTIF(D:D,X23)</f>
        <v>0</v>
      </c>
      <c r="AA23" s="52">
        <f>IFERROR(COUNTIFS(D:D, X23)/COUNTA($D$2:$D$994),0)</f>
        <v>0</v>
      </c>
      <c r="AC23" s="17" t="str" cm="1">
        <f t="array" ref="AC23">IFERROR(INDEX($AL$2:$AL$300, MATCH(0, COUNTIF($AC$2:AC22, $AL$2:$AL$300) + IF($AL$2:$AL$300="", 1, 0), 0)), "")</f>
        <v/>
      </c>
      <c r="AD23" s="9">
        <f t="shared" si="8"/>
        <v>0</v>
      </c>
      <c r="AE23" s="20">
        <f>SUM(AD$3:AD23)</f>
        <v>0</v>
      </c>
      <c r="AL23" s="18" t="str">
        <f>IF(COUNTIF($A$2:A22, A22) = 1, A22, "")</f>
        <v/>
      </c>
    </row>
    <row r="24" spans="6:38" ht="17" thickBot="1" x14ac:dyDescent="0.25">
      <c r="F24" t="str">
        <f t="shared" si="0"/>
        <v/>
      </c>
      <c r="L24" s="7" t="str">
        <f t="shared" si="1"/>
        <v/>
      </c>
      <c r="N24" s="7" t="str">
        <f t="shared" si="2"/>
        <v/>
      </c>
      <c r="O24" t="str">
        <f t="shared" si="3"/>
        <v/>
      </c>
      <c r="P24" t="str">
        <f t="shared" si="12"/>
        <v/>
      </c>
      <c r="Q24" t="str">
        <f t="shared" si="5"/>
        <v/>
      </c>
      <c r="S24" t="str">
        <f>""</f>
        <v/>
      </c>
      <c r="Y24" s="60"/>
      <c r="AC24" s="17" t="str" cm="1">
        <f t="array" ref="AC24">IFERROR(INDEX($AL$2:$AL$300, MATCH(0, COUNTIF($AC$2:AC23, $AL$2:$AL$300) + IF($AL$2:$AL$300="", 1, 0), 0)), "")</f>
        <v/>
      </c>
      <c r="AD24" s="9">
        <f t="shared" si="8"/>
        <v>0</v>
      </c>
      <c r="AE24" s="19">
        <f>SUM(AD$3:AD24)</f>
        <v>0</v>
      </c>
      <c r="AL24" s="18" t="str">
        <f>IF(COUNTIF($A$2:A23, A23) = 1, A23, "")</f>
        <v/>
      </c>
    </row>
    <row r="25" spans="6:38" ht="17" thickBot="1" x14ac:dyDescent="0.25">
      <c r="F25" t="str">
        <f t="shared" si="0"/>
        <v/>
      </c>
      <c r="L25" s="7" t="str">
        <f t="shared" si="1"/>
        <v/>
      </c>
      <c r="N25" s="7" t="str">
        <f t="shared" si="2"/>
        <v/>
      </c>
      <c r="O25" t="str">
        <f t="shared" si="3"/>
        <v/>
      </c>
      <c r="P25" t="str">
        <f t="shared" si="12"/>
        <v/>
      </c>
      <c r="Q25" t="str">
        <f t="shared" si="5"/>
        <v/>
      </c>
      <c r="S25" t="str">
        <f>""</f>
        <v/>
      </c>
      <c r="X25" s="79" t="s">
        <v>12</v>
      </c>
      <c r="Y25" s="83" t="s">
        <v>9</v>
      </c>
      <c r="Z25" s="81" t="s">
        <v>84</v>
      </c>
      <c r="AA25" s="82" t="s">
        <v>39</v>
      </c>
      <c r="AC25" s="21" t="str" cm="1">
        <f t="array" ref="AC25">IFERROR(INDEX($AL$2:$AL$300, MATCH(0, COUNTIF($AC$2:AC24, $AL$2:$AL$300) + IF($AL$2:$AL$300="", 1, 0), 0)), "")</f>
        <v/>
      </c>
      <c r="AD25" s="22">
        <f t="shared" si="8"/>
        <v>0</v>
      </c>
      <c r="AE25" s="23">
        <f>SUM(AD$3:AD25)</f>
        <v>0</v>
      </c>
      <c r="AL25" s="18" t="str">
        <f>IF(COUNTIF($A$2:A24, A24) = 1, A24, "")</f>
        <v/>
      </c>
    </row>
    <row r="26" spans="6:38" x14ac:dyDescent="0.2">
      <c r="F26" t="str">
        <f t="shared" si="0"/>
        <v/>
      </c>
      <c r="L26" s="7" t="str">
        <f t="shared" si="1"/>
        <v/>
      </c>
      <c r="N26" s="7" t="str">
        <f t="shared" si="2"/>
        <v/>
      </c>
      <c r="O26" t="str">
        <f t="shared" si="3"/>
        <v/>
      </c>
      <c r="P26" t="str">
        <f t="shared" si="12"/>
        <v/>
      </c>
      <c r="Q26" t="str">
        <f t="shared" si="5"/>
        <v/>
      </c>
      <c r="S26" t="str">
        <f>""</f>
        <v/>
      </c>
      <c r="X26" s="47" t="s">
        <v>32</v>
      </c>
      <c r="Y26" s="45">
        <f>SUMIFS(N:N, E:E, "&lt;-150")</f>
        <v>0</v>
      </c>
      <c r="Z26" s="40">
        <f>COUNTIFS(E:E, "&lt; -150")</f>
        <v>0</v>
      </c>
      <c r="AA26" s="41">
        <f>IFERROR(COUNTIFS(E:E, "&lt; -150")/COUNTA($E$2:$E$993),0)</f>
        <v>0</v>
      </c>
      <c r="AC26" s="59"/>
      <c r="AD26" s="7"/>
      <c r="AE26" s="7"/>
      <c r="AL26" s="18" t="str">
        <f>IF(COUNTIF($A$2:A25, A25) = 1, A25, "")</f>
        <v/>
      </c>
    </row>
    <row r="27" spans="6:38" x14ac:dyDescent="0.2">
      <c r="F27" t="str">
        <f t="shared" si="0"/>
        <v/>
      </c>
      <c r="L27" s="7" t="str">
        <f t="shared" si="1"/>
        <v/>
      </c>
      <c r="N27" s="7" t="str">
        <f t="shared" si="2"/>
        <v/>
      </c>
      <c r="O27" t="str">
        <f t="shared" si="3"/>
        <v/>
      </c>
      <c r="P27" t="str">
        <f t="shared" si="12"/>
        <v/>
      </c>
      <c r="Q27" t="str">
        <f t="shared" si="5"/>
        <v/>
      </c>
      <c r="S27" t="str">
        <f>""</f>
        <v/>
      </c>
      <c r="X27" s="48" t="s">
        <v>33</v>
      </c>
      <c r="Y27" s="45">
        <f>SUMIFS(N:N, E:E, "&gt;=-150", E:E, "&lt;100")</f>
        <v>0</v>
      </c>
      <c r="Z27" s="34">
        <f>COUNTIFS(E:E, "&lt; 100", E:E, "&gt;=-150")</f>
        <v>0</v>
      </c>
      <c r="AA27" s="38">
        <f>IFERROR(COUNTIFS(E:E, "&lt; 100", E:E, "&gt;=-150")/COUNTA($E$2:$E$6993),0)</f>
        <v>0</v>
      </c>
      <c r="AC27" s="59"/>
      <c r="AD27" s="7"/>
      <c r="AE27" s="7"/>
      <c r="AL27" s="18" t="str">
        <f>IF(COUNTIF($A$2:A26, A26) = 1, A26, "")</f>
        <v/>
      </c>
    </row>
    <row r="28" spans="6:38" x14ac:dyDescent="0.2">
      <c r="F28" t="str">
        <f t="shared" si="0"/>
        <v/>
      </c>
      <c r="L28" s="7" t="str">
        <f t="shared" si="1"/>
        <v/>
      </c>
      <c r="N28" s="7" t="str">
        <f t="shared" si="2"/>
        <v/>
      </c>
      <c r="O28" t="str">
        <f t="shared" si="3"/>
        <v/>
      </c>
      <c r="P28" t="str">
        <f t="shared" si="12"/>
        <v/>
      </c>
      <c r="Q28" t="str">
        <f t="shared" si="5"/>
        <v/>
      </c>
      <c r="S28" t="str">
        <f>""</f>
        <v/>
      </c>
      <c r="X28" s="48" t="s">
        <v>34</v>
      </c>
      <c r="Y28" s="45">
        <f>SUMIFS(N:N, E:E, "&gt;=100", E:E, "&lt;125")</f>
        <v>0</v>
      </c>
      <c r="Z28" s="34">
        <f>COUNTIFS(E:E, "&lt; 125", E:E, "&gt;=100")</f>
        <v>0</v>
      </c>
      <c r="AA28" s="38">
        <f>IFERROR(COUNTIFS(E:E, "&lt; 125", E:E, "&gt;=100")/COUNTA($E$2:$E$6993),0)</f>
        <v>0</v>
      </c>
      <c r="AC28" s="59"/>
      <c r="AD28" s="7"/>
      <c r="AE28" s="7"/>
      <c r="AL28" s="18" t="str">
        <f>IF(COUNTIF($A$2:A27, A27) = 1, A27, "")</f>
        <v/>
      </c>
    </row>
    <row r="29" spans="6:38" x14ac:dyDescent="0.2">
      <c r="F29" t="str">
        <f t="shared" si="0"/>
        <v/>
      </c>
      <c r="L29" s="7" t="str">
        <f t="shared" si="1"/>
        <v/>
      </c>
      <c r="N29" s="7" t="str">
        <f t="shared" si="2"/>
        <v/>
      </c>
      <c r="O29" t="str">
        <f t="shared" si="3"/>
        <v/>
      </c>
      <c r="P29" t="str">
        <f t="shared" si="12"/>
        <v/>
      </c>
      <c r="Q29" t="str">
        <f t="shared" si="5"/>
        <v/>
      </c>
      <c r="S29" t="str">
        <f>""</f>
        <v/>
      </c>
      <c r="X29" s="47" t="s">
        <v>35</v>
      </c>
      <c r="Y29" s="45">
        <f>SUMIFS(N:N, E:E, "&gt;=125", E:E, "&lt;150")</f>
        <v>0</v>
      </c>
      <c r="Z29" s="40">
        <f>COUNTIFS(E:E, "&lt; 150", E:E, "&gt;=125")</f>
        <v>0</v>
      </c>
      <c r="AA29" s="41">
        <f>IFERROR(COUNTIFS(E:E, "&lt; 150", E:E, "&gt;=125")/COUNTA($E$2:$E$6993),0)</f>
        <v>0</v>
      </c>
      <c r="AC29" s="59"/>
      <c r="AD29" s="7"/>
      <c r="AE29" s="7"/>
      <c r="AL29" s="18" t="str">
        <f>IF(COUNTIF($A$2:A28, A28) = 1, A28, "")</f>
        <v/>
      </c>
    </row>
    <row r="30" spans="6:38" x14ac:dyDescent="0.2">
      <c r="F30" t="str">
        <f t="shared" si="0"/>
        <v/>
      </c>
      <c r="L30" s="7" t="str">
        <f t="shared" si="1"/>
        <v/>
      </c>
      <c r="N30" s="7" t="str">
        <f t="shared" si="2"/>
        <v/>
      </c>
      <c r="O30" t="str">
        <f t="shared" si="3"/>
        <v/>
      </c>
      <c r="P30" t="str">
        <f t="shared" si="12"/>
        <v/>
      </c>
      <c r="Q30" t="str">
        <f t="shared" si="5"/>
        <v/>
      </c>
      <c r="S30" t="str">
        <f>""</f>
        <v/>
      </c>
      <c r="X30" s="48" t="s">
        <v>36</v>
      </c>
      <c r="Y30" s="45">
        <f>SUMIFS(N:N, E:E, "&gt;=150", E:E, "&lt;200")</f>
        <v>0</v>
      </c>
      <c r="Z30" s="34">
        <f>COUNTIFS(E:E, "&lt; 200", E:E, "&gt;=150")</f>
        <v>0</v>
      </c>
      <c r="AA30" s="38">
        <f>IFERROR(COUNTIFS(E:E, "&lt; 200", E:E, "&gt;=150")/COUNTA($E$2:$E$6993),0)</f>
        <v>0</v>
      </c>
      <c r="AC30" s="59"/>
      <c r="AD30" s="7"/>
      <c r="AE30" s="7"/>
      <c r="AL30" s="18" t="str">
        <f>IF(COUNTIF($A$2:A29, A29) = 1, A29, "")</f>
        <v/>
      </c>
    </row>
    <row r="31" spans="6:38" ht="17" thickBot="1" x14ac:dyDescent="0.25">
      <c r="F31" t="str">
        <f t="shared" si="0"/>
        <v/>
      </c>
      <c r="L31" s="7" t="str">
        <f t="shared" si="1"/>
        <v/>
      </c>
      <c r="N31" s="7" t="str">
        <f t="shared" si="2"/>
        <v/>
      </c>
      <c r="O31" t="str">
        <f t="shared" si="3"/>
        <v/>
      </c>
      <c r="P31" t="str">
        <f t="shared" si="12"/>
        <v/>
      </c>
      <c r="Q31" t="str">
        <f t="shared" si="5"/>
        <v/>
      </c>
      <c r="S31" t="str">
        <f>""</f>
        <v/>
      </c>
      <c r="X31" s="49" t="s">
        <v>37</v>
      </c>
      <c r="Y31" s="44">
        <f>SUMIFS(N:N, E:E, "&gt;=200")</f>
        <v>0</v>
      </c>
      <c r="Z31" s="35">
        <f>COUNTIFS(E:E, "&gt;=200")</f>
        <v>0</v>
      </c>
      <c r="AA31" s="39">
        <f>IFERROR(COUNTIFS(E:E, "&gt;=200")/COUNTA($E$2:$E$69993),0)</f>
        <v>0</v>
      </c>
      <c r="AC31" s="59"/>
      <c r="AD31" s="7"/>
      <c r="AE31" s="7"/>
      <c r="AL31" s="18" t="str">
        <f>IF(COUNTIF($A$2:A30, A30) = 1, A30, "")</f>
        <v/>
      </c>
    </row>
    <row r="32" spans="6:38" ht="17" thickBot="1" x14ac:dyDescent="0.25">
      <c r="F32" t="str">
        <f t="shared" si="0"/>
        <v/>
      </c>
      <c r="L32" s="7" t="str">
        <f t="shared" si="1"/>
        <v/>
      </c>
      <c r="N32" s="7" t="str">
        <f t="shared" si="2"/>
        <v/>
      </c>
      <c r="O32" t="str">
        <f t="shared" si="3"/>
        <v/>
      </c>
      <c r="P32" t="str">
        <f t="shared" si="12"/>
        <v/>
      </c>
      <c r="Q32" t="str">
        <f t="shared" si="5"/>
        <v/>
      </c>
      <c r="S32" t="str">
        <f>""</f>
        <v/>
      </c>
      <c r="Y32" s="60"/>
      <c r="AC32" s="59"/>
      <c r="AD32" s="7"/>
      <c r="AE32" s="7"/>
      <c r="AL32" s="18" t="str">
        <f>IF(COUNTIF($A$2:A31, A31) = 1, A31, "")</f>
        <v/>
      </c>
    </row>
    <row r="33" spans="6:38" ht="17" thickBot="1" x14ac:dyDescent="0.25">
      <c r="F33" t="str">
        <f t="shared" si="0"/>
        <v/>
      </c>
      <c r="L33" s="7" t="str">
        <f t="shared" si="1"/>
        <v/>
      </c>
      <c r="N33" s="7" t="str">
        <f t="shared" si="2"/>
        <v/>
      </c>
      <c r="O33" t="str">
        <f t="shared" si="3"/>
        <v/>
      </c>
      <c r="P33" t="str">
        <f t="shared" si="12"/>
        <v/>
      </c>
      <c r="Q33" t="str">
        <f t="shared" si="5"/>
        <v/>
      </c>
      <c r="S33" t="str">
        <f>""</f>
        <v/>
      </c>
      <c r="X33" s="79" t="s">
        <v>3</v>
      </c>
      <c r="Y33" s="83" t="s">
        <v>9</v>
      </c>
      <c r="Z33" s="81" t="s">
        <v>84</v>
      </c>
      <c r="AA33" s="82" t="s">
        <v>39</v>
      </c>
      <c r="AC33" s="59"/>
      <c r="AD33" s="7"/>
      <c r="AE33" s="7"/>
      <c r="AL33" s="18" t="str">
        <f>IF(COUNTIF($A$2:A32, A32) = 1, A32, "")</f>
        <v/>
      </c>
    </row>
    <row r="34" spans="6:38" x14ac:dyDescent="0.2">
      <c r="F34" t="str">
        <f t="shared" si="0"/>
        <v/>
      </c>
      <c r="L34" s="7" t="str">
        <f t="shared" si="1"/>
        <v/>
      </c>
      <c r="N34" s="7" t="str">
        <f t="shared" si="2"/>
        <v/>
      </c>
      <c r="O34" t="str">
        <f t="shared" si="3"/>
        <v/>
      </c>
      <c r="P34" t="str">
        <f t="shared" si="12"/>
        <v/>
      </c>
      <c r="Q34" t="str">
        <f t="shared" si="5"/>
        <v/>
      </c>
      <c r="S34" t="str">
        <f>""</f>
        <v/>
      </c>
      <c r="X34" s="47">
        <v>1</v>
      </c>
      <c r="Y34" s="45">
        <f>SUMIFS(N:N, F:F, X34)</f>
        <v>0</v>
      </c>
      <c r="Z34" s="40">
        <f>COUNTIF(F:F,X34)</f>
        <v>0</v>
      </c>
      <c r="AA34" s="41">
        <f>IFERROR(COUNTIFS(F:F, X34)/COUNTA($E$2:$E$993),0)</f>
        <v>0</v>
      </c>
      <c r="AC34" s="59"/>
      <c r="AD34" s="7"/>
      <c r="AE34" s="7"/>
      <c r="AL34" s="18" t="str">
        <f>IF(COUNTIF($A$2:A33, A33) = 1, A33, "")</f>
        <v/>
      </c>
    </row>
    <row r="35" spans="6:38" x14ac:dyDescent="0.2">
      <c r="F35" t="str">
        <f t="shared" si="0"/>
        <v/>
      </c>
      <c r="L35" s="7" t="str">
        <f t="shared" si="1"/>
        <v/>
      </c>
      <c r="N35" s="7" t="str">
        <f t="shared" si="2"/>
        <v/>
      </c>
      <c r="O35" t="str">
        <f t="shared" si="3"/>
        <v/>
      </c>
      <c r="P35" t="str">
        <f t="shared" si="12"/>
        <v/>
      </c>
      <c r="Q35" t="str">
        <f t="shared" si="5"/>
        <v/>
      </c>
      <c r="S35" t="str">
        <f>""</f>
        <v/>
      </c>
      <c r="X35" s="48">
        <v>2</v>
      </c>
      <c r="Y35" s="45">
        <f>SUMIFS(N:N, F:F, X35)</f>
        <v>0</v>
      </c>
      <c r="Z35" s="34">
        <f>COUNTIF(F:F,X35)</f>
        <v>0</v>
      </c>
      <c r="AA35" s="41">
        <f>IFERROR(COUNTIFS(F:F, X35)/COUNTA($E$2:$E$993),0)</f>
        <v>0</v>
      </c>
      <c r="AC35" s="59"/>
      <c r="AD35" s="7"/>
      <c r="AE35" s="7"/>
      <c r="AL35" s="18" t="str">
        <f>IF(COUNTIF($A$2:A34, A34) = 1, A34, "")</f>
        <v/>
      </c>
    </row>
    <row r="36" spans="6:38" x14ac:dyDescent="0.2">
      <c r="F36" t="str">
        <f t="shared" si="0"/>
        <v/>
      </c>
      <c r="L36" s="7" t="str">
        <f t="shared" si="1"/>
        <v/>
      </c>
      <c r="N36" s="7" t="str">
        <f t="shared" si="2"/>
        <v/>
      </c>
      <c r="O36" t="str">
        <f t="shared" si="3"/>
        <v/>
      </c>
      <c r="P36" t="str">
        <f t="shared" si="12"/>
        <v/>
      </c>
      <c r="Q36" t="str">
        <f t="shared" si="5"/>
        <v/>
      </c>
      <c r="S36" t="str">
        <f>""</f>
        <v/>
      </c>
      <c r="X36" s="48">
        <v>3</v>
      </c>
      <c r="Y36" s="45">
        <f>SUMIFS(N:N, F:F, X36)</f>
        <v>0</v>
      </c>
      <c r="Z36" s="34">
        <f>COUNTIF(F:F,X36)</f>
        <v>0</v>
      </c>
      <c r="AA36" s="41">
        <f>IFERROR(COUNTIFS(F:F, X36)/COUNTA($E$2:$E$993),0)</f>
        <v>0</v>
      </c>
      <c r="AD36" s="7"/>
      <c r="AE36" s="7"/>
      <c r="AL36" s="18" t="str">
        <f>IF(COUNTIF($A$2:A35, A35) = 1, A35, "")</f>
        <v/>
      </c>
    </row>
    <row r="37" spans="6:38" x14ac:dyDescent="0.2">
      <c r="F37" t="str">
        <f t="shared" si="0"/>
        <v/>
      </c>
      <c r="L37" s="7" t="str">
        <f t="shared" si="1"/>
        <v/>
      </c>
      <c r="N37" s="7" t="str">
        <f t="shared" si="2"/>
        <v/>
      </c>
      <c r="O37" t="str">
        <f t="shared" si="3"/>
        <v/>
      </c>
      <c r="P37" t="str">
        <f t="shared" si="12"/>
        <v/>
      </c>
      <c r="Q37" t="str">
        <f t="shared" si="5"/>
        <v/>
      </c>
      <c r="S37" t="str">
        <f>""</f>
        <v/>
      </c>
      <c r="X37" s="47">
        <v>4</v>
      </c>
      <c r="Y37" s="45">
        <f>SUMIFS(N:N, F:F, X37)</f>
        <v>0</v>
      </c>
      <c r="Z37" s="34">
        <f>COUNTIF(F:F,X37)</f>
        <v>0</v>
      </c>
      <c r="AA37" s="41">
        <f>IFERROR(COUNTIFS(F:F, X37)/COUNTA($E$2:$E$993),0)</f>
        <v>0</v>
      </c>
      <c r="AD37" s="7"/>
      <c r="AE37" s="7"/>
      <c r="AL37" s="18" t="str">
        <f>IF(COUNTIF($A$2:A36, A36) = 1, A36, "")</f>
        <v/>
      </c>
    </row>
    <row r="38" spans="6:38" ht="17" thickBot="1" x14ac:dyDescent="0.25">
      <c r="F38" t="str">
        <f t="shared" si="0"/>
        <v/>
      </c>
      <c r="L38" s="7" t="str">
        <f t="shared" si="1"/>
        <v/>
      </c>
      <c r="N38" s="7" t="str">
        <f t="shared" si="2"/>
        <v/>
      </c>
      <c r="O38" t="str">
        <f t="shared" si="3"/>
        <v/>
      </c>
      <c r="P38" t="str">
        <f t="shared" si="12"/>
        <v/>
      </c>
      <c r="Q38" t="str">
        <f t="shared" si="5"/>
        <v/>
      </c>
      <c r="S38" t="str">
        <f>""</f>
        <v/>
      </c>
      <c r="X38" s="49" t="s">
        <v>88</v>
      </c>
      <c r="Y38" s="44">
        <f>SUMIFS(N:N, F:F, "&gt;4")</f>
        <v>0</v>
      </c>
      <c r="Z38" s="35">
        <f>COUNTIF(F:F,"&gt;4")</f>
        <v>0</v>
      </c>
      <c r="AA38" s="52">
        <f>IFERROR(COUNTIFS(F:F, X38)/COUNTA($E$2:$E$993),0)</f>
        <v>0</v>
      </c>
      <c r="AD38" s="7"/>
      <c r="AE38" s="7"/>
      <c r="AL38" s="18" t="str">
        <f>IF(COUNTIF($A$2:A37, A37) = 1, A37, "")</f>
        <v/>
      </c>
    </row>
    <row r="39" spans="6:38" ht="17" thickBot="1" x14ac:dyDescent="0.25">
      <c r="F39" t="str">
        <f t="shared" si="0"/>
        <v/>
      </c>
      <c r="L39" s="7" t="str">
        <f t="shared" si="1"/>
        <v/>
      </c>
      <c r="N39" s="7" t="str">
        <f t="shared" si="2"/>
        <v/>
      </c>
      <c r="O39" t="str">
        <f t="shared" si="3"/>
        <v/>
      </c>
      <c r="P39" t="str">
        <f t="shared" si="12"/>
        <v/>
      </c>
      <c r="Q39" t="str">
        <f t="shared" si="5"/>
        <v/>
      </c>
      <c r="S39" t="str">
        <f>""</f>
        <v/>
      </c>
      <c r="Y39" s="60"/>
      <c r="AD39" s="7"/>
      <c r="AE39" s="7"/>
      <c r="AL39" s="18" t="str">
        <f>IF(COUNTIF($A$2:A38, A38) = 1, A38, "")</f>
        <v/>
      </c>
    </row>
    <row r="40" spans="6:38" ht="17" thickBot="1" x14ac:dyDescent="0.25">
      <c r="F40" t="str">
        <f t="shared" si="0"/>
        <v/>
      </c>
      <c r="L40" s="7" t="str">
        <f t="shared" si="1"/>
        <v/>
      </c>
      <c r="N40" s="7" t="str">
        <f t="shared" si="2"/>
        <v/>
      </c>
      <c r="O40" t="str">
        <f t="shared" si="3"/>
        <v/>
      </c>
      <c r="P40" t="str">
        <f t="shared" si="12"/>
        <v/>
      </c>
      <c r="Q40" t="str">
        <f t="shared" si="5"/>
        <v/>
      </c>
      <c r="S40" t="str">
        <f>""</f>
        <v/>
      </c>
      <c r="X40" s="79" t="s">
        <v>38</v>
      </c>
      <c r="Y40" s="83" t="s">
        <v>9</v>
      </c>
      <c r="Z40" s="81" t="s">
        <v>84</v>
      </c>
      <c r="AA40" s="82" t="s">
        <v>39</v>
      </c>
      <c r="AD40" s="7"/>
      <c r="AE40" s="7"/>
      <c r="AL40" s="18" t="str">
        <f>IF(COUNTIF($A$2:A39, A39) = 1, A39, "")</f>
        <v/>
      </c>
    </row>
    <row r="41" spans="6:38" x14ac:dyDescent="0.2">
      <c r="F41" t="str">
        <f t="shared" si="0"/>
        <v/>
      </c>
      <c r="L41" s="7" t="str">
        <f t="shared" si="1"/>
        <v/>
      </c>
      <c r="N41" s="7" t="str">
        <f t="shared" si="2"/>
        <v/>
      </c>
      <c r="O41" t="str">
        <f t="shared" si="3"/>
        <v/>
      </c>
      <c r="P41" t="str">
        <f t="shared" si="12"/>
        <v/>
      </c>
      <c r="Q41" t="str">
        <f t="shared" si="5"/>
        <v/>
      </c>
      <c r="S41" t="str">
        <f>""</f>
        <v/>
      </c>
      <c r="X41" s="47" t="s">
        <v>4</v>
      </c>
      <c r="Y41" s="45">
        <f>SUMIFS(N:N,G:G, "Yes")</f>
        <v>0</v>
      </c>
      <c r="Z41" s="40">
        <f>COUNTIF(G:G,"Yes")</f>
        <v>0</v>
      </c>
      <c r="AA41" s="41">
        <f>IFERROR(COUNTIFS(G:G, "Yes")/COUNTA($G$2:$G$994),0)</f>
        <v>0</v>
      </c>
      <c r="AD41" s="7"/>
      <c r="AE41" s="7"/>
      <c r="AL41" s="18" t="str">
        <f>IF(COUNTIF($A$2:A40, A40) = 1, A40, "")</f>
        <v/>
      </c>
    </row>
    <row r="42" spans="6:38" x14ac:dyDescent="0.2">
      <c r="F42" t="str">
        <f t="shared" si="0"/>
        <v/>
      </c>
      <c r="L42" s="7" t="str">
        <f t="shared" si="1"/>
        <v/>
      </c>
      <c r="N42" s="7" t="str">
        <f t="shared" si="2"/>
        <v/>
      </c>
      <c r="O42" t="str">
        <f t="shared" si="3"/>
        <v/>
      </c>
      <c r="P42" t="str">
        <f t="shared" si="12"/>
        <v/>
      </c>
      <c r="Q42" t="str">
        <f t="shared" si="5"/>
        <v/>
      </c>
      <c r="S42" t="str">
        <f>""</f>
        <v/>
      </c>
      <c r="X42" s="48" t="s">
        <v>5</v>
      </c>
      <c r="Y42" s="45">
        <f>SUMIFS(N:N,H:H, "Yes")</f>
        <v>0</v>
      </c>
      <c r="Z42" s="34">
        <f>COUNTIF(H:H,"Yes")</f>
        <v>0</v>
      </c>
      <c r="AA42" s="38">
        <f>IFERROR(COUNTIFS(H:H, "Yes")/COUNTA($G$2:$G$994),0)</f>
        <v>0</v>
      </c>
      <c r="AD42" s="7"/>
      <c r="AE42" s="7"/>
      <c r="AL42" s="18" t="str">
        <f>IF(COUNTIF($A$2:A41, A41) = 1, A41, "")</f>
        <v/>
      </c>
    </row>
    <row r="43" spans="6:38" ht="17" thickBot="1" x14ac:dyDescent="0.25">
      <c r="F43" t="str">
        <f t="shared" si="0"/>
        <v/>
      </c>
      <c r="L43" s="7" t="str">
        <f t="shared" si="1"/>
        <v/>
      </c>
      <c r="N43" s="7" t="str">
        <f t="shared" si="2"/>
        <v/>
      </c>
      <c r="O43" t="str">
        <f t="shared" si="3"/>
        <v/>
      </c>
      <c r="P43" t="str">
        <f t="shared" si="12"/>
        <v/>
      </c>
      <c r="Q43" t="str">
        <f t="shared" si="5"/>
        <v/>
      </c>
      <c r="S43" t="str">
        <f>""</f>
        <v/>
      </c>
      <c r="X43" s="50" t="s">
        <v>6</v>
      </c>
      <c r="Y43" s="45">
        <f>SUMIFS(N:N,I:I, "Yes")</f>
        <v>0</v>
      </c>
      <c r="Z43" s="42">
        <f>COUNTIF(I:I,"Yes")</f>
        <v>0</v>
      </c>
      <c r="AA43" s="39">
        <f>IFERROR(COUNTIFS(I:I, "Yes")/COUNTA($G$2:$G$994),0)</f>
        <v>0</v>
      </c>
      <c r="AD43" s="7"/>
      <c r="AE43" s="7"/>
      <c r="AL43" s="18" t="str">
        <f>IF(COUNTIF($A$2:A42, A42) = 1, A42, "")</f>
        <v/>
      </c>
    </row>
    <row r="44" spans="6:38" ht="17" thickBot="1" x14ac:dyDescent="0.25">
      <c r="F44" t="str">
        <f t="shared" si="0"/>
        <v/>
      </c>
      <c r="L44" s="7" t="str">
        <f t="shared" si="1"/>
        <v/>
      </c>
      <c r="N44" s="7" t="str">
        <f t="shared" si="2"/>
        <v/>
      </c>
      <c r="O44" t="str">
        <f t="shared" si="3"/>
        <v/>
      </c>
      <c r="P44" t="str">
        <f t="shared" si="12"/>
        <v/>
      </c>
      <c r="Q44" t="str">
        <f t="shared" si="5"/>
        <v/>
      </c>
      <c r="S44" t="str">
        <f>""</f>
        <v/>
      </c>
      <c r="Y44" s="60"/>
      <c r="AD44" s="7"/>
      <c r="AE44" s="7"/>
      <c r="AL44" s="18" t="str">
        <f>IF(COUNTIF($A$2:A43, A43) = 1, A43, "")</f>
        <v/>
      </c>
    </row>
    <row r="45" spans="6:38" ht="17" thickBot="1" x14ac:dyDescent="0.25">
      <c r="F45" t="str">
        <f t="shared" si="0"/>
        <v/>
      </c>
      <c r="L45" s="7" t="str">
        <f t="shared" si="1"/>
        <v/>
      </c>
      <c r="N45" s="7" t="str">
        <f t="shared" si="2"/>
        <v/>
      </c>
      <c r="O45" t="str">
        <f t="shared" si="3"/>
        <v/>
      </c>
      <c r="P45" t="str">
        <f t="shared" si="12"/>
        <v/>
      </c>
      <c r="Q45" t="str">
        <f t="shared" si="5"/>
        <v/>
      </c>
      <c r="S45" t="str">
        <f>""</f>
        <v/>
      </c>
      <c r="X45" s="79" t="s">
        <v>74</v>
      </c>
      <c r="Y45" s="83" t="s">
        <v>9</v>
      </c>
      <c r="Z45" s="81" t="s">
        <v>84</v>
      </c>
      <c r="AA45" s="82" t="s">
        <v>39</v>
      </c>
      <c r="AD45" s="7"/>
      <c r="AE45" s="7"/>
      <c r="AL45" s="18" t="str">
        <f>IF(COUNTIF($A$2:A44, A44) = 1, A44, "")</f>
        <v/>
      </c>
    </row>
    <row r="46" spans="6:38" x14ac:dyDescent="0.2">
      <c r="F46" t="str">
        <f t="shared" si="0"/>
        <v/>
      </c>
      <c r="L46" s="7" t="str">
        <f t="shared" si="1"/>
        <v/>
      </c>
      <c r="N46" s="7" t="str">
        <f t="shared" si="2"/>
        <v/>
      </c>
      <c r="O46" t="str">
        <f t="shared" si="3"/>
        <v/>
      </c>
      <c r="P46" t="str">
        <f t="shared" si="12"/>
        <v/>
      </c>
      <c r="Q46" t="str">
        <f t="shared" si="5"/>
        <v/>
      </c>
      <c r="S46" t="str">
        <f>""</f>
        <v/>
      </c>
      <c r="X46" s="47" t="s">
        <v>75</v>
      </c>
      <c r="Y46" s="45">
        <f>SUMIFS(N:N,J:J,"No")</f>
        <v>0</v>
      </c>
      <c r="Z46" s="40">
        <f>COUNTIF(J:J,"No")</f>
        <v>0</v>
      </c>
      <c r="AA46" s="46">
        <f>IFERROR(COUNTIFS($J$2:$J$1048576, "No")/COUNTA($G$2:$G$994), 0)</f>
        <v>0</v>
      </c>
      <c r="AD46" s="7"/>
      <c r="AE46" s="7"/>
      <c r="AL46" s="18" t="str">
        <f>IF(COUNTIF($A$2:A45, A45) = 1, A45, "")</f>
        <v/>
      </c>
    </row>
    <row r="47" spans="6:38" ht="17" thickBot="1" x14ac:dyDescent="0.25">
      <c r="F47" t="str">
        <f t="shared" si="0"/>
        <v/>
      </c>
      <c r="L47" s="7" t="str">
        <f t="shared" si="1"/>
        <v/>
      </c>
      <c r="N47" s="7" t="str">
        <f t="shared" si="2"/>
        <v/>
      </c>
      <c r="O47" t="str">
        <f t="shared" si="3"/>
        <v/>
      </c>
      <c r="P47" t="str">
        <f t="shared" si="12"/>
        <v/>
      </c>
      <c r="Q47" t="str">
        <f t="shared" si="5"/>
        <v/>
      </c>
      <c r="S47" t="str">
        <f>""</f>
        <v/>
      </c>
      <c r="X47" s="49" t="s">
        <v>69</v>
      </c>
      <c r="Y47" s="44">
        <f>SUMIFS(N:N,J:J,"Yes")</f>
        <v>0</v>
      </c>
      <c r="Z47" s="35">
        <f>COUNTIF(J:J,"Yes")</f>
        <v>0</v>
      </c>
      <c r="AA47" s="53">
        <f>IFERROR(COUNTIFS($J$2:$J$1048576, "Yes")/COUNTA($G$2:$G$994), 0)</f>
        <v>0</v>
      </c>
      <c r="AD47" s="7"/>
      <c r="AE47" s="7"/>
      <c r="AL47" s="18" t="str">
        <f>IF(COUNTIF($A$2:A46, A46) = 1, A46, "")</f>
        <v/>
      </c>
    </row>
    <row r="48" spans="6:38" ht="17" thickBot="1" x14ac:dyDescent="0.25">
      <c r="F48" t="str">
        <f t="shared" si="0"/>
        <v/>
      </c>
      <c r="L48" s="7" t="str">
        <f t="shared" si="1"/>
        <v/>
      </c>
      <c r="N48" s="7" t="str">
        <f t="shared" si="2"/>
        <v/>
      </c>
      <c r="O48" t="str">
        <f t="shared" si="3"/>
        <v/>
      </c>
      <c r="P48" t="str">
        <f t="shared" si="12"/>
        <v/>
      </c>
      <c r="Q48" t="str">
        <f t="shared" si="5"/>
        <v/>
      </c>
      <c r="S48" t="str">
        <f>""</f>
        <v/>
      </c>
      <c r="AD48" s="7"/>
      <c r="AE48" s="7"/>
      <c r="AL48" s="18" t="str">
        <f>IF(COUNTIF($A$2:A47, A47) = 1, A47, "")</f>
        <v/>
      </c>
    </row>
    <row r="49" spans="6:38" ht="17" thickBot="1" x14ac:dyDescent="0.25">
      <c r="F49" t="str">
        <f t="shared" si="0"/>
        <v/>
      </c>
      <c r="L49" s="7" t="str">
        <f t="shared" si="1"/>
        <v/>
      </c>
      <c r="N49" s="7" t="str">
        <f t="shared" si="2"/>
        <v/>
      </c>
      <c r="O49" t="str">
        <f t="shared" si="3"/>
        <v/>
      </c>
      <c r="P49" t="str">
        <f t="shared" si="12"/>
        <v/>
      </c>
      <c r="Q49" t="str">
        <f t="shared" si="5"/>
        <v/>
      </c>
      <c r="S49" t="str">
        <f>""</f>
        <v/>
      </c>
      <c r="X49" s="92" t="s">
        <v>89</v>
      </c>
      <c r="Y49" s="83" t="s">
        <v>9</v>
      </c>
      <c r="Z49" s="81" t="s">
        <v>84</v>
      </c>
      <c r="AA49" s="82" t="s">
        <v>39</v>
      </c>
      <c r="AD49" s="7"/>
      <c r="AE49" s="7"/>
      <c r="AL49" s="18" t="str">
        <f>IF(COUNTIF($A$2:A48, A48) = 1, A48, "")</f>
        <v/>
      </c>
    </row>
    <row r="50" spans="6:38" x14ac:dyDescent="0.2">
      <c r="F50" t="str">
        <f t="shared" si="0"/>
        <v/>
      </c>
      <c r="L50" s="7" t="str">
        <f t="shared" si="1"/>
        <v/>
      </c>
      <c r="N50" s="7" t="str">
        <f t="shared" si="2"/>
        <v/>
      </c>
      <c r="O50" t="str">
        <f t="shared" si="3"/>
        <v/>
      </c>
      <c r="P50" t="str">
        <f t="shared" si="12"/>
        <v/>
      </c>
      <c r="Q50" t="str">
        <f t="shared" si="5"/>
        <v/>
      </c>
      <c r="S50" t="str">
        <f>""</f>
        <v/>
      </c>
      <c r="X50" s="48" t="str">
        <f>Master!F50</f>
        <v>Source 1</v>
      </c>
      <c r="Y50" s="62">
        <f>SUMIFS(N:N,R:R,X50)</f>
        <v>0</v>
      </c>
      <c r="Z50" s="63">
        <f t="shared" ref="Z50:Z58" si="13">COUNTIF(R:R,X50)</f>
        <v>0</v>
      </c>
      <c r="AA50" s="54">
        <f>IFERROR(COUNTIFS(R:R, X50)/COUNTA($R$2:$R$994), 0)</f>
        <v>0</v>
      </c>
      <c r="AD50" s="7"/>
      <c r="AE50" s="7"/>
      <c r="AL50" s="18" t="str">
        <f>IF(COUNTIF($A$2:A49, A49) = 1, A49, "")</f>
        <v/>
      </c>
    </row>
    <row r="51" spans="6:38" x14ac:dyDescent="0.2">
      <c r="F51" t="str">
        <f t="shared" si="0"/>
        <v/>
      </c>
      <c r="L51" s="7" t="str">
        <f t="shared" si="1"/>
        <v/>
      </c>
      <c r="N51" s="7" t="str">
        <f t="shared" si="2"/>
        <v/>
      </c>
      <c r="O51" t="str">
        <f t="shared" si="3"/>
        <v/>
      </c>
      <c r="P51" t="str">
        <f t="shared" si="12"/>
        <v/>
      </c>
      <c r="Q51" t="str">
        <f t="shared" si="5"/>
        <v/>
      </c>
      <c r="S51" t="str">
        <f>""</f>
        <v/>
      </c>
      <c r="X51" s="48" t="str">
        <f>Master!F51</f>
        <v>Source 2</v>
      </c>
      <c r="Y51" s="45">
        <f t="shared" ref="Y51:Y58" si="14">SUMIFS(N:N,R:R,X51)</f>
        <v>0</v>
      </c>
      <c r="Z51" s="64">
        <f t="shared" si="13"/>
        <v>0</v>
      </c>
      <c r="AA51" s="46">
        <f t="shared" ref="AA51:AA56" si="15">IFERROR(COUNTIFS(R:R, X51)/COUNTA($R$2:$R$994), 0)</f>
        <v>0</v>
      </c>
      <c r="AD51" s="7"/>
      <c r="AE51" s="7"/>
      <c r="AL51" s="18" t="str">
        <f>IF(COUNTIF($A$2:A50, A50) = 1, A50, "")</f>
        <v/>
      </c>
    </row>
    <row r="52" spans="6:38" x14ac:dyDescent="0.2">
      <c r="F52" t="str">
        <f t="shared" si="0"/>
        <v/>
      </c>
      <c r="L52" s="7" t="str">
        <f t="shared" si="1"/>
        <v/>
      </c>
      <c r="N52" s="7" t="str">
        <f t="shared" si="2"/>
        <v/>
      </c>
      <c r="O52" t="str">
        <f t="shared" si="3"/>
        <v/>
      </c>
      <c r="P52" t="str">
        <f t="shared" si="12"/>
        <v/>
      </c>
      <c r="Q52" t="str">
        <f t="shared" si="5"/>
        <v/>
      </c>
      <c r="S52" t="str">
        <f>""</f>
        <v/>
      </c>
      <c r="X52" s="48" t="str">
        <f>Master!F52</f>
        <v>Source 3</v>
      </c>
      <c r="Y52" s="45">
        <f t="shared" si="14"/>
        <v>0</v>
      </c>
      <c r="Z52" s="64">
        <f t="shared" si="13"/>
        <v>0</v>
      </c>
      <c r="AA52" s="46">
        <f t="shared" si="15"/>
        <v>0</v>
      </c>
      <c r="AD52" s="7"/>
      <c r="AE52" s="7"/>
      <c r="AL52" s="18" t="str">
        <f>IF(COUNTIF($A$2:A51, A51) = 1, A51, "")</f>
        <v/>
      </c>
    </row>
    <row r="53" spans="6:38" x14ac:dyDescent="0.2">
      <c r="F53" t="str">
        <f t="shared" si="0"/>
        <v/>
      </c>
      <c r="L53" s="7" t="str">
        <f t="shared" si="1"/>
        <v/>
      </c>
      <c r="N53" s="7" t="str">
        <f t="shared" si="2"/>
        <v/>
      </c>
      <c r="O53" t="str">
        <f t="shared" si="3"/>
        <v/>
      </c>
      <c r="P53" t="str">
        <f t="shared" si="12"/>
        <v/>
      </c>
      <c r="Q53" t="str">
        <f t="shared" si="5"/>
        <v/>
      </c>
      <c r="S53" t="str">
        <f>""</f>
        <v/>
      </c>
      <c r="X53" s="48" t="str">
        <f>Master!F53</f>
        <v>Source 4</v>
      </c>
      <c r="Y53" s="45">
        <f t="shared" si="14"/>
        <v>0</v>
      </c>
      <c r="Z53" s="64">
        <f t="shared" si="13"/>
        <v>0</v>
      </c>
      <c r="AA53" s="46">
        <f t="shared" si="15"/>
        <v>0</v>
      </c>
      <c r="AD53" s="7"/>
      <c r="AE53" s="7"/>
      <c r="AL53" s="18" t="str">
        <f>IF(COUNTIF($A$2:A52, A52) = 1, A52, "")</f>
        <v/>
      </c>
    </row>
    <row r="54" spans="6:38" x14ac:dyDescent="0.2">
      <c r="F54" t="str">
        <f t="shared" si="0"/>
        <v/>
      </c>
      <c r="L54" s="7" t="str">
        <f t="shared" si="1"/>
        <v/>
      </c>
      <c r="N54" s="7" t="str">
        <f t="shared" si="2"/>
        <v/>
      </c>
      <c r="O54" t="str">
        <f t="shared" si="3"/>
        <v/>
      </c>
      <c r="P54" t="str">
        <f t="shared" si="12"/>
        <v/>
      </c>
      <c r="Q54" t="str">
        <f t="shared" si="5"/>
        <v/>
      </c>
      <c r="S54" t="str">
        <f>""</f>
        <v/>
      </c>
      <c r="X54" s="48" t="str">
        <f>Master!F54</f>
        <v>Source 5</v>
      </c>
      <c r="Y54" s="45">
        <f t="shared" si="14"/>
        <v>0</v>
      </c>
      <c r="Z54" s="64">
        <f t="shared" si="13"/>
        <v>0</v>
      </c>
      <c r="AA54" s="46">
        <f t="shared" si="15"/>
        <v>0</v>
      </c>
      <c r="AD54" s="7"/>
      <c r="AE54" s="7"/>
      <c r="AL54" s="18" t="str">
        <f>IF(COUNTIF($A$2:A53, A53) = 1, A53, "")</f>
        <v/>
      </c>
    </row>
    <row r="55" spans="6:38" x14ac:dyDescent="0.2">
      <c r="F55" t="str">
        <f t="shared" si="0"/>
        <v/>
      </c>
      <c r="L55" s="7" t="str">
        <f t="shared" si="1"/>
        <v/>
      </c>
      <c r="N55" s="7" t="str">
        <f t="shared" si="2"/>
        <v/>
      </c>
      <c r="O55" t="str">
        <f t="shared" si="3"/>
        <v/>
      </c>
      <c r="P55" t="str">
        <f t="shared" si="12"/>
        <v/>
      </c>
      <c r="Q55" t="str">
        <f t="shared" si="5"/>
        <v/>
      </c>
      <c r="S55" t="str">
        <f>""</f>
        <v/>
      </c>
      <c r="X55" s="48" t="str">
        <f>Master!F55</f>
        <v>Source 6</v>
      </c>
      <c r="Y55" s="45">
        <f t="shared" si="14"/>
        <v>0</v>
      </c>
      <c r="Z55" s="64">
        <f t="shared" si="13"/>
        <v>0</v>
      </c>
      <c r="AA55" s="46">
        <f>IFERROR(COUNTIFS(R:R, X55)/COUNTA($R$2:$R$994), 0)</f>
        <v>0</v>
      </c>
      <c r="AD55" s="7"/>
      <c r="AE55" s="7"/>
      <c r="AL55" s="18" t="str">
        <f>IF(COUNTIF($A$2:A54, A54) = 1, A54, "")</f>
        <v/>
      </c>
    </row>
    <row r="56" spans="6:38" x14ac:dyDescent="0.2">
      <c r="F56" t="str">
        <f t="shared" si="0"/>
        <v/>
      </c>
      <c r="L56" s="7" t="str">
        <f t="shared" si="1"/>
        <v/>
      </c>
      <c r="N56" s="7" t="str">
        <f t="shared" si="2"/>
        <v/>
      </c>
      <c r="O56" t="str">
        <f t="shared" si="3"/>
        <v/>
      </c>
      <c r="P56" t="str">
        <f t="shared" si="12"/>
        <v/>
      </c>
      <c r="Q56" t="str">
        <f t="shared" si="5"/>
        <v/>
      </c>
      <c r="S56" t="str">
        <f>""</f>
        <v/>
      </c>
      <c r="X56" s="48" t="str">
        <f>Master!F56</f>
        <v>Source 7</v>
      </c>
      <c r="Y56" s="45">
        <f t="shared" si="14"/>
        <v>0</v>
      </c>
      <c r="Z56" s="64">
        <f t="shared" si="13"/>
        <v>0</v>
      </c>
      <c r="AA56" s="46">
        <f t="shared" si="15"/>
        <v>0</v>
      </c>
      <c r="AD56" s="7"/>
      <c r="AE56" s="7"/>
      <c r="AL56" s="18" t="str">
        <f>IF(COUNTIF($A$2:A55, A55) = 1, A55, "")</f>
        <v/>
      </c>
    </row>
    <row r="57" spans="6:38" x14ac:dyDescent="0.2">
      <c r="F57" t="str">
        <f t="shared" si="0"/>
        <v/>
      </c>
      <c r="L57" s="7" t="str">
        <f t="shared" si="1"/>
        <v/>
      </c>
      <c r="N57" s="7" t="str">
        <f t="shared" si="2"/>
        <v/>
      </c>
      <c r="O57" t="str">
        <f t="shared" si="3"/>
        <v/>
      </c>
      <c r="P57" t="str">
        <f t="shared" si="12"/>
        <v/>
      </c>
      <c r="Q57" t="str">
        <f t="shared" si="5"/>
        <v/>
      </c>
      <c r="S57" t="str">
        <f>""</f>
        <v/>
      </c>
      <c r="X57" s="48" t="str">
        <f>Master!F57</f>
        <v>Source 8</v>
      </c>
      <c r="Y57" s="45">
        <f t="shared" si="14"/>
        <v>0</v>
      </c>
      <c r="Z57" s="64">
        <f t="shared" si="13"/>
        <v>0</v>
      </c>
      <c r="AA57" s="46">
        <f>IFERROR(COUNTIFS(R:R, X57)/COUNTA($R$2:$R$994), 0)</f>
        <v>0</v>
      </c>
      <c r="AD57" s="7"/>
      <c r="AE57" s="7"/>
      <c r="AL57" s="18" t="str">
        <f>IF(COUNTIF($A$2:A56, A56) = 1, A56, "")</f>
        <v/>
      </c>
    </row>
    <row r="58" spans="6:38" ht="17" thickBot="1" x14ac:dyDescent="0.25">
      <c r="F58" t="str">
        <f t="shared" si="0"/>
        <v/>
      </c>
      <c r="L58" s="7" t="str">
        <f t="shared" si="1"/>
        <v/>
      </c>
      <c r="N58" s="7" t="str">
        <f t="shared" si="2"/>
        <v/>
      </c>
      <c r="O58" t="str">
        <f t="shared" si="3"/>
        <v/>
      </c>
      <c r="P58" t="str">
        <f t="shared" si="12"/>
        <v/>
      </c>
      <c r="Q58" t="str">
        <f t="shared" si="5"/>
        <v/>
      </c>
      <c r="S58" t="str">
        <f>""</f>
        <v/>
      </c>
      <c r="X58" s="49" t="s">
        <v>90</v>
      </c>
      <c r="Y58" s="44">
        <f t="shared" si="14"/>
        <v>0</v>
      </c>
      <c r="Z58" s="65">
        <f t="shared" si="13"/>
        <v>0</v>
      </c>
      <c r="AA58" s="53">
        <f>IFERROR(COUNTIFS(R:R, X58)/COUNTA($R$2:$R$994), 0)</f>
        <v>0</v>
      </c>
      <c r="AD58" s="7"/>
      <c r="AE58" s="7"/>
      <c r="AL58" s="18" t="str">
        <f>IF(COUNTIF($A$2:A57, A57) = 1, A57, "")</f>
        <v/>
      </c>
    </row>
    <row r="59" spans="6:38" x14ac:dyDescent="0.2">
      <c r="F59" t="str">
        <f t="shared" si="0"/>
        <v/>
      </c>
      <c r="L59" s="7" t="str">
        <f t="shared" si="1"/>
        <v/>
      </c>
      <c r="N59" s="7" t="str">
        <f t="shared" si="2"/>
        <v/>
      </c>
      <c r="O59" t="str">
        <f t="shared" si="3"/>
        <v/>
      </c>
      <c r="P59" t="str">
        <f t="shared" si="12"/>
        <v/>
      </c>
      <c r="Q59" t="str">
        <f t="shared" si="5"/>
        <v/>
      </c>
      <c r="S59" t="str">
        <f>""</f>
        <v/>
      </c>
      <c r="AL59" s="18" t="str">
        <f>IF(COUNTIF($A$2:A58, A58) = 1, A58, "")</f>
        <v/>
      </c>
    </row>
    <row r="60" spans="6:38" x14ac:dyDescent="0.2">
      <c r="F60" t="str">
        <f t="shared" si="0"/>
        <v/>
      </c>
      <c r="L60" s="7" t="str">
        <f t="shared" si="1"/>
        <v/>
      </c>
      <c r="N60" s="7" t="str">
        <f t="shared" si="2"/>
        <v/>
      </c>
      <c r="O60" t="str">
        <f t="shared" si="3"/>
        <v/>
      </c>
      <c r="P60" t="str">
        <f t="shared" si="12"/>
        <v/>
      </c>
      <c r="Q60" t="str">
        <f t="shared" si="5"/>
        <v/>
      </c>
      <c r="S60" t="str">
        <f>""</f>
        <v/>
      </c>
      <c r="AL60" s="18" t="str">
        <f>IF(COUNTIF($A$2:A59, A59) = 1, A59, "")</f>
        <v/>
      </c>
    </row>
    <row r="61" spans="6:38" x14ac:dyDescent="0.2">
      <c r="F61" t="str">
        <f t="shared" si="0"/>
        <v/>
      </c>
      <c r="L61" s="7" t="str">
        <f t="shared" si="1"/>
        <v/>
      </c>
      <c r="N61" s="7" t="str">
        <f t="shared" si="2"/>
        <v/>
      </c>
      <c r="O61" t="str">
        <f t="shared" si="3"/>
        <v/>
      </c>
      <c r="P61" t="str">
        <f t="shared" si="12"/>
        <v/>
      </c>
      <c r="Q61" t="str">
        <f t="shared" si="5"/>
        <v/>
      </c>
      <c r="S61" t="str">
        <f>""</f>
        <v/>
      </c>
      <c r="AL61" s="18" t="str">
        <f>IF(COUNTIF($A$2:A60, A60) = 1, A60, "")</f>
        <v/>
      </c>
    </row>
    <row r="62" spans="6:38" x14ac:dyDescent="0.2">
      <c r="F62" t="str">
        <f t="shared" si="0"/>
        <v/>
      </c>
      <c r="L62" s="7" t="str">
        <f t="shared" si="1"/>
        <v/>
      </c>
      <c r="N62" s="7" t="str">
        <f t="shared" si="2"/>
        <v/>
      </c>
      <c r="O62" t="str">
        <f t="shared" si="3"/>
        <v/>
      </c>
      <c r="P62" t="str">
        <f t="shared" si="12"/>
        <v/>
      </c>
      <c r="Q62" t="str">
        <f t="shared" si="5"/>
        <v/>
      </c>
      <c r="S62" t="str">
        <f>""</f>
        <v/>
      </c>
      <c r="AL62" s="18" t="str">
        <f>IF(COUNTIF($A$2:A61, A61) = 1, A61, "")</f>
        <v/>
      </c>
    </row>
    <row r="63" spans="6:38" x14ac:dyDescent="0.2">
      <c r="F63" t="str">
        <f t="shared" si="0"/>
        <v/>
      </c>
      <c r="L63" s="7" t="str">
        <f t="shared" si="1"/>
        <v/>
      </c>
      <c r="N63" s="7" t="str">
        <f t="shared" si="2"/>
        <v/>
      </c>
      <c r="O63" t="str">
        <f t="shared" si="3"/>
        <v/>
      </c>
      <c r="P63" t="str">
        <f t="shared" si="12"/>
        <v/>
      </c>
      <c r="Q63" t="str">
        <f t="shared" si="5"/>
        <v/>
      </c>
      <c r="S63" t="str">
        <f>""</f>
        <v/>
      </c>
      <c r="AL63" s="18" t="str">
        <f>IF(COUNTIF($A$2:A62, A62) = 1, A62, "")</f>
        <v/>
      </c>
    </row>
    <row r="64" spans="6:38" x14ac:dyDescent="0.2">
      <c r="F64" t="str">
        <f t="shared" si="0"/>
        <v/>
      </c>
      <c r="L64" s="7" t="str">
        <f t="shared" si="1"/>
        <v/>
      </c>
      <c r="N64" s="7" t="str">
        <f t="shared" si="2"/>
        <v/>
      </c>
      <c r="O64" t="str">
        <f t="shared" si="3"/>
        <v/>
      </c>
      <c r="P64" t="str">
        <f t="shared" si="12"/>
        <v/>
      </c>
      <c r="Q64" t="str">
        <f t="shared" si="5"/>
        <v/>
      </c>
      <c r="S64" t="str">
        <f>""</f>
        <v/>
      </c>
      <c r="AL64" s="18" t="str">
        <f>IF(COUNTIF($A$2:A63, A63) = 1, A63, "")</f>
        <v/>
      </c>
    </row>
    <row r="65" spans="6:38" x14ac:dyDescent="0.2">
      <c r="F65" t="str">
        <f t="shared" si="0"/>
        <v/>
      </c>
      <c r="L65" s="7" t="str">
        <f t="shared" si="1"/>
        <v/>
      </c>
      <c r="N65" s="7" t="str">
        <f t="shared" si="2"/>
        <v/>
      </c>
      <c r="O65" t="str">
        <f t="shared" si="3"/>
        <v/>
      </c>
      <c r="P65" t="str">
        <f t="shared" si="12"/>
        <v/>
      </c>
      <c r="Q65" t="str">
        <f t="shared" si="5"/>
        <v/>
      </c>
      <c r="S65" t="str">
        <f>""</f>
        <v/>
      </c>
      <c r="AL65" s="18" t="str">
        <f>IF(COUNTIF($A$2:A64, A64) = 1, A64, "")</f>
        <v/>
      </c>
    </row>
    <row r="66" spans="6:38" x14ac:dyDescent="0.2">
      <c r="F66" t="str">
        <f t="shared" ref="F66:F129" si="16">IF(OR(O66="", P66=""), "", SUM(IF((O66&lt;&gt;"None")*(O66&lt;&gt;""),LEN(O66)-LEN(SUBSTITUTE(O66,",",""))+1,0)) + SUM(IF((P66&lt;&gt;"None")*(P66&lt;&gt;""),LEN(P66)-LEN(SUBSTITUTE(P66,",",""))+1,0)))</f>
        <v/>
      </c>
      <c r="L66" s="7" t="str">
        <f t="shared" ref="L66:L129" si="17">IF(LEN(E66)=0, "", IFERROR(IF(E66&gt;=0, K66 * (1 + E66/100) - K66, K66 / (ABS(E66)/100))+K66, ""))</f>
        <v/>
      </c>
      <c r="N66" s="7" t="str">
        <f t="shared" ref="N66:N129" si="18">IF(M66="Yes",L66-K66,IF(M66="No",-K66,""))</f>
        <v/>
      </c>
      <c r="O66" t="str">
        <f t="shared" ref="O66:O129" si="19">IF(AND(G66="No",H66="No"), "None", "")</f>
        <v/>
      </c>
      <c r="P66" t="str">
        <f t="shared" si="12"/>
        <v/>
      </c>
      <c r="Q66" t="str">
        <f t="shared" ref="Q66:Q129" si="20">IF(AND(D66="Straight", M66 = "No"),IF(O66="None",P66,IF(P66="None",O66) ),"")</f>
        <v/>
      </c>
      <c r="S66" t="str">
        <f>""</f>
        <v/>
      </c>
      <c r="AL66" s="18" t="str">
        <f>IF(COUNTIF($A$2:A65, A65) = 1, A65, "")</f>
        <v/>
      </c>
    </row>
    <row r="67" spans="6:38" x14ac:dyDescent="0.2">
      <c r="F67" t="str">
        <f t="shared" si="16"/>
        <v/>
      </c>
      <c r="L67" s="7" t="str">
        <f t="shared" si="17"/>
        <v/>
      </c>
      <c r="N67" s="7" t="str">
        <f t="shared" si="18"/>
        <v/>
      </c>
      <c r="O67" t="str">
        <f t="shared" si="19"/>
        <v/>
      </c>
      <c r="P67" t="str">
        <f t="shared" si="12"/>
        <v/>
      </c>
      <c r="Q67" t="str">
        <f t="shared" si="20"/>
        <v/>
      </c>
      <c r="S67" t="str">
        <f>""</f>
        <v/>
      </c>
      <c r="AL67" s="18" t="str">
        <f>IF(COUNTIF($A$2:A66, A66) = 1, A66, "")</f>
        <v/>
      </c>
    </row>
    <row r="68" spans="6:38" x14ac:dyDescent="0.2">
      <c r="F68" t="str">
        <f t="shared" si="16"/>
        <v/>
      </c>
      <c r="L68" s="7" t="str">
        <f t="shared" si="17"/>
        <v/>
      </c>
      <c r="N68" s="7" t="str">
        <f t="shared" si="18"/>
        <v/>
      </c>
      <c r="O68" t="str">
        <f t="shared" si="19"/>
        <v/>
      </c>
      <c r="P68" t="str">
        <f t="shared" si="12"/>
        <v/>
      </c>
      <c r="Q68" t="str">
        <f t="shared" si="20"/>
        <v/>
      </c>
      <c r="S68" t="str">
        <f>""</f>
        <v/>
      </c>
      <c r="AL68" s="18" t="str">
        <f>IF(COUNTIF($A$2:A67, A67) = 1, A67, "")</f>
        <v/>
      </c>
    </row>
    <row r="69" spans="6:38" x14ac:dyDescent="0.2">
      <c r="F69" t="str">
        <f t="shared" si="16"/>
        <v/>
      </c>
      <c r="L69" s="7" t="str">
        <f t="shared" si="17"/>
        <v/>
      </c>
      <c r="N69" s="7" t="str">
        <f t="shared" si="18"/>
        <v/>
      </c>
      <c r="O69" t="str">
        <f t="shared" si="19"/>
        <v/>
      </c>
      <c r="P69" t="str">
        <f t="shared" si="12"/>
        <v/>
      </c>
      <c r="Q69" t="str">
        <f t="shared" si="20"/>
        <v/>
      </c>
      <c r="S69" t="str">
        <f>""</f>
        <v/>
      </c>
      <c r="AL69" s="18" t="str">
        <f>IF(COUNTIF($A$2:A68, A68) = 1, A68, "")</f>
        <v/>
      </c>
    </row>
    <row r="70" spans="6:38" x14ac:dyDescent="0.2">
      <c r="F70" t="str">
        <f t="shared" si="16"/>
        <v/>
      </c>
      <c r="L70" s="7" t="str">
        <f t="shared" si="17"/>
        <v/>
      </c>
      <c r="N70" s="7" t="str">
        <f t="shared" si="18"/>
        <v/>
      </c>
      <c r="O70" t="str">
        <f t="shared" si="19"/>
        <v/>
      </c>
      <c r="P70" t="str">
        <f t="shared" si="12"/>
        <v/>
      </c>
      <c r="Q70" t="str">
        <f t="shared" si="20"/>
        <v/>
      </c>
      <c r="S70" t="str">
        <f>""</f>
        <v/>
      </c>
      <c r="AL70" s="18" t="str">
        <f>IF(COUNTIF($A$2:A69, A69) = 1, A69, "")</f>
        <v/>
      </c>
    </row>
    <row r="71" spans="6:38" x14ac:dyDescent="0.2">
      <c r="F71" t="str">
        <f t="shared" si="16"/>
        <v/>
      </c>
      <c r="L71" s="7" t="str">
        <f t="shared" si="17"/>
        <v/>
      </c>
      <c r="N71" s="7" t="str">
        <f t="shared" si="18"/>
        <v/>
      </c>
      <c r="O71" t="str">
        <f t="shared" si="19"/>
        <v/>
      </c>
      <c r="P71" t="str">
        <f t="shared" si="12"/>
        <v/>
      </c>
      <c r="Q71" t="str">
        <f t="shared" si="20"/>
        <v/>
      </c>
      <c r="S71" t="str">
        <f>""</f>
        <v/>
      </c>
      <c r="AL71" s="18" t="str">
        <f>IF(COUNTIF($A$2:A70, A70) = 1, A70, "")</f>
        <v/>
      </c>
    </row>
    <row r="72" spans="6:38" x14ac:dyDescent="0.2">
      <c r="F72" t="str">
        <f t="shared" si="16"/>
        <v/>
      </c>
      <c r="L72" s="7" t="str">
        <f t="shared" si="17"/>
        <v/>
      </c>
      <c r="N72" s="7" t="str">
        <f t="shared" si="18"/>
        <v/>
      </c>
      <c r="O72" t="str">
        <f t="shared" si="19"/>
        <v/>
      </c>
      <c r="P72" t="str">
        <f t="shared" si="12"/>
        <v/>
      </c>
      <c r="Q72" t="str">
        <f t="shared" si="20"/>
        <v/>
      </c>
      <c r="S72" t="str">
        <f>""</f>
        <v/>
      </c>
      <c r="AL72" s="18" t="str">
        <f>IF(COUNTIF($A$2:A71, A71) = 1, A71, "")</f>
        <v/>
      </c>
    </row>
    <row r="73" spans="6:38" x14ac:dyDescent="0.2">
      <c r="F73" t="str">
        <f t="shared" si="16"/>
        <v/>
      </c>
      <c r="L73" s="7" t="str">
        <f t="shared" si="17"/>
        <v/>
      </c>
      <c r="N73" s="7" t="str">
        <f t="shared" si="18"/>
        <v/>
      </c>
      <c r="O73" t="str">
        <f t="shared" si="19"/>
        <v/>
      </c>
      <c r="P73" t="str">
        <f t="shared" si="12"/>
        <v/>
      </c>
      <c r="Q73" t="str">
        <f t="shared" si="20"/>
        <v/>
      </c>
      <c r="S73" t="str">
        <f>""</f>
        <v/>
      </c>
      <c r="AL73" s="18" t="str">
        <f>IF(COUNTIF($A$2:A72, A72) = 1, A72, "")</f>
        <v/>
      </c>
    </row>
    <row r="74" spans="6:38" x14ac:dyDescent="0.2">
      <c r="F74" t="str">
        <f t="shared" si="16"/>
        <v/>
      </c>
      <c r="L74" s="7" t="str">
        <f t="shared" si="17"/>
        <v/>
      </c>
      <c r="N74" s="7" t="str">
        <f t="shared" si="18"/>
        <v/>
      </c>
      <c r="O74" t="str">
        <f t="shared" si="19"/>
        <v/>
      </c>
      <c r="P74" t="str">
        <f t="shared" si="12"/>
        <v/>
      </c>
      <c r="Q74" t="str">
        <f t="shared" si="20"/>
        <v/>
      </c>
      <c r="S74" t="str">
        <f>""</f>
        <v/>
      </c>
      <c r="AL74" s="18" t="str">
        <f>IF(COUNTIF($A$2:A73, A73) = 1, A73, "")</f>
        <v/>
      </c>
    </row>
    <row r="75" spans="6:38" x14ac:dyDescent="0.2">
      <c r="F75" t="str">
        <f t="shared" si="16"/>
        <v/>
      </c>
      <c r="L75" s="7" t="str">
        <f t="shared" si="17"/>
        <v/>
      </c>
      <c r="N75" s="7" t="str">
        <f t="shared" si="18"/>
        <v/>
      </c>
      <c r="O75" t="str">
        <f t="shared" si="19"/>
        <v/>
      </c>
      <c r="P75" t="str">
        <f t="shared" si="12"/>
        <v/>
      </c>
      <c r="Q75" t="str">
        <f t="shared" si="20"/>
        <v/>
      </c>
      <c r="S75" t="str">
        <f>""</f>
        <v/>
      </c>
      <c r="AL75" s="18" t="str">
        <f>IF(COUNTIF($A$2:A74, A74) = 1, A74, "")</f>
        <v/>
      </c>
    </row>
    <row r="76" spans="6:38" x14ac:dyDescent="0.2">
      <c r="F76" t="str">
        <f t="shared" si="16"/>
        <v/>
      </c>
      <c r="L76" s="7" t="str">
        <f t="shared" si="17"/>
        <v/>
      </c>
      <c r="N76" s="7" t="str">
        <f t="shared" si="18"/>
        <v/>
      </c>
      <c r="O76" t="str">
        <f t="shared" si="19"/>
        <v/>
      </c>
      <c r="P76" t="str">
        <f t="shared" si="12"/>
        <v/>
      </c>
      <c r="Q76" t="str">
        <f t="shared" si="20"/>
        <v/>
      </c>
      <c r="S76" t="str">
        <f>""</f>
        <v/>
      </c>
      <c r="AL76" s="18" t="str">
        <f>IF(COUNTIF($A$2:A75, A75) = 1, A75, "")</f>
        <v/>
      </c>
    </row>
    <row r="77" spans="6:38" x14ac:dyDescent="0.2">
      <c r="F77" t="str">
        <f t="shared" si="16"/>
        <v/>
      </c>
      <c r="L77" s="7" t="str">
        <f t="shared" si="17"/>
        <v/>
      </c>
      <c r="N77" s="7" t="str">
        <f t="shared" si="18"/>
        <v/>
      </c>
      <c r="O77" t="str">
        <f t="shared" si="19"/>
        <v/>
      </c>
      <c r="P77" t="str">
        <f t="shared" si="12"/>
        <v/>
      </c>
      <c r="Q77" t="str">
        <f t="shared" si="20"/>
        <v/>
      </c>
      <c r="S77" t="str">
        <f>""</f>
        <v/>
      </c>
      <c r="AL77" s="18" t="str">
        <f>IF(COUNTIF($A$2:A76, A76) = 1, A76, "")</f>
        <v/>
      </c>
    </row>
    <row r="78" spans="6:38" x14ac:dyDescent="0.2">
      <c r="F78" t="str">
        <f t="shared" si="16"/>
        <v/>
      </c>
      <c r="L78" s="7" t="str">
        <f t="shared" si="17"/>
        <v/>
      </c>
      <c r="N78" s="7" t="str">
        <f t="shared" si="18"/>
        <v/>
      </c>
      <c r="O78" t="str">
        <f t="shared" si="19"/>
        <v/>
      </c>
      <c r="P78" t="str">
        <f t="shared" si="12"/>
        <v/>
      </c>
      <c r="Q78" t="str">
        <f t="shared" si="20"/>
        <v/>
      </c>
      <c r="S78" t="str">
        <f>""</f>
        <v/>
      </c>
      <c r="AL78" s="18" t="str">
        <f>IF(COUNTIF($A$2:A77, A77) = 1, A77, "")</f>
        <v/>
      </c>
    </row>
    <row r="79" spans="6:38" x14ac:dyDescent="0.2">
      <c r="F79" t="str">
        <f t="shared" si="16"/>
        <v/>
      </c>
      <c r="L79" s="7" t="str">
        <f t="shared" si="17"/>
        <v/>
      </c>
      <c r="N79" s="7" t="str">
        <f t="shared" si="18"/>
        <v/>
      </c>
      <c r="O79" t="str">
        <f t="shared" si="19"/>
        <v/>
      </c>
      <c r="P79" t="str">
        <f t="shared" si="12"/>
        <v/>
      </c>
      <c r="Q79" t="str">
        <f t="shared" si="20"/>
        <v/>
      </c>
      <c r="S79" t="str">
        <f>""</f>
        <v/>
      </c>
      <c r="AL79" s="18" t="str">
        <f>IF(COUNTIF($A$2:A78, A78) = 1, A78, "")</f>
        <v/>
      </c>
    </row>
    <row r="80" spans="6:38" x14ac:dyDescent="0.2">
      <c r="F80" t="str">
        <f t="shared" si="16"/>
        <v/>
      </c>
      <c r="L80" s="7" t="str">
        <f t="shared" si="17"/>
        <v/>
      </c>
      <c r="N80" s="7" t="str">
        <f t="shared" si="18"/>
        <v/>
      </c>
      <c r="O80" t="str">
        <f t="shared" si="19"/>
        <v/>
      </c>
      <c r="P80" t="str">
        <f t="shared" si="12"/>
        <v/>
      </c>
      <c r="Q80" t="str">
        <f t="shared" si="20"/>
        <v/>
      </c>
      <c r="S80" t="str">
        <f>""</f>
        <v/>
      </c>
      <c r="AL80" s="18" t="str">
        <f>IF(COUNTIF($A$2:A79, A79) = 1, A79, "")</f>
        <v/>
      </c>
    </row>
    <row r="81" spans="6:38" x14ac:dyDescent="0.2">
      <c r="F81" t="str">
        <f t="shared" si="16"/>
        <v/>
      </c>
      <c r="L81" s="7" t="str">
        <f t="shared" si="17"/>
        <v/>
      </c>
      <c r="N81" s="7" t="str">
        <f t="shared" si="18"/>
        <v/>
      </c>
      <c r="O81" t="str">
        <f t="shared" si="19"/>
        <v/>
      </c>
      <c r="P81" t="str">
        <f t="shared" si="12"/>
        <v/>
      </c>
      <c r="Q81" t="str">
        <f t="shared" si="20"/>
        <v/>
      </c>
      <c r="S81" t="str">
        <f>""</f>
        <v/>
      </c>
      <c r="AL81" s="18" t="str">
        <f>IF(COUNTIF($A$2:A80, A80) = 1, A80, "")</f>
        <v/>
      </c>
    </row>
    <row r="82" spans="6:38" x14ac:dyDescent="0.2">
      <c r="F82" t="str">
        <f t="shared" si="16"/>
        <v/>
      </c>
      <c r="L82" s="7" t="str">
        <f t="shared" si="17"/>
        <v/>
      </c>
      <c r="N82" s="7" t="str">
        <f t="shared" si="18"/>
        <v/>
      </c>
      <c r="O82" t="str">
        <f t="shared" si="19"/>
        <v/>
      </c>
      <c r="P82" t="str">
        <f t="shared" si="12"/>
        <v/>
      </c>
      <c r="Q82" t="str">
        <f t="shared" si="20"/>
        <v/>
      </c>
      <c r="S82" t="str">
        <f>""</f>
        <v/>
      </c>
      <c r="AL82" s="18" t="str">
        <f>IF(COUNTIF($A$2:A81, A81) = 1, A81, "")</f>
        <v/>
      </c>
    </row>
    <row r="83" spans="6:38" x14ac:dyDescent="0.2">
      <c r="F83" t="str">
        <f t="shared" si="16"/>
        <v/>
      </c>
      <c r="L83" s="7" t="str">
        <f t="shared" si="17"/>
        <v/>
      </c>
      <c r="N83" s="7" t="str">
        <f t="shared" si="18"/>
        <v/>
      </c>
      <c r="O83" t="str">
        <f t="shared" si="19"/>
        <v/>
      </c>
      <c r="P83" t="str">
        <f t="shared" ref="P83:P143" si="21">IF(I83="No", "None", "")</f>
        <v/>
      </c>
      <c r="Q83" t="str">
        <f t="shared" si="20"/>
        <v/>
      </c>
      <c r="S83" t="str">
        <f>""</f>
        <v/>
      </c>
      <c r="AL83" s="18" t="str">
        <f>IF(COUNTIF($A$2:A82, A82) = 1, A82, "")</f>
        <v/>
      </c>
    </row>
    <row r="84" spans="6:38" x14ac:dyDescent="0.2">
      <c r="F84" t="str">
        <f t="shared" si="16"/>
        <v/>
      </c>
      <c r="L84" s="7" t="str">
        <f t="shared" si="17"/>
        <v/>
      </c>
      <c r="N84" s="7" t="str">
        <f t="shared" si="18"/>
        <v/>
      </c>
      <c r="O84" t="str">
        <f t="shared" si="19"/>
        <v/>
      </c>
      <c r="P84" t="str">
        <f t="shared" si="21"/>
        <v/>
      </c>
      <c r="Q84" t="str">
        <f t="shared" si="20"/>
        <v/>
      </c>
      <c r="S84" t="str">
        <f>""</f>
        <v/>
      </c>
      <c r="AL84" s="18" t="str">
        <f>IF(COUNTIF($A$2:A83, A83) = 1, A83, "")</f>
        <v/>
      </c>
    </row>
    <row r="85" spans="6:38" x14ac:dyDescent="0.2">
      <c r="F85" t="str">
        <f t="shared" si="16"/>
        <v/>
      </c>
      <c r="L85" s="7" t="str">
        <f t="shared" si="17"/>
        <v/>
      </c>
      <c r="N85" s="7" t="str">
        <f t="shared" si="18"/>
        <v/>
      </c>
      <c r="O85" t="str">
        <f t="shared" si="19"/>
        <v/>
      </c>
      <c r="P85" t="str">
        <f t="shared" si="21"/>
        <v/>
      </c>
      <c r="Q85" t="str">
        <f t="shared" si="20"/>
        <v/>
      </c>
      <c r="S85" t="str">
        <f>""</f>
        <v/>
      </c>
      <c r="AL85" s="18" t="str">
        <f>IF(COUNTIF($A$2:A84, A84) = 1, A84, "")</f>
        <v/>
      </c>
    </row>
    <row r="86" spans="6:38" x14ac:dyDescent="0.2">
      <c r="F86" t="str">
        <f t="shared" si="16"/>
        <v/>
      </c>
      <c r="L86" s="7" t="str">
        <f t="shared" si="17"/>
        <v/>
      </c>
      <c r="N86" s="7" t="str">
        <f t="shared" si="18"/>
        <v/>
      </c>
      <c r="O86" t="str">
        <f t="shared" si="19"/>
        <v/>
      </c>
      <c r="P86" t="str">
        <f t="shared" si="21"/>
        <v/>
      </c>
      <c r="Q86" t="str">
        <f t="shared" si="20"/>
        <v/>
      </c>
      <c r="S86" t="str">
        <f>""</f>
        <v/>
      </c>
      <c r="AL86" s="18" t="str">
        <f>IF(COUNTIF($A$2:A85, A85) = 1, A85, "")</f>
        <v/>
      </c>
    </row>
    <row r="87" spans="6:38" x14ac:dyDescent="0.2">
      <c r="F87" t="str">
        <f t="shared" si="16"/>
        <v/>
      </c>
      <c r="L87" s="7" t="str">
        <f t="shared" si="17"/>
        <v/>
      </c>
      <c r="N87" s="7" t="str">
        <f t="shared" si="18"/>
        <v/>
      </c>
      <c r="O87" t="str">
        <f t="shared" si="19"/>
        <v/>
      </c>
      <c r="P87" t="str">
        <f t="shared" si="21"/>
        <v/>
      </c>
      <c r="Q87" t="str">
        <f t="shared" si="20"/>
        <v/>
      </c>
      <c r="S87" t="str">
        <f>""</f>
        <v/>
      </c>
      <c r="AL87" s="18" t="str">
        <f>IF(COUNTIF($A$2:A86, A86) = 1, A86, "")</f>
        <v/>
      </c>
    </row>
    <row r="88" spans="6:38" x14ac:dyDescent="0.2">
      <c r="F88" t="str">
        <f t="shared" si="16"/>
        <v/>
      </c>
      <c r="L88" s="7" t="str">
        <f t="shared" si="17"/>
        <v/>
      </c>
      <c r="N88" s="7" t="str">
        <f t="shared" si="18"/>
        <v/>
      </c>
      <c r="O88" t="str">
        <f t="shared" si="19"/>
        <v/>
      </c>
      <c r="P88" t="str">
        <f t="shared" si="21"/>
        <v/>
      </c>
      <c r="Q88" t="str">
        <f t="shared" si="20"/>
        <v/>
      </c>
      <c r="S88" t="str">
        <f>""</f>
        <v/>
      </c>
      <c r="AL88" s="18" t="str">
        <f>IF(COUNTIF($A$2:A87, A87) = 1, A87, "")</f>
        <v/>
      </c>
    </row>
    <row r="89" spans="6:38" x14ac:dyDescent="0.2">
      <c r="F89" t="str">
        <f t="shared" si="16"/>
        <v/>
      </c>
      <c r="L89" s="7" t="str">
        <f t="shared" si="17"/>
        <v/>
      </c>
      <c r="N89" s="7" t="str">
        <f t="shared" si="18"/>
        <v/>
      </c>
      <c r="O89" t="str">
        <f t="shared" si="19"/>
        <v/>
      </c>
      <c r="P89" t="str">
        <f t="shared" si="21"/>
        <v/>
      </c>
      <c r="Q89" t="str">
        <f t="shared" si="20"/>
        <v/>
      </c>
      <c r="S89" t="str">
        <f>""</f>
        <v/>
      </c>
      <c r="AL89" s="18" t="str">
        <f>IF(COUNTIF($A$2:A88, A88) = 1, A88, "")</f>
        <v/>
      </c>
    </row>
    <row r="90" spans="6:38" x14ac:dyDescent="0.2">
      <c r="F90" t="str">
        <f t="shared" si="16"/>
        <v/>
      </c>
      <c r="L90" s="7" t="str">
        <f t="shared" si="17"/>
        <v/>
      </c>
      <c r="N90" s="7" t="str">
        <f t="shared" si="18"/>
        <v/>
      </c>
      <c r="O90" t="str">
        <f t="shared" si="19"/>
        <v/>
      </c>
      <c r="P90" t="str">
        <f t="shared" si="21"/>
        <v/>
      </c>
      <c r="Q90" t="str">
        <f t="shared" si="20"/>
        <v/>
      </c>
      <c r="S90" t="str">
        <f>""</f>
        <v/>
      </c>
      <c r="AL90" s="18" t="str">
        <f>IF(COUNTIF($A$2:A89, A89) = 1, A89, "")</f>
        <v/>
      </c>
    </row>
    <row r="91" spans="6:38" x14ac:dyDescent="0.2">
      <c r="F91" t="str">
        <f t="shared" si="16"/>
        <v/>
      </c>
      <c r="L91" s="7" t="str">
        <f t="shared" si="17"/>
        <v/>
      </c>
      <c r="N91" s="7" t="str">
        <f t="shared" si="18"/>
        <v/>
      </c>
      <c r="O91" t="str">
        <f t="shared" si="19"/>
        <v/>
      </c>
      <c r="P91" t="str">
        <f t="shared" si="21"/>
        <v/>
      </c>
      <c r="Q91" t="str">
        <f t="shared" si="20"/>
        <v/>
      </c>
      <c r="S91" t="str">
        <f>""</f>
        <v/>
      </c>
      <c r="AL91" s="18" t="str">
        <f>IF(COUNTIF($A$2:A90, A90) = 1, A90, "")</f>
        <v/>
      </c>
    </row>
    <row r="92" spans="6:38" x14ac:dyDescent="0.2">
      <c r="F92" t="str">
        <f t="shared" si="16"/>
        <v/>
      </c>
      <c r="L92" s="7" t="str">
        <f t="shared" si="17"/>
        <v/>
      </c>
      <c r="N92" s="7" t="str">
        <f t="shared" si="18"/>
        <v/>
      </c>
      <c r="O92" t="str">
        <f t="shared" si="19"/>
        <v/>
      </c>
      <c r="P92" t="str">
        <f t="shared" si="21"/>
        <v/>
      </c>
      <c r="Q92" t="str">
        <f t="shared" si="20"/>
        <v/>
      </c>
      <c r="S92" t="str">
        <f>""</f>
        <v/>
      </c>
      <c r="AL92" s="18" t="str">
        <f>IF(COUNTIF($A$2:A91, A91) = 1, A91, "")</f>
        <v/>
      </c>
    </row>
    <row r="93" spans="6:38" x14ac:dyDescent="0.2">
      <c r="F93" t="str">
        <f t="shared" si="16"/>
        <v/>
      </c>
      <c r="L93" s="7" t="str">
        <f t="shared" si="17"/>
        <v/>
      </c>
      <c r="N93" s="7" t="str">
        <f t="shared" si="18"/>
        <v/>
      </c>
      <c r="O93" t="str">
        <f t="shared" si="19"/>
        <v/>
      </c>
      <c r="P93" t="str">
        <f t="shared" si="21"/>
        <v/>
      </c>
      <c r="Q93" t="str">
        <f t="shared" si="20"/>
        <v/>
      </c>
      <c r="S93" t="str">
        <f>""</f>
        <v/>
      </c>
      <c r="AL93" s="18" t="str">
        <f>IF(COUNTIF($A$2:A92, A92) = 1, A92, "")</f>
        <v/>
      </c>
    </row>
    <row r="94" spans="6:38" x14ac:dyDescent="0.2">
      <c r="F94" t="str">
        <f t="shared" si="16"/>
        <v/>
      </c>
      <c r="L94" s="7" t="str">
        <f t="shared" si="17"/>
        <v/>
      </c>
      <c r="N94" s="7" t="str">
        <f t="shared" si="18"/>
        <v/>
      </c>
      <c r="O94" t="str">
        <f t="shared" si="19"/>
        <v/>
      </c>
      <c r="P94" t="str">
        <f t="shared" si="21"/>
        <v/>
      </c>
      <c r="Q94" t="str">
        <f t="shared" si="20"/>
        <v/>
      </c>
      <c r="S94" t="str">
        <f>""</f>
        <v/>
      </c>
      <c r="AL94" s="18" t="str">
        <f>IF(COUNTIF($A$2:A93, A93) = 1, A93, "")</f>
        <v/>
      </c>
    </row>
    <row r="95" spans="6:38" x14ac:dyDescent="0.2">
      <c r="F95" t="str">
        <f t="shared" si="16"/>
        <v/>
      </c>
      <c r="L95" s="7" t="str">
        <f t="shared" si="17"/>
        <v/>
      </c>
      <c r="N95" s="7" t="str">
        <f t="shared" si="18"/>
        <v/>
      </c>
      <c r="O95" t="str">
        <f t="shared" si="19"/>
        <v/>
      </c>
      <c r="P95" t="str">
        <f t="shared" si="21"/>
        <v/>
      </c>
      <c r="Q95" t="str">
        <f t="shared" si="20"/>
        <v/>
      </c>
      <c r="S95" t="str">
        <f>""</f>
        <v/>
      </c>
      <c r="AL95" s="18" t="str">
        <f>IF(COUNTIF($A$2:A94, A94) = 1, A94, "")</f>
        <v/>
      </c>
    </row>
    <row r="96" spans="6:38" x14ac:dyDescent="0.2">
      <c r="F96" t="str">
        <f t="shared" si="16"/>
        <v/>
      </c>
      <c r="L96" s="7" t="str">
        <f t="shared" si="17"/>
        <v/>
      </c>
      <c r="N96" s="7" t="str">
        <f t="shared" si="18"/>
        <v/>
      </c>
      <c r="O96" t="str">
        <f t="shared" si="19"/>
        <v/>
      </c>
      <c r="P96" t="str">
        <f t="shared" si="21"/>
        <v/>
      </c>
      <c r="Q96" t="str">
        <f t="shared" si="20"/>
        <v/>
      </c>
      <c r="S96" t="str">
        <f>""</f>
        <v/>
      </c>
      <c r="AL96" s="18" t="str">
        <f>IF(COUNTIF($A$2:A95, A95) = 1, A95, "")</f>
        <v/>
      </c>
    </row>
    <row r="97" spans="6:38" x14ac:dyDescent="0.2">
      <c r="F97" t="str">
        <f t="shared" si="16"/>
        <v/>
      </c>
      <c r="L97" s="7" t="str">
        <f t="shared" si="17"/>
        <v/>
      </c>
      <c r="N97" s="7" t="str">
        <f t="shared" si="18"/>
        <v/>
      </c>
      <c r="O97" t="str">
        <f t="shared" si="19"/>
        <v/>
      </c>
      <c r="P97" t="str">
        <f t="shared" si="21"/>
        <v/>
      </c>
      <c r="Q97" t="str">
        <f t="shared" si="20"/>
        <v/>
      </c>
      <c r="S97" t="str">
        <f>""</f>
        <v/>
      </c>
      <c r="AL97" s="18" t="str">
        <f>IF(COUNTIF($A$2:A96, A96) = 1, A96, "")</f>
        <v/>
      </c>
    </row>
    <row r="98" spans="6:38" x14ac:dyDescent="0.2">
      <c r="F98" t="str">
        <f t="shared" si="16"/>
        <v/>
      </c>
      <c r="L98" s="7" t="str">
        <f t="shared" si="17"/>
        <v/>
      </c>
      <c r="N98" s="7" t="str">
        <f t="shared" si="18"/>
        <v/>
      </c>
      <c r="O98" t="str">
        <f t="shared" si="19"/>
        <v/>
      </c>
      <c r="P98" t="str">
        <f t="shared" si="21"/>
        <v/>
      </c>
      <c r="Q98" t="str">
        <f t="shared" si="20"/>
        <v/>
      </c>
      <c r="S98" t="str">
        <f>""</f>
        <v/>
      </c>
      <c r="AL98" s="18" t="str">
        <f>IF(COUNTIF($A$2:A97, A97) = 1, A97, "")</f>
        <v/>
      </c>
    </row>
    <row r="99" spans="6:38" x14ac:dyDescent="0.2">
      <c r="F99" t="str">
        <f t="shared" si="16"/>
        <v/>
      </c>
      <c r="L99" s="7" t="str">
        <f t="shared" si="17"/>
        <v/>
      </c>
      <c r="N99" s="7" t="str">
        <f t="shared" si="18"/>
        <v/>
      </c>
      <c r="O99" t="str">
        <f t="shared" si="19"/>
        <v/>
      </c>
      <c r="P99" t="str">
        <f t="shared" si="21"/>
        <v/>
      </c>
      <c r="Q99" t="str">
        <f t="shared" si="20"/>
        <v/>
      </c>
      <c r="S99" t="str">
        <f>""</f>
        <v/>
      </c>
      <c r="AL99" s="18" t="str">
        <f>IF(COUNTIF($A$2:A98, A98) = 1, A98, "")</f>
        <v/>
      </c>
    </row>
    <row r="100" spans="6:38" x14ac:dyDescent="0.2">
      <c r="F100" t="str">
        <f t="shared" si="16"/>
        <v/>
      </c>
      <c r="L100" s="7" t="str">
        <f t="shared" si="17"/>
        <v/>
      </c>
      <c r="N100" s="7" t="str">
        <f t="shared" si="18"/>
        <v/>
      </c>
      <c r="O100" t="str">
        <f t="shared" si="19"/>
        <v/>
      </c>
      <c r="P100" t="str">
        <f t="shared" si="21"/>
        <v/>
      </c>
      <c r="Q100" t="str">
        <f t="shared" si="20"/>
        <v/>
      </c>
      <c r="S100" t="str">
        <f>""</f>
        <v/>
      </c>
      <c r="AL100" s="18" t="str">
        <f>IF(COUNTIF($A$2:A99, A99) = 1, A99, "")</f>
        <v/>
      </c>
    </row>
    <row r="101" spans="6:38" x14ac:dyDescent="0.2">
      <c r="F101" t="str">
        <f t="shared" si="16"/>
        <v/>
      </c>
      <c r="L101" s="7" t="str">
        <f t="shared" si="17"/>
        <v/>
      </c>
      <c r="N101" s="7" t="str">
        <f t="shared" si="18"/>
        <v/>
      </c>
      <c r="O101" t="str">
        <f t="shared" si="19"/>
        <v/>
      </c>
      <c r="P101" t="str">
        <f t="shared" si="21"/>
        <v/>
      </c>
      <c r="Q101" t="str">
        <f t="shared" si="20"/>
        <v/>
      </c>
      <c r="S101" t="str">
        <f>""</f>
        <v/>
      </c>
      <c r="AL101" s="18" t="str">
        <f>IF(COUNTIF($A$2:A100, A100) = 1, A100, "")</f>
        <v/>
      </c>
    </row>
    <row r="102" spans="6:38" x14ac:dyDescent="0.2">
      <c r="F102" t="str">
        <f t="shared" si="16"/>
        <v/>
      </c>
      <c r="L102" s="7" t="str">
        <f t="shared" si="17"/>
        <v/>
      </c>
      <c r="N102" s="7" t="str">
        <f t="shared" si="18"/>
        <v/>
      </c>
      <c r="O102" t="str">
        <f t="shared" si="19"/>
        <v/>
      </c>
      <c r="P102" t="str">
        <f t="shared" si="21"/>
        <v/>
      </c>
      <c r="Q102" t="str">
        <f t="shared" si="20"/>
        <v/>
      </c>
      <c r="S102" t="str">
        <f>""</f>
        <v/>
      </c>
      <c r="AL102" s="18" t="str">
        <f>IF(COUNTIF($A$2:A101, A101) = 1, A101, "")</f>
        <v/>
      </c>
    </row>
    <row r="103" spans="6:38" x14ac:dyDescent="0.2">
      <c r="F103" t="str">
        <f t="shared" si="16"/>
        <v/>
      </c>
      <c r="L103" s="7" t="str">
        <f t="shared" si="17"/>
        <v/>
      </c>
      <c r="N103" s="7" t="str">
        <f t="shared" si="18"/>
        <v/>
      </c>
      <c r="O103" t="str">
        <f t="shared" si="19"/>
        <v/>
      </c>
      <c r="P103" t="str">
        <f t="shared" si="21"/>
        <v/>
      </c>
      <c r="Q103" t="str">
        <f t="shared" si="20"/>
        <v/>
      </c>
      <c r="S103" t="str">
        <f>""</f>
        <v/>
      </c>
      <c r="AL103" s="18" t="str">
        <f>IF(COUNTIF($A$2:A102, A102) = 1, A102, "")</f>
        <v/>
      </c>
    </row>
    <row r="104" spans="6:38" x14ac:dyDescent="0.2">
      <c r="F104" t="str">
        <f t="shared" si="16"/>
        <v/>
      </c>
      <c r="L104" s="7" t="str">
        <f t="shared" si="17"/>
        <v/>
      </c>
      <c r="N104" s="7" t="str">
        <f t="shared" si="18"/>
        <v/>
      </c>
      <c r="O104" t="str">
        <f t="shared" si="19"/>
        <v/>
      </c>
      <c r="P104" t="str">
        <f t="shared" si="21"/>
        <v/>
      </c>
      <c r="Q104" t="str">
        <f t="shared" si="20"/>
        <v/>
      </c>
      <c r="S104" t="str">
        <f>""</f>
        <v/>
      </c>
      <c r="AL104" s="18" t="str">
        <f>IF(COUNTIF($A$2:A103, A103) = 1, A103, "")</f>
        <v/>
      </c>
    </row>
    <row r="105" spans="6:38" x14ac:dyDescent="0.2">
      <c r="F105" t="str">
        <f t="shared" si="16"/>
        <v/>
      </c>
      <c r="L105" s="7" t="str">
        <f t="shared" si="17"/>
        <v/>
      </c>
      <c r="N105" s="7" t="str">
        <f t="shared" si="18"/>
        <v/>
      </c>
      <c r="O105" t="str">
        <f t="shared" si="19"/>
        <v/>
      </c>
      <c r="P105" t="str">
        <f t="shared" si="21"/>
        <v/>
      </c>
      <c r="Q105" t="str">
        <f t="shared" si="20"/>
        <v/>
      </c>
      <c r="S105" t="str">
        <f>""</f>
        <v/>
      </c>
      <c r="AL105" s="18" t="str">
        <f>IF(COUNTIF($A$2:A104, A104) = 1, A104, "")</f>
        <v/>
      </c>
    </row>
    <row r="106" spans="6:38" x14ac:dyDescent="0.2">
      <c r="F106" t="str">
        <f t="shared" si="16"/>
        <v/>
      </c>
      <c r="L106" s="7" t="str">
        <f t="shared" si="17"/>
        <v/>
      </c>
      <c r="N106" s="7" t="str">
        <f t="shared" si="18"/>
        <v/>
      </c>
      <c r="O106" t="str">
        <f t="shared" si="19"/>
        <v/>
      </c>
      <c r="P106" t="str">
        <f t="shared" si="21"/>
        <v/>
      </c>
      <c r="Q106" t="str">
        <f t="shared" si="20"/>
        <v/>
      </c>
      <c r="S106" t="str">
        <f>""</f>
        <v/>
      </c>
      <c r="AL106" s="18" t="str">
        <f>IF(COUNTIF($A$2:A105, A105) = 1, A105, "")</f>
        <v/>
      </c>
    </row>
    <row r="107" spans="6:38" x14ac:dyDescent="0.2">
      <c r="F107" t="str">
        <f t="shared" si="16"/>
        <v/>
      </c>
      <c r="L107" s="7" t="str">
        <f t="shared" si="17"/>
        <v/>
      </c>
      <c r="N107" s="7" t="str">
        <f t="shared" si="18"/>
        <v/>
      </c>
      <c r="O107" t="str">
        <f t="shared" si="19"/>
        <v/>
      </c>
      <c r="P107" t="str">
        <f t="shared" si="21"/>
        <v/>
      </c>
      <c r="Q107" t="str">
        <f t="shared" si="20"/>
        <v/>
      </c>
      <c r="S107" t="str">
        <f>""</f>
        <v/>
      </c>
      <c r="AL107" s="18" t="str">
        <f>IF(COUNTIF($A$2:A106, A106) = 1, A106, "")</f>
        <v/>
      </c>
    </row>
    <row r="108" spans="6:38" x14ac:dyDescent="0.2">
      <c r="F108" t="str">
        <f t="shared" si="16"/>
        <v/>
      </c>
      <c r="L108" s="7" t="str">
        <f t="shared" si="17"/>
        <v/>
      </c>
      <c r="N108" s="7" t="str">
        <f t="shared" si="18"/>
        <v/>
      </c>
      <c r="O108" t="str">
        <f t="shared" si="19"/>
        <v/>
      </c>
      <c r="P108" t="str">
        <f t="shared" si="21"/>
        <v/>
      </c>
      <c r="Q108" t="str">
        <f t="shared" si="20"/>
        <v/>
      </c>
      <c r="S108" t="str">
        <f>""</f>
        <v/>
      </c>
      <c r="AL108" s="18" t="str">
        <f>IF(COUNTIF($A$2:A107, A107) = 1, A107, "")</f>
        <v/>
      </c>
    </row>
    <row r="109" spans="6:38" x14ac:dyDescent="0.2">
      <c r="F109" t="str">
        <f t="shared" si="16"/>
        <v/>
      </c>
      <c r="L109" s="7" t="str">
        <f t="shared" si="17"/>
        <v/>
      </c>
      <c r="N109" s="7" t="str">
        <f t="shared" si="18"/>
        <v/>
      </c>
      <c r="O109" t="str">
        <f t="shared" si="19"/>
        <v/>
      </c>
      <c r="P109" t="str">
        <f t="shared" si="21"/>
        <v/>
      </c>
      <c r="Q109" t="str">
        <f t="shared" si="20"/>
        <v/>
      </c>
      <c r="S109" t="str">
        <f>""</f>
        <v/>
      </c>
      <c r="AL109" s="18" t="str">
        <f>IF(COUNTIF($A$2:A108, A108) = 1, A108, "")</f>
        <v/>
      </c>
    </row>
    <row r="110" spans="6:38" x14ac:dyDescent="0.2">
      <c r="F110" t="str">
        <f t="shared" si="16"/>
        <v/>
      </c>
      <c r="L110" s="7" t="str">
        <f t="shared" si="17"/>
        <v/>
      </c>
      <c r="N110" s="7" t="str">
        <f t="shared" si="18"/>
        <v/>
      </c>
      <c r="O110" t="str">
        <f t="shared" si="19"/>
        <v/>
      </c>
      <c r="P110" t="str">
        <f t="shared" si="21"/>
        <v/>
      </c>
      <c r="Q110" t="str">
        <f t="shared" si="20"/>
        <v/>
      </c>
      <c r="S110" t="str">
        <f>""</f>
        <v/>
      </c>
      <c r="AL110" s="18" t="str">
        <f>IF(COUNTIF($A$2:A109, A109) = 1, A109, "")</f>
        <v/>
      </c>
    </row>
    <row r="111" spans="6:38" x14ac:dyDescent="0.2">
      <c r="F111" t="str">
        <f t="shared" si="16"/>
        <v/>
      </c>
      <c r="L111" s="7" t="str">
        <f t="shared" si="17"/>
        <v/>
      </c>
      <c r="N111" s="7" t="str">
        <f t="shared" si="18"/>
        <v/>
      </c>
      <c r="O111" t="str">
        <f t="shared" si="19"/>
        <v/>
      </c>
      <c r="P111" t="str">
        <f t="shared" si="21"/>
        <v/>
      </c>
      <c r="Q111" t="str">
        <f t="shared" si="20"/>
        <v/>
      </c>
      <c r="S111" t="str">
        <f>""</f>
        <v/>
      </c>
      <c r="AL111" s="18" t="str">
        <f>IF(COUNTIF($A$2:A110, A110) = 1, A110, "")</f>
        <v/>
      </c>
    </row>
    <row r="112" spans="6:38" x14ac:dyDescent="0.2">
      <c r="F112" t="str">
        <f t="shared" si="16"/>
        <v/>
      </c>
      <c r="L112" s="7" t="str">
        <f t="shared" si="17"/>
        <v/>
      </c>
      <c r="N112" s="7" t="str">
        <f t="shared" si="18"/>
        <v/>
      </c>
      <c r="O112" t="str">
        <f t="shared" si="19"/>
        <v/>
      </c>
      <c r="P112" t="str">
        <f t="shared" si="21"/>
        <v/>
      </c>
      <c r="Q112" t="str">
        <f t="shared" si="20"/>
        <v/>
      </c>
      <c r="S112" t="str">
        <f>""</f>
        <v/>
      </c>
      <c r="AL112" s="18" t="str">
        <f>IF(COUNTIF($A$2:A111, A111) = 1, A111, "")</f>
        <v/>
      </c>
    </row>
    <row r="113" spans="6:38" x14ac:dyDescent="0.2">
      <c r="F113" t="str">
        <f t="shared" si="16"/>
        <v/>
      </c>
      <c r="L113" s="7" t="str">
        <f t="shared" si="17"/>
        <v/>
      </c>
      <c r="N113" s="7" t="str">
        <f t="shared" si="18"/>
        <v/>
      </c>
      <c r="O113" t="str">
        <f t="shared" si="19"/>
        <v/>
      </c>
      <c r="P113" t="str">
        <f t="shared" si="21"/>
        <v/>
      </c>
      <c r="Q113" t="str">
        <f t="shared" si="20"/>
        <v/>
      </c>
      <c r="S113" t="str">
        <f>""</f>
        <v/>
      </c>
      <c r="AL113" s="18" t="str">
        <f>IF(COUNTIF($A$2:A112, A112) = 1, A112, "")</f>
        <v/>
      </c>
    </row>
    <row r="114" spans="6:38" x14ac:dyDescent="0.2">
      <c r="F114" t="str">
        <f t="shared" si="16"/>
        <v/>
      </c>
      <c r="L114" s="7" t="str">
        <f t="shared" si="17"/>
        <v/>
      </c>
      <c r="N114" s="7" t="str">
        <f t="shared" si="18"/>
        <v/>
      </c>
      <c r="O114" t="str">
        <f t="shared" si="19"/>
        <v/>
      </c>
      <c r="P114" t="str">
        <f t="shared" si="21"/>
        <v/>
      </c>
      <c r="Q114" t="str">
        <f t="shared" si="20"/>
        <v/>
      </c>
      <c r="S114" t="str">
        <f>""</f>
        <v/>
      </c>
      <c r="AL114" s="18" t="str">
        <f>IF(COUNTIF($A$2:A113, A113) = 1, A113, "")</f>
        <v/>
      </c>
    </row>
    <row r="115" spans="6:38" x14ac:dyDescent="0.2">
      <c r="F115" t="str">
        <f t="shared" si="16"/>
        <v/>
      </c>
      <c r="L115" s="7" t="str">
        <f t="shared" si="17"/>
        <v/>
      </c>
      <c r="N115" s="7" t="str">
        <f t="shared" si="18"/>
        <v/>
      </c>
      <c r="O115" t="str">
        <f t="shared" si="19"/>
        <v/>
      </c>
      <c r="P115" t="str">
        <f t="shared" si="21"/>
        <v/>
      </c>
      <c r="Q115" t="str">
        <f t="shared" si="20"/>
        <v/>
      </c>
      <c r="S115" t="str">
        <f>""</f>
        <v/>
      </c>
      <c r="AL115" s="18" t="str">
        <f>IF(COUNTIF($A$2:A114, A114) = 1, A114, "")</f>
        <v/>
      </c>
    </row>
    <row r="116" spans="6:38" x14ac:dyDescent="0.2">
      <c r="F116" t="str">
        <f t="shared" si="16"/>
        <v/>
      </c>
      <c r="L116" s="7" t="str">
        <f t="shared" si="17"/>
        <v/>
      </c>
      <c r="N116" s="7" t="str">
        <f t="shared" si="18"/>
        <v/>
      </c>
      <c r="O116" t="str">
        <f t="shared" si="19"/>
        <v/>
      </c>
      <c r="P116" t="str">
        <f t="shared" si="21"/>
        <v/>
      </c>
      <c r="Q116" t="str">
        <f t="shared" si="20"/>
        <v/>
      </c>
      <c r="S116" t="str">
        <f>""</f>
        <v/>
      </c>
      <c r="AL116" s="18" t="str">
        <f>IF(COUNTIF($A$2:A115, A115) = 1, A115, "")</f>
        <v/>
      </c>
    </row>
    <row r="117" spans="6:38" x14ac:dyDescent="0.2">
      <c r="F117" t="str">
        <f t="shared" si="16"/>
        <v/>
      </c>
      <c r="L117" s="7" t="str">
        <f t="shared" si="17"/>
        <v/>
      </c>
      <c r="N117" s="7" t="str">
        <f t="shared" si="18"/>
        <v/>
      </c>
      <c r="O117" t="str">
        <f t="shared" si="19"/>
        <v/>
      </c>
      <c r="P117" t="str">
        <f t="shared" si="21"/>
        <v/>
      </c>
      <c r="Q117" t="str">
        <f t="shared" si="20"/>
        <v/>
      </c>
      <c r="S117" t="str">
        <f>""</f>
        <v/>
      </c>
      <c r="AL117" s="18" t="str">
        <f>IF(COUNTIF($A$2:A116, A116) = 1, A116, "")</f>
        <v/>
      </c>
    </row>
    <row r="118" spans="6:38" x14ac:dyDescent="0.2">
      <c r="F118" t="str">
        <f t="shared" si="16"/>
        <v/>
      </c>
      <c r="L118" s="7" t="str">
        <f t="shared" si="17"/>
        <v/>
      </c>
      <c r="N118" s="7" t="str">
        <f t="shared" si="18"/>
        <v/>
      </c>
      <c r="O118" t="str">
        <f t="shared" si="19"/>
        <v/>
      </c>
      <c r="P118" t="str">
        <f t="shared" si="21"/>
        <v/>
      </c>
      <c r="Q118" t="str">
        <f t="shared" si="20"/>
        <v/>
      </c>
      <c r="S118" t="str">
        <f>""</f>
        <v/>
      </c>
      <c r="AL118" s="18" t="str">
        <f>IF(COUNTIF($A$2:A117, A117) = 1, A117, "")</f>
        <v/>
      </c>
    </row>
    <row r="119" spans="6:38" x14ac:dyDescent="0.2">
      <c r="F119" t="str">
        <f t="shared" si="16"/>
        <v/>
      </c>
      <c r="L119" s="7" t="str">
        <f t="shared" si="17"/>
        <v/>
      </c>
      <c r="N119" s="7" t="str">
        <f t="shared" si="18"/>
        <v/>
      </c>
      <c r="O119" t="str">
        <f t="shared" si="19"/>
        <v/>
      </c>
      <c r="P119" t="str">
        <f t="shared" si="21"/>
        <v/>
      </c>
      <c r="Q119" t="str">
        <f t="shared" si="20"/>
        <v/>
      </c>
      <c r="S119" t="str">
        <f>""</f>
        <v/>
      </c>
      <c r="AL119" s="18" t="str">
        <f>IF(COUNTIF($A$2:A118, A118) = 1, A118, "")</f>
        <v/>
      </c>
    </row>
    <row r="120" spans="6:38" x14ac:dyDescent="0.2">
      <c r="F120" t="str">
        <f t="shared" si="16"/>
        <v/>
      </c>
      <c r="L120" s="7" t="str">
        <f t="shared" si="17"/>
        <v/>
      </c>
      <c r="N120" s="7" t="str">
        <f t="shared" si="18"/>
        <v/>
      </c>
      <c r="O120" t="str">
        <f t="shared" si="19"/>
        <v/>
      </c>
      <c r="P120" t="str">
        <f t="shared" si="21"/>
        <v/>
      </c>
      <c r="Q120" t="str">
        <f t="shared" si="20"/>
        <v/>
      </c>
      <c r="S120" t="str">
        <f>""</f>
        <v/>
      </c>
      <c r="AL120" s="18" t="str">
        <f>IF(COUNTIF($A$2:A119, A119) = 1, A119, "")</f>
        <v/>
      </c>
    </row>
    <row r="121" spans="6:38" x14ac:dyDescent="0.2">
      <c r="F121" t="str">
        <f t="shared" si="16"/>
        <v/>
      </c>
      <c r="L121" s="7" t="str">
        <f t="shared" si="17"/>
        <v/>
      </c>
      <c r="N121" s="7" t="str">
        <f t="shared" si="18"/>
        <v/>
      </c>
      <c r="O121" t="str">
        <f t="shared" si="19"/>
        <v/>
      </c>
      <c r="P121" t="str">
        <f t="shared" si="21"/>
        <v/>
      </c>
      <c r="Q121" t="str">
        <f t="shared" si="20"/>
        <v/>
      </c>
      <c r="S121" t="str">
        <f>""</f>
        <v/>
      </c>
      <c r="AL121" s="18" t="str">
        <f>IF(COUNTIF($A$2:A120, A120) = 1, A120, "")</f>
        <v/>
      </c>
    </row>
    <row r="122" spans="6:38" x14ac:dyDescent="0.2">
      <c r="F122" t="str">
        <f t="shared" si="16"/>
        <v/>
      </c>
      <c r="L122" s="7" t="str">
        <f t="shared" si="17"/>
        <v/>
      </c>
      <c r="N122" s="7" t="str">
        <f t="shared" si="18"/>
        <v/>
      </c>
      <c r="O122" t="str">
        <f t="shared" si="19"/>
        <v/>
      </c>
      <c r="P122" t="str">
        <f t="shared" si="21"/>
        <v/>
      </c>
      <c r="Q122" t="str">
        <f t="shared" si="20"/>
        <v/>
      </c>
      <c r="S122" t="str">
        <f>""</f>
        <v/>
      </c>
      <c r="AL122" s="18" t="str">
        <f>IF(COUNTIF($A$2:A121, A121) = 1, A121, "")</f>
        <v/>
      </c>
    </row>
    <row r="123" spans="6:38" x14ac:dyDescent="0.2">
      <c r="F123" t="str">
        <f t="shared" si="16"/>
        <v/>
      </c>
      <c r="L123" s="7" t="str">
        <f t="shared" si="17"/>
        <v/>
      </c>
      <c r="N123" s="7" t="str">
        <f t="shared" si="18"/>
        <v/>
      </c>
      <c r="O123" t="str">
        <f t="shared" si="19"/>
        <v/>
      </c>
      <c r="P123" t="str">
        <f t="shared" si="21"/>
        <v/>
      </c>
      <c r="Q123" t="str">
        <f t="shared" si="20"/>
        <v/>
      </c>
      <c r="S123" t="str">
        <f>""</f>
        <v/>
      </c>
      <c r="AL123" s="18" t="str">
        <f>IF(COUNTIF($A$2:A122, A122) = 1, A122, "")</f>
        <v/>
      </c>
    </row>
    <row r="124" spans="6:38" x14ac:dyDescent="0.2">
      <c r="F124" t="str">
        <f t="shared" si="16"/>
        <v/>
      </c>
      <c r="L124" s="7" t="str">
        <f t="shared" si="17"/>
        <v/>
      </c>
      <c r="N124" s="7" t="str">
        <f t="shared" si="18"/>
        <v/>
      </c>
      <c r="O124" t="str">
        <f t="shared" si="19"/>
        <v/>
      </c>
      <c r="P124" t="str">
        <f t="shared" si="21"/>
        <v/>
      </c>
      <c r="Q124" t="str">
        <f t="shared" si="20"/>
        <v/>
      </c>
      <c r="S124" t="str">
        <f>""</f>
        <v/>
      </c>
      <c r="AL124" s="18" t="str">
        <f>IF(COUNTIF($A$2:A123, A123) = 1, A123, "")</f>
        <v/>
      </c>
    </row>
    <row r="125" spans="6:38" x14ac:dyDescent="0.2">
      <c r="F125" t="str">
        <f t="shared" si="16"/>
        <v/>
      </c>
      <c r="L125" s="7" t="str">
        <f t="shared" si="17"/>
        <v/>
      </c>
      <c r="N125" s="7" t="str">
        <f t="shared" si="18"/>
        <v/>
      </c>
      <c r="O125" t="str">
        <f t="shared" si="19"/>
        <v/>
      </c>
      <c r="P125" t="str">
        <f t="shared" si="21"/>
        <v/>
      </c>
      <c r="Q125" t="str">
        <f t="shared" si="20"/>
        <v/>
      </c>
      <c r="S125" t="str">
        <f>""</f>
        <v/>
      </c>
      <c r="AL125" s="18" t="str">
        <f>IF(COUNTIF($A$2:A124, A124) = 1, A124, "")</f>
        <v/>
      </c>
    </row>
    <row r="126" spans="6:38" x14ac:dyDescent="0.2">
      <c r="F126" t="str">
        <f t="shared" si="16"/>
        <v/>
      </c>
      <c r="L126" s="7" t="str">
        <f t="shared" si="17"/>
        <v/>
      </c>
      <c r="N126" s="7" t="str">
        <f t="shared" si="18"/>
        <v/>
      </c>
      <c r="O126" t="str">
        <f t="shared" si="19"/>
        <v/>
      </c>
      <c r="P126" t="str">
        <f t="shared" si="21"/>
        <v/>
      </c>
      <c r="Q126" t="str">
        <f t="shared" si="20"/>
        <v/>
      </c>
      <c r="S126" t="str">
        <f>""</f>
        <v/>
      </c>
      <c r="AL126" s="18" t="str">
        <f>IF(COUNTIF($A$2:A125, A125) = 1, A125, "")</f>
        <v/>
      </c>
    </row>
    <row r="127" spans="6:38" x14ac:dyDescent="0.2">
      <c r="F127" t="str">
        <f t="shared" si="16"/>
        <v/>
      </c>
      <c r="L127" s="7" t="str">
        <f t="shared" si="17"/>
        <v/>
      </c>
      <c r="N127" s="7" t="str">
        <f t="shared" si="18"/>
        <v/>
      </c>
      <c r="O127" t="str">
        <f t="shared" si="19"/>
        <v/>
      </c>
      <c r="P127" t="str">
        <f t="shared" si="21"/>
        <v/>
      </c>
      <c r="Q127" t="str">
        <f t="shared" si="20"/>
        <v/>
      </c>
      <c r="S127" t="str">
        <f>""</f>
        <v/>
      </c>
      <c r="AL127" s="18" t="str">
        <f>IF(COUNTIF($A$2:A126, A126) = 1, A126, "")</f>
        <v/>
      </c>
    </row>
    <row r="128" spans="6:38" x14ac:dyDescent="0.2">
      <c r="F128" t="str">
        <f t="shared" si="16"/>
        <v/>
      </c>
      <c r="L128" s="7" t="str">
        <f t="shared" si="17"/>
        <v/>
      </c>
      <c r="N128" s="7" t="str">
        <f t="shared" si="18"/>
        <v/>
      </c>
      <c r="O128" t="str">
        <f t="shared" si="19"/>
        <v/>
      </c>
      <c r="P128" t="str">
        <f t="shared" si="21"/>
        <v/>
      </c>
      <c r="Q128" t="str">
        <f t="shared" si="20"/>
        <v/>
      </c>
      <c r="S128" t="str">
        <f>""</f>
        <v/>
      </c>
      <c r="AL128" s="18" t="str">
        <f>IF(COUNTIF($A$2:A127, A127) = 1, A127, "")</f>
        <v/>
      </c>
    </row>
    <row r="129" spans="6:38" x14ac:dyDescent="0.2">
      <c r="F129" t="str">
        <f t="shared" si="16"/>
        <v/>
      </c>
      <c r="L129" s="7" t="str">
        <f t="shared" si="17"/>
        <v/>
      </c>
      <c r="N129" s="7" t="str">
        <f t="shared" si="18"/>
        <v/>
      </c>
      <c r="O129" t="str">
        <f t="shared" si="19"/>
        <v/>
      </c>
      <c r="P129" t="str">
        <f t="shared" si="21"/>
        <v/>
      </c>
      <c r="Q129" t="str">
        <f t="shared" si="20"/>
        <v/>
      </c>
      <c r="S129" t="str">
        <f>""</f>
        <v/>
      </c>
      <c r="AL129" s="18" t="str">
        <f>IF(COUNTIF($A$2:A128, A128) = 1, A128, "")</f>
        <v/>
      </c>
    </row>
    <row r="130" spans="6:38" x14ac:dyDescent="0.2">
      <c r="F130" t="str">
        <f t="shared" ref="F130:F143" si="22">IF(OR(O130="", P130=""), "", SUM(IF((O130&lt;&gt;"None")*(O130&lt;&gt;""),LEN(O130)-LEN(SUBSTITUTE(O130,",",""))+1,0)) + SUM(IF((P130&lt;&gt;"None")*(P130&lt;&gt;""),LEN(P130)-LEN(SUBSTITUTE(P130,",",""))+1,0)))</f>
        <v/>
      </c>
      <c r="L130" s="7" t="str">
        <f t="shared" ref="L130:L143" si="23">IF(LEN(E130)=0, "", IFERROR(IF(E130&gt;=0, K130 * (1 + E130/100) - K130, K130 / (ABS(E130)/100))+K130, ""))</f>
        <v/>
      </c>
      <c r="N130" s="7" t="str">
        <f t="shared" ref="N130:N143" si="24">IF(M130="Yes",L130-K130,IF(M130="No",-K130,""))</f>
        <v/>
      </c>
      <c r="O130" t="str">
        <f t="shared" ref="O130:O143" si="25">IF(AND(G130="No",H130="No"), "None", "")</f>
        <v/>
      </c>
      <c r="P130" t="str">
        <f t="shared" si="21"/>
        <v/>
      </c>
      <c r="Q130" t="str">
        <f t="shared" ref="Q130:Q143" si="26">IF(AND(D130="Straight", M130 = "No"),IF(O130="None",P130,IF(P130="None",O130) ),"")</f>
        <v/>
      </c>
      <c r="S130" t="str">
        <f>""</f>
        <v/>
      </c>
      <c r="AL130" s="18" t="str">
        <f>IF(COUNTIF($A$2:A129, A129) = 1, A129, "")</f>
        <v/>
      </c>
    </row>
    <row r="131" spans="6:38" x14ac:dyDescent="0.2">
      <c r="F131" t="str">
        <f t="shared" si="22"/>
        <v/>
      </c>
      <c r="L131" s="7" t="str">
        <f t="shared" si="23"/>
        <v/>
      </c>
      <c r="N131" s="7" t="str">
        <f t="shared" si="24"/>
        <v/>
      </c>
      <c r="O131" t="str">
        <f t="shared" si="25"/>
        <v/>
      </c>
      <c r="P131" t="str">
        <f t="shared" si="21"/>
        <v/>
      </c>
      <c r="Q131" t="str">
        <f t="shared" si="26"/>
        <v/>
      </c>
      <c r="S131" t="str">
        <f>""</f>
        <v/>
      </c>
      <c r="AL131" s="18" t="str">
        <f>IF(COUNTIF($A$2:A130, A130) = 1, A130, "")</f>
        <v/>
      </c>
    </row>
    <row r="132" spans="6:38" x14ac:dyDescent="0.2">
      <c r="F132" t="str">
        <f t="shared" si="22"/>
        <v/>
      </c>
      <c r="L132" s="7" t="str">
        <f t="shared" si="23"/>
        <v/>
      </c>
      <c r="N132" s="7" t="str">
        <f t="shared" si="24"/>
        <v/>
      </c>
      <c r="O132" t="str">
        <f t="shared" si="25"/>
        <v/>
      </c>
      <c r="P132" t="str">
        <f t="shared" si="21"/>
        <v/>
      </c>
      <c r="Q132" t="str">
        <f t="shared" si="26"/>
        <v/>
      </c>
      <c r="S132" t="str">
        <f>""</f>
        <v/>
      </c>
      <c r="AL132" s="18" t="str">
        <f>IF(COUNTIF($A$2:A131, A131) = 1, A131, "")</f>
        <v/>
      </c>
    </row>
    <row r="133" spans="6:38" x14ac:dyDescent="0.2">
      <c r="F133" t="str">
        <f t="shared" si="22"/>
        <v/>
      </c>
      <c r="L133" s="7" t="str">
        <f t="shared" si="23"/>
        <v/>
      </c>
      <c r="N133" s="7" t="str">
        <f t="shared" si="24"/>
        <v/>
      </c>
      <c r="O133" t="str">
        <f t="shared" si="25"/>
        <v/>
      </c>
      <c r="P133" t="str">
        <f t="shared" si="21"/>
        <v/>
      </c>
      <c r="Q133" t="str">
        <f t="shared" si="26"/>
        <v/>
      </c>
      <c r="S133" t="str">
        <f>""</f>
        <v/>
      </c>
      <c r="AL133" s="18" t="str">
        <f>IF(COUNTIF($A$2:A132, A132) = 1, A132, "")</f>
        <v/>
      </c>
    </row>
    <row r="134" spans="6:38" x14ac:dyDescent="0.2">
      <c r="F134" t="str">
        <f t="shared" si="22"/>
        <v/>
      </c>
      <c r="L134" s="7" t="str">
        <f t="shared" si="23"/>
        <v/>
      </c>
      <c r="N134" s="7" t="str">
        <f t="shared" si="24"/>
        <v/>
      </c>
      <c r="O134" t="str">
        <f t="shared" si="25"/>
        <v/>
      </c>
      <c r="P134" t="str">
        <f t="shared" si="21"/>
        <v/>
      </c>
      <c r="Q134" t="str">
        <f t="shared" si="26"/>
        <v/>
      </c>
      <c r="S134" t="str">
        <f>""</f>
        <v/>
      </c>
      <c r="AL134" s="18" t="str">
        <f>IF(COUNTIF($A$2:A133, A133) = 1, A133, "")</f>
        <v/>
      </c>
    </row>
    <row r="135" spans="6:38" x14ac:dyDescent="0.2">
      <c r="F135" t="str">
        <f t="shared" si="22"/>
        <v/>
      </c>
      <c r="L135" s="7" t="str">
        <f t="shared" si="23"/>
        <v/>
      </c>
      <c r="N135" s="7" t="str">
        <f t="shared" si="24"/>
        <v/>
      </c>
      <c r="O135" t="str">
        <f t="shared" si="25"/>
        <v/>
      </c>
      <c r="P135" t="str">
        <f t="shared" si="21"/>
        <v/>
      </c>
      <c r="Q135" t="str">
        <f t="shared" si="26"/>
        <v/>
      </c>
      <c r="S135" t="str">
        <f>""</f>
        <v/>
      </c>
      <c r="AL135" s="18" t="str">
        <f>IF(COUNTIF($A$2:A134, A134) = 1, A134, "")</f>
        <v/>
      </c>
    </row>
    <row r="136" spans="6:38" x14ac:dyDescent="0.2">
      <c r="F136" t="str">
        <f t="shared" si="22"/>
        <v/>
      </c>
      <c r="L136" s="7" t="str">
        <f t="shared" si="23"/>
        <v/>
      </c>
      <c r="N136" s="7" t="str">
        <f t="shared" si="24"/>
        <v/>
      </c>
      <c r="O136" t="str">
        <f t="shared" si="25"/>
        <v/>
      </c>
      <c r="P136" t="str">
        <f t="shared" si="21"/>
        <v/>
      </c>
      <c r="Q136" t="str">
        <f t="shared" si="26"/>
        <v/>
      </c>
      <c r="S136" t="str">
        <f>""</f>
        <v/>
      </c>
      <c r="AL136" s="18" t="str">
        <f>IF(COUNTIF($A$2:A135, A135) = 1, A135, "")</f>
        <v/>
      </c>
    </row>
    <row r="137" spans="6:38" x14ac:dyDescent="0.2">
      <c r="F137" t="str">
        <f t="shared" si="22"/>
        <v/>
      </c>
      <c r="L137" s="7" t="str">
        <f t="shared" si="23"/>
        <v/>
      </c>
      <c r="N137" s="7" t="str">
        <f t="shared" si="24"/>
        <v/>
      </c>
      <c r="O137" t="str">
        <f t="shared" si="25"/>
        <v/>
      </c>
      <c r="P137" t="str">
        <f t="shared" si="21"/>
        <v/>
      </c>
      <c r="Q137" t="str">
        <f t="shared" si="26"/>
        <v/>
      </c>
      <c r="S137" t="str">
        <f>""</f>
        <v/>
      </c>
      <c r="AL137" s="18" t="str">
        <f>IF(COUNTIF($A$2:A136, A136) = 1, A136, "")</f>
        <v/>
      </c>
    </row>
    <row r="138" spans="6:38" x14ac:dyDescent="0.2">
      <c r="F138" t="str">
        <f t="shared" si="22"/>
        <v/>
      </c>
      <c r="L138" s="7" t="str">
        <f t="shared" si="23"/>
        <v/>
      </c>
      <c r="N138" s="7" t="str">
        <f t="shared" si="24"/>
        <v/>
      </c>
      <c r="O138" t="str">
        <f t="shared" si="25"/>
        <v/>
      </c>
      <c r="P138" t="str">
        <f t="shared" si="21"/>
        <v/>
      </c>
      <c r="Q138" t="str">
        <f t="shared" si="26"/>
        <v/>
      </c>
      <c r="S138" t="str">
        <f>""</f>
        <v/>
      </c>
      <c r="AL138" s="18" t="str">
        <f>IF(COUNTIF($A$2:A137, A137) = 1, A137, "")</f>
        <v/>
      </c>
    </row>
    <row r="139" spans="6:38" x14ac:dyDescent="0.2">
      <c r="F139" t="str">
        <f t="shared" si="22"/>
        <v/>
      </c>
      <c r="L139" s="7" t="str">
        <f t="shared" si="23"/>
        <v/>
      </c>
      <c r="N139" s="7" t="str">
        <f t="shared" si="24"/>
        <v/>
      </c>
      <c r="O139" t="str">
        <f t="shared" si="25"/>
        <v/>
      </c>
      <c r="P139" t="str">
        <f t="shared" si="21"/>
        <v/>
      </c>
      <c r="Q139" t="str">
        <f t="shared" si="26"/>
        <v/>
      </c>
      <c r="S139" t="str">
        <f>""</f>
        <v/>
      </c>
      <c r="AL139" s="18" t="str">
        <f>IF(COUNTIF($A$2:A138, A138) = 1, A138, "")</f>
        <v/>
      </c>
    </row>
    <row r="140" spans="6:38" x14ac:dyDescent="0.2">
      <c r="F140" t="str">
        <f t="shared" si="22"/>
        <v/>
      </c>
      <c r="L140" s="7" t="str">
        <f t="shared" si="23"/>
        <v/>
      </c>
      <c r="N140" s="7" t="str">
        <f t="shared" si="24"/>
        <v/>
      </c>
      <c r="O140" t="str">
        <f t="shared" si="25"/>
        <v/>
      </c>
      <c r="P140" t="str">
        <f t="shared" si="21"/>
        <v/>
      </c>
      <c r="Q140" t="str">
        <f t="shared" si="26"/>
        <v/>
      </c>
      <c r="S140" t="str">
        <f>""</f>
        <v/>
      </c>
      <c r="AL140" s="18" t="str">
        <f>IF(COUNTIF($A$2:A139, A139) = 1, A139, "")</f>
        <v/>
      </c>
    </row>
    <row r="141" spans="6:38" x14ac:dyDescent="0.2">
      <c r="F141" t="str">
        <f t="shared" si="22"/>
        <v/>
      </c>
      <c r="L141" s="7" t="str">
        <f t="shared" si="23"/>
        <v/>
      </c>
      <c r="N141" s="7" t="str">
        <f t="shared" si="24"/>
        <v/>
      </c>
      <c r="O141" t="str">
        <f t="shared" si="25"/>
        <v/>
      </c>
      <c r="P141" t="str">
        <f t="shared" si="21"/>
        <v/>
      </c>
      <c r="Q141" t="str">
        <f t="shared" si="26"/>
        <v/>
      </c>
      <c r="S141" t="str">
        <f>""</f>
        <v/>
      </c>
      <c r="AL141" s="18" t="str">
        <f>IF(COUNTIF($A$2:A140, A140) = 1, A140, "")</f>
        <v/>
      </c>
    </row>
    <row r="142" spans="6:38" x14ac:dyDescent="0.2">
      <c r="F142" t="str">
        <f t="shared" si="22"/>
        <v/>
      </c>
      <c r="L142" s="7" t="str">
        <f t="shared" si="23"/>
        <v/>
      </c>
      <c r="N142" s="7" t="str">
        <f t="shared" si="24"/>
        <v/>
      </c>
      <c r="O142" t="str">
        <f t="shared" si="25"/>
        <v/>
      </c>
      <c r="P142" t="str">
        <f t="shared" si="21"/>
        <v/>
      </c>
      <c r="Q142" t="str">
        <f t="shared" si="26"/>
        <v/>
      </c>
      <c r="S142" t="str">
        <f>""</f>
        <v/>
      </c>
      <c r="AL142" s="18" t="str">
        <f>IF(COUNTIF($A$2:A141, A141) = 1, A141, "")</f>
        <v/>
      </c>
    </row>
    <row r="143" spans="6:38" x14ac:dyDescent="0.2">
      <c r="F143" t="str">
        <f t="shared" si="22"/>
        <v/>
      </c>
      <c r="L143" s="7" t="str">
        <f t="shared" si="23"/>
        <v/>
      </c>
      <c r="N143" s="7" t="str">
        <f t="shared" si="24"/>
        <v/>
      </c>
      <c r="O143" t="str">
        <f t="shared" si="25"/>
        <v/>
      </c>
      <c r="P143" t="str">
        <f t="shared" si="21"/>
        <v/>
      </c>
      <c r="Q143" t="str">
        <f t="shared" si="26"/>
        <v/>
      </c>
      <c r="S143" t="str">
        <f>""</f>
        <v/>
      </c>
      <c r="AL143" s="18" t="str">
        <f>IF(COUNTIF($A$2:A142, A142) = 1, A142, "")</f>
        <v/>
      </c>
    </row>
    <row r="144" spans="6:38" x14ac:dyDescent="0.2">
      <c r="F144" t="str">
        <f t="shared" ref="F144:F207" si="27">IF(OR(O144="", P144=""), "", SUM(IF((O144&lt;&gt;"None")*(O144&lt;&gt;""),LEN(O144)-LEN(SUBSTITUTE(O144,",",""))+1,0)) + SUM(IF((P144&lt;&gt;"None")*(P144&lt;&gt;""),LEN(P144)-LEN(SUBSTITUTE(P144,",",""))+1,0)))</f>
        <v/>
      </c>
      <c r="L144" s="7" t="str">
        <f t="shared" ref="L144:L207" si="28">IF(LEN(E144)=0, "", IFERROR(IF(E144&gt;=0, K144 * (1 + E144/100) - K144, K144 / (ABS(E144)/100))+K144, ""))</f>
        <v/>
      </c>
      <c r="N144" s="7" t="str">
        <f t="shared" ref="N144:N207" si="29">IF(M144="Yes",L144-K144,IF(M144="No",-K144,""))</f>
        <v/>
      </c>
      <c r="O144" t="str">
        <f t="shared" ref="O144:O207" si="30">IF(AND(G144="No",H144="No"), "None", "")</f>
        <v/>
      </c>
      <c r="P144" t="str">
        <f t="shared" ref="P144:P207" si="31">IF(I144="No", "None", "")</f>
        <v/>
      </c>
      <c r="Q144" t="str">
        <f t="shared" ref="Q144:Q207" si="32">IF(AND(D144="Straight", M144 = "No"),IF(O144="None",P144,IF(P144="None",O144) ),"")</f>
        <v/>
      </c>
      <c r="S144" t="str">
        <f>""</f>
        <v/>
      </c>
      <c r="AL144" s="18" t="str">
        <f>IF(COUNTIF($A$2:A143, A143) = 1, A143, "")</f>
        <v/>
      </c>
    </row>
    <row r="145" spans="6:38" x14ac:dyDescent="0.2">
      <c r="F145" t="str">
        <f t="shared" si="27"/>
        <v/>
      </c>
      <c r="L145" s="7" t="str">
        <f t="shared" si="28"/>
        <v/>
      </c>
      <c r="N145" s="7" t="str">
        <f t="shared" si="29"/>
        <v/>
      </c>
      <c r="O145" t="str">
        <f t="shared" si="30"/>
        <v/>
      </c>
      <c r="P145" t="str">
        <f t="shared" si="31"/>
        <v/>
      </c>
      <c r="Q145" t="str">
        <f t="shared" si="32"/>
        <v/>
      </c>
      <c r="S145" t="str">
        <f>""</f>
        <v/>
      </c>
      <c r="AL145" s="18" t="str">
        <f>IF(COUNTIF($A$2:A144, A144) = 1, A144, "")</f>
        <v/>
      </c>
    </row>
    <row r="146" spans="6:38" x14ac:dyDescent="0.2">
      <c r="F146" t="str">
        <f t="shared" si="27"/>
        <v/>
      </c>
      <c r="L146" s="7" t="str">
        <f t="shared" si="28"/>
        <v/>
      </c>
      <c r="N146" s="7" t="str">
        <f t="shared" si="29"/>
        <v/>
      </c>
      <c r="O146" t="str">
        <f t="shared" si="30"/>
        <v/>
      </c>
      <c r="P146" t="str">
        <f t="shared" si="31"/>
        <v/>
      </c>
      <c r="Q146" t="str">
        <f t="shared" si="32"/>
        <v/>
      </c>
      <c r="S146" t="str">
        <f>""</f>
        <v/>
      </c>
      <c r="AL146" s="18" t="str">
        <f>IF(COUNTIF($A$2:A145, A145) = 1, A145, "")</f>
        <v/>
      </c>
    </row>
    <row r="147" spans="6:38" x14ac:dyDescent="0.2">
      <c r="F147" t="str">
        <f t="shared" si="27"/>
        <v/>
      </c>
      <c r="L147" s="7" t="str">
        <f t="shared" si="28"/>
        <v/>
      </c>
      <c r="N147" s="7" t="str">
        <f t="shared" si="29"/>
        <v/>
      </c>
      <c r="O147" t="str">
        <f t="shared" si="30"/>
        <v/>
      </c>
      <c r="P147" t="str">
        <f t="shared" si="31"/>
        <v/>
      </c>
      <c r="Q147" t="str">
        <f t="shared" si="32"/>
        <v/>
      </c>
      <c r="S147" t="str">
        <f>""</f>
        <v/>
      </c>
      <c r="AL147" s="18" t="str">
        <f>IF(COUNTIF($A$2:A146, A146) = 1, A146, "")</f>
        <v/>
      </c>
    </row>
    <row r="148" spans="6:38" x14ac:dyDescent="0.2">
      <c r="F148" t="str">
        <f t="shared" si="27"/>
        <v/>
      </c>
      <c r="L148" s="7" t="str">
        <f t="shared" si="28"/>
        <v/>
      </c>
      <c r="N148" s="7" t="str">
        <f t="shared" si="29"/>
        <v/>
      </c>
      <c r="O148" t="str">
        <f t="shared" si="30"/>
        <v/>
      </c>
      <c r="P148" t="str">
        <f t="shared" si="31"/>
        <v/>
      </c>
      <c r="Q148" t="str">
        <f t="shared" si="32"/>
        <v/>
      </c>
      <c r="S148" t="str">
        <f>""</f>
        <v/>
      </c>
      <c r="AL148" s="18" t="str">
        <f>IF(COUNTIF($A$2:A147, A147) = 1, A147, "")</f>
        <v/>
      </c>
    </row>
    <row r="149" spans="6:38" x14ac:dyDescent="0.2">
      <c r="F149" t="str">
        <f t="shared" si="27"/>
        <v/>
      </c>
      <c r="L149" s="7" t="str">
        <f t="shared" si="28"/>
        <v/>
      </c>
      <c r="N149" s="7" t="str">
        <f t="shared" si="29"/>
        <v/>
      </c>
      <c r="O149" t="str">
        <f t="shared" si="30"/>
        <v/>
      </c>
      <c r="P149" t="str">
        <f t="shared" si="31"/>
        <v/>
      </c>
      <c r="Q149" t="str">
        <f t="shared" si="32"/>
        <v/>
      </c>
      <c r="S149" t="str">
        <f>""</f>
        <v/>
      </c>
      <c r="AL149" s="18" t="str">
        <f>IF(COUNTIF($A$2:A148, A148) = 1, A148, "")</f>
        <v/>
      </c>
    </row>
    <row r="150" spans="6:38" x14ac:dyDescent="0.2">
      <c r="F150" t="str">
        <f t="shared" si="27"/>
        <v/>
      </c>
      <c r="L150" s="7" t="str">
        <f t="shared" si="28"/>
        <v/>
      </c>
      <c r="N150" s="7" t="str">
        <f t="shared" si="29"/>
        <v/>
      </c>
      <c r="O150" t="str">
        <f t="shared" si="30"/>
        <v/>
      </c>
      <c r="P150" t="str">
        <f t="shared" si="31"/>
        <v/>
      </c>
      <c r="Q150" t="str">
        <f t="shared" si="32"/>
        <v/>
      </c>
      <c r="S150" t="str">
        <f>""</f>
        <v/>
      </c>
      <c r="AL150" s="18" t="str">
        <f>IF(COUNTIF($A$2:A149, A149) = 1, A149, "")</f>
        <v/>
      </c>
    </row>
    <row r="151" spans="6:38" x14ac:dyDescent="0.2">
      <c r="F151" t="str">
        <f t="shared" si="27"/>
        <v/>
      </c>
      <c r="L151" s="7" t="str">
        <f t="shared" si="28"/>
        <v/>
      </c>
      <c r="N151" s="7" t="str">
        <f t="shared" si="29"/>
        <v/>
      </c>
      <c r="O151" t="str">
        <f t="shared" si="30"/>
        <v/>
      </c>
      <c r="P151" t="str">
        <f t="shared" si="31"/>
        <v/>
      </c>
      <c r="Q151" t="str">
        <f t="shared" si="32"/>
        <v/>
      </c>
      <c r="S151" t="str">
        <f>""</f>
        <v/>
      </c>
      <c r="AL151" s="18" t="str">
        <f>IF(COUNTIF($A$2:A150, A150) = 1, A150, "")</f>
        <v/>
      </c>
    </row>
    <row r="152" spans="6:38" x14ac:dyDescent="0.2">
      <c r="F152" t="str">
        <f t="shared" si="27"/>
        <v/>
      </c>
      <c r="L152" s="7" t="str">
        <f t="shared" si="28"/>
        <v/>
      </c>
      <c r="N152" s="7" t="str">
        <f t="shared" si="29"/>
        <v/>
      </c>
      <c r="O152" t="str">
        <f t="shared" si="30"/>
        <v/>
      </c>
      <c r="P152" t="str">
        <f t="shared" si="31"/>
        <v/>
      </c>
      <c r="Q152" t="str">
        <f t="shared" si="32"/>
        <v/>
      </c>
      <c r="S152" t="str">
        <f>""</f>
        <v/>
      </c>
      <c r="AL152" s="18" t="str">
        <f>IF(COUNTIF($A$2:A151, A151) = 1, A151, "")</f>
        <v/>
      </c>
    </row>
    <row r="153" spans="6:38" x14ac:dyDescent="0.2">
      <c r="F153" t="str">
        <f t="shared" si="27"/>
        <v/>
      </c>
      <c r="L153" s="7" t="str">
        <f t="shared" si="28"/>
        <v/>
      </c>
      <c r="N153" s="7" t="str">
        <f t="shared" si="29"/>
        <v/>
      </c>
      <c r="O153" t="str">
        <f t="shared" si="30"/>
        <v/>
      </c>
      <c r="P153" t="str">
        <f t="shared" si="31"/>
        <v/>
      </c>
      <c r="Q153" t="str">
        <f t="shared" si="32"/>
        <v/>
      </c>
      <c r="S153" t="str">
        <f>""</f>
        <v/>
      </c>
      <c r="AL153" s="18" t="str">
        <f>IF(COUNTIF($A$2:A152, A152) = 1, A152, "")</f>
        <v/>
      </c>
    </row>
    <row r="154" spans="6:38" x14ac:dyDescent="0.2">
      <c r="F154" t="str">
        <f t="shared" si="27"/>
        <v/>
      </c>
      <c r="L154" s="7" t="str">
        <f t="shared" si="28"/>
        <v/>
      </c>
      <c r="N154" s="7" t="str">
        <f t="shared" si="29"/>
        <v/>
      </c>
      <c r="O154" t="str">
        <f t="shared" si="30"/>
        <v/>
      </c>
      <c r="P154" t="str">
        <f t="shared" si="31"/>
        <v/>
      </c>
      <c r="Q154" t="str">
        <f t="shared" si="32"/>
        <v/>
      </c>
      <c r="S154" t="str">
        <f>""</f>
        <v/>
      </c>
      <c r="AL154" s="18" t="str">
        <f>IF(COUNTIF($A$2:A153, A153) = 1, A153, "")</f>
        <v/>
      </c>
    </row>
    <row r="155" spans="6:38" x14ac:dyDescent="0.2">
      <c r="F155" t="str">
        <f t="shared" si="27"/>
        <v/>
      </c>
      <c r="L155" s="7" t="str">
        <f t="shared" si="28"/>
        <v/>
      </c>
      <c r="N155" s="7" t="str">
        <f t="shared" si="29"/>
        <v/>
      </c>
      <c r="O155" t="str">
        <f t="shared" si="30"/>
        <v/>
      </c>
      <c r="P155" t="str">
        <f t="shared" si="31"/>
        <v/>
      </c>
      <c r="Q155" t="str">
        <f t="shared" si="32"/>
        <v/>
      </c>
      <c r="S155" t="str">
        <f>""</f>
        <v/>
      </c>
      <c r="AL155" s="18" t="str">
        <f>IF(COUNTIF($A$2:A154, A154) = 1, A154, "")</f>
        <v/>
      </c>
    </row>
    <row r="156" spans="6:38" x14ac:dyDescent="0.2">
      <c r="F156" t="str">
        <f t="shared" si="27"/>
        <v/>
      </c>
      <c r="L156" s="7" t="str">
        <f t="shared" si="28"/>
        <v/>
      </c>
      <c r="N156" s="7" t="str">
        <f t="shared" si="29"/>
        <v/>
      </c>
      <c r="O156" t="str">
        <f t="shared" si="30"/>
        <v/>
      </c>
      <c r="P156" t="str">
        <f t="shared" si="31"/>
        <v/>
      </c>
      <c r="Q156" t="str">
        <f t="shared" si="32"/>
        <v/>
      </c>
      <c r="S156" t="str">
        <f>""</f>
        <v/>
      </c>
      <c r="AL156" s="18" t="str">
        <f>IF(COUNTIF($A$2:A155, A155) = 1, A155, "")</f>
        <v/>
      </c>
    </row>
    <row r="157" spans="6:38" x14ac:dyDescent="0.2">
      <c r="F157" t="str">
        <f t="shared" si="27"/>
        <v/>
      </c>
      <c r="L157" s="7" t="str">
        <f t="shared" si="28"/>
        <v/>
      </c>
      <c r="N157" s="7" t="str">
        <f t="shared" si="29"/>
        <v/>
      </c>
      <c r="O157" t="str">
        <f t="shared" si="30"/>
        <v/>
      </c>
      <c r="P157" t="str">
        <f t="shared" si="31"/>
        <v/>
      </c>
      <c r="Q157" t="str">
        <f t="shared" si="32"/>
        <v/>
      </c>
      <c r="S157" t="str">
        <f>""</f>
        <v/>
      </c>
      <c r="AL157" s="18" t="str">
        <f>IF(COUNTIF($A$2:A156, A156) = 1, A156, "")</f>
        <v/>
      </c>
    </row>
    <row r="158" spans="6:38" x14ac:dyDescent="0.2">
      <c r="F158" t="str">
        <f t="shared" si="27"/>
        <v/>
      </c>
      <c r="L158" s="7" t="str">
        <f t="shared" si="28"/>
        <v/>
      </c>
      <c r="N158" s="7" t="str">
        <f t="shared" si="29"/>
        <v/>
      </c>
      <c r="O158" t="str">
        <f t="shared" si="30"/>
        <v/>
      </c>
      <c r="P158" t="str">
        <f t="shared" si="31"/>
        <v/>
      </c>
      <c r="Q158" t="str">
        <f t="shared" si="32"/>
        <v/>
      </c>
      <c r="S158" t="str">
        <f>""</f>
        <v/>
      </c>
      <c r="AL158" s="18" t="str">
        <f>IF(COUNTIF($A$2:A157, A157) = 1, A157, "")</f>
        <v/>
      </c>
    </row>
    <row r="159" spans="6:38" x14ac:dyDescent="0.2">
      <c r="F159" t="str">
        <f t="shared" si="27"/>
        <v/>
      </c>
      <c r="L159" s="7" t="str">
        <f t="shared" si="28"/>
        <v/>
      </c>
      <c r="N159" s="7" t="str">
        <f t="shared" si="29"/>
        <v/>
      </c>
      <c r="O159" t="str">
        <f t="shared" si="30"/>
        <v/>
      </c>
      <c r="P159" t="str">
        <f t="shared" si="31"/>
        <v/>
      </c>
      <c r="Q159" t="str">
        <f t="shared" si="32"/>
        <v/>
      </c>
      <c r="S159" t="str">
        <f>""</f>
        <v/>
      </c>
      <c r="AL159" s="18" t="str">
        <f>IF(COUNTIF($A$2:A158, A158) = 1, A158, "")</f>
        <v/>
      </c>
    </row>
    <row r="160" spans="6:38" x14ac:dyDescent="0.2">
      <c r="F160" t="str">
        <f t="shared" si="27"/>
        <v/>
      </c>
      <c r="L160" s="7" t="str">
        <f t="shared" si="28"/>
        <v/>
      </c>
      <c r="N160" s="7" t="str">
        <f t="shared" si="29"/>
        <v/>
      </c>
      <c r="O160" t="str">
        <f t="shared" si="30"/>
        <v/>
      </c>
      <c r="P160" t="str">
        <f t="shared" si="31"/>
        <v/>
      </c>
      <c r="Q160" t="str">
        <f t="shared" si="32"/>
        <v/>
      </c>
      <c r="S160" t="str">
        <f>""</f>
        <v/>
      </c>
      <c r="AL160" s="18" t="str">
        <f>IF(COUNTIF($A$2:A159, A159) = 1, A159, "")</f>
        <v/>
      </c>
    </row>
    <row r="161" spans="6:38" x14ac:dyDescent="0.2">
      <c r="F161" t="str">
        <f t="shared" si="27"/>
        <v/>
      </c>
      <c r="L161" s="7" t="str">
        <f t="shared" si="28"/>
        <v/>
      </c>
      <c r="N161" s="7" t="str">
        <f t="shared" si="29"/>
        <v/>
      </c>
      <c r="O161" t="str">
        <f t="shared" si="30"/>
        <v/>
      </c>
      <c r="P161" t="str">
        <f t="shared" si="31"/>
        <v/>
      </c>
      <c r="Q161" t="str">
        <f t="shared" si="32"/>
        <v/>
      </c>
      <c r="S161" t="str">
        <f>""</f>
        <v/>
      </c>
      <c r="AL161" s="18" t="str">
        <f>IF(COUNTIF($A$2:A160, A160) = 1, A160, "")</f>
        <v/>
      </c>
    </row>
    <row r="162" spans="6:38" x14ac:dyDescent="0.2">
      <c r="F162" t="str">
        <f t="shared" si="27"/>
        <v/>
      </c>
      <c r="L162" s="7" t="str">
        <f t="shared" si="28"/>
        <v/>
      </c>
      <c r="N162" s="7" t="str">
        <f t="shared" si="29"/>
        <v/>
      </c>
      <c r="O162" t="str">
        <f t="shared" si="30"/>
        <v/>
      </c>
      <c r="P162" t="str">
        <f t="shared" si="31"/>
        <v/>
      </c>
      <c r="Q162" t="str">
        <f t="shared" si="32"/>
        <v/>
      </c>
      <c r="S162" t="str">
        <f>""</f>
        <v/>
      </c>
      <c r="AL162" s="18" t="str">
        <f>IF(COUNTIF($A$2:A161, A161) = 1, A161, "")</f>
        <v/>
      </c>
    </row>
    <row r="163" spans="6:38" x14ac:dyDescent="0.2">
      <c r="F163" t="str">
        <f t="shared" si="27"/>
        <v/>
      </c>
      <c r="L163" s="7" t="str">
        <f t="shared" si="28"/>
        <v/>
      </c>
      <c r="N163" s="7" t="str">
        <f t="shared" si="29"/>
        <v/>
      </c>
      <c r="O163" t="str">
        <f t="shared" si="30"/>
        <v/>
      </c>
      <c r="P163" t="str">
        <f t="shared" si="31"/>
        <v/>
      </c>
      <c r="Q163" t="str">
        <f t="shared" si="32"/>
        <v/>
      </c>
      <c r="S163" t="str">
        <f>""</f>
        <v/>
      </c>
      <c r="AL163" s="18" t="str">
        <f>IF(COUNTIF($A$2:A162, A162) = 1, A162, "")</f>
        <v/>
      </c>
    </row>
    <row r="164" spans="6:38" x14ac:dyDescent="0.2">
      <c r="F164" t="str">
        <f t="shared" si="27"/>
        <v/>
      </c>
      <c r="L164" s="7" t="str">
        <f t="shared" si="28"/>
        <v/>
      </c>
      <c r="N164" s="7" t="str">
        <f t="shared" si="29"/>
        <v/>
      </c>
      <c r="O164" t="str">
        <f t="shared" si="30"/>
        <v/>
      </c>
      <c r="P164" t="str">
        <f t="shared" si="31"/>
        <v/>
      </c>
      <c r="Q164" t="str">
        <f t="shared" si="32"/>
        <v/>
      </c>
      <c r="S164" t="str">
        <f>""</f>
        <v/>
      </c>
      <c r="AL164" s="18" t="str">
        <f>IF(COUNTIF($A$2:A163, A163) = 1, A163, "")</f>
        <v/>
      </c>
    </row>
    <row r="165" spans="6:38" x14ac:dyDescent="0.2">
      <c r="F165" t="str">
        <f t="shared" si="27"/>
        <v/>
      </c>
      <c r="L165" s="7" t="str">
        <f t="shared" si="28"/>
        <v/>
      </c>
      <c r="N165" s="7" t="str">
        <f t="shared" si="29"/>
        <v/>
      </c>
      <c r="O165" t="str">
        <f t="shared" si="30"/>
        <v/>
      </c>
      <c r="P165" t="str">
        <f t="shared" si="31"/>
        <v/>
      </c>
      <c r="Q165" t="str">
        <f t="shared" si="32"/>
        <v/>
      </c>
      <c r="S165" t="str">
        <f>""</f>
        <v/>
      </c>
      <c r="AL165" s="18" t="str">
        <f>IF(COUNTIF($A$2:A164, A164) = 1, A164, "")</f>
        <v/>
      </c>
    </row>
    <row r="166" spans="6:38" x14ac:dyDescent="0.2">
      <c r="F166" t="str">
        <f t="shared" si="27"/>
        <v/>
      </c>
      <c r="L166" s="7" t="str">
        <f t="shared" si="28"/>
        <v/>
      </c>
      <c r="N166" s="7" t="str">
        <f t="shared" si="29"/>
        <v/>
      </c>
      <c r="O166" t="str">
        <f t="shared" si="30"/>
        <v/>
      </c>
      <c r="P166" t="str">
        <f t="shared" si="31"/>
        <v/>
      </c>
      <c r="Q166" t="str">
        <f t="shared" si="32"/>
        <v/>
      </c>
      <c r="S166" t="str">
        <f>""</f>
        <v/>
      </c>
      <c r="AL166" s="18" t="str">
        <f>IF(COUNTIF($A$2:A165, A165) = 1, A165, "")</f>
        <v/>
      </c>
    </row>
    <row r="167" spans="6:38" x14ac:dyDescent="0.2">
      <c r="F167" t="str">
        <f t="shared" si="27"/>
        <v/>
      </c>
      <c r="L167" s="7" t="str">
        <f t="shared" si="28"/>
        <v/>
      </c>
      <c r="N167" s="7" t="str">
        <f t="shared" si="29"/>
        <v/>
      </c>
      <c r="O167" t="str">
        <f t="shared" si="30"/>
        <v/>
      </c>
      <c r="P167" t="str">
        <f t="shared" si="31"/>
        <v/>
      </c>
      <c r="Q167" t="str">
        <f t="shared" si="32"/>
        <v/>
      </c>
      <c r="S167" t="str">
        <f>""</f>
        <v/>
      </c>
      <c r="AL167" s="18" t="str">
        <f>IF(COUNTIF($A$2:A166, A166) = 1, A166, "")</f>
        <v/>
      </c>
    </row>
    <row r="168" spans="6:38" x14ac:dyDescent="0.2">
      <c r="F168" t="str">
        <f t="shared" si="27"/>
        <v/>
      </c>
      <c r="L168" s="7" t="str">
        <f t="shared" si="28"/>
        <v/>
      </c>
      <c r="N168" s="7" t="str">
        <f t="shared" si="29"/>
        <v/>
      </c>
      <c r="O168" t="str">
        <f t="shared" si="30"/>
        <v/>
      </c>
      <c r="P168" t="str">
        <f t="shared" si="31"/>
        <v/>
      </c>
      <c r="Q168" t="str">
        <f t="shared" si="32"/>
        <v/>
      </c>
      <c r="S168" t="str">
        <f>""</f>
        <v/>
      </c>
      <c r="AL168" s="18" t="str">
        <f>IF(COUNTIF($A$2:A167, A167) = 1, A167, "")</f>
        <v/>
      </c>
    </row>
    <row r="169" spans="6:38" x14ac:dyDescent="0.2">
      <c r="F169" t="str">
        <f t="shared" si="27"/>
        <v/>
      </c>
      <c r="L169" s="7" t="str">
        <f t="shared" si="28"/>
        <v/>
      </c>
      <c r="N169" s="7" t="str">
        <f t="shared" si="29"/>
        <v/>
      </c>
      <c r="O169" t="str">
        <f t="shared" si="30"/>
        <v/>
      </c>
      <c r="P169" t="str">
        <f t="shared" si="31"/>
        <v/>
      </c>
      <c r="Q169" t="str">
        <f t="shared" si="32"/>
        <v/>
      </c>
      <c r="S169" t="str">
        <f>""</f>
        <v/>
      </c>
      <c r="AL169" s="18" t="str">
        <f>IF(COUNTIF($A$2:A168, A168) = 1, A168, "")</f>
        <v/>
      </c>
    </row>
    <row r="170" spans="6:38" x14ac:dyDescent="0.2">
      <c r="F170" t="str">
        <f t="shared" si="27"/>
        <v/>
      </c>
      <c r="L170" s="7" t="str">
        <f t="shared" si="28"/>
        <v/>
      </c>
      <c r="N170" s="7" t="str">
        <f t="shared" si="29"/>
        <v/>
      </c>
      <c r="O170" t="str">
        <f t="shared" si="30"/>
        <v/>
      </c>
      <c r="P170" t="str">
        <f t="shared" si="31"/>
        <v/>
      </c>
      <c r="Q170" t="str">
        <f t="shared" si="32"/>
        <v/>
      </c>
      <c r="S170" t="str">
        <f>""</f>
        <v/>
      </c>
      <c r="AL170" s="18" t="str">
        <f>IF(COUNTIF($A$2:A169, A169) = 1, A169, "")</f>
        <v/>
      </c>
    </row>
    <row r="171" spans="6:38" x14ac:dyDescent="0.2">
      <c r="F171" t="str">
        <f t="shared" si="27"/>
        <v/>
      </c>
      <c r="L171" s="7" t="str">
        <f t="shared" si="28"/>
        <v/>
      </c>
      <c r="N171" s="7" t="str">
        <f t="shared" si="29"/>
        <v/>
      </c>
      <c r="O171" t="str">
        <f t="shared" si="30"/>
        <v/>
      </c>
      <c r="P171" t="str">
        <f t="shared" si="31"/>
        <v/>
      </c>
      <c r="Q171" t="str">
        <f t="shared" si="32"/>
        <v/>
      </c>
      <c r="S171" t="str">
        <f>""</f>
        <v/>
      </c>
      <c r="AL171" s="18" t="str">
        <f>IF(COUNTIF($A$2:A170, A170) = 1, A170, "")</f>
        <v/>
      </c>
    </row>
    <row r="172" spans="6:38" x14ac:dyDescent="0.2">
      <c r="F172" t="str">
        <f t="shared" si="27"/>
        <v/>
      </c>
      <c r="L172" s="7" t="str">
        <f t="shared" si="28"/>
        <v/>
      </c>
      <c r="N172" s="7" t="str">
        <f t="shared" si="29"/>
        <v/>
      </c>
      <c r="O172" t="str">
        <f t="shared" si="30"/>
        <v/>
      </c>
      <c r="P172" t="str">
        <f t="shared" si="31"/>
        <v/>
      </c>
      <c r="Q172" t="str">
        <f t="shared" si="32"/>
        <v/>
      </c>
      <c r="S172" t="str">
        <f>""</f>
        <v/>
      </c>
      <c r="AL172" s="18" t="str">
        <f>IF(COUNTIF($A$2:A171, A171) = 1, A171, "")</f>
        <v/>
      </c>
    </row>
    <row r="173" spans="6:38" x14ac:dyDescent="0.2">
      <c r="F173" t="str">
        <f t="shared" si="27"/>
        <v/>
      </c>
      <c r="L173" s="7" t="str">
        <f t="shared" si="28"/>
        <v/>
      </c>
      <c r="N173" s="7" t="str">
        <f t="shared" si="29"/>
        <v/>
      </c>
      <c r="O173" t="str">
        <f t="shared" si="30"/>
        <v/>
      </c>
      <c r="P173" t="str">
        <f t="shared" si="31"/>
        <v/>
      </c>
      <c r="Q173" t="str">
        <f t="shared" si="32"/>
        <v/>
      </c>
      <c r="S173" t="str">
        <f>""</f>
        <v/>
      </c>
      <c r="AL173" s="18" t="str">
        <f>IF(COUNTIF($A$2:A172, A172) = 1, A172, "")</f>
        <v/>
      </c>
    </row>
    <row r="174" spans="6:38" x14ac:dyDescent="0.2">
      <c r="F174" t="str">
        <f t="shared" si="27"/>
        <v/>
      </c>
      <c r="L174" s="7" t="str">
        <f t="shared" si="28"/>
        <v/>
      </c>
      <c r="N174" s="7" t="str">
        <f t="shared" si="29"/>
        <v/>
      </c>
      <c r="O174" t="str">
        <f t="shared" si="30"/>
        <v/>
      </c>
      <c r="P174" t="str">
        <f t="shared" si="31"/>
        <v/>
      </c>
      <c r="Q174" t="str">
        <f t="shared" si="32"/>
        <v/>
      </c>
      <c r="S174" t="str">
        <f>""</f>
        <v/>
      </c>
      <c r="AL174" s="18" t="str">
        <f>IF(COUNTIF($A$2:A173, A173) = 1, A173, "")</f>
        <v/>
      </c>
    </row>
    <row r="175" spans="6:38" x14ac:dyDescent="0.2">
      <c r="F175" t="str">
        <f t="shared" si="27"/>
        <v/>
      </c>
      <c r="L175" s="7" t="str">
        <f t="shared" si="28"/>
        <v/>
      </c>
      <c r="N175" s="7" t="str">
        <f t="shared" si="29"/>
        <v/>
      </c>
      <c r="O175" t="str">
        <f t="shared" si="30"/>
        <v/>
      </c>
      <c r="P175" t="str">
        <f t="shared" si="31"/>
        <v/>
      </c>
      <c r="Q175" t="str">
        <f t="shared" si="32"/>
        <v/>
      </c>
      <c r="S175" t="str">
        <f>""</f>
        <v/>
      </c>
      <c r="AL175" s="18" t="str">
        <f>IF(COUNTIF($A$2:A174, A174) = 1, A174, "")</f>
        <v/>
      </c>
    </row>
    <row r="176" spans="6:38" x14ac:dyDescent="0.2">
      <c r="F176" t="str">
        <f t="shared" si="27"/>
        <v/>
      </c>
      <c r="L176" s="7" t="str">
        <f t="shared" si="28"/>
        <v/>
      </c>
      <c r="N176" s="7" t="str">
        <f t="shared" si="29"/>
        <v/>
      </c>
      <c r="O176" t="str">
        <f t="shared" si="30"/>
        <v/>
      </c>
      <c r="P176" t="str">
        <f t="shared" si="31"/>
        <v/>
      </c>
      <c r="Q176" t="str">
        <f t="shared" si="32"/>
        <v/>
      </c>
      <c r="S176" t="str">
        <f>""</f>
        <v/>
      </c>
      <c r="AL176" s="18" t="str">
        <f>IF(COUNTIF($A$2:A175, A175) = 1, A175, "")</f>
        <v/>
      </c>
    </row>
    <row r="177" spans="6:38" x14ac:dyDescent="0.2">
      <c r="F177" t="str">
        <f t="shared" si="27"/>
        <v/>
      </c>
      <c r="L177" s="7" t="str">
        <f t="shared" si="28"/>
        <v/>
      </c>
      <c r="N177" s="7" t="str">
        <f t="shared" si="29"/>
        <v/>
      </c>
      <c r="O177" t="str">
        <f t="shared" si="30"/>
        <v/>
      </c>
      <c r="P177" t="str">
        <f t="shared" si="31"/>
        <v/>
      </c>
      <c r="Q177" t="str">
        <f t="shared" si="32"/>
        <v/>
      </c>
      <c r="S177" t="str">
        <f>""</f>
        <v/>
      </c>
      <c r="AL177" s="18" t="str">
        <f>IF(COUNTIF($A$2:A176, A176) = 1, A176, "")</f>
        <v/>
      </c>
    </row>
    <row r="178" spans="6:38" x14ac:dyDescent="0.2">
      <c r="F178" t="str">
        <f t="shared" si="27"/>
        <v/>
      </c>
      <c r="L178" s="7" t="str">
        <f t="shared" si="28"/>
        <v/>
      </c>
      <c r="N178" s="7" t="str">
        <f t="shared" si="29"/>
        <v/>
      </c>
      <c r="O178" t="str">
        <f t="shared" si="30"/>
        <v/>
      </c>
      <c r="P178" t="str">
        <f t="shared" si="31"/>
        <v/>
      </c>
      <c r="Q178" t="str">
        <f t="shared" si="32"/>
        <v/>
      </c>
      <c r="S178" t="str">
        <f>""</f>
        <v/>
      </c>
      <c r="AL178" s="18" t="str">
        <f>IF(COUNTIF($A$2:A177, A177) = 1, A177, "")</f>
        <v/>
      </c>
    </row>
    <row r="179" spans="6:38" x14ac:dyDescent="0.2">
      <c r="F179" t="str">
        <f t="shared" si="27"/>
        <v/>
      </c>
      <c r="L179" s="7" t="str">
        <f t="shared" si="28"/>
        <v/>
      </c>
      <c r="N179" s="7" t="str">
        <f t="shared" si="29"/>
        <v/>
      </c>
      <c r="O179" t="str">
        <f t="shared" si="30"/>
        <v/>
      </c>
      <c r="P179" t="str">
        <f t="shared" si="31"/>
        <v/>
      </c>
      <c r="Q179" t="str">
        <f t="shared" si="32"/>
        <v/>
      </c>
      <c r="S179" t="str">
        <f>""</f>
        <v/>
      </c>
      <c r="AL179" s="18" t="str">
        <f>IF(COUNTIF($A$2:A178, A178) = 1, A178, "")</f>
        <v/>
      </c>
    </row>
    <row r="180" spans="6:38" x14ac:dyDescent="0.2">
      <c r="F180" t="str">
        <f t="shared" si="27"/>
        <v/>
      </c>
      <c r="L180" s="7" t="str">
        <f t="shared" si="28"/>
        <v/>
      </c>
      <c r="N180" s="7" t="str">
        <f t="shared" si="29"/>
        <v/>
      </c>
      <c r="O180" t="str">
        <f t="shared" si="30"/>
        <v/>
      </c>
      <c r="P180" t="str">
        <f t="shared" si="31"/>
        <v/>
      </c>
      <c r="Q180" t="str">
        <f t="shared" si="32"/>
        <v/>
      </c>
      <c r="S180" t="str">
        <f>""</f>
        <v/>
      </c>
      <c r="AL180" s="18" t="str">
        <f>IF(COUNTIF($A$2:A179, A179) = 1, A179, "")</f>
        <v/>
      </c>
    </row>
    <row r="181" spans="6:38" x14ac:dyDescent="0.2">
      <c r="F181" t="str">
        <f t="shared" si="27"/>
        <v/>
      </c>
      <c r="L181" s="7" t="str">
        <f t="shared" si="28"/>
        <v/>
      </c>
      <c r="N181" s="7" t="str">
        <f t="shared" si="29"/>
        <v/>
      </c>
      <c r="O181" t="str">
        <f t="shared" si="30"/>
        <v/>
      </c>
      <c r="P181" t="str">
        <f t="shared" si="31"/>
        <v/>
      </c>
      <c r="Q181" t="str">
        <f t="shared" si="32"/>
        <v/>
      </c>
      <c r="S181" t="str">
        <f>""</f>
        <v/>
      </c>
      <c r="AL181" s="18" t="str">
        <f>IF(COUNTIF($A$2:A180, A180) = 1, A180, "")</f>
        <v/>
      </c>
    </row>
    <row r="182" spans="6:38" x14ac:dyDescent="0.2">
      <c r="F182" t="str">
        <f t="shared" si="27"/>
        <v/>
      </c>
      <c r="L182" s="7" t="str">
        <f t="shared" si="28"/>
        <v/>
      </c>
      <c r="N182" s="7" t="str">
        <f t="shared" si="29"/>
        <v/>
      </c>
      <c r="O182" t="str">
        <f t="shared" si="30"/>
        <v/>
      </c>
      <c r="P182" t="str">
        <f t="shared" si="31"/>
        <v/>
      </c>
      <c r="Q182" t="str">
        <f t="shared" si="32"/>
        <v/>
      </c>
      <c r="S182" t="str">
        <f>""</f>
        <v/>
      </c>
      <c r="AL182" s="18" t="str">
        <f>IF(COUNTIF($A$2:A181, A181) = 1, A181, "")</f>
        <v/>
      </c>
    </row>
    <row r="183" spans="6:38" x14ac:dyDescent="0.2">
      <c r="F183" t="str">
        <f t="shared" si="27"/>
        <v/>
      </c>
      <c r="L183" s="7" t="str">
        <f t="shared" si="28"/>
        <v/>
      </c>
      <c r="N183" s="7" t="str">
        <f t="shared" si="29"/>
        <v/>
      </c>
      <c r="O183" t="str">
        <f t="shared" si="30"/>
        <v/>
      </c>
      <c r="P183" t="str">
        <f t="shared" si="31"/>
        <v/>
      </c>
      <c r="Q183" t="str">
        <f t="shared" si="32"/>
        <v/>
      </c>
      <c r="S183" t="str">
        <f>""</f>
        <v/>
      </c>
      <c r="AL183" s="18" t="str">
        <f>IF(COUNTIF($A$2:A182, A182) = 1, A182, "")</f>
        <v/>
      </c>
    </row>
    <row r="184" spans="6:38" x14ac:dyDescent="0.2">
      <c r="F184" t="str">
        <f t="shared" si="27"/>
        <v/>
      </c>
      <c r="L184" s="7" t="str">
        <f t="shared" si="28"/>
        <v/>
      </c>
      <c r="N184" s="7" t="str">
        <f t="shared" si="29"/>
        <v/>
      </c>
      <c r="O184" t="str">
        <f t="shared" si="30"/>
        <v/>
      </c>
      <c r="P184" t="str">
        <f t="shared" si="31"/>
        <v/>
      </c>
      <c r="Q184" t="str">
        <f t="shared" si="32"/>
        <v/>
      </c>
      <c r="S184" t="str">
        <f>""</f>
        <v/>
      </c>
      <c r="AL184" s="18" t="str">
        <f>IF(COUNTIF($A$2:A183, A183) = 1, A183, "")</f>
        <v/>
      </c>
    </row>
    <row r="185" spans="6:38" x14ac:dyDescent="0.2">
      <c r="F185" t="str">
        <f t="shared" si="27"/>
        <v/>
      </c>
      <c r="L185" s="7" t="str">
        <f t="shared" si="28"/>
        <v/>
      </c>
      <c r="N185" s="7" t="str">
        <f t="shared" si="29"/>
        <v/>
      </c>
      <c r="O185" t="str">
        <f t="shared" si="30"/>
        <v/>
      </c>
      <c r="P185" t="str">
        <f t="shared" si="31"/>
        <v/>
      </c>
      <c r="Q185" t="str">
        <f t="shared" si="32"/>
        <v/>
      </c>
      <c r="S185" t="str">
        <f>""</f>
        <v/>
      </c>
      <c r="AL185" s="18" t="str">
        <f>IF(COUNTIF($A$2:A184, A184) = 1, A184, "")</f>
        <v/>
      </c>
    </row>
    <row r="186" spans="6:38" x14ac:dyDescent="0.2">
      <c r="F186" t="str">
        <f t="shared" si="27"/>
        <v/>
      </c>
      <c r="L186" s="7" t="str">
        <f t="shared" si="28"/>
        <v/>
      </c>
      <c r="N186" s="7" t="str">
        <f t="shared" si="29"/>
        <v/>
      </c>
      <c r="O186" t="str">
        <f t="shared" si="30"/>
        <v/>
      </c>
      <c r="P186" t="str">
        <f t="shared" si="31"/>
        <v/>
      </c>
      <c r="Q186" t="str">
        <f t="shared" si="32"/>
        <v/>
      </c>
      <c r="S186" t="str">
        <f>""</f>
        <v/>
      </c>
      <c r="AL186" s="18" t="str">
        <f>IF(COUNTIF($A$2:A185, A185) = 1, A185, "")</f>
        <v/>
      </c>
    </row>
    <row r="187" spans="6:38" x14ac:dyDescent="0.2">
      <c r="F187" t="str">
        <f t="shared" si="27"/>
        <v/>
      </c>
      <c r="L187" s="7" t="str">
        <f t="shared" si="28"/>
        <v/>
      </c>
      <c r="N187" s="7" t="str">
        <f t="shared" si="29"/>
        <v/>
      </c>
      <c r="O187" t="str">
        <f t="shared" si="30"/>
        <v/>
      </c>
      <c r="P187" t="str">
        <f t="shared" si="31"/>
        <v/>
      </c>
      <c r="Q187" t="str">
        <f t="shared" si="32"/>
        <v/>
      </c>
      <c r="S187" t="str">
        <f>""</f>
        <v/>
      </c>
      <c r="AL187" s="18" t="str">
        <f>IF(COUNTIF($A$2:A186, A186) = 1, A186, "")</f>
        <v/>
      </c>
    </row>
    <row r="188" spans="6:38" x14ac:dyDescent="0.2">
      <c r="F188" t="str">
        <f t="shared" si="27"/>
        <v/>
      </c>
      <c r="L188" s="7" t="str">
        <f t="shared" si="28"/>
        <v/>
      </c>
      <c r="N188" s="7" t="str">
        <f t="shared" si="29"/>
        <v/>
      </c>
      <c r="O188" t="str">
        <f t="shared" si="30"/>
        <v/>
      </c>
      <c r="P188" t="str">
        <f t="shared" si="31"/>
        <v/>
      </c>
      <c r="Q188" t="str">
        <f t="shared" si="32"/>
        <v/>
      </c>
      <c r="S188" t="str">
        <f>""</f>
        <v/>
      </c>
      <c r="AL188" s="18" t="str">
        <f>IF(COUNTIF($A$2:A187, A187) = 1, A187, "")</f>
        <v/>
      </c>
    </row>
    <row r="189" spans="6:38" x14ac:dyDescent="0.2">
      <c r="F189" t="str">
        <f t="shared" si="27"/>
        <v/>
      </c>
      <c r="L189" s="7" t="str">
        <f t="shared" si="28"/>
        <v/>
      </c>
      <c r="N189" s="7" t="str">
        <f t="shared" si="29"/>
        <v/>
      </c>
      <c r="O189" t="str">
        <f t="shared" si="30"/>
        <v/>
      </c>
      <c r="P189" t="str">
        <f t="shared" si="31"/>
        <v/>
      </c>
      <c r="Q189" t="str">
        <f t="shared" si="32"/>
        <v/>
      </c>
      <c r="S189" t="str">
        <f>""</f>
        <v/>
      </c>
      <c r="AL189" s="18" t="str">
        <f>IF(COUNTIF($A$2:A188, A188) = 1, A188, "")</f>
        <v/>
      </c>
    </row>
    <row r="190" spans="6:38" x14ac:dyDescent="0.2">
      <c r="F190" t="str">
        <f t="shared" si="27"/>
        <v/>
      </c>
      <c r="L190" s="7" t="str">
        <f t="shared" si="28"/>
        <v/>
      </c>
      <c r="N190" s="7" t="str">
        <f t="shared" si="29"/>
        <v/>
      </c>
      <c r="O190" t="str">
        <f t="shared" si="30"/>
        <v/>
      </c>
      <c r="P190" t="str">
        <f t="shared" si="31"/>
        <v/>
      </c>
      <c r="Q190" t="str">
        <f t="shared" si="32"/>
        <v/>
      </c>
      <c r="S190" t="str">
        <f>""</f>
        <v/>
      </c>
      <c r="AL190" s="18" t="str">
        <f>IF(COUNTIF($A$2:A189, A189) = 1, A189, "")</f>
        <v/>
      </c>
    </row>
    <row r="191" spans="6:38" x14ac:dyDescent="0.2">
      <c r="F191" t="str">
        <f t="shared" si="27"/>
        <v/>
      </c>
      <c r="L191" s="7" t="str">
        <f t="shared" si="28"/>
        <v/>
      </c>
      <c r="N191" s="7" t="str">
        <f t="shared" si="29"/>
        <v/>
      </c>
      <c r="O191" t="str">
        <f t="shared" si="30"/>
        <v/>
      </c>
      <c r="P191" t="str">
        <f t="shared" si="31"/>
        <v/>
      </c>
      <c r="Q191" t="str">
        <f t="shared" si="32"/>
        <v/>
      </c>
      <c r="S191" t="str">
        <f>""</f>
        <v/>
      </c>
      <c r="AL191" s="18" t="str">
        <f>IF(COUNTIF($A$2:A190, A190) = 1, A190, "")</f>
        <v/>
      </c>
    </row>
    <row r="192" spans="6:38" x14ac:dyDescent="0.2">
      <c r="F192" t="str">
        <f t="shared" si="27"/>
        <v/>
      </c>
      <c r="L192" s="7" t="str">
        <f t="shared" si="28"/>
        <v/>
      </c>
      <c r="N192" s="7" t="str">
        <f t="shared" si="29"/>
        <v/>
      </c>
      <c r="O192" t="str">
        <f t="shared" si="30"/>
        <v/>
      </c>
      <c r="P192" t="str">
        <f t="shared" si="31"/>
        <v/>
      </c>
      <c r="Q192" t="str">
        <f t="shared" si="32"/>
        <v/>
      </c>
      <c r="S192" t="str">
        <f>""</f>
        <v/>
      </c>
      <c r="AL192" s="18" t="str">
        <f>IF(COUNTIF($A$2:A191, A191) = 1, A191, "")</f>
        <v/>
      </c>
    </row>
    <row r="193" spans="6:38" x14ac:dyDescent="0.2">
      <c r="F193" t="str">
        <f t="shared" si="27"/>
        <v/>
      </c>
      <c r="L193" s="7" t="str">
        <f t="shared" si="28"/>
        <v/>
      </c>
      <c r="N193" s="7" t="str">
        <f t="shared" si="29"/>
        <v/>
      </c>
      <c r="O193" t="str">
        <f t="shared" si="30"/>
        <v/>
      </c>
      <c r="P193" t="str">
        <f t="shared" si="31"/>
        <v/>
      </c>
      <c r="Q193" t="str">
        <f t="shared" si="32"/>
        <v/>
      </c>
      <c r="S193" t="str">
        <f>""</f>
        <v/>
      </c>
      <c r="AL193" s="18" t="str">
        <f>IF(COUNTIF($A$2:A192, A192) = 1, A192, "")</f>
        <v/>
      </c>
    </row>
    <row r="194" spans="6:38" x14ac:dyDescent="0.2">
      <c r="F194" t="str">
        <f t="shared" si="27"/>
        <v/>
      </c>
      <c r="L194" s="7" t="str">
        <f t="shared" si="28"/>
        <v/>
      </c>
      <c r="N194" s="7" t="str">
        <f t="shared" si="29"/>
        <v/>
      </c>
      <c r="O194" t="str">
        <f t="shared" si="30"/>
        <v/>
      </c>
      <c r="P194" t="str">
        <f t="shared" si="31"/>
        <v/>
      </c>
      <c r="Q194" t="str">
        <f t="shared" si="32"/>
        <v/>
      </c>
      <c r="S194" t="str">
        <f>""</f>
        <v/>
      </c>
      <c r="AL194" s="18" t="str">
        <f>IF(COUNTIF($A$2:A193, A193) = 1, A193, "")</f>
        <v/>
      </c>
    </row>
    <row r="195" spans="6:38" x14ac:dyDescent="0.2">
      <c r="F195" t="str">
        <f t="shared" si="27"/>
        <v/>
      </c>
      <c r="L195" s="7" t="str">
        <f t="shared" si="28"/>
        <v/>
      </c>
      <c r="N195" s="7" t="str">
        <f t="shared" si="29"/>
        <v/>
      </c>
      <c r="O195" t="str">
        <f t="shared" si="30"/>
        <v/>
      </c>
      <c r="P195" t="str">
        <f t="shared" si="31"/>
        <v/>
      </c>
      <c r="Q195" t="str">
        <f t="shared" si="32"/>
        <v/>
      </c>
      <c r="S195" t="str">
        <f>""</f>
        <v/>
      </c>
      <c r="AL195" s="18" t="str">
        <f>IF(COUNTIF($A$2:A194, A194) = 1, A194, "")</f>
        <v/>
      </c>
    </row>
    <row r="196" spans="6:38" x14ac:dyDescent="0.2">
      <c r="F196" t="str">
        <f t="shared" si="27"/>
        <v/>
      </c>
      <c r="L196" s="7" t="str">
        <f t="shared" si="28"/>
        <v/>
      </c>
      <c r="N196" s="7" t="str">
        <f t="shared" si="29"/>
        <v/>
      </c>
      <c r="O196" t="str">
        <f t="shared" si="30"/>
        <v/>
      </c>
      <c r="P196" t="str">
        <f t="shared" si="31"/>
        <v/>
      </c>
      <c r="Q196" t="str">
        <f t="shared" si="32"/>
        <v/>
      </c>
      <c r="S196" t="str">
        <f>""</f>
        <v/>
      </c>
      <c r="AL196" s="18" t="str">
        <f>IF(COUNTIF($A$2:A195, A195) = 1, A195, "")</f>
        <v/>
      </c>
    </row>
    <row r="197" spans="6:38" x14ac:dyDescent="0.2">
      <c r="F197" t="str">
        <f t="shared" si="27"/>
        <v/>
      </c>
      <c r="L197" s="7" t="str">
        <f t="shared" si="28"/>
        <v/>
      </c>
      <c r="N197" s="7" t="str">
        <f t="shared" si="29"/>
        <v/>
      </c>
      <c r="O197" t="str">
        <f t="shared" si="30"/>
        <v/>
      </c>
      <c r="P197" t="str">
        <f t="shared" si="31"/>
        <v/>
      </c>
      <c r="Q197" t="str">
        <f t="shared" si="32"/>
        <v/>
      </c>
      <c r="S197" t="str">
        <f>""</f>
        <v/>
      </c>
      <c r="AL197" s="18" t="str">
        <f>IF(COUNTIF($A$2:A196, A196) = 1, A196, "")</f>
        <v/>
      </c>
    </row>
    <row r="198" spans="6:38" x14ac:dyDescent="0.2">
      <c r="F198" t="str">
        <f t="shared" si="27"/>
        <v/>
      </c>
      <c r="L198" s="7" t="str">
        <f t="shared" si="28"/>
        <v/>
      </c>
      <c r="N198" s="7" t="str">
        <f t="shared" si="29"/>
        <v/>
      </c>
      <c r="O198" t="str">
        <f t="shared" si="30"/>
        <v/>
      </c>
      <c r="P198" t="str">
        <f t="shared" si="31"/>
        <v/>
      </c>
      <c r="Q198" t="str">
        <f t="shared" si="32"/>
        <v/>
      </c>
      <c r="S198" t="str">
        <f>""</f>
        <v/>
      </c>
      <c r="AL198" s="18" t="str">
        <f>IF(COUNTIF($A$2:A197, A197) = 1, A197, "")</f>
        <v/>
      </c>
    </row>
    <row r="199" spans="6:38" x14ac:dyDescent="0.2">
      <c r="F199" t="str">
        <f t="shared" si="27"/>
        <v/>
      </c>
      <c r="L199" s="7" t="str">
        <f t="shared" si="28"/>
        <v/>
      </c>
      <c r="N199" s="7" t="str">
        <f t="shared" si="29"/>
        <v/>
      </c>
      <c r="O199" t="str">
        <f t="shared" si="30"/>
        <v/>
      </c>
      <c r="P199" t="str">
        <f t="shared" si="31"/>
        <v/>
      </c>
      <c r="Q199" t="str">
        <f t="shared" si="32"/>
        <v/>
      </c>
      <c r="S199" t="str">
        <f>""</f>
        <v/>
      </c>
      <c r="AL199" s="18" t="str">
        <f>IF(COUNTIF($A$2:A198, A198) = 1, A198, "")</f>
        <v/>
      </c>
    </row>
    <row r="200" spans="6:38" x14ac:dyDescent="0.2">
      <c r="F200" t="str">
        <f t="shared" si="27"/>
        <v/>
      </c>
      <c r="L200" s="7" t="str">
        <f t="shared" si="28"/>
        <v/>
      </c>
      <c r="N200" s="7" t="str">
        <f t="shared" si="29"/>
        <v/>
      </c>
      <c r="O200" t="str">
        <f t="shared" si="30"/>
        <v/>
      </c>
      <c r="P200" t="str">
        <f t="shared" si="31"/>
        <v/>
      </c>
      <c r="Q200" t="str">
        <f t="shared" si="32"/>
        <v/>
      </c>
      <c r="S200" t="str">
        <f>""</f>
        <v/>
      </c>
      <c r="AL200" s="18" t="str">
        <f>IF(COUNTIF($A$2:A199, A199) = 1, A199, "")</f>
        <v/>
      </c>
    </row>
    <row r="201" spans="6:38" x14ac:dyDescent="0.2">
      <c r="F201" t="str">
        <f t="shared" si="27"/>
        <v/>
      </c>
      <c r="L201" s="7" t="str">
        <f t="shared" si="28"/>
        <v/>
      </c>
      <c r="N201" s="7" t="str">
        <f t="shared" si="29"/>
        <v/>
      </c>
      <c r="O201" t="str">
        <f t="shared" si="30"/>
        <v/>
      </c>
      <c r="P201" t="str">
        <f t="shared" si="31"/>
        <v/>
      </c>
      <c r="Q201" t="str">
        <f t="shared" si="32"/>
        <v/>
      </c>
      <c r="S201" t="str">
        <f>""</f>
        <v/>
      </c>
      <c r="AL201" s="18" t="str">
        <f>IF(COUNTIF($A$2:A200, A200) = 1, A200, "")</f>
        <v/>
      </c>
    </row>
    <row r="202" spans="6:38" x14ac:dyDescent="0.2">
      <c r="F202" t="str">
        <f t="shared" si="27"/>
        <v/>
      </c>
      <c r="L202" s="7" t="str">
        <f t="shared" si="28"/>
        <v/>
      </c>
      <c r="N202" s="7" t="str">
        <f t="shared" si="29"/>
        <v/>
      </c>
      <c r="O202" t="str">
        <f t="shared" si="30"/>
        <v/>
      </c>
      <c r="P202" t="str">
        <f t="shared" si="31"/>
        <v/>
      </c>
      <c r="Q202" t="str">
        <f t="shared" si="32"/>
        <v/>
      </c>
      <c r="S202" t="str">
        <f>""</f>
        <v/>
      </c>
      <c r="AL202" s="18" t="str">
        <f>IF(COUNTIF($A$2:A201, A201) = 1, A201, "")</f>
        <v/>
      </c>
    </row>
    <row r="203" spans="6:38" x14ac:dyDescent="0.2">
      <c r="F203" t="str">
        <f t="shared" si="27"/>
        <v/>
      </c>
      <c r="L203" s="7" t="str">
        <f t="shared" si="28"/>
        <v/>
      </c>
      <c r="N203" s="7" t="str">
        <f t="shared" si="29"/>
        <v/>
      </c>
      <c r="O203" t="str">
        <f t="shared" si="30"/>
        <v/>
      </c>
      <c r="P203" t="str">
        <f t="shared" si="31"/>
        <v/>
      </c>
      <c r="Q203" t="str">
        <f t="shared" si="32"/>
        <v/>
      </c>
      <c r="S203" t="str">
        <f>""</f>
        <v/>
      </c>
      <c r="AL203" s="18" t="str">
        <f>IF(COUNTIF($A$2:A202, A202) = 1, A202, "")</f>
        <v/>
      </c>
    </row>
    <row r="204" spans="6:38" x14ac:dyDescent="0.2">
      <c r="F204" t="str">
        <f t="shared" si="27"/>
        <v/>
      </c>
      <c r="L204" s="7" t="str">
        <f t="shared" si="28"/>
        <v/>
      </c>
      <c r="N204" s="7" t="str">
        <f t="shared" si="29"/>
        <v/>
      </c>
      <c r="O204" t="str">
        <f t="shared" si="30"/>
        <v/>
      </c>
      <c r="P204" t="str">
        <f t="shared" si="31"/>
        <v/>
      </c>
      <c r="Q204" t="str">
        <f t="shared" si="32"/>
        <v/>
      </c>
      <c r="S204" t="str">
        <f>""</f>
        <v/>
      </c>
      <c r="AL204" s="18" t="str">
        <f>IF(COUNTIF($A$2:A203, A203) = 1, A203, "")</f>
        <v/>
      </c>
    </row>
    <row r="205" spans="6:38" x14ac:dyDescent="0.2">
      <c r="F205" t="str">
        <f t="shared" si="27"/>
        <v/>
      </c>
      <c r="L205" s="7" t="str">
        <f t="shared" si="28"/>
        <v/>
      </c>
      <c r="N205" s="7" t="str">
        <f t="shared" si="29"/>
        <v/>
      </c>
      <c r="O205" t="str">
        <f t="shared" si="30"/>
        <v/>
      </c>
      <c r="P205" t="str">
        <f t="shared" si="31"/>
        <v/>
      </c>
      <c r="Q205" t="str">
        <f t="shared" si="32"/>
        <v/>
      </c>
      <c r="S205" t="str">
        <f>""</f>
        <v/>
      </c>
      <c r="AL205" s="18" t="str">
        <f>IF(COUNTIF($A$2:A204, A204) = 1, A204, "")</f>
        <v/>
      </c>
    </row>
    <row r="206" spans="6:38" x14ac:dyDescent="0.2">
      <c r="F206" t="str">
        <f t="shared" si="27"/>
        <v/>
      </c>
      <c r="L206" s="7" t="str">
        <f t="shared" si="28"/>
        <v/>
      </c>
      <c r="N206" s="7" t="str">
        <f t="shared" si="29"/>
        <v/>
      </c>
      <c r="O206" t="str">
        <f t="shared" si="30"/>
        <v/>
      </c>
      <c r="P206" t="str">
        <f t="shared" si="31"/>
        <v/>
      </c>
      <c r="Q206" t="str">
        <f t="shared" si="32"/>
        <v/>
      </c>
      <c r="S206" t="str">
        <f>""</f>
        <v/>
      </c>
      <c r="AL206" s="18" t="str">
        <f>IF(COUNTIF($A$2:A205, A205) = 1, A205, "")</f>
        <v/>
      </c>
    </row>
    <row r="207" spans="6:38" x14ac:dyDescent="0.2">
      <c r="F207" t="str">
        <f t="shared" si="27"/>
        <v/>
      </c>
      <c r="L207" s="7" t="str">
        <f t="shared" si="28"/>
        <v/>
      </c>
      <c r="N207" s="7" t="str">
        <f t="shared" si="29"/>
        <v/>
      </c>
      <c r="O207" t="str">
        <f t="shared" si="30"/>
        <v/>
      </c>
      <c r="P207" t="str">
        <f t="shared" si="31"/>
        <v/>
      </c>
      <c r="Q207" t="str">
        <f t="shared" si="32"/>
        <v/>
      </c>
      <c r="S207" t="str">
        <f>""</f>
        <v/>
      </c>
      <c r="AL207" s="18" t="str">
        <f>IF(COUNTIF($A$2:A206, A206) = 1, A206, "")</f>
        <v/>
      </c>
    </row>
    <row r="208" spans="6:38" x14ac:dyDescent="0.2">
      <c r="F208" t="str">
        <f t="shared" ref="F208:F271" si="33">IF(OR(O208="", P208=""), "", SUM(IF((O208&lt;&gt;"None")*(O208&lt;&gt;""),LEN(O208)-LEN(SUBSTITUTE(O208,",",""))+1,0)) + SUM(IF((P208&lt;&gt;"None")*(P208&lt;&gt;""),LEN(P208)-LEN(SUBSTITUTE(P208,",",""))+1,0)))</f>
        <v/>
      </c>
      <c r="L208" s="7" t="str">
        <f t="shared" ref="L208:L271" si="34">IF(LEN(E208)=0, "", IFERROR(IF(E208&gt;=0, K208 * (1 + E208/100) - K208, K208 / (ABS(E208)/100))+K208, ""))</f>
        <v/>
      </c>
      <c r="N208" s="7" t="str">
        <f t="shared" ref="N208:N271" si="35">IF(M208="Yes",L208-K208,IF(M208="No",-K208,""))</f>
        <v/>
      </c>
      <c r="O208" t="str">
        <f t="shared" ref="O208:O271" si="36">IF(AND(G208="No",H208="No"), "None", "")</f>
        <v/>
      </c>
      <c r="P208" t="str">
        <f t="shared" ref="P208:P271" si="37">IF(I208="No", "None", "")</f>
        <v/>
      </c>
      <c r="Q208" t="str">
        <f t="shared" ref="Q208:Q271" si="38">IF(AND(D208="Straight", M208 = "No"),IF(O208="None",P208,IF(P208="None",O208) ),"")</f>
        <v/>
      </c>
      <c r="S208" t="str">
        <f>""</f>
        <v/>
      </c>
      <c r="AL208" s="18" t="str">
        <f>IF(COUNTIF($A$2:A207, A207) = 1, A207, "")</f>
        <v/>
      </c>
    </row>
    <row r="209" spans="6:38" x14ac:dyDescent="0.2">
      <c r="F209" t="str">
        <f t="shared" si="33"/>
        <v/>
      </c>
      <c r="L209" s="7" t="str">
        <f t="shared" si="34"/>
        <v/>
      </c>
      <c r="N209" s="7" t="str">
        <f t="shared" si="35"/>
        <v/>
      </c>
      <c r="O209" t="str">
        <f t="shared" si="36"/>
        <v/>
      </c>
      <c r="P209" t="str">
        <f t="shared" si="37"/>
        <v/>
      </c>
      <c r="Q209" t="str">
        <f t="shared" si="38"/>
        <v/>
      </c>
      <c r="S209" t="str">
        <f>""</f>
        <v/>
      </c>
      <c r="AL209" s="18" t="str">
        <f>IF(COUNTIF($A$2:A208, A208) = 1, A208, "")</f>
        <v/>
      </c>
    </row>
    <row r="210" spans="6:38" x14ac:dyDescent="0.2">
      <c r="F210" t="str">
        <f t="shared" si="33"/>
        <v/>
      </c>
      <c r="L210" s="7" t="str">
        <f t="shared" si="34"/>
        <v/>
      </c>
      <c r="N210" s="7" t="str">
        <f t="shared" si="35"/>
        <v/>
      </c>
      <c r="O210" t="str">
        <f t="shared" si="36"/>
        <v/>
      </c>
      <c r="P210" t="str">
        <f t="shared" si="37"/>
        <v/>
      </c>
      <c r="Q210" t="str">
        <f t="shared" si="38"/>
        <v/>
      </c>
      <c r="S210" t="str">
        <f>""</f>
        <v/>
      </c>
      <c r="AL210" s="18" t="str">
        <f>IF(COUNTIF($A$2:A209, A209) = 1, A209, "")</f>
        <v/>
      </c>
    </row>
    <row r="211" spans="6:38" x14ac:dyDescent="0.2">
      <c r="F211" t="str">
        <f t="shared" si="33"/>
        <v/>
      </c>
      <c r="L211" s="7" t="str">
        <f t="shared" si="34"/>
        <v/>
      </c>
      <c r="N211" s="7" t="str">
        <f t="shared" si="35"/>
        <v/>
      </c>
      <c r="O211" t="str">
        <f t="shared" si="36"/>
        <v/>
      </c>
      <c r="P211" t="str">
        <f t="shared" si="37"/>
        <v/>
      </c>
      <c r="Q211" t="str">
        <f t="shared" si="38"/>
        <v/>
      </c>
      <c r="S211" t="str">
        <f>""</f>
        <v/>
      </c>
      <c r="AL211" s="18" t="str">
        <f>IF(COUNTIF($A$2:A210, A210) = 1, A210, "")</f>
        <v/>
      </c>
    </row>
    <row r="212" spans="6:38" x14ac:dyDescent="0.2">
      <c r="F212" t="str">
        <f t="shared" si="33"/>
        <v/>
      </c>
      <c r="L212" s="7" t="str">
        <f t="shared" si="34"/>
        <v/>
      </c>
      <c r="N212" s="7" t="str">
        <f t="shared" si="35"/>
        <v/>
      </c>
      <c r="O212" t="str">
        <f t="shared" si="36"/>
        <v/>
      </c>
      <c r="P212" t="str">
        <f t="shared" si="37"/>
        <v/>
      </c>
      <c r="Q212" t="str">
        <f t="shared" si="38"/>
        <v/>
      </c>
      <c r="S212" t="str">
        <f>""</f>
        <v/>
      </c>
      <c r="AL212" s="18" t="str">
        <f>IF(COUNTIF($A$2:A211, A211) = 1, A211, "")</f>
        <v/>
      </c>
    </row>
    <row r="213" spans="6:38" x14ac:dyDescent="0.2">
      <c r="F213" t="str">
        <f t="shared" si="33"/>
        <v/>
      </c>
      <c r="L213" s="7" t="str">
        <f t="shared" si="34"/>
        <v/>
      </c>
      <c r="N213" s="7" t="str">
        <f t="shared" si="35"/>
        <v/>
      </c>
      <c r="O213" t="str">
        <f t="shared" si="36"/>
        <v/>
      </c>
      <c r="P213" t="str">
        <f t="shared" si="37"/>
        <v/>
      </c>
      <c r="Q213" t="str">
        <f t="shared" si="38"/>
        <v/>
      </c>
      <c r="S213" t="str">
        <f>""</f>
        <v/>
      </c>
      <c r="AL213" s="18" t="str">
        <f>IF(COUNTIF($A$2:A212, A212) = 1, A212, "")</f>
        <v/>
      </c>
    </row>
    <row r="214" spans="6:38" x14ac:dyDescent="0.2">
      <c r="F214" t="str">
        <f t="shared" si="33"/>
        <v/>
      </c>
      <c r="L214" s="7" t="str">
        <f t="shared" si="34"/>
        <v/>
      </c>
      <c r="N214" s="7" t="str">
        <f t="shared" si="35"/>
        <v/>
      </c>
      <c r="O214" t="str">
        <f t="shared" si="36"/>
        <v/>
      </c>
      <c r="P214" t="str">
        <f t="shared" si="37"/>
        <v/>
      </c>
      <c r="Q214" t="str">
        <f t="shared" si="38"/>
        <v/>
      </c>
      <c r="S214" t="str">
        <f>""</f>
        <v/>
      </c>
      <c r="AL214" s="18" t="str">
        <f>IF(COUNTIF($A$2:A213, A213) = 1, A213, "")</f>
        <v/>
      </c>
    </row>
    <row r="215" spans="6:38" x14ac:dyDescent="0.2">
      <c r="F215" t="str">
        <f t="shared" si="33"/>
        <v/>
      </c>
      <c r="L215" s="7" t="str">
        <f t="shared" si="34"/>
        <v/>
      </c>
      <c r="N215" s="7" t="str">
        <f t="shared" si="35"/>
        <v/>
      </c>
      <c r="O215" t="str">
        <f t="shared" si="36"/>
        <v/>
      </c>
      <c r="P215" t="str">
        <f t="shared" si="37"/>
        <v/>
      </c>
      <c r="Q215" t="str">
        <f t="shared" si="38"/>
        <v/>
      </c>
      <c r="S215" t="str">
        <f>""</f>
        <v/>
      </c>
      <c r="AL215" s="18" t="str">
        <f>IF(COUNTIF($A$2:A214, A214) = 1, A214, "")</f>
        <v/>
      </c>
    </row>
    <row r="216" spans="6:38" x14ac:dyDescent="0.2">
      <c r="F216" t="str">
        <f t="shared" si="33"/>
        <v/>
      </c>
      <c r="L216" s="7" t="str">
        <f t="shared" si="34"/>
        <v/>
      </c>
      <c r="N216" s="7" t="str">
        <f t="shared" si="35"/>
        <v/>
      </c>
      <c r="O216" t="str">
        <f t="shared" si="36"/>
        <v/>
      </c>
      <c r="P216" t="str">
        <f t="shared" si="37"/>
        <v/>
      </c>
      <c r="Q216" t="str">
        <f t="shared" si="38"/>
        <v/>
      </c>
      <c r="S216" t="str">
        <f>""</f>
        <v/>
      </c>
      <c r="AL216" s="18" t="str">
        <f>IF(COUNTIF($A$2:A215, A215) = 1, A215, "")</f>
        <v/>
      </c>
    </row>
    <row r="217" spans="6:38" x14ac:dyDescent="0.2">
      <c r="F217" t="str">
        <f t="shared" si="33"/>
        <v/>
      </c>
      <c r="L217" s="7" t="str">
        <f t="shared" si="34"/>
        <v/>
      </c>
      <c r="N217" s="7" t="str">
        <f t="shared" si="35"/>
        <v/>
      </c>
      <c r="O217" t="str">
        <f t="shared" si="36"/>
        <v/>
      </c>
      <c r="P217" t="str">
        <f t="shared" si="37"/>
        <v/>
      </c>
      <c r="Q217" t="str">
        <f t="shared" si="38"/>
        <v/>
      </c>
      <c r="S217" t="str">
        <f>""</f>
        <v/>
      </c>
      <c r="AL217" s="18" t="str">
        <f>IF(COUNTIF($A$2:A216, A216) = 1, A216, "")</f>
        <v/>
      </c>
    </row>
    <row r="218" spans="6:38" x14ac:dyDescent="0.2">
      <c r="F218" t="str">
        <f t="shared" si="33"/>
        <v/>
      </c>
      <c r="L218" s="7" t="str">
        <f t="shared" si="34"/>
        <v/>
      </c>
      <c r="N218" s="7" t="str">
        <f t="shared" si="35"/>
        <v/>
      </c>
      <c r="O218" t="str">
        <f t="shared" si="36"/>
        <v/>
      </c>
      <c r="P218" t="str">
        <f t="shared" si="37"/>
        <v/>
      </c>
      <c r="Q218" t="str">
        <f t="shared" si="38"/>
        <v/>
      </c>
      <c r="S218" t="str">
        <f>""</f>
        <v/>
      </c>
      <c r="AL218" s="18" t="str">
        <f>IF(COUNTIF($A$2:A217, A217) = 1, A217, "")</f>
        <v/>
      </c>
    </row>
    <row r="219" spans="6:38" x14ac:dyDescent="0.2">
      <c r="F219" t="str">
        <f t="shared" si="33"/>
        <v/>
      </c>
      <c r="L219" s="7" t="str">
        <f t="shared" si="34"/>
        <v/>
      </c>
      <c r="N219" s="7" t="str">
        <f t="shared" si="35"/>
        <v/>
      </c>
      <c r="O219" t="str">
        <f t="shared" si="36"/>
        <v/>
      </c>
      <c r="P219" t="str">
        <f t="shared" si="37"/>
        <v/>
      </c>
      <c r="Q219" t="str">
        <f t="shared" si="38"/>
        <v/>
      </c>
      <c r="S219" t="str">
        <f>""</f>
        <v/>
      </c>
      <c r="AL219" s="18" t="str">
        <f>IF(COUNTIF($A$2:A218, A218) = 1, A218, "")</f>
        <v/>
      </c>
    </row>
    <row r="220" spans="6:38" x14ac:dyDescent="0.2">
      <c r="F220" t="str">
        <f t="shared" si="33"/>
        <v/>
      </c>
      <c r="L220" s="7" t="str">
        <f t="shared" si="34"/>
        <v/>
      </c>
      <c r="N220" s="7" t="str">
        <f t="shared" si="35"/>
        <v/>
      </c>
      <c r="O220" t="str">
        <f t="shared" si="36"/>
        <v/>
      </c>
      <c r="P220" t="str">
        <f t="shared" si="37"/>
        <v/>
      </c>
      <c r="Q220" t="str">
        <f t="shared" si="38"/>
        <v/>
      </c>
      <c r="S220" t="str">
        <f>""</f>
        <v/>
      </c>
      <c r="AL220" s="18" t="str">
        <f>IF(COUNTIF($A$2:A219, A219) = 1, A219, "")</f>
        <v/>
      </c>
    </row>
    <row r="221" spans="6:38" x14ac:dyDescent="0.2">
      <c r="F221" t="str">
        <f t="shared" si="33"/>
        <v/>
      </c>
      <c r="L221" s="7" t="str">
        <f t="shared" si="34"/>
        <v/>
      </c>
      <c r="N221" s="7" t="str">
        <f t="shared" si="35"/>
        <v/>
      </c>
      <c r="O221" t="str">
        <f t="shared" si="36"/>
        <v/>
      </c>
      <c r="P221" t="str">
        <f t="shared" si="37"/>
        <v/>
      </c>
      <c r="Q221" t="str">
        <f t="shared" si="38"/>
        <v/>
      </c>
      <c r="S221" t="str">
        <f>""</f>
        <v/>
      </c>
      <c r="AL221" s="18" t="str">
        <f>IF(COUNTIF($A$2:A220, A220) = 1, A220, "")</f>
        <v/>
      </c>
    </row>
    <row r="222" spans="6:38" x14ac:dyDescent="0.2">
      <c r="F222" t="str">
        <f t="shared" si="33"/>
        <v/>
      </c>
      <c r="L222" s="7" t="str">
        <f t="shared" si="34"/>
        <v/>
      </c>
      <c r="N222" s="7" t="str">
        <f t="shared" si="35"/>
        <v/>
      </c>
      <c r="O222" t="str">
        <f t="shared" si="36"/>
        <v/>
      </c>
      <c r="P222" t="str">
        <f t="shared" si="37"/>
        <v/>
      </c>
      <c r="Q222" t="str">
        <f t="shared" si="38"/>
        <v/>
      </c>
      <c r="S222" t="str">
        <f>""</f>
        <v/>
      </c>
      <c r="AL222" s="18" t="str">
        <f>IF(COUNTIF($A$2:A221, A221) = 1, A221, "")</f>
        <v/>
      </c>
    </row>
    <row r="223" spans="6:38" x14ac:dyDescent="0.2">
      <c r="F223" t="str">
        <f t="shared" si="33"/>
        <v/>
      </c>
      <c r="L223" s="7" t="str">
        <f t="shared" si="34"/>
        <v/>
      </c>
      <c r="N223" s="7" t="str">
        <f t="shared" si="35"/>
        <v/>
      </c>
      <c r="O223" t="str">
        <f t="shared" si="36"/>
        <v/>
      </c>
      <c r="P223" t="str">
        <f t="shared" si="37"/>
        <v/>
      </c>
      <c r="Q223" t="str">
        <f t="shared" si="38"/>
        <v/>
      </c>
      <c r="S223" t="str">
        <f>""</f>
        <v/>
      </c>
      <c r="AL223" s="18" t="str">
        <f>IF(COUNTIF($A$2:A222, A222) = 1, A222, "")</f>
        <v/>
      </c>
    </row>
    <row r="224" spans="6:38" x14ac:dyDescent="0.2">
      <c r="F224" t="str">
        <f t="shared" si="33"/>
        <v/>
      </c>
      <c r="L224" s="7" t="str">
        <f t="shared" si="34"/>
        <v/>
      </c>
      <c r="N224" s="7" t="str">
        <f t="shared" si="35"/>
        <v/>
      </c>
      <c r="O224" t="str">
        <f t="shared" si="36"/>
        <v/>
      </c>
      <c r="P224" t="str">
        <f t="shared" si="37"/>
        <v/>
      </c>
      <c r="Q224" t="str">
        <f t="shared" si="38"/>
        <v/>
      </c>
      <c r="S224" t="str">
        <f>""</f>
        <v/>
      </c>
      <c r="AL224" s="18" t="str">
        <f>IF(COUNTIF($A$2:A223, A223) = 1, A223, "")</f>
        <v/>
      </c>
    </row>
    <row r="225" spans="6:38" x14ac:dyDescent="0.2">
      <c r="F225" t="str">
        <f t="shared" si="33"/>
        <v/>
      </c>
      <c r="L225" s="7" t="str">
        <f t="shared" si="34"/>
        <v/>
      </c>
      <c r="N225" s="7" t="str">
        <f t="shared" si="35"/>
        <v/>
      </c>
      <c r="O225" t="str">
        <f t="shared" si="36"/>
        <v/>
      </c>
      <c r="P225" t="str">
        <f t="shared" si="37"/>
        <v/>
      </c>
      <c r="Q225" t="str">
        <f t="shared" si="38"/>
        <v/>
      </c>
      <c r="S225" t="str">
        <f>""</f>
        <v/>
      </c>
      <c r="AL225" s="18" t="str">
        <f>IF(COUNTIF($A$2:A224, A224) = 1, A224, "")</f>
        <v/>
      </c>
    </row>
    <row r="226" spans="6:38" x14ac:dyDescent="0.2">
      <c r="F226" t="str">
        <f t="shared" si="33"/>
        <v/>
      </c>
      <c r="L226" s="7" t="str">
        <f t="shared" si="34"/>
        <v/>
      </c>
      <c r="N226" s="7" t="str">
        <f t="shared" si="35"/>
        <v/>
      </c>
      <c r="O226" t="str">
        <f t="shared" si="36"/>
        <v/>
      </c>
      <c r="P226" t="str">
        <f t="shared" si="37"/>
        <v/>
      </c>
      <c r="Q226" t="str">
        <f t="shared" si="38"/>
        <v/>
      </c>
      <c r="S226" t="str">
        <f>""</f>
        <v/>
      </c>
      <c r="AL226" s="18" t="str">
        <f>IF(COUNTIF($A$2:A225, A225) = 1, A225, "")</f>
        <v/>
      </c>
    </row>
    <row r="227" spans="6:38" x14ac:dyDescent="0.2">
      <c r="F227" t="str">
        <f t="shared" si="33"/>
        <v/>
      </c>
      <c r="L227" s="7" t="str">
        <f t="shared" si="34"/>
        <v/>
      </c>
      <c r="N227" s="7" t="str">
        <f t="shared" si="35"/>
        <v/>
      </c>
      <c r="O227" t="str">
        <f t="shared" si="36"/>
        <v/>
      </c>
      <c r="P227" t="str">
        <f t="shared" si="37"/>
        <v/>
      </c>
      <c r="Q227" t="str">
        <f t="shared" si="38"/>
        <v/>
      </c>
      <c r="S227" t="str">
        <f>""</f>
        <v/>
      </c>
      <c r="AL227" s="18" t="str">
        <f>IF(COUNTIF($A$2:A226, A226) = 1, A226, "")</f>
        <v/>
      </c>
    </row>
    <row r="228" spans="6:38" x14ac:dyDescent="0.2">
      <c r="F228" t="str">
        <f t="shared" si="33"/>
        <v/>
      </c>
      <c r="L228" s="7" t="str">
        <f t="shared" si="34"/>
        <v/>
      </c>
      <c r="N228" s="7" t="str">
        <f t="shared" si="35"/>
        <v/>
      </c>
      <c r="O228" t="str">
        <f t="shared" si="36"/>
        <v/>
      </c>
      <c r="P228" t="str">
        <f t="shared" si="37"/>
        <v/>
      </c>
      <c r="Q228" t="str">
        <f t="shared" si="38"/>
        <v/>
      </c>
      <c r="S228" t="str">
        <f>""</f>
        <v/>
      </c>
      <c r="AL228" s="18" t="str">
        <f>IF(COUNTIF($A$2:A227, A227) = 1, A227, "")</f>
        <v/>
      </c>
    </row>
    <row r="229" spans="6:38" x14ac:dyDescent="0.2">
      <c r="F229" t="str">
        <f t="shared" si="33"/>
        <v/>
      </c>
      <c r="L229" s="7" t="str">
        <f t="shared" si="34"/>
        <v/>
      </c>
      <c r="N229" s="7" t="str">
        <f t="shared" si="35"/>
        <v/>
      </c>
      <c r="O229" t="str">
        <f t="shared" si="36"/>
        <v/>
      </c>
      <c r="P229" t="str">
        <f t="shared" si="37"/>
        <v/>
      </c>
      <c r="Q229" t="str">
        <f t="shared" si="38"/>
        <v/>
      </c>
      <c r="S229" t="str">
        <f>""</f>
        <v/>
      </c>
      <c r="AL229" s="18" t="str">
        <f>IF(COUNTIF($A$2:A228, A228) = 1, A228, "")</f>
        <v/>
      </c>
    </row>
    <row r="230" spans="6:38" x14ac:dyDescent="0.2">
      <c r="F230" t="str">
        <f t="shared" si="33"/>
        <v/>
      </c>
      <c r="L230" s="7" t="str">
        <f t="shared" si="34"/>
        <v/>
      </c>
      <c r="N230" s="7" t="str">
        <f t="shared" si="35"/>
        <v/>
      </c>
      <c r="O230" t="str">
        <f t="shared" si="36"/>
        <v/>
      </c>
      <c r="P230" t="str">
        <f t="shared" si="37"/>
        <v/>
      </c>
      <c r="Q230" t="str">
        <f t="shared" si="38"/>
        <v/>
      </c>
      <c r="S230" t="str">
        <f>""</f>
        <v/>
      </c>
      <c r="AL230" s="18" t="str">
        <f>IF(COUNTIF($A$2:A229, A229) = 1, A229, "")</f>
        <v/>
      </c>
    </row>
    <row r="231" spans="6:38" x14ac:dyDescent="0.2">
      <c r="F231" t="str">
        <f t="shared" si="33"/>
        <v/>
      </c>
      <c r="L231" s="7" t="str">
        <f t="shared" si="34"/>
        <v/>
      </c>
      <c r="N231" s="7" t="str">
        <f t="shared" si="35"/>
        <v/>
      </c>
      <c r="O231" t="str">
        <f t="shared" si="36"/>
        <v/>
      </c>
      <c r="P231" t="str">
        <f t="shared" si="37"/>
        <v/>
      </c>
      <c r="Q231" t="str">
        <f t="shared" si="38"/>
        <v/>
      </c>
      <c r="S231" t="str">
        <f>""</f>
        <v/>
      </c>
      <c r="AL231" s="18" t="str">
        <f>IF(COUNTIF($A$2:A230, A230) = 1, A230, "")</f>
        <v/>
      </c>
    </row>
    <row r="232" spans="6:38" x14ac:dyDescent="0.2">
      <c r="F232" t="str">
        <f t="shared" si="33"/>
        <v/>
      </c>
      <c r="L232" s="7" t="str">
        <f t="shared" si="34"/>
        <v/>
      </c>
      <c r="N232" s="7" t="str">
        <f t="shared" si="35"/>
        <v/>
      </c>
      <c r="O232" t="str">
        <f t="shared" si="36"/>
        <v/>
      </c>
      <c r="P232" t="str">
        <f t="shared" si="37"/>
        <v/>
      </c>
      <c r="Q232" t="str">
        <f t="shared" si="38"/>
        <v/>
      </c>
      <c r="S232" t="str">
        <f>""</f>
        <v/>
      </c>
      <c r="AL232" s="18" t="str">
        <f>IF(COUNTIF($A$2:A231, A231) = 1, A231, "")</f>
        <v/>
      </c>
    </row>
    <row r="233" spans="6:38" x14ac:dyDescent="0.2">
      <c r="F233" t="str">
        <f t="shared" si="33"/>
        <v/>
      </c>
      <c r="L233" s="7" t="str">
        <f t="shared" si="34"/>
        <v/>
      </c>
      <c r="N233" s="7" t="str">
        <f t="shared" si="35"/>
        <v/>
      </c>
      <c r="O233" t="str">
        <f t="shared" si="36"/>
        <v/>
      </c>
      <c r="P233" t="str">
        <f t="shared" si="37"/>
        <v/>
      </c>
      <c r="Q233" t="str">
        <f t="shared" si="38"/>
        <v/>
      </c>
      <c r="S233" t="str">
        <f>""</f>
        <v/>
      </c>
      <c r="AL233" s="18" t="str">
        <f>IF(COUNTIF($A$2:A232, A232) = 1, A232, "")</f>
        <v/>
      </c>
    </row>
    <row r="234" spans="6:38" x14ac:dyDescent="0.2">
      <c r="F234" t="str">
        <f t="shared" si="33"/>
        <v/>
      </c>
      <c r="L234" s="7" t="str">
        <f t="shared" si="34"/>
        <v/>
      </c>
      <c r="N234" s="7" t="str">
        <f t="shared" si="35"/>
        <v/>
      </c>
      <c r="O234" t="str">
        <f t="shared" si="36"/>
        <v/>
      </c>
      <c r="P234" t="str">
        <f t="shared" si="37"/>
        <v/>
      </c>
      <c r="Q234" t="str">
        <f t="shared" si="38"/>
        <v/>
      </c>
      <c r="S234" t="str">
        <f>""</f>
        <v/>
      </c>
      <c r="AL234" s="18" t="str">
        <f>IF(COUNTIF($A$2:A233, A233) = 1, A233, "")</f>
        <v/>
      </c>
    </row>
    <row r="235" spans="6:38" x14ac:dyDescent="0.2">
      <c r="F235" t="str">
        <f t="shared" si="33"/>
        <v/>
      </c>
      <c r="L235" s="7" t="str">
        <f t="shared" si="34"/>
        <v/>
      </c>
      <c r="N235" s="7" t="str">
        <f t="shared" si="35"/>
        <v/>
      </c>
      <c r="O235" t="str">
        <f t="shared" si="36"/>
        <v/>
      </c>
      <c r="P235" t="str">
        <f t="shared" si="37"/>
        <v/>
      </c>
      <c r="Q235" t="str">
        <f t="shared" si="38"/>
        <v/>
      </c>
      <c r="S235" t="str">
        <f>""</f>
        <v/>
      </c>
      <c r="AL235" s="18" t="str">
        <f>IF(COUNTIF($A$2:A234, A234) = 1, A234, "")</f>
        <v/>
      </c>
    </row>
    <row r="236" spans="6:38" x14ac:dyDescent="0.2">
      <c r="F236" t="str">
        <f t="shared" si="33"/>
        <v/>
      </c>
      <c r="L236" s="7" t="str">
        <f t="shared" si="34"/>
        <v/>
      </c>
      <c r="N236" s="7" t="str">
        <f t="shared" si="35"/>
        <v/>
      </c>
      <c r="O236" t="str">
        <f t="shared" si="36"/>
        <v/>
      </c>
      <c r="P236" t="str">
        <f t="shared" si="37"/>
        <v/>
      </c>
      <c r="Q236" t="str">
        <f t="shared" si="38"/>
        <v/>
      </c>
      <c r="S236" t="str">
        <f>""</f>
        <v/>
      </c>
      <c r="AL236" s="18" t="str">
        <f>IF(COUNTIF($A$2:A235, A235) = 1, A235, "")</f>
        <v/>
      </c>
    </row>
    <row r="237" spans="6:38" x14ac:dyDescent="0.2">
      <c r="F237" t="str">
        <f t="shared" si="33"/>
        <v/>
      </c>
      <c r="L237" s="7" t="str">
        <f t="shared" si="34"/>
        <v/>
      </c>
      <c r="N237" s="7" t="str">
        <f t="shared" si="35"/>
        <v/>
      </c>
      <c r="O237" t="str">
        <f t="shared" si="36"/>
        <v/>
      </c>
      <c r="P237" t="str">
        <f t="shared" si="37"/>
        <v/>
      </c>
      <c r="Q237" t="str">
        <f t="shared" si="38"/>
        <v/>
      </c>
      <c r="S237" t="str">
        <f>""</f>
        <v/>
      </c>
      <c r="AL237" s="18" t="str">
        <f>IF(COUNTIF($A$2:A236, A236) = 1, A236, "")</f>
        <v/>
      </c>
    </row>
    <row r="238" spans="6:38" x14ac:dyDescent="0.2">
      <c r="F238" t="str">
        <f t="shared" si="33"/>
        <v/>
      </c>
      <c r="L238" s="7" t="str">
        <f t="shared" si="34"/>
        <v/>
      </c>
      <c r="N238" s="7" t="str">
        <f t="shared" si="35"/>
        <v/>
      </c>
      <c r="O238" t="str">
        <f t="shared" si="36"/>
        <v/>
      </c>
      <c r="P238" t="str">
        <f t="shared" si="37"/>
        <v/>
      </c>
      <c r="Q238" t="str">
        <f t="shared" si="38"/>
        <v/>
      </c>
      <c r="S238" t="str">
        <f>""</f>
        <v/>
      </c>
      <c r="AL238" s="18" t="str">
        <f>IF(COUNTIF($A$2:A237, A237) = 1, A237, "")</f>
        <v/>
      </c>
    </row>
    <row r="239" spans="6:38" x14ac:dyDescent="0.2">
      <c r="F239" t="str">
        <f t="shared" si="33"/>
        <v/>
      </c>
      <c r="L239" s="7" t="str">
        <f t="shared" si="34"/>
        <v/>
      </c>
      <c r="N239" s="7" t="str">
        <f t="shared" si="35"/>
        <v/>
      </c>
      <c r="O239" t="str">
        <f t="shared" si="36"/>
        <v/>
      </c>
      <c r="P239" t="str">
        <f t="shared" si="37"/>
        <v/>
      </c>
      <c r="Q239" t="str">
        <f t="shared" si="38"/>
        <v/>
      </c>
      <c r="S239" t="str">
        <f>""</f>
        <v/>
      </c>
      <c r="AL239" s="18" t="str">
        <f>IF(COUNTIF($A$2:A238, A238) = 1, A238, "")</f>
        <v/>
      </c>
    </row>
    <row r="240" spans="6:38" x14ac:dyDescent="0.2">
      <c r="F240" t="str">
        <f t="shared" si="33"/>
        <v/>
      </c>
      <c r="L240" s="7" t="str">
        <f t="shared" si="34"/>
        <v/>
      </c>
      <c r="N240" s="7" t="str">
        <f t="shared" si="35"/>
        <v/>
      </c>
      <c r="O240" t="str">
        <f t="shared" si="36"/>
        <v/>
      </c>
      <c r="P240" t="str">
        <f t="shared" si="37"/>
        <v/>
      </c>
      <c r="Q240" t="str">
        <f t="shared" si="38"/>
        <v/>
      </c>
      <c r="S240" t="str">
        <f>""</f>
        <v/>
      </c>
      <c r="AL240" s="18" t="str">
        <f>IF(COUNTIF($A$2:A239, A239) = 1, A239, "")</f>
        <v/>
      </c>
    </row>
    <row r="241" spans="6:38" x14ac:dyDescent="0.2">
      <c r="F241" t="str">
        <f t="shared" si="33"/>
        <v/>
      </c>
      <c r="L241" s="7" t="str">
        <f t="shared" si="34"/>
        <v/>
      </c>
      <c r="N241" s="7" t="str">
        <f t="shared" si="35"/>
        <v/>
      </c>
      <c r="O241" t="str">
        <f t="shared" si="36"/>
        <v/>
      </c>
      <c r="P241" t="str">
        <f t="shared" si="37"/>
        <v/>
      </c>
      <c r="Q241" t="str">
        <f t="shared" si="38"/>
        <v/>
      </c>
      <c r="S241" t="str">
        <f>""</f>
        <v/>
      </c>
      <c r="AL241" s="18" t="str">
        <f>IF(COUNTIF($A$2:A240, A240) = 1, A240, "")</f>
        <v/>
      </c>
    </row>
    <row r="242" spans="6:38" x14ac:dyDescent="0.2">
      <c r="F242" t="str">
        <f t="shared" si="33"/>
        <v/>
      </c>
      <c r="L242" s="7" t="str">
        <f t="shared" si="34"/>
        <v/>
      </c>
      <c r="N242" s="7" t="str">
        <f t="shared" si="35"/>
        <v/>
      </c>
      <c r="O242" t="str">
        <f t="shared" si="36"/>
        <v/>
      </c>
      <c r="P242" t="str">
        <f t="shared" si="37"/>
        <v/>
      </c>
      <c r="Q242" t="str">
        <f t="shared" si="38"/>
        <v/>
      </c>
      <c r="S242" t="str">
        <f>""</f>
        <v/>
      </c>
      <c r="AL242" s="18" t="str">
        <f>IF(COUNTIF($A$2:A241, A241) = 1, A241, "")</f>
        <v/>
      </c>
    </row>
    <row r="243" spans="6:38" x14ac:dyDescent="0.2">
      <c r="F243" t="str">
        <f t="shared" si="33"/>
        <v/>
      </c>
      <c r="L243" s="7" t="str">
        <f t="shared" si="34"/>
        <v/>
      </c>
      <c r="N243" s="7" t="str">
        <f t="shared" si="35"/>
        <v/>
      </c>
      <c r="O243" t="str">
        <f t="shared" si="36"/>
        <v/>
      </c>
      <c r="P243" t="str">
        <f t="shared" si="37"/>
        <v/>
      </c>
      <c r="Q243" t="str">
        <f t="shared" si="38"/>
        <v/>
      </c>
      <c r="S243" t="str">
        <f>""</f>
        <v/>
      </c>
      <c r="AL243" s="18" t="str">
        <f>IF(COUNTIF($A$2:A242, A242) = 1, A242, "")</f>
        <v/>
      </c>
    </row>
    <row r="244" spans="6:38" x14ac:dyDescent="0.2">
      <c r="F244" t="str">
        <f t="shared" si="33"/>
        <v/>
      </c>
      <c r="L244" s="7" t="str">
        <f t="shared" si="34"/>
        <v/>
      </c>
      <c r="N244" s="7" t="str">
        <f t="shared" si="35"/>
        <v/>
      </c>
      <c r="O244" t="str">
        <f t="shared" si="36"/>
        <v/>
      </c>
      <c r="P244" t="str">
        <f t="shared" si="37"/>
        <v/>
      </c>
      <c r="Q244" t="str">
        <f t="shared" si="38"/>
        <v/>
      </c>
      <c r="S244" t="str">
        <f>""</f>
        <v/>
      </c>
      <c r="AL244" s="18" t="str">
        <f>IF(COUNTIF($A$2:A243, A243) = 1, A243, "")</f>
        <v/>
      </c>
    </row>
    <row r="245" spans="6:38" x14ac:dyDescent="0.2">
      <c r="F245" t="str">
        <f t="shared" si="33"/>
        <v/>
      </c>
      <c r="L245" s="7" t="str">
        <f t="shared" si="34"/>
        <v/>
      </c>
      <c r="N245" s="7" t="str">
        <f t="shared" si="35"/>
        <v/>
      </c>
      <c r="O245" t="str">
        <f t="shared" si="36"/>
        <v/>
      </c>
      <c r="P245" t="str">
        <f t="shared" si="37"/>
        <v/>
      </c>
      <c r="Q245" t="str">
        <f t="shared" si="38"/>
        <v/>
      </c>
      <c r="S245" t="str">
        <f>""</f>
        <v/>
      </c>
      <c r="AL245" s="18" t="str">
        <f>IF(COUNTIF($A$2:A244, A244) = 1, A244, "")</f>
        <v/>
      </c>
    </row>
    <row r="246" spans="6:38" x14ac:dyDescent="0.2">
      <c r="F246" t="str">
        <f t="shared" si="33"/>
        <v/>
      </c>
      <c r="L246" s="7" t="str">
        <f t="shared" si="34"/>
        <v/>
      </c>
      <c r="N246" s="7" t="str">
        <f t="shared" si="35"/>
        <v/>
      </c>
      <c r="O246" t="str">
        <f t="shared" si="36"/>
        <v/>
      </c>
      <c r="P246" t="str">
        <f t="shared" si="37"/>
        <v/>
      </c>
      <c r="Q246" t="str">
        <f t="shared" si="38"/>
        <v/>
      </c>
      <c r="S246" t="str">
        <f>""</f>
        <v/>
      </c>
      <c r="AL246" s="18" t="str">
        <f>IF(COUNTIF($A$2:A245, A245) = 1, A245, "")</f>
        <v/>
      </c>
    </row>
    <row r="247" spans="6:38" x14ac:dyDescent="0.2">
      <c r="F247" t="str">
        <f t="shared" si="33"/>
        <v/>
      </c>
      <c r="L247" s="7" t="str">
        <f t="shared" si="34"/>
        <v/>
      </c>
      <c r="N247" s="7" t="str">
        <f t="shared" si="35"/>
        <v/>
      </c>
      <c r="O247" t="str">
        <f t="shared" si="36"/>
        <v/>
      </c>
      <c r="P247" t="str">
        <f t="shared" si="37"/>
        <v/>
      </c>
      <c r="Q247" t="str">
        <f t="shared" si="38"/>
        <v/>
      </c>
      <c r="S247" t="str">
        <f>""</f>
        <v/>
      </c>
      <c r="AL247" s="18" t="str">
        <f>IF(COUNTIF($A$2:A246, A246) = 1, A246, "")</f>
        <v/>
      </c>
    </row>
    <row r="248" spans="6:38" x14ac:dyDescent="0.2">
      <c r="F248" t="str">
        <f t="shared" si="33"/>
        <v/>
      </c>
      <c r="L248" s="7" t="str">
        <f t="shared" si="34"/>
        <v/>
      </c>
      <c r="N248" s="7" t="str">
        <f t="shared" si="35"/>
        <v/>
      </c>
      <c r="O248" t="str">
        <f t="shared" si="36"/>
        <v/>
      </c>
      <c r="P248" t="str">
        <f t="shared" si="37"/>
        <v/>
      </c>
      <c r="Q248" t="str">
        <f t="shared" si="38"/>
        <v/>
      </c>
      <c r="S248" t="str">
        <f>""</f>
        <v/>
      </c>
      <c r="AL248" s="18" t="str">
        <f>IF(COUNTIF($A$2:A247, A247) = 1, A247, "")</f>
        <v/>
      </c>
    </row>
    <row r="249" spans="6:38" x14ac:dyDescent="0.2">
      <c r="F249" t="str">
        <f t="shared" si="33"/>
        <v/>
      </c>
      <c r="L249" s="7" t="str">
        <f t="shared" si="34"/>
        <v/>
      </c>
      <c r="N249" s="7" t="str">
        <f t="shared" si="35"/>
        <v/>
      </c>
      <c r="O249" t="str">
        <f t="shared" si="36"/>
        <v/>
      </c>
      <c r="P249" t="str">
        <f t="shared" si="37"/>
        <v/>
      </c>
      <c r="Q249" t="str">
        <f t="shared" si="38"/>
        <v/>
      </c>
      <c r="S249" t="str">
        <f>""</f>
        <v/>
      </c>
      <c r="AL249" s="18" t="str">
        <f>IF(COUNTIF($A$2:A248, A248) = 1, A248, "")</f>
        <v/>
      </c>
    </row>
    <row r="250" spans="6:38" x14ac:dyDescent="0.2">
      <c r="F250" t="str">
        <f t="shared" si="33"/>
        <v/>
      </c>
      <c r="L250" s="7" t="str">
        <f t="shared" si="34"/>
        <v/>
      </c>
      <c r="N250" s="7" t="str">
        <f t="shared" si="35"/>
        <v/>
      </c>
      <c r="O250" t="str">
        <f t="shared" si="36"/>
        <v/>
      </c>
      <c r="P250" t="str">
        <f t="shared" si="37"/>
        <v/>
      </c>
      <c r="Q250" t="str">
        <f t="shared" si="38"/>
        <v/>
      </c>
      <c r="S250" t="str">
        <f>""</f>
        <v/>
      </c>
      <c r="AL250" s="18" t="str">
        <f>IF(COUNTIF($A$2:A249, A249) = 1, A249, "")</f>
        <v/>
      </c>
    </row>
    <row r="251" spans="6:38" x14ac:dyDescent="0.2">
      <c r="F251" t="str">
        <f t="shared" si="33"/>
        <v/>
      </c>
      <c r="L251" s="7" t="str">
        <f t="shared" si="34"/>
        <v/>
      </c>
      <c r="N251" s="7" t="str">
        <f t="shared" si="35"/>
        <v/>
      </c>
      <c r="O251" t="str">
        <f t="shared" si="36"/>
        <v/>
      </c>
      <c r="P251" t="str">
        <f t="shared" si="37"/>
        <v/>
      </c>
      <c r="Q251" t="str">
        <f t="shared" si="38"/>
        <v/>
      </c>
      <c r="S251" t="str">
        <f>""</f>
        <v/>
      </c>
      <c r="AL251" s="18" t="str">
        <f>IF(COUNTIF($A$2:A250, A250) = 1, A250, "")</f>
        <v/>
      </c>
    </row>
    <row r="252" spans="6:38" x14ac:dyDescent="0.2">
      <c r="F252" t="str">
        <f t="shared" si="33"/>
        <v/>
      </c>
      <c r="L252" s="7" t="str">
        <f t="shared" si="34"/>
        <v/>
      </c>
      <c r="N252" s="7" t="str">
        <f t="shared" si="35"/>
        <v/>
      </c>
      <c r="O252" t="str">
        <f t="shared" si="36"/>
        <v/>
      </c>
      <c r="P252" t="str">
        <f t="shared" si="37"/>
        <v/>
      </c>
      <c r="Q252" t="str">
        <f t="shared" si="38"/>
        <v/>
      </c>
      <c r="S252" t="str">
        <f>""</f>
        <v/>
      </c>
      <c r="AL252" s="18" t="str">
        <f>IF(COUNTIF($A$2:A251, A251) = 1, A251, "")</f>
        <v/>
      </c>
    </row>
    <row r="253" spans="6:38" x14ac:dyDescent="0.2">
      <c r="F253" t="str">
        <f t="shared" si="33"/>
        <v/>
      </c>
      <c r="L253" s="7" t="str">
        <f t="shared" si="34"/>
        <v/>
      </c>
      <c r="N253" s="7" t="str">
        <f t="shared" si="35"/>
        <v/>
      </c>
      <c r="O253" t="str">
        <f t="shared" si="36"/>
        <v/>
      </c>
      <c r="P253" t="str">
        <f t="shared" si="37"/>
        <v/>
      </c>
      <c r="Q253" t="str">
        <f t="shared" si="38"/>
        <v/>
      </c>
      <c r="S253" t="str">
        <f>""</f>
        <v/>
      </c>
      <c r="AL253" s="18" t="str">
        <f>IF(COUNTIF($A$2:A252, A252) = 1, A252, "")</f>
        <v/>
      </c>
    </row>
    <row r="254" spans="6:38" x14ac:dyDescent="0.2">
      <c r="F254" t="str">
        <f t="shared" si="33"/>
        <v/>
      </c>
      <c r="L254" s="7" t="str">
        <f t="shared" si="34"/>
        <v/>
      </c>
      <c r="N254" s="7" t="str">
        <f t="shared" si="35"/>
        <v/>
      </c>
      <c r="O254" t="str">
        <f t="shared" si="36"/>
        <v/>
      </c>
      <c r="P254" t="str">
        <f t="shared" si="37"/>
        <v/>
      </c>
      <c r="Q254" t="str">
        <f t="shared" si="38"/>
        <v/>
      </c>
      <c r="S254" t="str">
        <f>""</f>
        <v/>
      </c>
      <c r="AL254" s="18" t="str">
        <f>IF(COUNTIF($A$2:A253, A253) = 1, A253, "")</f>
        <v/>
      </c>
    </row>
    <row r="255" spans="6:38" x14ac:dyDescent="0.2">
      <c r="F255" t="str">
        <f t="shared" si="33"/>
        <v/>
      </c>
      <c r="L255" s="7" t="str">
        <f t="shared" si="34"/>
        <v/>
      </c>
      <c r="N255" s="7" t="str">
        <f t="shared" si="35"/>
        <v/>
      </c>
      <c r="O255" t="str">
        <f t="shared" si="36"/>
        <v/>
      </c>
      <c r="P255" t="str">
        <f t="shared" si="37"/>
        <v/>
      </c>
      <c r="Q255" t="str">
        <f t="shared" si="38"/>
        <v/>
      </c>
      <c r="S255" t="str">
        <f>""</f>
        <v/>
      </c>
      <c r="AL255" s="18" t="str">
        <f>IF(COUNTIF($A$2:A254, A254) = 1, A254, "")</f>
        <v/>
      </c>
    </row>
    <row r="256" spans="6:38" x14ac:dyDescent="0.2">
      <c r="F256" t="str">
        <f t="shared" si="33"/>
        <v/>
      </c>
      <c r="L256" s="7" t="str">
        <f t="shared" si="34"/>
        <v/>
      </c>
      <c r="N256" s="7" t="str">
        <f t="shared" si="35"/>
        <v/>
      </c>
      <c r="O256" t="str">
        <f t="shared" si="36"/>
        <v/>
      </c>
      <c r="P256" t="str">
        <f t="shared" si="37"/>
        <v/>
      </c>
      <c r="Q256" t="str">
        <f t="shared" si="38"/>
        <v/>
      </c>
      <c r="S256" t="str">
        <f>""</f>
        <v/>
      </c>
      <c r="AL256" s="18" t="str">
        <f>IF(COUNTIF($A$2:A255, A255) = 1, A255, "")</f>
        <v/>
      </c>
    </row>
    <row r="257" spans="6:38" x14ac:dyDescent="0.2">
      <c r="F257" t="str">
        <f t="shared" si="33"/>
        <v/>
      </c>
      <c r="L257" s="7" t="str">
        <f t="shared" si="34"/>
        <v/>
      </c>
      <c r="N257" s="7" t="str">
        <f t="shared" si="35"/>
        <v/>
      </c>
      <c r="O257" t="str">
        <f t="shared" si="36"/>
        <v/>
      </c>
      <c r="P257" t="str">
        <f t="shared" si="37"/>
        <v/>
      </c>
      <c r="Q257" t="str">
        <f t="shared" si="38"/>
        <v/>
      </c>
      <c r="S257" t="str">
        <f>""</f>
        <v/>
      </c>
      <c r="AL257" s="18" t="str">
        <f>IF(COUNTIF($A$2:A256, A256) = 1, A256, "")</f>
        <v/>
      </c>
    </row>
    <row r="258" spans="6:38" x14ac:dyDescent="0.2">
      <c r="F258" t="str">
        <f t="shared" si="33"/>
        <v/>
      </c>
      <c r="L258" s="7" t="str">
        <f t="shared" si="34"/>
        <v/>
      </c>
      <c r="N258" s="7" t="str">
        <f t="shared" si="35"/>
        <v/>
      </c>
      <c r="O258" t="str">
        <f t="shared" si="36"/>
        <v/>
      </c>
      <c r="P258" t="str">
        <f t="shared" si="37"/>
        <v/>
      </c>
      <c r="Q258" t="str">
        <f t="shared" si="38"/>
        <v/>
      </c>
      <c r="S258" t="str">
        <f>""</f>
        <v/>
      </c>
      <c r="AL258" s="18" t="str">
        <f>IF(COUNTIF($A$2:A257, A257) = 1, A257, "")</f>
        <v/>
      </c>
    </row>
    <row r="259" spans="6:38" x14ac:dyDescent="0.2">
      <c r="F259" t="str">
        <f t="shared" si="33"/>
        <v/>
      </c>
      <c r="L259" s="7" t="str">
        <f t="shared" si="34"/>
        <v/>
      </c>
      <c r="N259" s="7" t="str">
        <f t="shared" si="35"/>
        <v/>
      </c>
      <c r="O259" t="str">
        <f t="shared" si="36"/>
        <v/>
      </c>
      <c r="P259" t="str">
        <f t="shared" si="37"/>
        <v/>
      </c>
      <c r="Q259" t="str">
        <f t="shared" si="38"/>
        <v/>
      </c>
      <c r="S259" t="str">
        <f>""</f>
        <v/>
      </c>
      <c r="AL259" s="18" t="str">
        <f>IF(COUNTIF($A$2:A258, A258) = 1, A258, "")</f>
        <v/>
      </c>
    </row>
    <row r="260" spans="6:38" x14ac:dyDescent="0.2">
      <c r="F260" t="str">
        <f t="shared" si="33"/>
        <v/>
      </c>
      <c r="L260" s="7" t="str">
        <f t="shared" si="34"/>
        <v/>
      </c>
      <c r="N260" s="7" t="str">
        <f t="shared" si="35"/>
        <v/>
      </c>
      <c r="O260" t="str">
        <f t="shared" si="36"/>
        <v/>
      </c>
      <c r="P260" t="str">
        <f t="shared" si="37"/>
        <v/>
      </c>
      <c r="Q260" t="str">
        <f t="shared" si="38"/>
        <v/>
      </c>
      <c r="S260" t="str">
        <f>""</f>
        <v/>
      </c>
      <c r="AL260" s="18" t="str">
        <f>IF(COUNTIF($A$2:A259, A259) = 1, A259, "")</f>
        <v/>
      </c>
    </row>
    <row r="261" spans="6:38" x14ac:dyDescent="0.2">
      <c r="F261" t="str">
        <f t="shared" si="33"/>
        <v/>
      </c>
      <c r="L261" s="7" t="str">
        <f t="shared" si="34"/>
        <v/>
      </c>
      <c r="N261" s="7" t="str">
        <f t="shared" si="35"/>
        <v/>
      </c>
      <c r="O261" t="str">
        <f t="shared" si="36"/>
        <v/>
      </c>
      <c r="P261" t="str">
        <f t="shared" si="37"/>
        <v/>
      </c>
      <c r="Q261" t="str">
        <f t="shared" si="38"/>
        <v/>
      </c>
      <c r="S261" t="str">
        <f>""</f>
        <v/>
      </c>
      <c r="AL261" s="18" t="str">
        <f>IF(COUNTIF($A$2:A260, A260) = 1, A260, "")</f>
        <v/>
      </c>
    </row>
    <row r="262" spans="6:38" x14ac:dyDescent="0.2">
      <c r="F262" t="str">
        <f t="shared" si="33"/>
        <v/>
      </c>
      <c r="L262" s="7" t="str">
        <f t="shared" si="34"/>
        <v/>
      </c>
      <c r="N262" s="7" t="str">
        <f t="shared" si="35"/>
        <v/>
      </c>
      <c r="O262" t="str">
        <f t="shared" si="36"/>
        <v/>
      </c>
      <c r="P262" t="str">
        <f t="shared" si="37"/>
        <v/>
      </c>
      <c r="Q262" t="str">
        <f t="shared" si="38"/>
        <v/>
      </c>
      <c r="S262" t="str">
        <f>""</f>
        <v/>
      </c>
      <c r="AL262" s="18" t="str">
        <f>IF(COUNTIF($A$2:A261, A261) = 1, A261, "")</f>
        <v/>
      </c>
    </row>
    <row r="263" spans="6:38" x14ac:dyDescent="0.2">
      <c r="F263" t="str">
        <f t="shared" si="33"/>
        <v/>
      </c>
      <c r="L263" s="7" t="str">
        <f t="shared" si="34"/>
        <v/>
      </c>
      <c r="N263" s="7" t="str">
        <f t="shared" si="35"/>
        <v/>
      </c>
      <c r="O263" t="str">
        <f t="shared" si="36"/>
        <v/>
      </c>
      <c r="P263" t="str">
        <f t="shared" si="37"/>
        <v/>
      </c>
      <c r="Q263" t="str">
        <f t="shared" si="38"/>
        <v/>
      </c>
      <c r="S263" t="str">
        <f>""</f>
        <v/>
      </c>
      <c r="AL263" s="18" t="str">
        <f>IF(COUNTIF($A$2:A262, A262) = 1, A262, "")</f>
        <v/>
      </c>
    </row>
    <row r="264" spans="6:38" x14ac:dyDescent="0.2">
      <c r="F264" t="str">
        <f t="shared" si="33"/>
        <v/>
      </c>
      <c r="L264" s="7" t="str">
        <f t="shared" si="34"/>
        <v/>
      </c>
      <c r="N264" s="7" t="str">
        <f t="shared" si="35"/>
        <v/>
      </c>
      <c r="O264" t="str">
        <f t="shared" si="36"/>
        <v/>
      </c>
      <c r="P264" t="str">
        <f t="shared" si="37"/>
        <v/>
      </c>
      <c r="Q264" t="str">
        <f t="shared" si="38"/>
        <v/>
      </c>
      <c r="S264" t="str">
        <f>""</f>
        <v/>
      </c>
      <c r="AL264" s="18" t="str">
        <f>IF(COUNTIF($A$2:A263, A263) = 1, A263, "")</f>
        <v/>
      </c>
    </row>
    <row r="265" spans="6:38" x14ac:dyDescent="0.2">
      <c r="F265" t="str">
        <f t="shared" si="33"/>
        <v/>
      </c>
      <c r="L265" s="7" t="str">
        <f t="shared" si="34"/>
        <v/>
      </c>
      <c r="N265" s="7" t="str">
        <f t="shared" si="35"/>
        <v/>
      </c>
      <c r="O265" t="str">
        <f t="shared" si="36"/>
        <v/>
      </c>
      <c r="P265" t="str">
        <f t="shared" si="37"/>
        <v/>
      </c>
      <c r="Q265" t="str">
        <f t="shared" si="38"/>
        <v/>
      </c>
      <c r="S265" t="str">
        <f>""</f>
        <v/>
      </c>
      <c r="AL265" s="18" t="str">
        <f>IF(COUNTIF($A$2:A264, A264) = 1, A264, "")</f>
        <v/>
      </c>
    </row>
    <row r="266" spans="6:38" x14ac:dyDescent="0.2">
      <c r="F266" t="str">
        <f t="shared" si="33"/>
        <v/>
      </c>
      <c r="L266" s="7" t="str">
        <f t="shared" si="34"/>
        <v/>
      </c>
      <c r="N266" s="7" t="str">
        <f t="shared" si="35"/>
        <v/>
      </c>
      <c r="O266" t="str">
        <f t="shared" si="36"/>
        <v/>
      </c>
      <c r="P266" t="str">
        <f t="shared" si="37"/>
        <v/>
      </c>
      <c r="Q266" t="str">
        <f t="shared" si="38"/>
        <v/>
      </c>
      <c r="S266" t="str">
        <f>""</f>
        <v/>
      </c>
      <c r="AL266" s="18" t="str">
        <f>IF(COUNTIF($A$2:A265, A265) = 1, A265, "")</f>
        <v/>
      </c>
    </row>
    <row r="267" spans="6:38" x14ac:dyDescent="0.2">
      <c r="F267" t="str">
        <f t="shared" si="33"/>
        <v/>
      </c>
      <c r="L267" s="7" t="str">
        <f t="shared" si="34"/>
        <v/>
      </c>
      <c r="N267" s="7" t="str">
        <f t="shared" si="35"/>
        <v/>
      </c>
      <c r="O267" t="str">
        <f t="shared" si="36"/>
        <v/>
      </c>
      <c r="P267" t="str">
        <f t="shared" si="37"/>
        <v/>
      </c>
      <c r="Q267" t="str">
        <f t="shared" si="38"/>
        <v/>
      </c>
      <c r="S267" t="str">
        <f>""</f>
        <v/>
      </c>
      <c r="AL267" s="18" t="str">
        <f>IF(COUNTIF($A$2:A266, A266) = 1, A266, "")</f>
        <v/>
      </c>
    </row>
    <row r="268" spans="6:38" x14ac:dyDescent="0.2">
      <c r="F268" t="str">
        <f t="shared" si="33"/>
        <v/>
      </c>
      <c r="L268" s="7" t="str">
        <f t="shared" si="34"/>
        <v/>
      </c>
      <c r="N268" s="7" t="str">
        <f t="shared" si="35"/>
        <v/>
      </c>
      <c r="O268" t="str">
        <f t="shared" si="36"/>
        <v/>
      </c>
      <c r="P268" t="str">
        <f t="shared" si="37"/>
        <v/>
      </c>
      <c r="Q268" t="str">
        <f t="shared" si="38"/>
        <v/>
      </c>
      <c r="S268" t="str">
        <f>""</f>
        <v/>
      </c>
      <c r="AL268" s="18" t="str">
        <f>IF(COUNTIF($A$2:A267, A267) = 1, A267, "")</f>
        <v/>
      </c>
    </row>
    <row r="269" spans="6:38" x14ac:dyDescent="0.2">
      <c r="F269" t="str">
        <f t="shared" si="33"/>
        <v/>
      </c>
      <c r="L269" s="7" t="str">
        <f t="shared" si="34"/>
        <v/>
      </c>
      <c r="N269" s="7" t="str">
        <f t="shared" si="35"/>
        <v/>
      </c>
      <c r="O269" t="str">
        <f t="shared" si="36"/>
        <v/>
      </c>
      <c r="P269" t="str">
        <f t="shared" si="37"/>
        <v/>
      </c>
      <c r="Q269" t="str">
        <f t="shared" si="38"/>
        <v/>
      </c>
      <c r="S269" t="str">
        <f>""</f>
        <v/>
      </c>
      <c r="AL269" s="18" t="str">
        <f>IF(COUNTIF($A$2:A268, A268) = 1, A268, "")</f>
        <v/>
      </c>
    </row>
    <row r="270" spans="6:38" x14ac:dyDescent="0.2">
      <c r="F270" t="str">
        <f t="shared" si="33"/>
        <v/>
      </c>
      <c r="L270" s="7" t="str">
        <f t="shared" si="34"/>
        <v/>
      </c>
      <c r="N270" s="7" t="str">
        <f t="shared" si="35"/>
        <v/>
      </c>
      <c r="O270" t="str">
        <f t="shared" si="36"/>
        <v/>
      </c>
      <c r="P270" t="str">
        <f t="shared" si="37"/>
        <v/>
      </c>
      <c r="Q270" t="str">
        <f t="shared" si="38"/>
        <v/>
      </c>
      <c r="S270" t="str">
        <f>""</f>
        <v/>
      </c>
      <c r="AL270" s="18" t="str">
        <f>IF(COUNTIF($A$2:A269, A269) = 1, A269, "")</f>
        <v/>
      </c>
    </row>
    <row r="271" spans="6:38" x14ac:dyDescent="0.2">
      <c r="F271" t="str">
        <f t="shared" si="33"/>
        <v/>
      </c>
      <c r="L271" s="7" t="str">
        <f t="shared" si="34"/>
        <v/>
      </c>
      <c r="N271" s="7" t="str">
        <f t="shared" si="35"/>
        <v/>
      </c>
      <c r="O271" t="str">
        <f t="shared" si="36"/>
        <v/>
      </c>
      <c r="P271" t="str">
        <f t="shared" si="37"/>
        <v/>
      </c>
      <c r="Q271" t="str">
        <f t="shared" si="38"/>
        <v/>
      </c>
      <c r="S271" t="str">
        <f>""</f>
        <v/>
      </c>
      <c r="AL271" s="18" t="str">
        <f>IF(COUNTIF($A$2:A270, A270) = 1, A270, "")</f>
        <v/>
      </c>
    </row>
    <row r="272" spans="6:38" x14ac:dyDescent="0.2">
      <c r="F272" t="str">
        <f t="shared" ref="F272:F335" si="39">IF(OR(O272="", P272=""), "", SUM(IF((O272&lt;&gt;"None")*(O272&lt;&gt;""),LEN(O272)-LEN(SUBSTITUTE(O272,",",""))+1,0)) + SUM(IF((P272&lt;&gt;"None")*(P272&lt;&gt;""),LEN(P272)-LEN(SUBSTITUTE(P272,",",""))+1,0)))</f>
        <v/>
      </c>
      <c r="L272" s="7" t="str">
        <f t="shared" ref="L272:L335" si="40">IF(LEN(E272)=0, "", IFERROR(IF(E272&gt;=0, K272 * (1 + E272/100) - K272, K272 / (ABS(E272)/100))+K272, ""))</f>
        <v/>
      </c>
      <c r="N272" s="7" t="str">
        <f t="shared" ref="N272:N335" si="41">IF(M272="Yes",L272-K272,IF(M272="No",-K272,""))</f>
        <v/>
      </c>
      <c r="O272" t="str">
        <f t="shared" ref="O272:O335" si="42">IF(AND(G272="No",H272="No"), "None", "")</f>
        <v/>
      </c>
      <c r="P272" t="str">
        <f t="shared" ref="P272:P335" si="43">IF(I272="No", "None", "")</f>
        <v/>
      </c>
      <c r="Q272" t="str">
        <f t="shared" ref="Q272:Q335" si="44">IF(AND(D272="Straight", M272 = "No"),IF(O272="None",P272,IF(P272="None",O272) ),"")</f>
        <v/>
      </c>
      <c r="S272" t="str">
        <f>""</f>
        <v/>
      </c>
      <c r="AL272" s="18" t="str">
        <f>IF(COUNTIF($A$2:A271, A271) = 1, A271, "")</f>
        <v/>
      </c>
    </row>
    <row r="273" spans="6:38" x14ac:dyDescent="0.2">
      <c r="F273" t="str">
        <f t="shared" si="39"/>
        <v/>
      </c>
      <c r="L273" s="7" t="str">
        <f t="shared" si="40"/>
        <v/>
      </c>
      <c r="N273" s="7" t="str">
        <f t="shared" si="41"/>
        <v/>
      </c>
      <c r="O273" t="str">
        <f t="shared" si="42"/>
        <v/>
      </c>
      <c r="P273" t="str">
        <f t="shared" si="43"/>
        <v/>
      </c>
      <c r="Q273" t="str">
        <f t="shared" si="44"/>
        <v/>
      </c>
      <c r="S273" t="str">
        <f>""</f>
        <v/>
      </c>
      <c r="AL273" s="18" t="str">
        <f>IF(COUNTIF($A$2:A272, A272) = 1, A272, "")</f>
        <v/>
      </c>
    </row>
    <row r="274" spans="6:38" x14ac:dyDescent="0.2">
      <c r="F274" t="str">
        <f t="shared" si="39"/>
        <v/>
      </c>
      <c r="L274" s="7" t="str">
        <f t="shared" si="40"/>
        <v/>
      </c>
      <c r="N274" s="7" t="str">
        <f t="shared" si="41"/>
        <v/>
      </c>
      <c r="O274" t="str">
        <f t="shared" si="42"/>
        <v/>
      </c>
      <c r="P274" t="str">
        <f t="shared" si="43"/>
        <v/>
      </c>
      <c r="Q274" t="str">
        <f t="shared" si="44"/>
        <v/>
      </c>
      <c r="S274" t="str">
        <f>""</f>
        <v/>
      </c>
      <c r="AL274" s="18" t="str">
        <f>IF(COUNTIF($A$2:A273, A273) = 1, A273, "")</f>
        <v/>
      </c>
    </row>
    <row r="275" spans="6:38" x14ac:dyDescent="0.2">
      <c r="F275" t="str">
        <f t="shared" si="39"/>
        <v/>
      </c>
      <c r="L275" s="7" t="str">
        <f t="shared" si="40"/>
        <v/>
      </c>
      <c r="N275" s="7" t="str">
        <f t="shared" si="41"/>
        <v/>
      </c>
      <c r="O275" t="str">
        <f t="shared" si="42"/>
        <v/>
      </c>
      <c r="P275" t="str">
        <f t="shared" si="43"/>
        <v/>
      </c>
      <c r="Q275" t="str">
        <f t="shared" si="44"/>
        <v/>
      </c>
      <c r="S275" t="str">
        <f>""</f>
        <v/>
      </c>
      <c r="AL275" s="18" t="str">
        <f>IF(COUNTIF($A$2:A274, A274) = 1, A274, "")</f>
        <v/>
      </c>
    </row>
    <row r="276" spans="6:38" x14ac:dyDescent="0.2">
      <c r="F276" t="str">
        <f t="shared" si="39"/>
        <v/>
      </c>
      <c r="L276" s="7" t="str">
        <f t="shared" si="40"/>
        <v/>
      </c>
      <c r="N276" s="7" t="str">
        <f t="shared" si="41"/>
        <v/>
      </c>
      <c r="O276" t="str">
        <f t="shared" si="42"/>
        <v/>
      </c>
      <c r="P276" t="str">
        <f t="shared" si="43"/>
        <v/>
      </c>
      <c r="Q276" t="str">
        <f t="shared" si="44"/>
        <v/>
      </c>
      <c r="S276" t="str">
        <f>""</f>
        <v/>
      </c>
      <c r="AL276" s="18" t="str">
        <f>IF(COUNTIF($A$2:A275, A275) = 1, A275, "")</f>
        <v/>
      </c>
    </row>
    <row r="277" spans="6:38" x14ac:dyDescent="0.2">
      <c r="F277" t="str">
        <f t="shared" si="39"/>
        <v/>
      </c>
      <c r="L277" s="7" t="str">
        <f t="shared" si="40"/>
        <v/>
      </c>
      <c r="N277" s="7" t="str">
        <f t="shared" si="41"/>
        <v/>
      </c>
      <c r="O277" t="str">
        <f t="shared" si="42"/>
        <v/>
      </c>
      <c r="P277" t="str">
        <f t="shared" si="43"/>
        <v/>
      </c>
      <c r="Q277" t="str">
        <f t="shared" si="44"/>
        <v/>
      </c>
      <c r="S277" t="str">
        <f>""</f>
        <v/>
      </c>
      <c r="AL277" s="18" t="str">
        <f>IF(COUNTIF($A$2:A276, A276) = 1, A276, "")</f>
        <v/>
      </c>
    </row>
    <row r="278" spans="6:38" x14ac:dyDescent="0.2">
      <c r="F278" t="str">
        <f t="shared" si="39"/>
        <v/>
      </c>
      <c r="L278" s="7" t="str">
        <f t="shared" si="40"/>
        <v/>
      </c>
      <c r="N278" s="7" t="str">
        <f t="shared" si="41"/>
        <v/>
      </c>
      <c r="O278" t="str">
        <f t="shared" si="42"/>
        <v/>
      </c>
      <c r="P278" t="str">
        <f t="shared" si="43"/>
        <v/>
      </c>
      <c r="Q278" t="str">
        <f t="shared" si="44"/>
        <v/>
      </c>
      <c r="S278" t="str">
        <f>""</f>
        <v/>
      </c>
      <c r="AL278" s="18" t="str">
        <f>IF(COUNTIF($A$2:A277, A277) = 1, A277, "")</f>
        <v/>
      </c>
    </row>
    <row r="279" spans="6:38" x14ac:dyDescent="0.2">
      <c r="F279" t="str">
        <f t="shared" si="39"/>
        <v/>
      </c>
      <c r="L279" s="7" t="str">
        <f t="shared" si="40"/>
        <v/>
      </c>
      <c r="N279" s="7" t="str">
        <f t="shared" si="41"/>
        <v/>
      </c>
      <c r="O279" t="str">
        <f t="shared" si="42"/>
        <v/>
      </c>
      <c r="P279" t="str">
        <f t="shared" si="43"/>
        <v/>
      </c>
      <c r="Q279" t="str">
        <f t="shared" si="44"/>
        <v/>
      </c>
      <c r="S279" t="str">
        <f>""</f>
        <v/>
      </c>
      <c r="AL279" s="18" t="str">
        <f>IF(COUNTIF($A$2:A278, A278) = 1, A278, "")</f>
        <v/>
      </c>
    </row>
    <row r="280" spans="6:38" x14ac:dyDescent="0.2">
      <c r="F280" t="str">
        <f t="shared" si="39"/>
        <v/>
      </c>
      <c r="L280" s="7" t="str">
        <f t="shared" si="40"/>
        <v/>
      </c>
      <c r="N280" s="7" t="str">
        <f t="shared" si="41"/>
        <v/>
      </c>
      <c r="O280" t="str">
        <f t="shared" si="42"/>
        <v/>
      </c>
      <c r="P280" t="str">
        <f t="shared" si="43"/>
        <v/>
      </c>
      <c r="Q280" t="str">
        <f t="shared" si="44"/>
        <v/>
      </c>
      <c r="S280" t="str">
        <f>""</f>
        <v/>
      </c>
      <c r="AL280" s="18" t="str">
        <f>IF(COUNTIF($A$2:A279, A279) = 1, A279, "")</f>
        <v/>
      </c>
    </row>
    <row r="281" spans="6:38" x14ac:dyDescent="0.2">
      <c r="F281" t="str">
        <f t="shared" si="39"/>
        <v/>
      </c>
      <c r="L281" s="7" t="str">
        <f t="shared" si="40"/>
        <v/>
      </c>
      <c r="N281" s="7" t="str">
        <f t="shared" si="41"/>
        <v/>
      </c>
      <c r="O281" t="str">
        <f t="shared" si="42"/>
        <v/>
      </c>
      <c r="P281" t="str">
        <f t="shared" si="43"/>
        <v/>
      </c>
      <c r="Q281" t="str">
        <f t="shared" si="44"/>
        <v/>
      </c>
      <c r="S281" t="str">
        <f>""</f>
        <v/>
      </c>
      <c r="AL281" s="18" t="str">
        <f>IF(COUNTIF($A$2:A280, A280) = 1, A280, "")</f>
        <v/>
      </c>
    </row>
    <row r="282" spans="6:38" x14ac:dyDescent="0.2">
      <c r="F282" t="str">
        <f t="shared" si="39"/>
        <v/>
      </c>
      <c r="L282" s="7" t="str">
        <f t="shared" si="40"/>
        <v/>
      </c>
      <c r="N282" s="7" t="str">
        <f t="shared" si="41"/>
        <v/>
      </c>
      <c r="O282" t="str">
        <f t="shared" si="42"/>
        <v/>
      </c>
      <c r="P282" t="str">
        <f t="shared" si="43"/>
        <v/>
      </c>
      <c r="Q282" t="str">
        <f t="shared" si="44"/>
        <v/>
      </c>
      <c r="S282" t="str">
        <f>""</f>
        <v/>
      </c>
      <c r="AL282" s="18" t="str">
        <f>IF(COUNTIF($A$2:A281, A281) = 1, A281, "")</f>
        <v/>
      </c>
    </row>
    <row r="283" spans="6:38" x14ac:dyDescent="0.2">
      <c r="F283" t="str">
        <f t="shared" si="39"/>
        <v/>
      </c>
      <c r="L283" s="7" t="str">
        <f t="shared" si="40"/>
        <v/>
      </c>
      <c r="N283" s="7" t="str">
        <f t="shared" si="41"/>
        <v/>
      </c>
      <c r="O283" t="str">
        <f t="shared" si="42"/>
        <v/>
      </c>
      <c r="P283" t="str">
        <f t="shared" si="43"/>
        <v/>
      </c>
      <c r="Q283" t="str">
        <f t="shared" si="44"/>
        <v/>
      </c>
      <c r="S283" t="str">
        <f>""</f>
        <v/>
      </c>
      <c r="AL283" s="18" t="str">
        <f>IF(COUNTIF($A$2:A282, A282) = 1, A282, "")</f>
        <v/>
      </c>
    </row>
    <row r="284" spans="6:38" x14ac:dyDescent="0.2">
      <c r="F284" t="str">
        <f t="shared" si="39"/>
        <v/>
      </c>
      <c r="L284" s="7" t="str">
        <f t="shared" si="40"/>
        <v/>
      </c>
      <c r="N284" s="7" t="str">
        <f t="shared" si="41"/>
        <v/>
      </c>
      <c r="O284" t="str">
        <f t="shared" si="42"/>
        <v/>
      </c>
      <c r="P284" t="str">
        <f t="shared" si="43"/>
        <v/>
      </c>
      <c r="Q284" t="str">
        <f t="shared" si="44"/>
        <v/>
      </c>
      <c r="S284" t="str">
        <f>""</f>
        <v/>
      </c>
      <c r="AL284" s="18" t="str">
        <f>IF(COUNTIF($A$2:A283, A283) = 1, A283, "")</f>
        <v/>
      </c>
    </row>
    <row r="285" spans="6:38" x14ac:dyDescent="0.2">
      <c r="F285" t="str">
        <f t="shared" si="39"/>
        <v/>
      </c>
      <c r="L285" s="7" t="str">
        <f t="shared" si="40"/>
        <v/>
      </c>
      <c r="N285" s="7" t="str">
        <f t="shared" si="41"/>
        <v/>
      </c>
      <c r="O285" t="str">
        <f t="shared" si="42"/>
        <v/>
      </c>
      <c r="P285" t="str">
        <f t="shared" si="43"/>
        <v/>
      </c>
      <c r="Q285" t="str">
        <f t="shared" si="44"/>
        <v/>
      </c>
      <c r="S285" t="str">
        <f>""</f>
        <v/>
      </c>
      <c r="AL285" s="18" t="str">
        <f>IF(COUNTIF($A$2:A284, A284) = 1, A284, "")</f>
        <v/>
      </c>
    </row>
    <row r="286" spans="6:38" x14ac:dyDescent="0.2">
      <c r="F286" t="str">
        <f t="shared" si="39"/>
        <v/>
      </c>
      <c r="L286" s="7" t="str">
        <f t="shared" si="40"/>
        <v/>
      </c>
      <c r="N286" s="7" t="str">
        <f t="shared" si="41"/>
        <v/>
      </c>
      <c r="O286" t="str">
        <f t="shared" si="42"/>
        <v/>
      </c>
      <c r="P286" t="str">
        <f t="shared" si="43"/>
        <v/>
      </c>
      <c r="Q286" t="str">
        <f t="shared" si="44"/>
        <v/>
      </c>
      <c r="S286" t="str">
        <f>""</f>
        <v/>
      </c>
      <c r="AL286" s="18" t="str">
        <f>IF(COUNTIF($A$2:A285, A285) = 1, A285, "")</f>
        <v/>
      </c>
    </row>
    <row r="287" spans="6:38" x14ac:dyDescent="0.2">
      <c r="F287" t="str">
        <f t="shared" si="39"/>
        <v/>
      </c>
      <c r="L287" s="7" t="str">
        <f t="shared" si="40"/>
        <v/>
      </c>
      <c r="N287" s="7" t="str">
        <f t="shared" si="41"/>
        <v/>
      </c>
      <c r="O287" t="str">
        <f t="shared" si="42"/>
        <v/>
      </c>
      <c r="P287" t="str">
        <f t="shared" si="43"/>
        <v/>
      </c>
      <c r="Q287" t="str">
        <f t="shared" si="44"/>
        <v/>
      </c>
      <c r="S287" t="str">
        <f>""</f>
        <v/>
      </c>
      <c r="AL287" s="18" t="str">
        <f>IF(COUNTIF($A$2:A286, A286) = 1, A286, "")</f>
        <v/>
      </c>
    </row>
    <row r="288" spans="6:38" x14ac:dyDescent="0.2">
      <c r="F288" t="str">
        <f t="shared" si="39"/>
        <v/>
      </c>
      <c r="L288" s="7" t="str">
        <f t="shared" si="40"/>
        <v/>
      </c>
      <c r="N288" s="7" t="str">
        <f t="shared" si="41"/>
        <v/>
      </c>
      <c r="O288" t="str">
        <f t="shared" si="42"/>
        <v/>
      </c>
      <c r="P288" t="str">
        <f t="shared" si="43"/>
        <v/>
      </c>
      <c r="Q288" t="str">
        <f t="shared" si="44"/>
        <v/>
      </c>
      <c r="S288" t="str">
        <f>""</f>
        <v/>
      </c>
      <c r="AL288" s="18" t="str">
        <f>IF(COUNTIF($A$2:A287, A287) = 1, A287, "")</f>
        <v/>
      </c>
    </row>
    <row r="289" spans="6:38" x14ac:dyDescent="0.2">
      <c r="F289" t="str">
        <f t="shared" si="39"/>
        <v/>
      </c>
      <c r="L289" s="7" t="str">
        <f t="shared" si="40"/>
        <v/>
      </c>
      <c r="N289" s="7" t="str">
        <f t="shared" si="41"/>
        <v/>
      </c>
      <c r="O289" t="str">
        <f t="shared" si="42"/>
        <v/>
      </c>
      <c r="P289" t="str">
        <f t="shared" si="43"/>
        <v/>
      </c>
      <c r="Q289" t="str">
        <f t="shared" si="44"/>
        <v/>
      </c>
      <c r="S289" t="str">
        <f>""</f>
        <v/>
      </c>
      <c r="AL289" s="18" t="str">
        <f>IF(COUNTIF($A$2:A288, A288) = 1, A288, "")</f>
        <v/>
      </c>
    </row>
    <row r="290" spans="6:38" x14ac:dyDescent="0.2">
      <c r="F290" t="str">
        <f t="shared" si="39"/>
        <v/>
      </c>
      <c r="L290" s="7" t="str">
        <f t="shared" si="40"/>
        <v/>
      </c>
      <c r="N290" s="7" t="str">
        <f t="shared" si="41"/>
        <v/>
      </c>
      <c r="O290" t="str">
        <f t="shared" si="42"/>
        <v/>
      </c>
      <c r="P290" t="str">
        <f t="shared" si="43"/>
        <v/>
      </c>
      <c r="Q290" t="str">
        <f t="shared" si="44"/>
        <v/>
      </c>
      <c r="S290" t="str">
        <f>""</f>
        <v/>
      </c>
      <c r="AL290" s="18" t="str">
        <f>IF(COUNTIF($A$2:A289, A289) = 1, A289, "")</f>
        <v/>
      </c>
    </row>
    <row r="291" spans="6:38" x14ac:dyDescent="0.2">
      <c r="F291" t="str">
        <f t="shared" si="39"/>
        <v/>
      </c>
      <c r="L291" s="7" t="str">
        <f t="shared" si="40"/>
        <v/>
      </c>
      <c r="N291" s="7" t="str">
        <f t="shared" si="41"/>
        <v/>
      </c>
      <c r="O291" t="str">
        <f t="shared" si="42"/>
        <v/>
      </c>
      <c r="P291" t="str">
        <f t="shared" si="43"/>
        <v/>
      </c>
      <c r="Q291" t="str">
        <f t="shared" si="44"/>
        <v/>
      </c>
      <c r="S291" t="str">
        <f>""</f>
        <v/>
      </c>
      <c r="AL291" s="18" t="str">
        <f>IF(COUNTIF($A$2:A290, A290) = 1, A290, "")</f>
        <v/>
      </c>
    </row>
    <row r="292" spans="6:38" x14ac:dyDescent="0.2">
      <c r="F292" t="str">
        <f t="shared" si="39"/>
        <v/>
      </c>
      <c r="L292" s="7" t="str">
        <f t="shared" si="40"/>
        <v/>
      </c>
      <c r="N292" s="7" t="str">
        <f t="shared" si="41"/>
        <v/>
      </c>
      <c r="O292" t="str">
        <f t="shared" si="42"/>
        <v/>
      </c>
      <c r="P292" t="str">
        <f t="shared" si="43"/>
        <v/>
      </c>
      <c r="Q292" t="str">
        <f t="shared" si="44"/>
        <v/>
      </c>
      <c r="S292" t="str">
        <f>""</f>
        <v/>
      </c>
      <c r="AL292" s="18" t="str">
        <f>IF(COUNTIF($A$2:A291, A291) = 1, A291, "")</f>
        <v/>
      </c>
    </row>
    <row r="293" spans="6:38" x14ac:dyDescent="0.2">
      <c r="F293" t="str">
        <f t="shared" si="39"/>
        <v/>
      </c>
      <c r="L293" s="7" t="str">
        <f t="shared" si="40"/>
        <v/>
      </c>
      <c r="N293" s="7" t="str">
        <f t="shared" si="41"/>
        <v/>
      </c>
      <c r="O293" t="str">
        <f t="shared" si="42"/>
        <v/>
      </c>
      <c r="P293" t="str">
        <f t="shared" si="43"/>
        <v/>
      </c>
      <c r="Q293" t="str">
        <f t="shared" si="44"/>
        <v/>
      </c>
      <c r="S293" t="str">
        <f>""</f>
        <v/>
      </c>
      <c r="AL293" s="18" t="str">
        <f>IF(COUNTIF($A$2:A292, A292) = 1, A292, "")</f>
        <v/>
      </c>
    </row>
    <row r="294" spans="6:38" x14ac:dyDescent="0.2">
      <c r="F294" t="str">
        <f t="shared" si="39"/>
        <v/>
      </c>
      <c r="L294" s="7" t="str">
        <f t="shared" si="40"/>
        <v/>
      </c>
      <c r="N294" s="7" t="str">
        <f t="shared" si="41"/>
        <v/>
      </c>
      <c r="O294" t="str">
        <f t="shared" si="42"/>
        <v/>
      </c>
      <c r="P294" t="str">
        <f t="shared" si="43"/>
        <v/>
      </c>
      <c r="Q294" t="str">
        <f t="shared" si="44"/>
        <v/>
      </c>
      <c r="S294" t="str">
        <f>""</f>
        <v/>
      </c>
      <c r="AL294" s="18" t="str">
        <f>IF(COUNTIF($A$2:A293, A293) = 1, A293, "")</f>
        <v/>
      </c>
    </row>
    <row r="295" spans="6:38" x14ac:dyDescent="0.2">
      <c r="F295" t="str">
        <f t="shared" si="39"/>
        <v/>
      </c>
      <c r="L295" s="7" t="str">
        <f t="shared" si="40"/>
        <v/>
      </c>
      <c r="N295" s="7" t="str">
        <f t="shared" si="41"/>
        <v/>
      </c>
      <c r="O295" t="str">
        <f t="shared" si="42"/>
        <v/>
      </c>
      <c r="P295" t="str">
        <f t="shared" si="43"/>
        <v/>
      </c>
      <c r="Q295" t="str">
        <f t="shared" si="44"/>
        <v/>
      </c>
      <c r="S295" t="str">
        <f>""</f>
        <v/>
      </c>
      <c r="AL295" s="18" t="str">
        <f>IF(COUNTIF($A$2:A294, A294) = 1, A294, "")</f>
        <v/>
      </c>
    </row>
    <row r="296" spans="6:38" x14ac:dyDescent="0.2">
      <c r="F296" t="str">
        <f t="shared" si="39"/>
        <v/>
      </c>
      <c r="L296" s="7" t="str">
        <f t="shared" si="40"/>
        <v/>
      </c>
      <c r="N296" s="7" t="str">
        <f t="shared" si="41"/>
        <v/>
      </c>
      <c r="O296" t="str">
        <f t="shared" si="42"/>
        <v/>
      </c>
      <c r="P296" t="str">
        <f t="shared" si="43"/>
        <v/>
      </c>
      <c r="Q296" t="str">
        <f t="shared" si="44"/>
        <v/>
      </c>
      <c r="S296" t="str">
        <f>""</f>
        <v/>
      </c>
      <c r="AL296" s="18" t="str">
        <f>IF(COUNTIF($A$2:A295, A295) = 1, A295, "")</f>
        <v/>
      </c>
    </row>
    <row r="297" spans="6:38" x14ac:dyDescent="0.2">
      <c r="F297" t="str">
        <f t="shared" si="39"/>
        <v/>
      </c>
      <c r="L297" s="7" t="str">
        <f t="shared" si="40"/>
        <v/>
      </c>
      <c r="N297" s="7" t="str">
        <f t="shared" si="41"/>
        <v/>
      </c>
      <c r="O297" t="str">
        <f t="shared" si="42"/>
        <v/>
      </c>
      <c r="P297" t="str">
        <f t="shared" si="43"/>
        <v/>
      </c>
      <c r="Q297" t="str">
        <f t="shared" si="44"/>
        <v/>
      </c>
      <c r="S297" t="str">
        <f>""</f>
        <v/>
      </c>
      <c r="AL297" s="18" t="str">
        <f>IF(COUNTIF($A$2:A296, A296) = 1, A296, "")</f>
        <v/>
      </c>
    </row>
    <row r="298" spans="6:38" x14ac:dyDescent="0.2">
      <c r="F298" t="str">
        <f t="shared" si="39"/>
        <v/>
      </c>
      <c r="L298" s="7" t="str">
        <f t="shared" si="40"/>
        <v/>
      </c>
      <c r="N298" s="7" t="str">
        <f t="shared" si="41"/>
        <v/>
      </c>
      <c r="O298" t="str">
        <f t="shared" si="42"/>
        <v/>
      </c>
      <c r="P298" t="str">
        <f t="shared" si="43"/>
        <v/>
      </c>
      <c r="Q298" t="str">
        <f t="shared" si="44"/>
        <v/>
      </c>
      <c r="S298" t="str">
        <f>""</f>
        <v/>
      </c>
      <c r="AL298" s="18" t="str">
        <f>IF(COUNTIF($A$2:A297, A297) = 1, A297, "")</f>
        <v/>
      </c>
    </row>
    <row r="299" spans="6:38" x14ac:dyDescent="0.2">
      <c r="F299" t="str">
        <f t="shared" si="39"/>
        <v/>
      </c>
      <c r="L299" s="7" t="str">
        <f t="shared" si="40"/>
        <v/>
      </c>
      <c r="N299" s="7" t="str">
        <f t="shared" si="41"/>
        <v/>
      </c>
      <c r="O299" t="str">
        <f t="shared" si="42"/>
        <v/>
      </c>
      <c r="P299" t="str">
        <f t="shared" si="43"/>
        <v/>
      </c>
      <c r="Q299" t="str">
        <f t="shared" si="44"/>
        <v/>
      </c>
      <c r="S299" t="str">
        <f>""</f>
        <v/>
      </c>
      <c r="AL299" s="18" t="str">
        <f>IF(COUNTIF($A$2:A298, A298) = 1, A298, "")</f>
        <v/>
      </c>
    </row>
    <row r="300" spans="6:38" x14ac:dyDescent="0.2">
      <c r="F300" t="str">
        <f t="shared" si="39"/>
        <v/>
      </c>
      <c r="L300" s="7" t="str">
        <f t="shared" si="40"/>
        <v/>
      </c>
      <c r="N300" s="7" t="str">
        <f t="shared" si="41"/>
        <v/>
      </c>
      <c r="O300" t="str">
        <f t="shared" si="42"/>
        <v/>
      </c>
      <c r="P300" t="str">
        <f t="shared" si="43"/>
        <v/>
      </c>
      <c r="Q300" t="str">
        <f t="shared" si="44"/>
        <v/>
      </c>
      <c r="S300" t="str">
        <f>""</f>
        <v/>
      </c>
      <c r="AL300" s="18" t="str">
        <f>IF(COUNTIF($A$2:A299, A299) = 1, A299, "")</f>
        <v/>
      </c>
    </row>
    <row r="301" spans="6:38" x14ac:dyDescent="0.2">
      <c r="F301" t="str">
        <f t="shared" si="39"/>
        <v/>
      </c>
      <c r="L301" s="7" t="str">
        <f t="shared" si="40"/>
        <v/>
      </c>
      <c r="N301" s="7" t="str">
        <f t="shared" si="41"/>
        <v/>
      </c>
      <c r="O301" t="str">
        <f t="shared" si="42"/>
        <v/>
      </c>
      <c r="P301" t="str">
        <f t="shared" si="43"/>
        <v/>
      </c>
      <c r="Q301" t="str">
        <f t="shared" si="44"/>
        <v/>
      </c>
      <c r="S301" t="str">
        <f>""</f>
        <v/>
      </c>
      <c r="AL301" s="18" t="str">
        <f>IF(COUNTIF($A$2:A300, A300) = 1, A300, "")</f>
        <v/>
      </c>
    </row>
    <row r="302" spans="6:38" x14ac:dyDescent="0.2">
      <c r="F302" t="str">
        <f t="shared" si="39"/>
        <v/>
      </c>
      <c r="L302" s="7" t="str">
        <f t="shared" si="40"/>
        <v/>
      </c>
      <c r="N302" s="7" t="str">
        <f t="shared" si="41"/>
        <v/>
      </c>
      <c r="O302" t="str">
        <f t="shared" si="42"/>
        <v/>
      </c>
      <c r="P302" t="str">
        <f t="shared" si="43"/>
        <v/>
      </c>
      <c r="Q302" t="str">
        <f t="shared" si="44"/>
        <v/>
      </c>
      <c r="S302" t="str">
        <f>""</f>
        <v/>
      </c>
      <c r="AL302" s="18" t="str">
        <f>IF(COUNTIF($A$2:A301, A301) = 1, A301, "")</f>
        <v/>
      </c>
    </row>
    <row r="303" spans="6:38" x14ac:dyDescent="0.2">
      <c r="F303" t="str">
        <f t="shared" si="39"/>
        <v/>
      </c>
      <c r="L303" s="7" t="str">
        <f t="shared" si="40"/>
        <v/>
      </c>
      <c r="N303" s="7" t="str">
        <f t="shared" si="41"/>
        <v/>
      </c>
      <c r="O303" t="str">
        <f t="shared" si="42"/>
        <v/>
      </c>
      <c r="P303" t="str">
        <f t="shared" si="43"/>
        <v/>
      </c>
      <c r="Q303" t="str">
        <f t="shared" si="44"/>
        <v/>
      </c>
      <c r="S303" t="str">
        <f>""</f>
        <v/>
      </c>
      <c r="AL303" s="18" t="str">
        <f>IF(COUNTIF($A$2:A302, A302) = 1, A302, "")</f>
        <v/>
      </c>
    </row>
    <row r="304" spans="6:38" x14ac:dyDescent="0.2">
      <c r="F304" t="str">
        <f t="shared" si="39"/>
        <v/>
      </c>
      <c r="L304" s="7" t="str">
        <f t="shared" si="40"/>
        <v/>
      </c>
      <c r="N304" s="7" t="str">
        <f t="shared" si="41"/>
        <v/>
      </c>
      <c r="O304" t="str">
        <f t="shared" si="42"/>
        <v/>
      </c>
      <c r="P304" t="str">
        <f t="shared" si="43"/>
        <v/>
      </c>
      <c r="Q304" t="str">
        <f t="shared" si="44"/>
        <v/>
      </c>
      <c r="S304" t="str">
        <f>""</f>
        <v/>
      </c>
      <c r="AL304" s="18" t="str">
        <f>IF(COUNTIF($A$2:A303, A303) = 1, A303, "")</f>
        <v/>
      </c>
    </row>
    <row r="305" spans="6:38" x14ac:dyDescent="0.2">
      <c r="F305" t="str">
        <f t="shared" si="39"/>
        <v/>
      </c>
      <c r="L305" s="7" t="str">
        <f t="shared" si="40"/>
        <v/>
      </c>
      <c r="N305" s="7" t="str">
        <f t="shared" si="41"/>
        <v/>
      </c>
      <c r="O305" t="str">
        <f t="shared" si="42"/>
        <v/>
      </c>
      <c r="P305" t="str">
        <f t="shared" si="43"/>
        <v/>
      </c>
      <c r="Q305" t="str">
        <f t="shared" si="44"/>
        <v/>
      </c>
      <c r="S305" t="str">
        <f>""</f>
        <v/>
      </c>
      <c r="AL305" s="18" t="str">
        <f>IF(COUNTIF($A$2:A304, A304) = 1, A304, "")</f>
        <v/>
      </c>
    </row>
    <row r="306" spans="6:38" x14ac:dyDescent="0.2">
      <c r="F306" t="str">
        <f t="shared" si="39"/>
        <v/>
      </c>
      <c r="L306" s="7" t="str">
        <f t="shared" si="40"/>
        <v/>
      </c>
      <c r="N306" s="7" t="str">
        <f t="shared" si="41"/>
        <v/>
      </c>
      <c r="O306" t="str">
        <f t="shared" si="42"/>
        <v/>
      </c>
      <c r="P306" t="str">
        <f t="shared" si="43"/>
        <v/>
      </c>
      <c r="Q306" t="str">
        <f t="shared" si="44"/>
        <v/>
      </c>
      <c r="S306" t="str">
        <f>""</f>
        <v/>
      </c>
      <c r="AL306" s="18" t="str">
        <f>IF(COUNTIF($A$2:A305, A305) = 1, A305, "")</f>
        <v/>
      </c>
    </row>
    <row r="307" spans="6:38" x14ac:dyDescent="0.2">
      <c r="F307" t="str">
        <f t="shared" si="39"/>
        <v/>
      </c>
      <c r="L307" s="7" t="str">
        <f t="shared" si="40"/>
        <v/>
      </c>
      <c r="N307" s="7" t="str">
        <f t="shared" si="41"/>
        <v/>
      </c>
      <c r="O307" t="str">
        <f t="shared" si="42"/>
        <v/>
      </c>
      <c r="P307" t="str">
        <f t="shared" si="43"/>
        <v/>
      </c>
      <c r="Q307" t="str">
        <f t="shared" si="44"/>
        <v/>
      </c>
      <c r="S307" t="str">
        <f>""</f>
        <v/>
      </c>
      <c r="AL307" s="18" t="str">
        <f>IF(COUNTIF($A$2:A306, A306) = 1, A306, "")</f>
        <v/>
      </c>
    </row>
    <row r="308" spans="6:38" x14ac:dyDescent="0.2">
      <c r="F308" t="str">
        <f t="shared" si="39"/>
        <v/>
      </c>
      <c r="L308" s="7" t="str">
        <f t="shared" si="40"/>
        <v/>
      </c>
      <c r="N308" s="7" t="str">
        <f t="shared" si="41"/>
        <v/>
      </c>
      <c r="O308" t="str">
        <f t="shared" si="42"/>
        <v/>
      </c>
      <c r="P308" t="str">
        <f t="shared" si="43"/>
        <v/>
      </c>
      <c r="Q308" t="str">
        <f t="shared" si="44"/>
        <v/>
      </c>
      <c r="S308" t="str">
        <f>""</f>
        <v/>
      </c>
      <c r="AL308" s="18" t="str">
        <f>IF(COUNTIF($A$2:A307, A307) = 1, A307, "")</f>
        <v/>
      </c>
    </row>
    <row r="309" spans="6:38" x14ac:dyDescent="0.2">
      <c r="F309" t="str">
        <f t="shared" si="39"/>
        <v/>
      </c>
      <c r="L309" s="7" t="str">
        <f t="shared" si="40"/>
        <v/>
      </c>
      <c r="N309" s="7" t="str">
        <f t="shared" si="41"/>
        <v/>
      </c>
      <c r="O309" t="str">
        <f t="shared" si="42"/>
        <v/>
      </c>
      <c r="P309" t="str">
        <f t="shared" si="43"/>
        <v/>
      </c>
      <c r="Q309" t="str">
        <f t="shared" si="44"/>
        <v/>
      </c>
      <c r="S309" t="str">
        <f>""</f>
        <v/>
      </c>
      <c r="AL309" s="18" t="str">
        <f>IF(COUNTIF($A$2:A308, A308) = 1, A308, "")</f>
        <v/>
      </c>
    </row>
    <row r="310" spans="6:38" x14ac:dyDescent="0.2">
      <c r="F310" t="str">
        <f t="shared" si="39"/>
        <v/>
      </c>
      <c r="L310" s="7" t="str">
        <f t="shared" si="40"/>
        <v/>
      </c>
      <c r="N310" s="7" t="str">
        <f t="shared" si="41"/>
        <v/>
      </c>
      <c r="O310" t="str">
        <f t="shared" si="42"/>
        <v/>
      </c>
      <c r="P310" t="str">
        <f t="shared" si="43"/>
        <v/>
      </c>
      <c r="Q310" t="str">
        <f t="shared" si="44"/>
        <v/>
      </c>
      <c r="S310" t="str">
        <f>""</f>
        <v/>
      </c>
      <c r="AL310" s="18" t="str">
        <f>IF(COUNTIF($A$2:A309, A309) = 1, A309, "")</f>
        <v/>
      </c>
    </row>
    <row r="311" spans="6:38" x14ac:dyDescent="0.2">
      <c r="F311" t="str">
        <f t="shared" si="39"/>
        <v/>
      </c>
      <c r="L311" s="7" t="str">
        <f t="shared" si="40"/>
        <v/>
      </c>
      <c r="N311" s="7" t="str">
        <f t="shared" si="41"/>
        <v/>
      </c>
      <c r="O311" t="str">
        <f t="shared" si="42"/>
        <v/>
      </c>
      <c r="P311" t="str">
        <f t="shared" si="43"/>
        <v/>
      </c>
      <c r="Q311" t="str">
        <f t="shared" si="44"/>
        <v/>
      </c>
      <c r="S311" t="str">
        <f>""</f>
        <v/>
      </c>
      <c r="AL311" s="18" t="str">
        <f>IF(COUNTIF($A$2:A310, A310) = 1, A310, "")</f>
        <v/>
      </c>
    </row>
    <row r="312" spans="6:38" x14ac:dyDescent="0.2">
      <c r="F312" t="str">
        <f t="shared" si="39"/>
        <v/>
      </c>
      <c r="L312" s="7" t="str">
        <f t="shared" si="40"/>
        <v/>
      </c>
      <c r="N312" s="7" t="str">
        <f t="shared" si="41"/>
        <v/>
      </c>
      <c r="O312" t="str">
        <f t="shared" si="42"/>
        <v/>
      </c>
      <c r="P312" t="str">
        <f t="shared" si="43"/>
        <v/>
      </c>
      <c r="Q312" t="str">
        <f t="shared" si="44"/>
        <v/>
      </c>
      <c r="S312" t="str">
        <f>""</f>
        <v/>
      </c>
      <c r="AL312" s="18" t="str">
        <f>IF(COUNTIF($A$2:A311, A311) = 1, A311, "")</f>
        <v/>
      </c>
    </row>
    <row r="313" spans="6:38" x14ac:dyDescent="0.2">
      <c r="F313" t="str">
        <f t="shared" si="39"/>
        <v/>
      </c>
      <c r="L313" s="7" t="str">
        <f t="shared" si="40"/>
        <v/>
      </c>
      <c r="N313" s="7" t="str">
        <f t="shared" si="41"/>
        <v/>
      </c>
      <c r="O313" t="str">
        <f t="shared" si="42"/>
        <v/>
      </c>
      <c r="P313" t="str">
        <f t="shared" si="43"/>
        <v/>
      </c>
      <c r="Q313" t="str">
        <f t="shared" si="44"/>
        <v/>
      </c>
      <c r="S313" t="str">
        <f>""</f>
        <v/>
      </c>
      <c r="AL313" s="18" t="str">
        <f>IF(COUNTIF($A$2:A312, A312) = 1, A312, "")</f>
        <v/>
      </c>
    </row>
    <row r="314" spans="6:38" x14ac:dyDescent="0.2">
      <c r="F314" t="str">
        <f t="shared" si="39"/>
        <v/>
      </c>
      <c r="L314" s="7" t="str">
        <f t="shared" si="40"/>
        <v/>
      </c>
      <c r="N314" s="7" t="str">
        <f t="shared" si="41"/>
        <v/>
      </c>
      <c r="O314" t="str">
        <f t="shared" si="42"/>
        <v/>
      </c>
      <c r="P314" t="str">
        <f t="shared" si="43"/>
        <v/>
      </c>
      <c r="Q314" t="str">
        <f t="shared" si="44"/>
        <v/>
      </c>
      <c r="S314" t="str">
        <f>""</f>
        <v/>
      </c>
      <c r="AL314" s="18" t="str">
        <f>IF(COUNTIF($A$2:A313, A313) = 1, A313, "")</f>
        <v/>
      </c>
    </row>
    <row r="315" spans="6:38" x14ac:dyDescent="0.2">
      <c r="F315" t="str">
        <f t="shared" si="39"/>
        <v/>
      </c>
      <c r="L315" s="7" t="str">
        <f t="shared" si="40"/>
        <v/>
      </c>
      <c r="N315" s="7" t="str">
        <f t="shared" si="41"/>
        <v/>
      </c>
      <c r="O315" t="str">
        <f t="shared" si="42"/>
        <v/>
      </c>
      <c r="P315" t="str">
        <f t="shared" si="43"/>
        <v/>
      </c>
      <c r="Q315" t="str">
        <f t="shared" si="44"/>
        <v/>
      </c>
      <c r="S315" t="str">
        <f>""</f>
        <v/>
      </c>
      <c r="AL315" s="18" t="str">
        <f>IF(COUNTIF($A$2:A314, A314) = 1, A314, "")</f>
        <v/>
      </c>
    </row>
    <row r="316" spans="6:38" x14ac:dyDescent="0.2">
      <c r="F316" t="str">
        <f t="shared" si="39"/>
        <v/>
      </c>
      <c r="L316" s="7" t="str">
        <f t="shared" si="40"/>
        <v/>
      </c>
      <c r="N316" s="7" t="str">
        <f t="shared" si="41"/>
        <v/>
      </c>
      <c r="O316" t="str">
        <f t="shared" si="42"/>
        <v/>
      </c>
      <c r="P316" t="str">
        <f t="shared" si="43"/>
        <v/>
      </c>
      <c r="Q316" t="str">
        <f t="shared" si="44"/>
        <v/>
      </c>
      <c r="S316" t="str">
        <f>""</f>
        <v/>
      </c>
      <c r="AL316" s="18" t="str">
        <f>IF(COUNTIF($A$2:A315, A315) = 1, A315, "")</f>
        <v/>
      </c>
    </row>
    <row r="317" spans="6:38" x14ac:dyDescent="0.2">
      <c r="F317" t="str">
        <f t="shared" si="39"/>
        <v/>
      </c>
      <c r="L317" s="7" t="str">
        <f t="shared" si="40"/>
        <v/>
      </c>
      <c r="N317" s="7" t="str">
        <f t="shared" si="41"/>
        <v/>
      </c>
      <c r="O317" t="str">
        <f t="shared" si="42"/>
        <v/>
      </c>
      <c r="P317" t="str">
        <f t="shared" si="43"/>
        <v/>
      </c>
      <c r="Q317" t="str">
        <f t="shared" si="44"/>
        <v/>
      </c>
      <c r="S317" t="str">
        <f>""</f>
        <v/>
      </c>
      <c r="AL317" s="18" t="str">
        <f>IF(COUNTIF($A$2:A316, A316) = 1, A316, "")</f>
        <v/>
      </c>
    </row>
    <row r="318" spans="6:38" x14ac:dyDescent="0.2">
      <c r="F318" t="str">
        <f t="shared" si="39"/>
        <v/>
      </c>
      <c r="L318" s="7" t="str">
        <f t="shared" si="40"/>
        <v/>
      </c>
      <c r="N318" s="7" t="str">
        <f t="shared" si="41"/>
        <v/>
      </c>
      <c r="O318" t="str">
        <f t="shared" si="42"/>
        <v/>
      </c>
      <c r="P318" t="str">
        <f t="shared" si="43"/>
        <v/>
      </c>
      <c r="Q318" t="str">
        <f t="shared" si="44"/>
        <v/>
      </c>
      <c r="S318" t="str">
        <f>""</f>
        <v/>
      </c>
      <c r="AL318" s="18" t="str">
        <f>IF(COUNTIF($A$2:A317, A317) = 1, A317, "")</f>
        <v/>
      </c>
    </row>
    <row r="319" spans="6:38" x14ac:dyDescent="0.2">
      <c r="F319" t="str">
        <f t="shared" si="39"/>
        <v/>
      </c>
      <c r="L319" s="7" t="str">
        <f t="shared" si="40"/>
        <v/>
      </c>
      <c r="N319" s="7" t="str">
        <f t="shared" si="41"/>
        <v/>
      </c>
      <c r="O319" t="str">
        <f t="shared" si="42"/>
        <v/>
      </c>
      <c r="P319" t="str">
        <f t="shared" si="43"/>
        <v/>
      </c>
      <c r="Q319" t="str">
        <f t="shared" si="44"/>
        <v/>
      </c>
      <c r="S319" t="str">
        <f>""</f>
        <v/>
      </c>
      <c r="AL319" s="18" t="str">
        <f>IF(COUNTIF($A$2:A318, A318) = 1, A318, "")</f>
        <v/>
      </c>
    </row>
    <row r="320" spans="6:38" x14ac:dyDescent="0.2">
      <c r="F320" t="str">
        <f t="shared" si="39"/>
        <v/>
      </c>
      <c r="L320" s="7" t="str">
        <f t="shared" si="40"/>
        <v/>
      </c>
      <c r="N320" s="7" t="str">
        <f t="shared" si="41"/>
        <v/>
      </c>
      <c r="O320" t="str">
        <f t="shared" si="42"/>
        <v/>
      </c>
      <c r="P320" t="str">
        <f t="shared" si="43"/>
        <v/>
      </c>
      <c r="Q320" t="str">
        <f t="shared" si="44"/>
        <v/>
      </c>
      <c r="S320" t="str">
        <f>""</f>
        <v/>
      </c>
      <c r="AL320" s="18" t="str">
        <f>IF(COUNTIF($A$2:A319, A319) = 1, A319, "")</f>
        <v/>
      </c>
    </row>
    <row r="321" spans="6:38" x14ac:dyDescent="0.2">
      <c r="F321" t="str">
        <f t="shared" si="39"/>
        <v/>
      </c>
      <c r="L321" s="7" t="str">
        <f t="shared" si="40"/>
        <v/>
      </c>
      <c r="N321" s="7" t="str">
        <f t="shared" si="41"/>
        <v/>
      </c>
      <c r="O321" t="str">
        <f t="shared" si="42"/>
        <v/>
      </c>
      <c r="P321" t="str">
        <f t="shared" si="43"/>
        <v/>
      </c>
      <c r="Q321" t="str">
        <f t="shared" si="44"/>
        <v/>
      </c>
      <c r="S321" t="str">
        <f>""</f>
        <v/>
      </c>
      <c r="AL321" s="18" t="str">
        <f>IF(COUNTIF($A$2:A320, A320) = 1, A320, "")</f>
        <v/>
      </c>
    </row>
    <row r="322" spans="6:38" x14ac:dyDescent="0.2">
      <c r="F322" t="str">
        <f t="shared" si="39"/>
        <v/>
      </c>
      <c r="L322" s="7" t="str">
        <f t="shared" si="40"/>
        <v/>
      </c>
      <c r="N322" s="7" t="str">
        <f t="shared" si="41"/>
        <v/>
      </c>
      <c r="O322" t="str">
        <f t="shared" si="42"/>
        <v/>
      </c>
      <c r="P322" t="str">
        <f t="shared" si="43"/>
        <v/>
      </c>
      <c r="Q322" t="str">
        <f t="shared" si="44"/>
        <v/>
      </c>
      <c r="S322" t="str">
        <f>""</f>
        <v/>
      </c>
      <c r="AL322" s="18" t="str">
        <f>IF(COUNTIF($A$2:A321, A321) = 1, A321, "")</f>
        <v/>
      </c>
    </row>
    <row r="323" spans="6:38" x14ac:dyDescent="0.2">
      <c r="F323" t="str">
        <f t="shared" si="39"/>
        <v/>
      </c>
      <c r="L323" s="7" t="str">
        <f t="shared" si="40"/>
        <v/>
      </c>
      <c r="N323" s="7" t="str">
        <f t="shared" si="41"/>
        <v/>
      </c>
      <c r="O323" t="str">
        <f t="shared" si="42"/>
        <v/>
      </c>
      <c r="P323" t="str">
        <f t="shared" si="43"/>
        <v/>
      </c>
      <c r="Q323" t="str">
        <f t="shared" si="44"/>
        <v/>
      </c>
      <c r="S323" t="str">
        <f>""</f>
        <v/>
      </c>
      <c r="AL323" s="18" t="str">
        <f>IF(COUNTIF($A$2:A322, A322) = 1, A322, "")</f>
        <v/>
      </c>
    </row>
    <row r="324" spans="6:38" x14ac:dyDescent="0.2">
      <c r="F324" t="str">
        <f t="shared" si="39"/>
        <v/>
      </c>
      <c r="L324" s="7" t="str">
        <f t="shared" si="40"/>
        <v/>
      </c>
      <c r="N324" s="7" t="str">
        <f t="shared" si="41"/>
        <v/>
      </c>
      <c r="O324" t="str">
        <f t="shared" si="42"/>
        <v/>
      </c>
      <c r="P324" t="str">
        <f t="shared" si="43"/>
        <v/>
      </c>
      <c r="Q324" t="str">
        <f t="shared" si="44"/>
        <v/>
      </c>
      <c r="S324" t="str">
        <f>""</f>
        <v/>
      </c>
      <c r="AL324" s="18" t="str">
        <f>IF(COUNTIF($A$2:A323, A323) = 1, A323, "")</f>
        <v/>
      </c>
    </row>
    <row r="325" spans="6:38" x14ac:dyDescent="0.2">
      <c r="F325" t="str">
        <f t="shared" si="39"/>
        <v/>
      </c>
      <c r="L325" s="7" t="str">
        <f t="shared" si="40"/>
        <v/>
      </c>
      <c r="N325" s="7" t="str">
        <f t="shared" si="41"/>
        <v/>
      </c>
      <c r="O325" t="str">
        <f t="shared" si="42"/>
        <v/>
      </c>
      <c r="P325" t="str">
        <f t="shared" si="43"/>
        <v/>
      </c>
      <c r="Q325" t="str">
        <f t="shared" si="44"/>
        <v/>
      </c>
      <c r="S325" t="str">
        <f>""</f>
        <v/>
      </c>
      <c r="AL325" s="18" t="str">
        <f>IF(COUNTIF($A$2:A324, A324) = 1, A324, "")</f>
        <v/>
      </c>
    </row>
    <row r="326" spans="6:38" x14ac:dyDescent="0.2">
      <c r="F326" t="str">
        <f t="shared" si="39"/>
        <v/>
      </c>
      <c r="L326" s="7" t="str">
        <f t="shared" si="40"/>
        <v/>
      </c>
      <c r="N326" s="7" t="str">
        <f t="shared" si="41"/>
        <v/>
      </c>
      <c r="O326" t="str">
        <f t="shared" si="42"/>
        <v/>
      </c>
      <c r="P326" t="str">
        <f t="shared" si="43"/>
        <v/>
      </c>
      <c r="Q326" t="str">
        <f t="shared" si="44"/>
        <v/>
      </c>
      <c r="S326" t="str">
        <f>""</f>
        <v/>
      </c>
      <c r="AL326" s="18" t="str">
        <f>IF(COUNTIF($A$2:A325, A325) = 1, A325, "")</f>
        <v/>
      </c>
    </row>
    <row r="327" spans="6:38" x14ac:dyDescent="0.2">
      <c r="F327" t="str">
        <f t="shared" si="39"/>
        <v/>
      </c>
      <c r="L327" s="7" t="str">
        <f t="shared" si="40"/>
        <v/>
      </c>
      <c r="N327" s="7" t="str">
        <f t="shared" si="41"/>
        <v/>
      </c>
      <c r="O327" t="str">
        <f t="shared" si="42"/>
        <v/>
      </c>
      <c r="P327" t="str">
        <f t="shared" si="43"/>
        <v/>
      </c>
      <c r="Q327" t="str">
        <f t="shared" si="44"/>
        <v/>
      </c>
      <c r="S327" t="str">
        <f>""</f>
        <v/>
      </c>
      <c r="AL327" s="18" t="str">
        <f>IF(COUNTIF($A$2:A326, A326) = 1, A326, "")</f>
        <v/>
      </c>
    </row>
    <row r="328" spans="6:38" x14ac:dyDescent="0.2">
      <c r="F328" t="str">
        <f t="shared" si="39"/>
        <v/>
      </c>
      <c r="L328" s="7" t="str">
        <f t="shared" si="40"/>
        <v/>
      </c>
      <c r="N328" s="7" t="str">
        <f t="shared" si="41"/>
        <v/>
      </c>
      <c r="O328" t="str">
        <f t="shared" si="42"/>
        <v/>
      </c>
      <c r="P328" t="str">
        <f t="shared" si="43"/>
        <v/>
      </c>
      <c r="Q328" t="str">
        <f t="shared" si="44"/>
        <v/>
      </c>
      <c r="S328" t="str">
        <f>""</f>
        <v/>
      </c>
      <c r="AL328" s="18" t="str">
        <f>IF(COUNTIF($A$2:A327, A327) = 1, A327, "")</f>
        <v/>
      </c>
    </row>
    <row r="329" spans="6:38" x14ac:dyDescent="0.2">
      <c r="F329" t="str">
        <f t="shared" si="39"/>
        <v/>
      </c>
      <c r="L329" s="7" t="str">
        <f t="shared" si="40"/>
        <v/>
      </c>
      <c r="N329" s="7" t="str">
        <f t="shared" si="41"/>
        <v/>
      </c>
      <c r="O329" t="str">
        <f t="shared" si="42"/>
        <v/>
      </c>
      <c r="P329" t="str">
        <f t="shared" si="43"/>
        <v/>
      </c>
      <c r="Q329" t="str">
        <f t="shared" si="44"/>
        <v/>
      </c>
      <c r="S329" t="str">
        <f>""</f>
        <v/>
      </c>
      <c r="AL329" s="18" t="str">
        <f>IF(COUNTIF($A$2:A328, A328) = 1, A328, "")</f>
        <v/>
      </c>
    </row>
    <row r="330" spans="6:38" x14ac:dyDescent="0.2">
      <c r="F330" t="str">
        <f t="shared" si="39"/>
        <v/>
      </c>
      <c r="L330" s="7" t="str">
        <f t="shared" si="40"/>
        <v/>
      </c>
      <c r="N330" s="7" t="str">
        <f t="shared" si="41"/>
        <v/>
      </c>
      <c r="O330" t="str">
        <f t="shared" si="42"/>
        <v/>
      </c>
      <c r="P330" t="str">
        <f t="shared" si="43"/>
        <v/>
      </c>
      <c r="Q330" t="str">
        <f t="shared" si="44"/>
        <v/>
      </c>
      <c r="S330" t="str">
        <f>""</f>
        <v/>
      </c>
      <c r="AL330" s="18" t="str">
        <f>IF(COUNTIF($A$2:A329, A329) = 1, A329, "")</f>
        <v/>
      </c>
    </row>
    <row r="331" spans="6:38" x14ac:dyDescent="0.2">
      <c r="F331" t="str">
        <f t="shared" si="39"/>
        <v/>
      </c>
      <c r="L331" s="7" t="str">
        <f t="shared" si="40"/>
        <v/>
      </c>
      <c r="N331" s="7" t="str">
        <f t="shared" si="41"/>
        <v/>
      </c>
      <c r="O331" t="str">
        <f t="shared" si="42"/>
        <v/>
      </c>
      <c r="P331" t="str">
        <f t="shared" si="43"/>
        <v/>
      </c>
      <c r="Q331" t="str">
        <f t="shared" si="44"/>
        <v/>
      </c>
      <c r="S331" t="str">
        <f>""</f>
        <v/>
      </c>
      <c r="AL331" s="18" t="str">
        <f>IF(COUNTIF($A$2:A330, A330) = 1, A330, "")</f>
        <v/>
      </c>
    </row>
    <row r="332" spans="6:38" x14ac:dyDescent="0.2">
      <c r="F332" t="str">
        <f t="shared" si="39"/>
        <v/>
      </c>
      <c r="L332" s="7" t="str">
        <f t="shared" si="40"/>
        <v/>
      </c>
      <c r="N332" s="7" t="str">
        <f t="shared" si="41"/>
        <v/>
      </c>
      <c r="O332" t="str">
        <f t="shared" si="42"/>
        <v/>
      </c>
      <c r="P332" t="str">
        <f t="shared" si="43"/>
        <v/>
      </c>
      <c r="Q332" t="str">
        <f t="shared" si="44"/>
        <v/>
      </c>
      <c r="S332" t="str">
        <f>""</f>
        <v/>
      </c>
      <c r="AL332" s="18" t="str">
        <f>IF(COUNTIF($A$2:A331, A331) = 1, A331, "")</f>
        <v/>
      </c>
    </row>
    <row r="333" spans="6:38" x14ac:dyDescent="0.2">
      <c r="F333" t="str">
        <f t="shared" si="39"/>
        <v/>
      </c>
      <c r="L333" s="7" t="str">
        <f t="shared" si="40"/>
        <v/>
      </c>
      <c r="N333" s="7" t="str">
        <f t="shared" si="41"/>
        <v/>
      </c>
      <c r="O333" t="str">
        <f t="shared" si="42"/>
        <v/>
      </c>
      <c r="P333" t="str">
        <f t="shared" si="43"/>
        <v/>
      </c>
      <c r="Q333" t="str">
        <f t="shared" si="44"/>
        <v/>
      </c>
      <c r="S333" t="str">
        <f>""</f>
        <v/>
      </c>
      <c r="AL333" s="18" t="str">
        <f>IF(COUNTIF($A$2:A332, A332) = 1, A332, "")</f>
        <v/>
      </c>
    </row>
    <row r="334" spans="6:38" x14ac:dyDescent="0.2">
      <c r="F334" t="str">
        <f t="shared" si="39"/>
        <v/>
      </c>
      <c r="L334" s="7" t="str">
        <f t="shared" si="40"/>
        <v/>
      </c>
      <c r="N334" s="7" t="str">
        <f t="shared" si="41"/>
        <v/>
      </c>
      <c r="O334" t="str">
        <f t="shared" si="42"/>
        <v/>
      </c>
      <c r="P334" t="str">
        <f t="shared" si="43"/>
        <v/>
      </c>
      <c r="Q334" t="str">
        <f t="shared" si="44"/>
        <v/>
      </c>
      <c r="S334" t="str">
        <f>""</f>
        <v/>
      </c>
      <c r="AL334" s="18" t="str">
        <f>IF(COUNTIF($A$2:A333, A333) = 1, A333, "")</f>
        <v/>
      </c>
    </row>
    <row r="335" spans="6:38" x14ac:dyDescent="0.2">
      <c r="F335" t="str">
        <f t="shared" si="39"/>
        <v/>
      </c>
      <c r="L335" s="7" t="str">
        <f t="shared" si="40"/>
        <v/>
      </c>
      <c r="N335" s="7" t="str">
        <f t="shared" si="41"/>
        <v/>
      </c>
      <c r="O335" t="str">
        <f t="shared" si="42"/>
        <v/>
      </c>
      <c r="P335" t="str">
        <f t="shared" si="43"/>
        <v/>
      </c>
      <c r="Q335" t="str">
        <f t="shared" si="44"/>
        <v/>
      </c>
      <c r="S335" t="str">
        <f>""</f>
        <v/>
      </c>
      <c r="AL335" s="18" t="str">
        <f>IF(COUNTIF($A$2:A334, A334) = 1, A334, "")</f>
        <v/>
      </c>
    </row>
    <row r="336" spans="6:38" x14ac:dyDescent="0.2">
      <c r="F336" t="str">
        <f t="shared" ref="F336:F399" si="45">IF(OR(O336="", P336=""), "", SUM(IF((O336&lt;&gt;"None")*(O336&lt;&gt;""),LEN(O336)-LEN(SUBSTITUTE(O336,",",""))+1,0)) + SUM(IF((P336&lt;&gt;"None")*(P336&lt;&gt;""),LEN(P336)-LEN(SUBSTITUTE(P336,",",""))+1,0)))</f>
        <v/>
      </c>
      <c r="L336" s="7" t="str">
        <f t="shared" ref="L336:L399" si="46">IF(LEN(E336)=0, "", IFERROR(IF(E336&gt;=0, K336 * (1 + E336/100) - K336, K336 / (ABS(E336)/100))+K336, ""))</f>
        <v/>
      </c>
      <c r="N336" s="7" t="str">
        <f t="shared" ref="N336:N399" si="47">IF(M336="Yes",L336-K336,IF(M336="No",-K336,""))</f>
        <v/>
      </c>
      <c r="O336" t="str">
        <f t="shared" ref="O336:O399" si="48">IF(AND(G336="No",H336="No"), "None", "")</f>
        <v/>
      </c>
      <c r="P336" t="str">
        <f t="shared" ref="P336:P399" si="49">IF(I336="No", "None", "")</f>
        <v/>
      </c>
      <c r="Q336" t="str">
        <f t="shared" ref="Q336:Q399" si="50">IF(AND(D336="Straight", M336 = "No"),IF(O336="None",P336,IF(P336="None",O336) ),"")</f>
        <v/>
      </c>
      <c r="S336" t="str">
        <f>""</f>
        <v/>
      </c>
      <c r="AL336" s="18" t="str">
        <f>IF(COUNTIF($A$2:A335, A335) = 1, A335, "")</f>
        <v/>
      </c>
    </row>
    <row r="337" spans="6:38" x14ac:dyDescent="0.2">
      <c r="F337" t="str">
        <f t="shared" si="45"/>
        <v/>
      </c>
      <c r="L337" s="7" t="str">
        <f t="shared" si="46"/>
        <v/>
      </c>
      <c r="N337" s="7" t="str">
        <f t="shared" si="47"/>
        <v/>
      </c>
      <c r="O337" t="str">
        <f t="shared" si="48"/>
        <v/>
      </c>
      <c r="P337" t="str">
        <f t="shared" si="49"/>
        <v/>
      </c>
      <c r="Q337" t="str">
        <f t="shared" si="50"/>
        <v/>
      </c>
      <c r="S337" t="str">
        <f>""</f>
        <v/>
      </c>
      <c r="AL337" s="18" t="str">
        <f>IF(COUNTIF($A$2:A336, A336) = 1, A336, "")</f>
        <v/>
      </c>
    </row>
    <row r="338" spans="6:38" x14ac:dyDescent="0.2">
      <c r="F338" t="str">
        <f t="shared" si="45"/>
        <v/>
      </c>
      <c r="L338" s="7" t="str">
        <f t="shared" si="46"/>
        <v/>
      </c>
      <c r="N338" s="7" t="str">
        <f t="shared" si="47"/>
        <v/>
      </c>
      <c r="O338" t="str">
        <f t="shared" si="48"/>
        <v/>
      </c>
      <c r="P338" t="str">
        <f t="shared" si="49"/>
        <v/>
      </c>
      <c r="Q338" t="str">
        <f t="shared" si="50"/>
        <v/>
      </c>
      <c r="S338" t="str">
        <f>""</f>
        <v/>
      </c>
      <c r="AL338" s="18" t="str">
        <f>IF(COUNTIF($A$2:A337, A337) = 1, A337, "")</f>
        <v/>
      </c>
    </row>
    <row r="339" spans="6:38" x14ac:dyDescent="0.2">
      <c r="F339" t="str">
        <f t="shared" si="45"/>
        <v/>
      </c>
      <c r="L339" s="7" t="str">
        <f t="shared" si="46"/>
        <v/>
      </c>
      <c r="N339" s="7" t="str">
        <f t="shared" si="47"/>
        <v/>
      </c>
      <c r="O339" t="str">
        <f t="shared" si="48"/>
        <v/>
      </c>
      <c r="P339" t="str">
        <f t="shared" si="49"/>
        <v/>
      </c>
      <c r="Q339" t="str">
        <f t="shared" si="50"/>
        <v/>
      </c>
      <c r="S339" t="str">
        <f>""</f>
        <v/>
      </c>
      <c r="AL339" s="18" t="str">
        <f>IF(COUNTIF($A$2:A338, A338) = 1, A338, "")</f>
        <v/>
      </c>
    </row>
    <row r="340" spans="6:38" x14ac:dyDescent="0.2">
      <c r="F340" t="str">
        <f t="shared" si="45"/>
        <v/>
      </c>
      <c r="L340" s="7" t="str">
        <f t="shared" si="46"/>
        <v/>
      </c>
      <c r="N340" s="7" t="str">
        <f t="shared" si="47"/>
        <v/>
      </c>
      <c r="O340" t="str">
        <f t="shared" si="48"/>
        <v/>
      </c>
      <c r="P340" t="str">
        <f t="shared" si="49"/>
        <v/>
      </c>
      <c r="Q340" t="str">
        <f t="shared" si="50"/>
        <v/>
      </c>
      <c r="S340" t="str">
        <f>""</f>
        <v/>
      </c>
      <c r="AL340" s="18" t="str">
        <f>IF(COUNTIF($A$2:A339, A339) = 1, A339, "")</f>
        <v/>
      </c>
    </row>
    <row r="341" spans="6:38" x14ac:dyDescent="0.2">
      <c r="F341" t="str">
        <f t="shared" si="45"/>
        <v/>
      </c>
      <c r="L341" s="7" t="str">
        <f t="shared" si="46"/>
        <v/>
      </c>
      <c r="N341" s="7" t="str">
        <f t="shared" si="47"/>
        <v/>
      </c>
      <c r="O341" t="str">
        <f t="shared" si="48"/>
        <v/>
      </c>
      <c r="P341" t="str">
        <f t="shared" si="49"/>
        <v/>
      </c>
      <c r="Q341" t="str">
        <f t="shared" si="50"/>
        <v/>
      </c>
      <c r="S341" t="str">
        <f>""</f>
        <v/>
      </c>
      <c r="AL341" s="18" t="str">
        <f>IF(COUNTIF($A$2:A340, A340) = 1, A340, "")</f>
        <v/>
      </c>
    </row>
    <row r="342" spans="6:38" x14ac:dyDescent="0.2">
      <c r="F342" t="str">
        <f t="shared" si="45"/>
        <v/>
      </c>
      <c r="L342" s="7" t="str">
        <f t="shared" si="46"/>
        <v/>
      </c>
      <c r="N342" s="7" t="str">
        <f t="shared" si="47"/>
        <v/>
      </c>
      <c r="O342" t="str">
        <f t="shared" si="48"/>
        <v/>
      </c>
      <c r="P342" t="str">
        <f t="shared" si="49"/>
        <v/>
      </c>
      <c r="Q342" t="str">
        <f t="shared" si="50"/>
        <v/>
      </c>
      <c r="S342" t="str">
        <f>""</f>
        <v/>
      </c>
      <c r="AL342" s="18" t="str">
        <f>IF(COUNTIF($A$2:A341, A341) = 1, A341, "")</f>
        <v/>
      </c>
    </row>
    <row r="343" spans="6:38" x14ac:dyDescent="0.2">
      <c r="F343" t="str">
        <f t="shared" si="45"/>
        <v/>
      </c>
      <c r="L343" s="7" t="str">
        <f t="shared" si="46"/>
        <v/>
      </c>
      <c r="N343" s="7" t="str">
        <f t="shared" si="47"/>
        <v/>
      </c>
      <c r="O343" t="str">
        <f t="shared" si="48"/>
        <v/>
      </c>
      <c r="P343" t="str">
        <f t="shared" si="49"/>
        <v/>
      </c>
      <c r="Q343" t="str">
        <f t="shared" si="50"/>
        <v/>
      </c>
      <c r="S343" t="str">
        <f>""</f>
        <v/>
      </c>
      <c r="AL343" s="18" t="str">
        <f>IF(COUNTIF($A$2:A342, A342) = 1, A342, "")</f>
        <v/>
      </c>
    </row>
    <row r="344" spans="6:38" x14ac:dyDescent="0.2">
      <c r="F344" t="str">
        <f t="shared" si="45"/>
        <v/>
      </c>
      <c r="L344" s="7" t="str">
        <f t="shared" si="46"/>
        <v/>
      </c>
      <c r="N344" s="7" t="str">
        <f t="shared" si="47"/>
        <v/>
      </c>
      <c r="O344" t="str">
        <f t="shared" si="48"/>
        <v/>
      </c>
      <c r="P344" t="str">
        <f t="shared" si="49"/>
        <v/>
      </c>
      <c r="Q344" t="str">
        <f t="shared" si="50"/>
        <v/>
      </c>
      <c r="S344" t="str">
        <f>""</f>
        <v/>
      </c>
      <c r="AL344" s="18" t="str">
        <f>IF(COUNTIF($A$2:A343, A343) = 1, A343, "")</f>
        <v/>
      </c>
    </row>
    <row r="345" spans="6:38" x14ac:dyDescent="0.2">
      <c r="F345" t="str">
        <f t="shared" si="45"/>
        <v/>
      </c>
      <c r="L345" s="7" t="str">
        <f t="shared" si="46"/>
        <v/>
      </c>
      <c r="N345" s="7" t="str">
        <f t="shared" si="47"/>
        <v/>
      </c>
      <c r="O345" t="str">
        <f t="shared" si="48"/>
        <v/>
      </c>
      <c r="P345" t="str">
        <f t="shared" si="49"/>
        <v/>
      </c>
      <c r="Q345" t="str">
        <f t="shared" si="50"/>
        <v/>
      </c>
      <c r="S345" t="str">
        <f>""</f>
        <v/>
      </c>
      <c r="AL345" s="18" t="str">
        <f>IF(COUNTIF($A$2:A344, A344) = 1, A344, "")</f>
        <v/>
      </c>
    </row>
    <row r="346" spans="6:38" x14ac:dyDescent="0.2">
      <c r="F346" t="str">
        <f t="shared" si="45"/>
        <v/>
      </c>
      <c r="L346" s="7" t="str">
        <f t="shared" si="46"/>
        <v/>
      </c>
      <c r="N346" s="7" t="str">
        <f t="shared" si="47"/>
        <v/>
      </c>
      <c r="O346" t="str">
        <f t="shared" si="48"/>
        <v/>
      </c>
      <c r="P346" t="str">
        <f t="shared" si="49"/>
        <v/>
      </c>
      <c r="Q346" t="str">
        <f t="shared" si="50"/>
        <v/>
      </c>
      <c r="S346" t="str">
        <f>""</f>
        <v/>
      </c>
      <c r="AL346" s="18" t="str">
        <f>IF(COUNTIF($A$2:A345, A345) = 1, A345, "")</f>
        <v/>
      </c>
    </row>
    <row r="347" spans="6:38" x14ac:dyDescent="0.2">
      <c r="F347" t="str">
        <f t="shared" si="45"/>
        <v/>
      </c>
      <c r="L347" s="7" t="str">
        <f t="shared" si="46"/>
        <v/>
      </c>
      <c r="N347" s="7" t="str">
        <f t="shared" si="47"/>
        <v/>
      </c>
      <c r="O347" t="str">
        <f t="shared" si="48"/>
        <v/>
      </c>
      <c r="P347" t="str">
        <f t="shared" si="49"/>
        <v/>
      </c>
      <c r="Q347" t="str">
        <f t="shared" si="50"/>
        <v/>
      </c>
      <c r="S347" t="str">
        <f>""</f>
        <v/>
      </c>
      <c r="AL347" s="18" t="str">
        <f>IF(COUNTIF($A$2:A346, A346) = 1, A346, "")</f>
        <v/>
      </c>
    </row>
    <row r="348" spans="6:38" x14ac:dyDescent="0.2">
      <c r="F348" t="str">
        <f t="shared" si="45"/>
        <v/>
      </c>
      <c r="L348" s="7" t="str">
        <f t="shared" si="46"/>
        <v/>
      </c>
      <c r="N348" s="7" t="str">
        <f t="shared" si="47"/>
        <v/>
      </c>
      <c r="O348" t="str">
        <f t="shared" si="48"/>
        <v/>
      </c>
      <c r="P348" t="str">
        <f t="shared" si="49"/>
        <v/>
      </c>
      <c r="Q348" t="str">
        <f t="shared" si="50"/>
        <v/>
      </c>
      <c r="S348" t="str">
        <f>""</f>
        <v/>
      </c>
      <c r="AL348" s="18" t="str">
        <f>IF(COUNTIF($A$2:A347, A347) = 1, A347, "")</f>
        <v/>
      </c>
    </row>
    <row r="349" spans="6:38" x14ac:dyDescent="0.2">
      <c r="F349" t="str">
        <f t="shared" si="45"/>
        <v/>
      </c>
      <c r="L349" s="7" t="str">
        <f t="shared" si="46"/>
        <v/>
      </c>
      <c r="N349" s="7" t="str">
        <f t="shared" si="47"/>
        <v/>
      </c>
      <c r="O349" t="str">
        <f t="shared" si="48"/>
        <v/>
      </c>
      <c r="P349" t="str">
        <f t="shared" si="49"/>
        <v/>
      </c>
      <c r="Q349" t="str">
        <f t="shared" si="50"/>
        <v/>
      </c>
      <c r="S349" t="str">
        <f>""</f>
        <v/>
      </c>
      <c r="AL349" s="18" t="str">
        <f>IF(COUNTIF($A$2:A348, A348) = 1, A348, "")</f>
        <v/>
      </c>
    </row>
    <row r="350" spans="6:38" x14ac:dyDescent="0.2">
      <c r="F350" t="str">
        <f t="shared" si="45"/>
        <v/>
      </c>
      <c r="L350" s="7" t="str">
        <f t="shared" si="46"/>
        <v/>
      </c>
      <c r="N350" s="7" t="str">
        <f t="shared" si="47"/>
        <v/>
      </c>
      <c r="O350" t="str">
        <f t="shared" si="48"/>
        <v/>
      </c>
      <c r="P350" t="str">
        <f t="shared" si="49"/>
        <v/>
      </c>
      <c r="Q350" t="str">
        <f t="shared" si="50"/>
        <v/>
      </c>
      <c r="S350" t="str">
        <f>""</f>
        <v/>
      </c>
      <c r="AL350" s="18" t="str">
        <f>IF(COUNTIF($A$2:A349, A349) = 1, A349, "")</f>
        <v/>
      </c>
    </row>
    <row r="351" spans="6:38" x14ac:dyDescent="0.2">
      <c r="F351" t="str">
        <f t="shared" si="45"/>
        <v/>
      </c>
      <c r="L351" s="7" t="str">
        <f t="shared" si="46"/>
        <v/>
      </c>
      <c r="N351" s="7" t="str">
        <f t="shared" si="47"/>
        <v/>
      </c>
      <c r="O351" t="str">
        <f t="shared" si="48"/>
        <v/>
      </c>
      <c r="P351" t="str">
        <f t="shared" si="49"/>
        <v/>
      </c>
      <c r="Q351" t="str">
        <f t="shared" si="50"/>
        <v/>
      </c>
      <c r="S351" t="str">
        <f>""</f>
        <v/>
      </c>
      <c r="AL351" s="18" t="str">
        <f>IF(COUNTIF($A$2:A350, A350) = 1, A350, "")</f>
        <v/>
      </c>
    </row>
    <row r="352" spans="6:38" x14ac:dyDescent="0.2">
      <c r="F352" t="str">
        <f t="shared" si="45"/>
        <v/>
      </c>
      <c r="L352" s="7" t="str">
        <f t="shared" si="46"/>
        <v/>
      </c>
      <c r="N352" s="7" t="str">
        <f t="shared" si="47"/>
        <v/>
      </c>
      <c r="O352" t="str">
        <f t="shared" si="48"/>
        <v/>
      </c>
      <c r="P352" t="str">
        <f t="shared" si="49"/>
        <v/>
      </c>
      <c r="Q352" t="str">
        <f t="shared" si="50"/>
        <v/>
      </c>
      <c r="S352" t="str">
        <f>""</f>
        <v/>
      </c>
      <c r="AL352" s="18" t="str">
        <f>IF(COUNTIF($A$2:A351, A351) = 1, A351, "")</f>
        <v/>
      </c>
    </row>
    <row r="353" spans="6:38" x14ac:dyDescent="0.2">
      <c r="F353" t="str">
        <f t="shared" si="45"/>
        <v/>
      </c>
      <c r="L353" s="7" t="str">
        <f t="shared" si="46"/>
        <v/>
      </c>
      <c r="N353" s="7" t="str">
        <f t="shared" si="47"/>
        <v/>
      </c>
      <c r="O353" t="str">
        <f t="shared" si="48"/>
        <v/>
      </c>
      <c r="P353" t="str">
        <f t="shared" si="49"/>
        <v/>
      </c>
      <c r="Q353" t="str">
        <f t="shared" si="50"/>
        <v/>
      </c>
      <c r="S353" t="str">
        <f>""</f>
        <v/>
      </c>
      <c r="AL353" s="18" t="str">
        <f>IF(COUNTIF($A$2:A352, A352) = 1, A352, "")</f>
        <v/>
      </c>
    </row>
    <row r="354" spans="6:38" x14ac:dyDescent="0.2">
      <c r="F354" t="str">
        <f t="shared" si="45"/>
        <v/>
      </c>
      <c r="L354" s="7" t="str">
        <f t="shared" si="46"/>
        <v/>
      </c>
      <c r="N354" s="7" t="str">
        <f t="shared" si="47"/>
        <v/>
      </c>
      <c r="O354" t="str">
        <f t="shared" si="48"/>
        <v/>
      </c>
      <c r="P354" t="str">
        <f t="shared" si="49"/>
        <v/>
      </c>
      <c r="Q354" t="str">
        <f t="shared" si="50"/>
        <v/>
      </c>
      <c r="S354" t="str">
        <f>""</f>
        <v/>
      </c>
      <c r="AL354" s="18" t="str">
        <f>IF(COUNTIF($A$2:A353, A353) = 1, A353, "")</f>
        <v/>
      </c>
    </row>
    <row r="355" spans="6:38" x14ac:dyDescent="0.2">
      <c r="F355" t="str">
        <f t="shared" si="45"/>
        <v/>
      </c>
      <c r="L355" s="7" t="str">
        <f t="shared" si="46"/>
        <v/>
      </c>
      <c r="N355" s="7" t="str">
        <f t="shared" si="47"/>
        <v/>
      </c>
      <c r="O355" t="str">
        <f t="shared" si="48"/>
        <v/>
      </c>
      <c r="P355" t="str">
        <f t="shared" si="49"/>
        <v/>
      </c>
      <c r="Q355" t="str">
        <f t="shared" si="50"/>
        <v/>
      </c>
      <c r="S355" t="str">
        <f>""</f>
        <v/>
      </c>
      <c r="AL355" s="18" t="str">
        <f>IF(COUNTIF($A$2:A354, A354) = 1, A354, "")</f>
        <v/>
      </c>
    </row>
    <row r="356" spans="6:38" x14ac:dyDescent="0.2">
      <c r="F356" t="str">
        <f t="shared" si="45"/>
        <v/>
      </c>
      <c r="L356" s="7" t="str">
        <f t="shared" si="46"/>
        <v/>
      </c>
      <c r="N356" s="7" t="str">
        <f t="shared" si="47"/>
        <v/>
      </c>
      <c r="O356" t="str">
        <f t="shared" si="48"/>
        <v/>
      </c>
      <c r="P356" t="str">
        <f t="shared" si="49"/>
        <v/>
      </c>
      <c r="Q356" t="str">
        <f t="shared" si="50"/>
        <v/>
      </c>
      <c r="S356" t="str">
        <f>""</f>
        <v/>
      </c>
      <c r="AL356" s="18" t="str">
        <f>IF(COUNTIF($A$2:A355, A355) = 1, A355, "")</f>
        <v/>
      </c>
    </row>
    <row r="357" spans="6:38" x14ac:dyDescent="0.2">
      <c r="F357" t="str">
        <f t="shared" si="45"/>
        <v/>
      </c>
      <c r="L357" s="7" t="str">
        <f t="shared" si="46"/>
        <v/>
      </c>
      <c r="N357" s="7" t="str">
        <f t="shared" si="47"/>
        <v/>
      </c>
      <c r="O357" t="str">
        <f t="shared" si="48"/>
        <v/>
      </c>
      <c r="P357" t="str">
        <f t="shared" si="49"/>
        <v/>
      </c>
      <c r="Q357" t="str">
        <f t="shared" si="50"/>
        <v/>
      </c>
      <c r="S357" t="str">
        <f>""</f>
        <v/>
      </c>
      <c r="AL357" s="18" t="str">
        <f>IF(COUNTIF($A$2:A356, A356) = 1, A356, "")</f>
        <v/>
      </c>
    </row>
    <row r="358" spans="6:38" x14ac:dyDescent="0.2">
      <c r="F358" t="str">
        <f t="shared" si="45"/>
        <v/>
      </c>
      <c r="L358" s="7" t="str">
        <f t="shared" si="46"/>
        <v/>
      </c>
      <c r="N358" s="7" t="str">
        <f t="shared" si="47"/>
        <v/>
      </c>
      <c r="O358" t="str">
        <f t="shared" si="48"/>
        <v/>
      </c>
      <c r="P358" t="str">
        <f t="shared" si="49"/>
        <v/>
      </c>
      <c r="Q358" t="str">
        <f t="shared" si="50"/>
        <v/>
      </c>
      <c r="S358" t="str">
        <f>""</f>
        <v/>
      </c>
      <c r="AL358" s="18" t="str">
        <f>IF(COUNTIF($A$2:A357, A357) = 1, A357, "")</f>
        <v/>
      </c>
    </row>
    <row r="359" spans="6:38" x14ac:dyDescent="0.2">
      <c r="F359" t="str">
        <f t="shared" si="45"/>
        <v/>
      </c>
      <c r="L359" s="7" t="str">
        <f t="shared" si="46"/>
        <v/>
      </c>
      <c r="N359" s="7" t="str">
        <f t="shared" si="47"/>
        <v/>
      </c>
      <c r="O359" t="str">
        <f t="shared" si="48"/>
        <v/>
      </c>
      <c r="P359" t="str">
        <f t="shared" si="49"/>
        <v/>
      </c>
      <c r="Q359" t="str">
        <f t="shared" si="50"/>
        <v/>
      </c>
      <c r="S359" t="str">
        <f>""</f>
        <v/>
      </c>
      <c r="AL359" s="18" t="str">
        <f>IF(COUNTIF($A$2:A358, A358) = 1, A358, "")</f>
        <v/>
      </c>
    </row>
    <row r="360" spans="6:38" x14ac:dyDescent="0.2">
      <c r="F360" t="str">
        <f t="shared" si="45"/>
        <v/>
      </c>
      <c r="L360" s="7" t="str">
        <f t="shared" si="46"/>
        <v/>
      </c>
      <c r="N360" s="7" t="str">
        <f t="shared" si="47"/>
        <v/>
      </c>
      <c r="O360" t="str">
        <f t="shared" si="48"/>
        <v/>
      </c>
      <c r="P360" t="str">
        <f t="shared" si="49"/>
        <v/>
      </c>
      <c r="Q360" t="str">
        <f t="shared" si="50"/>
        <v/>
      </c>
      <c r="S360" t="str">
        <f>""</f>
        <v/>
      </c>
      <c r="AL360" s="18" t="str">
        <f>IF(COUNTIF($A$2:A359, A359) = 1, A359, "")</f>
        <v/>
      </c>
    </row>
    <row r="361" spans="6:38" x14ac:dyDescent="0.2">
      <c r="F361" t="str">
        <f t="shared" si="45"/>
        <v/>
      </c>
      <c r="L361" s="7" t="str">
        <f t="shared" si="46"/>
        <v/>
      </c>
      <c r="N361" s="7" t="str">
        <f t="shared" si="47"/>
        <v/>
      </c>
      <c r="O361" t="str">
        <f t="shared" si="48"/>
        <v/>
      </c>
      <c r="P361" t="str">
        <f t="shared" si="49"/>
        <v/>
      </c>
      <c r="Q361" t="str">
        <f t="shared" si="50"/>
        <v/>
      </c>
      <c r="S361" t="str">
        <f>""</f>
        <v/>
      </c>
      <c r="AL361" s="18" t="str">
        <f>IF(COUNTIF($A$2:A360, A360) = 1, A360, "")</f>
        <v/>
      </c>
    </row>
    <row r="362" spans="6:38" x14ac:dyDescent="0.2">
      <c r="F362" t="str">
        <f t="shared" si="45"/>
        <v/>
      </c>
      <c r="L362" s="7" t="str">
        <f t="shared" si="46"/>
        <v/>
      </c>
      <c r="N362" s="7" t="str">
        <f t="shared" si="47"/>
        <v/>
      </c>
      <c r="O362" t="str">
        <f t="shared" si="48"/>
        <v/>
      </c>
      <c r="P362" t="str">
        <f t="shared" si="49"/>
        <v/>
      </c>
      <c r="Q362" t="str">
        <f t="shared" si="50"/>
        <v/>
      </c>
      <c r="S362" t="str">
        <f>""</f>
        <v/>
      </c>
      <c r="AL362" s="18" t="str">
        <f>IF(COUNTIF($A$2:A361, A361) = 1, A361, "")</f>
        <v/>
      </c>
    </row>
    <row r="363" spans="6:38" x14ac:dyDescent="0.2">
      <c r="F363" t="str">
        <f t="shared" si="45"/>
        <v/>
      </c>
      <c r="L363" s="7" t="str">
        <f t="shared" si="46"/>
        <v/>
      </c>
      <c r="N363" s="7" t="str">
        <f t="shared" si="47"/>
        <v/>
      </c>
      <c r="O363" t="str">
        <f t="shared" si="48"/>
        <v/>
      </c>
      <c r="P363" t="str">
        <f t="shared" si="49"/>
        <v/>
      </c>
      <c r="Q363" t="str">
        <f t="shared" si="50"/>
        <v/>
      </c>
      <c r="S363" t="str">
        <f>""</f>
        <v/>
      </c>
      <c r="AL363" s="18" t="str">
        <f>IF(COUNTIF($A$2:A362, A362) = 1, A362, "")</f>
        <v/>
      </c>
    </row>
    <row r="364" spans="6:38" x14ac:dyDescent="0.2">
      <c r="F364" t="str">
        <f t="shared" si="45"/>
        <v/>
      </c>
      <c r="L364" s="7" t="str">
        <f t="shared" si="46"/>
        <v/>
      </c>
      <c r="N364" s="7" t="str">
        <f t="shared" si="47"/>
        <v/>
      </c>
      <c r="O364" t="str">
        <f t="shared" si="48"/>
        <v/>
      </c>
      <c r="P364" t="str">
        <f t="shared" si="49"/>
        <v/>
      </c>
      <c r="Q364" t="str">
        <f t="shared" si="50"/>
        <v/>
      </c>
      <c r="S364" t="str">
        <f>""</f>
        <v/>
      </c>
      <c r="AL364" s="18" t="str">
        <f>IF(COUNTIF($A$2:A363, A363) = 1, A363, "")</f>
        <v/>
      </c>
    </row>
    <row r="365" spans="6:38" x14ac:dyDescent="0.2">
      <c r="F365" t="str">
        <f t="shared" si="45"/>
        <v/>
      </c>
      <c r="L365" s="7" t="str">
        <f t="shared" si="46"/>
        <v/>
      </c>
      <c r="N365" s="7" t="str">
        <f t="shared" si="47"/>
        <v/>
      </c>
      <c r="O365" t="str">
        <f t="shared" si="48"/>
        <v/>
      </c>
      <c r="P365" t="str">
        <f t="shared" si="49"/>
        <v/>
      </c>
      <c r="Q365" t="str">
        <f t="shared" si="50"/>
        <v/>
      </c>
      <c r="S365" t="str">
        <f>""</f>
        <v/>
      </c>
      <c r="AL365" s="18" t="str">
        <f>IF(COUNTIF($A$2:A364, A364) = 1, A364, "")</f>
        <v/>
      </c>
    </row>
    <row r="366" spans="6:38" x14ac:dyDescent="0.2">
      <c r="F366" t="str">
        <f t="shared" si="45"/>
        <v/>
      </c>
      <c r="L366" s="7" t="str">
        <f t="shared" si="46"/>
        <v/>
      </c>
      <c r="N366" s="7" t="str">
        <f t="shared" si="47"/>
        <v/>
      </c>
      <c r="O366" t="str">
        <f t="shared" si="48"/>
        <v/>
      </c>
      <c r="P366" t="str">
        <f t="shared" si="49"/>
        <v/>
      </c>
      <c r="Q366" t="str">
        <f t="shared" si="50"/>
        <v/>
      </c>
      <c r="S366" t="str">
        <f>""</f>
        <v/>
      </c>
      <c r="AL366" s="18" t="str">
        <f>IF(COUNTIF($A$2:A365, A365) = 1, A365, "")</f>
        <v/>
      </c>
    </row>
    <row r="367" spans="6:38" x14ac:dyDescent="0.2">
      <c r="F367" t="str">
        <f t="shared" si="45"/>
        <v/>
      </c>
      <c r="L367" s="7" t="str">
        <f t="shared" si="46"/>
        <v/>
      </c>
      <c r="N367" s="7" t="str">
        <f t="shared" si="47"/>
        <v/>
      </c>
      <c r="O367" t="str">
        <f t="shared" si="48"/>
        <v/>
      </c>
      <c r="P367" t="str">
        <f t="shared" si="49"/>
        <v/>
      </c>
      <c r="Q367" t="str">
        <f t="shared" si="50"/>
        <v/>
      </c>
      <c r="S367" t="str">
        <f>""</f>
        <v/>
      </c>
      <c r="AL367" s="18" t="str">
        <f>IF(COUNTIF($A$2:A366, A366) = 1, A366, "")</f>
        <v/>
      </c>
    </row>
    <row r="368" spans="6:38" x14ac:dyDescent="0.2">
      <c r="F368" t="str">
        <f t="shared" si="45"/>
        <v/>
      </c>
      <c r="L368" s="7" t="str">
        <f t="shared" si="46"/>
        <v/>
      </c>
      <c r="N368" s="7" t="str">
        <f t="shared" si="47"/>
        <v/>
      </c>
      <c r="O368" t="str">
        <f t="shared" si="48"/>
        <v/>
      </c>
      <c r="P368" t="str">
        <f t="shared" si="49"/>
        <v/>
      </c>
      <c r="Q368" t="str">
        <f t="shared" si="50"/>
        <v/>
      </c>
      <c r="S368" t="str">
        <f>""</f>
        <v/>
      </c>
      <c r="AL368" s="18" t="str">
        <f>IF(COUNTIF($A$2:A367, A367) = 1, A367, "")</f>
        <v/>
      </c>
    </row>
    <row r="369" spans="6:38" x14ac:dyDescent="0.2">
      <c r="F369" t="str">
        <f t="shared" si="45"/>
        <v/>
      </c>
      <c r="L369" s="7" t="str">
        <f t="shared" si="46"/>
        <v/>
      </c>
      <c r="N369" s="7" t="str">
        <f t="shared" si="47"/>
        <v/>
      </c>
      <c r="O369" t="str">
        <f t="shared" si="48"/>
        <v/>
      </c>
      <c r="P369" t="str">
        <f t="shared" si="49"/>
        <v/>
      </c>
      <c r="Q369" t="str">
        <f t="shared" si="50"/>
        <v/>
      </c>
      <c r="S369" t="str">
        <f>""</f>
        <v/>
      </c>
      <c r="AL369" s="18" t="str">
        <f>IF(COUNTIF($A$2:A368, A368) = 1, A368, "")</f>
        <v/>
      </c>
    </row>
    <row r="370" spans="6:38" x14ac:dyDescent="0.2">
      <c r="F370" t="str">
        <f t="shared" si="45"/>
        <v/>
      </c>
      <c r="L370" s="7" t="str">
        <f t="shared" si="46"/>
        <v/>
      </c>
      <c r="N370" s="7" t="str">
        <f t="shared" si="47"/>
        <v/>
      </c>
      <c r="O370" t="str">
        <f t="shared" si="48"/>
        <v/>
      </c>
      <c r="P370" t="str">
        <f t="shared" si="49"/>
        <v/>
      </c>
      <c r="Q370" t="str">
        <f t="shared" si="50"/>
        <v/>
      </c>
      <c r="S370" t="str">
        <f>""</f>
        <v/>
      </c>
      <c r="AL370" s="18" t="str">
        <f>IF(COUNTIF($A$2:A369, A369) = 1, A369, "")</f>
        <v/>
      </c>
    </row>
    <row r="371" spans="6:38" x14ac:dyDescent="0.2">
      <c r="F371" t="str">
        <f t="shared" si="45"/>
        <v/>
      </c>
      <c r="L371" s="7" t="str">
        <f t="shared" si="46"/>
        <v/>
      </c>
      <c r="N371" s="7" t="str">
        <f t="shared" si="47"/>
        <v/>
      </c>
      <c r="O371" t="str">
        <f t="shared" si="48"/>
        <v/>
      </c>
      <c r="P371" t="str">
        <f t="shared" si="49"/>
        <v/>
      </c>
      <c r="Q371" t="str">
        <f t="shared" si="50"/>
        <v/>
      </c>
      <c r="S371" t="str">
        <f>""</f>
        <v/>
      </c>
      <c r="AL371" s="18" t="str">
        <f>IF(COUNTIF($A$2:A370, A370) = 1, A370, "")</f>
        <v/>
      </c>
    </row>
    <row r="372" spans="6:38" x14ac:dyDescent="0.2">
      <c r="F372" t="str">
        <f t="shared" si="45"/>
        <v/>
      </c>
      <c r="L372" s="7" t="str">
        <f t="shared" si="46"/>
        <v/>
      </c>
      <c r="N372" s="7" t="str">
        <f t="shared" si="47"/>
        <v/>
      </c>
      <c r="O372" t="str">
        <f t="shared" si="48"/>
        <v/>
      </c>
      <c r="P372" t="str">
        <f t="shared" si="49"/>
        <v/>
      </c>
      <c r="Q372" t="str">
        <f t="shared" si="50"/>
        <v/>
      </c>
      <c r="S372" t="str">
        <f>""</f>
        <v/>
      </c>
      <c r="AL372" s="18" t="str">
        <f>IF(COUNTIF($A$2:A371, A371) = 1, A371, "")</f>
        <v/>
      </c>
    </row>
    <row r="373" spans="6:38" x14ac:dyDescent="0.2">
      <c r="F373" t="str">
        <f t="shared" si="45"/>
        <v/>
      </c>
      <c r="L373" s="7" t="str">
        <f t="shared" si="46"/>
        <v/>
      </c>
      <c r="N373" s="7" t="str">
        <f t="shared" si="47"/>
        <v/>
      </c>
      <c r="O373" t="str">
        <f t="shared" si="48"/>
        <v/>
      </c>
      <c r="P373" t="str">
        <f t="shared" si="49"/>
        <v/>
      </c>
      <c r="Q373" t="str">
        <f t="shared" si="50"/>
        <v/>
      </c>
      <c r="S373" t="str">
        <f>""</f>
        <v/>
      </c>
      <c r="AL373" s="18" t="str">
        <f>IF(COUNTIF($A$2:A372, A372) = 1, A372, "")</f>
        <v/>
      </c>
    </row>
    <row r="374" spans="6:38" x14ac:dyDescent="0.2">
      <c r="F374" t="str">
        <f t="shared" si="45"/>
        <v/>
      </c>
      <c r="L374" s="7" t="str">
        <f t="shared" si="46"/>
        <v/>
      </c>
      <c r="N374" s="7" t="str">
        <f t="shared" si="47"/>
        <v/>
      </c>
      <c r="O374" t="str">
        <f t="shared" si="48"/>
        <v/>
      </c>
      <c r="P374" t="str">
        <f t="shared" si="49"/>
        <v/>
      </c>
      <c r="Q374" t="str">
        <f t="shared" si="50"/>
        <v/>
      </c>
      <c r="S374" t="str">
        <f>""</f>
        <v/>
      </c>
      <c r="AL374" s="18" t="str">
        <f>IF(COUNTIF($A$2:A373, A373) = 1, A373, "")</f>
        <v/>
      </c>
    </row>
    <row r="375" spans="6:38" x14ac:dyDescent="0.2">
      <c r="F375" t="str">
        <f t="shared" si="45"/>
        <v/>
      </c>
      <c r="L375" s="7" t="str">
        <f t="shared" si="46"/>
        <v/>
      </c>
      <c r="N375" s="7" t="str">
        <f t="shared" si="47"/>
        <v/>
      </c>
      <c r="O375" t="str">
        <f t="shared" si="48"/>
        <v/>
      </c>
      <c r="P375" t="str">
        <f t="shared" si="49"/>
        <v/>
      </c>
      <c r="Q375" t="str">
        <f t="shared" si="50"/>
        <v/>
      </c>
      <c r="S375" t="str">
        <f>""</f>
        <v/>
      </c>
      <c r="AL375" s="18" t="str">
        <f>IF(COUNTIF($A$2:A374, A374) = 1, A374, "")</f>
        <v/>
      </c>
    </row>
    <row r="376" spans="6:38" x14ac:dyDescent="0.2">
      <c r="F376" t="str">
        <f t="shared" si="45"/>
        <v/>
      </c>
      <c r="L376" s="7" t="str">
        <f t="shared" si="46"/>
        <v/>
      </c>
      <c r="N376" s="7" t="str">
        <f t="shared" si="47"/>
        <v/>
      </c>
      <c r="O376" t="str">
        <f t="shared" si="48"/>
        <v/>
      </c>
      <c r="P376" t="str">
        <f t="shared" si="49"/>
        <v/>
      </c>
      <c r="Q376" t="str">
        <f t="shared" si="50"/>
        <v/>
      </c>
      <c r="S376" t="str">
        <f>""</f>
        <v/>
      </c>
      <c r="AL376" s="18" t="str">
        <f>IF(COUNTIF($A$2:A375, A375) = 1, A375, "")</f>
        <v/>
      </c>
    </row>
    <row r="377" spans="6:38" x14ac:dyDescent="0.2">
      <c r="F377" t="str">
        <f t="shared" si="45"/>
        <v/>
      </c>
      <c r="L377" s="7" t="str">
        <f t="shared" si="46"/>
        <v/>
      </c>
      <c r="N377" s="7" t="str">
        <f t="shared" si="47"/>
        <v/>
      </c>
      <c r="O377" t="str">
        <f t="shared" si="48"/>
        <v/>
      </c>
      <c r="P377" t="str">
        <f t="shared" si="49"/>
        <v/>
      </c>
      <c r="Q377" t="str">
        <f t="shared" si="50"/>
        <v/>
      </c>
      <c r="S377" t="str">
        <f>""</f>
        <v/>
      </c>
      <c r="AL377" s="18" t="str">
        <f>IF(COUNTIF($A$2:A376, A376) = 1, A376, "")</f>
        <v/>
      </c>
    </row>
    <row r="378" spans="6:38" x14ac:dyDescent="0.2">
      <c r="F378" t="str">
        <f t="shared" si="45"/>
        <v/>
      </c>
      <c r="L378" s="7" t="str">
        <f t="shared" si="46"/>
        <v/>
      </c>
      <c r="N378" s="7" t="str">
        <f t="shared" si="47"/>
        <v/>
      </c>
      <c r="O378" t="str">
        <f t="shared" si="48"/>
        <v/>
      </c>
      <c r="P378" t="str">
        <f t="shared" si="49"/>
        <v/>
      </c>
      <c r="Q378" t="str">
        <f t="shared" si="50"/>
        <v/>
      </c>
      <c r="S378" t="str">
        <f>""</f>
        <v/>
      </c>
      <c r="AL378" s="18" t="str">
        <f>IF(COUNTIF($A$2:A377, A377) = 1, A377, "")</f>
        <v/>
      </c>
    </row>
    <row r="379" spans="6:38" x14ac:dyDescent="0.2">
      <c r="F379" t="str">
        <f t="shared" si="45"/>
        <v/>
      </c>
      <c r="L379" s="7" t="str">
        <f t="shared" si="46"/>
        <v/>
      </c>
      <c r="N379" s="7" t="str">
        <f t="shared" si="47"/>
        <v/>
      </c>
      <c r="O379" t="str">
        <f t="shared" si="48"/>
        <v/>
      </c>
      <c r="P379" t="str">
        <f t="shared" si="49"/>
        <v/>
      </c>
      <c r="Q379" t="str">
        <f t="shared" si="50"/>
        <v/>
      </c>
      <c r="S379" t="str">
        <f>""</f>
        <v/>
      </c>
      <c r="AL379" s="18" t="str">
        <f>IF(COUNTIF($A$2:A378, A378) = 1, A378, "")</f>
        <v/>
      </c>
    </row>
    <row r="380" spans="6:38" x14ac:dyDescent="0.2">
      <c r="F380" t="str">
        <f t="shared" si="45"/>
        <v/>
      </c>
      <c r="L380" s="7" t="str">
        <f t="shared" si="46"/>
        <v/>
      </c>
      <c r="N380" s="7" t="str">
        <f t="shared" si="47"/>
        <v/>
      </c>
      <c r="O380" t="str">
        <f t="shared" si="48"/>
        <v/>
      </c>
      <c r="P380" t="str">
        <f t="shared" si="49"/>
        <v/>
      </c>
      <c r="Q380" t="str">
        <f t="shared" si="50"/>
        <v/>
      </c>
      <c r="S380" t="str">
        <f>""</f>
        <v/>
      </c>
      <c r="AL380" s="18" t="str">
        <f>IF(COUNTIF($A$2:A379, A379) = 1, A379, "")</f>
        <v/>
      </c>
    </row>
    <row r="381" spans="6:38" x14ac:dyDescent="0.2">
      <c r="F381" t="str">
        <f t="shared" si="45"/>
        <v/>
      </c>
      <c r="L381" s="7" t="str">
        <f t="shared" si="46"/>
        <v/>
      </c>
      <c r="N381" s="7" t="str">
        <f t="shared" si="47"/>
        <v/>
      </c>
      <c r="O381" t="str">
        <f t="shared" si="48"/>
        <v/>
      </c>
      <c r="P381" t="str">
        <f t="shared" si="49"/>
        <v/>
      </c>
      <c r="Q381" t="str">
        <f t="shared" si="50"/>
        <v/>
      </c>
      <c r="S381" t="str">
        <f>""</f>
        <v/>
      </c>
      <c r="AL381" s="18" t="str">
        <f>IF(COUNTIF($A$2:A380, A380) = 1, A380, "")</f>
        <v/>
      </c>
    </row>
    <row r="382" spans="6:38" x14ac:dyDescent="0.2">
      <c r="F382" t="str">
        <f t="shared" si="45"/>
        <v/>
      </c>
      <c r="L382" s="7" t="str">
        <f t="shared" si="46"/>
        <v/>
      </c>
      <c r="N382" s="7" t="str">
        <f t="shared" si="47"/>
        <v/>
      </c>
      <c r="O382" t="str">
        <f t="shared" si="48"/>
        <v/>
      </c>
      <c r="P382" t="str">
        <f t="shared" si="49"/>
        <v/>
      </c>
      <c r="Q382" t="str">
        <f t="shared" si="50"/>
        <v/>
      </c>
      <c r="S382" t="str">
        <f>""</f>
        <v/>
      </c>
      <c r="AL382" s="18" t="str">
        <f>IF(COUNTIF($A$2:A381, A381) = 1, A381, "")</f>
        <v/>
      </c>
    </row>
    <row r="383" spans="6:38" x14ac:dyDescent="0.2">
      <c r="F383" t="str">
        <f t="shared" si="45"/>
        <v/>
      </c>
      <c r="L383" s="7" t="str">
        <f t="shared" si="46"/>
        <v/>
      </c>
      <c r="N383" s="7" t="str">
        <f t="shared" si="47"/>
        <v/>
      </c>
      <c r="O383" t="str">
        <f t="shared" si="48"/>
        <v/>
      </c>
      <c r="P383" t="str">
        <f t="shared" si="49"/>
        <v/>
      </c>
      <c r="Q383" t="str">
        <f t="shared" si="50"/>
        <v/>
      </c>
      <c r="S383" t="str">
        <f>""</f>
        <v/>
      </c>
      <c r="AL383" s="18" t="str">
        <f>IF(COUNTIF($A$2:A382, A382) = 1, A382, "")</f>
        <v/>
      </c>
    </row>
    <row r="384" spans="6:38" x14ac:dyDescent="0.2">
      <c r="F384" t="str">
        <f t="shared" si="45"/>
        <v/>
      </c>
      <c r="L384" s="7" t="str">
        <f t="shared" si="46"/>
        <v/>
      </c>
      <c r="N384" s="7" t="str">
        <f t="shared" si="47"/>
        <v/>
      </c>
      <c r="O384" t="str">
        <f t="shared" si="48"/>
        <v/>
      </c>
      <c r="P384" t="str">
        <f t="shared" si="49"/>
        <v/>
      </c>
      <c r="Q384" t="str">
        <f t="shared" si="50"/>
        <v/>
      </c>
      <c r="S384" t="str">
        <f>""</f>
        <v/>
      </c>
      <c r="AL384" s="18" t="str">
        <f>IF(COUNTIF($A$2:A383, A383) = 1, A383, "")</f>
        <v/>
      </c>
    </row>
    <row r="385" spans="6:38" x14ac:dyDescent="0.2">
      <c r="F385" t="str">
        <f t="shared" si="45"/>
        <v/>
      </c>
      <c r="L385" s="7" t="str">
        <f t="shared" si="46"/>
        <v/>
      </c>
      <c r="N385" s="7" t="str">
        <f t="shared" si="47"/>
        <v/>
      </c>
      <c r="O385" t="str">
        <f t="shared" si="48"/>
        <v/>
      </c>
      <c r="P385" t="str">
        <f t="shared" si="49"/>
        <v/>
      </c>
      <c r="Q385" t="str">
        <f t="shared" si="50"/>
        <v/>
      </c>
      <c r="S385" t="str">
        <f>""</f>
        <v/>
      </c>
      <c r="AL385" s="18" t="str">
        <f>IF(COUNTIF($A$2:A384, A384) = 1, A384, "")</f>
        <v/>
      </c>
    </row>
    <row r="386" spans="6:38" x14ac:dyDescent="0.2">
      <c r="F386" t="str">
        <f t="shared" si="45"/>
        <v/>
      </c>
      <c r="L386" s="7" t="str">
        <f t="shared" si="46"/>
        <v/>
      </c>
      <c r="N386" s="7" t="str">
        <f t="shared" si="47"/>
        <v/>
      </c>
      <c r="O386" t="str">
        <f t="shared" si="48"/>
        <v/>
      </c>
      <c r="P386" t="str">
        <f t="shared" si="49"/>
        <v/>
      </c>
      <c r="Q386" t="str">
        <f t="shared" si="50"/>
        <v/>
      </c>
      <c r="S386" t="str">
        <f>""</f>
        <v/>
      </c>
      <c r="AL386" s="18" t="str">
        <f>IF(COUNTIF($A$2:A385, A385) = 1, A385, "")</f>
        <v/>
      </c>
    </row>
    <row r="387" spans="6:38" x14ac:dyDescent="0.2">
      <c r="F387" t="str">
        <f t="shared" si="45"/>
        <v/>
      </c>
      <c r="L387" s="7" t="str">
        <f t="shared" si="46"/>
        <v/>
      </c>
      <c r="N387" s="7" t="str">
        <f t="shared" si="47"/>
        <v/>
      </c>
      <c r="O387" t="str">
        <f t="shared" si="48"/>
        <v/>
      </c>
      <c r="P387" t="str">
        <f t="shared" si="49"/>
        <v/>
      </c>
      <c r="Q387" t="str">
        <f t="shared" si="50"/>
        <v/>
      </c>
      <c r="S387" t="str">
        <f>""</f>
        <v/>
      </c>
      <c r="AL387" s="18" t="str">
        <f>IF(COUNTIF($A$2:A386, A386) = 1, A386, "")</f>
        <v/>
      </c>
    </row>
    <row r="388" spans="6:38" x14ac:dyDescent="0.2">
      <c r="F388" t="str">
        <f t="shared" si="45"/>
        <v/>
      </c>
      <c r="L388" s="7" t="str">
        <f t="shared" si="46"/>
        <v/>
      </c>
      <c r="N388" s="7" t="str">
        <f t="shared" si="47"/>
        <v/>
      </c>
      <c r="O388" t="str">
        <f t="shared" si="48"/>
        <v/>
      </c>
      <c r="P388" t="str">
        <f t="shared" si="49"/>
        <v/>
      </c>
      <c r="Q388" t="str">
        <f t="shared" si="50"/>
        <v/>
      </c>
      <c r="S388" t="str">
        <f>""</f>
        <v/>
      </c>
      <c r="AL388" s="18" t="str">
        <f>IF(COUNTIF($A$2:A387, A387) = 1, A387, "")</f>
        <v/>
      </c>
    </row>
    <row r="389" spans="6:38" x14ac:dyDescent="0.2">
      <c r="F389" t="str">
        <f t="shared" si="45"/>
        <v/>
      </c>
      <c r="L389" s="7" t="str">
        <f t="shared" si="46"/>
        <v/>
      </c>
      <c r="N389" s="7" t="str">
        <f t="shared" si="47"/>
        <v/>
      </c>
      <c r="O389" t="str">
        <f t="shared" si="48"/>
        <v/>
      </c>
      <c r="P389" t="str">
        <f t="shared" si="49"/>
        <v/>
      </c>
      <c r="Q389" t="str">
        <f t="shared" si="50"/>
        <v/>
      </c>
      <c r="S389" t="str">
        <f>""</f>
        <v/>
      </c>
      <c r="AL389" s="18" t="str">
        <f>IF(COUNTIF($A$2:A388, A388) = 1, A388, "")</f>
        <v/>
      </c>
    </row>
    <row r="390" spans="6:38" x14ac:dyDescent="0.2">
      <c r="F390" t="str">
        <f t="shared" si="45"/>
        <v/>
      </c>
      <c r="L390" s="7" t="str">
        <f t="shared" si="46"/>
        <v/>
      </c>
      <c r="N390" s="7" t="str">
        <f t="shared" si="47"/>
        <v/>
      </c>
      <c r="O390" t="str">
        <f t="shared" si="48"/>
        <v/>
      </c>
      <c r="P390" t="str">
        <f t="shared" si="49"/>
        <v/>
      </c>
      <c r="Q390" t="str">
        <f t="shared" si="50"/>
        <v/>
      </c>
      <c r="S390" t="str">
        <f>""</f>
        <v/>
      </c>
      <c r="AL390" s="18" t="str">
        <f>IF(COUNTIF($A$2:A389, A389) = 1, A389, "")</f>
        <v/>
      </c>
    </row>
    <row r="391" spans="6:38" x14ac:dyDescent="0.2">
      <c r="F391" t="str">
        <f t="shared" si="45"/>
        <v/>
      </c>
      <c r="L391" s="7" t="str">
        <f t="shared" si="46"/>
        <v/>
      </c>
      <c r="N391" s="7" t="str">
        <f t="shared" si="47"/>
        <v/>
      </c>
      <c r="O391" t="str">
        <f t="shared" si="48"/>
        <v/>
      </c>
      <c r="P391" t="str">
        <f t="shared" si="49"/>
        <v/>
      </c>
      <c r="Q391" t="str">
        <f t="shared" si="50"/>
        <v/>
      </c>
      <c r="S391" t="str">
        <f>""</f>
        <v/>
      </c>
      <c r="AL391" s="18" t="str">
        <f>IF(COUNTIF($A$2:A390, A390) = 1, A390, "")</f>
        <v/>
      </c>
    </row>
    <row r="392" spans="6:38" x14ac:dyDescent="0.2">
      <c r="F392" t="str">
        <f t="shared" si="45"/>
        <v/>
      </c>
      <c r="L392" s="7" t="str">
        <f t="shared" si="46"/>
        <v/>
      </c>
      <c r="N392" s="7" t="str">
        <f t="shared" si="47"/>
        <v/>
      </c>
      <c r="O392" t="str">
        <f t="shared" si="48"/>
        <v/>
      </c>
      <c r="P392" t="str">
        <f t="shared" si="49"/>
        <v/>
      </c>
      <c r="Q392" t="str">
        <f t="shared" si="50"/>
        <v/>
      </c>
      <c r="S392" t="str">
        <f>""</f>
        <v/>
      </c>
      <c r="AL392" s="18" t="str">
        <f>IF(COUNTIF($A$2:A391, A391) = 1, A391, "")</f>
        <v/>
      </c>
    </row>
    <row r="393" spans="6:38" x14ac:dyDescent="0.2">
      <c r="F393" t="str">
        <f t="shared" si="45"/>
        <v/>
      </c>
      <c r="L393" s="7" t="str">
        <f t="shared" si="46"/>
        <v/>
      </c>
      <c r="N393" s="7" t="str">
        <f t="shared" si="47"/>
        <v/>
      </c>
      <c r="O393" t="str">
        <f t="shared" si="48"/>
        <v/>
      </c>
      <c r="P393" t="str">
        <f t="shared" si="49"/>
        <v/>
      </c>
      <c r="Q393" t="str">
        <f t="shared" si="50"/>
        <v/>
      </c>
      <c r="S393" t="str">
        <f>""</f>
        <v/>
      </c>
      <c r="AL393" s="18" t="str">
        <f>IF(COUNTIF($A$2:A392, A392) = 1, A392, "")</f>
        <v/>
      </c>
    </row>
    <row r="394" spans="6:38" x14ac:dyDescent="0.2">
      <c r="F394" t="str">
        <f t="shared" si="45"/>
        <v/>
      </c>
      <c r="L394" s="7" t="str">
        <f t="shared" si="46"/>
        <v/>
      </c>
      <c r="N394" s="7" t="str">
        <f t="shared" si="47"/>
        <v/>
      </c>
      <c r="O394" t="str">
        <f t="shared" si="48"/>
        <v/>
      </c>
      <c r="P394" t="str">
        <f t="shared" si="49"/>
        <v/>
      </c>
      <c r="Q394" t="str">
        <f t="shared" si="50"/>
        <v/>
      </c>
      <c r="S394" t="str">
        <f>""</f>
        <v/>
      </c>
      <c r="AL394" s="18" t="str">
        <f>IF(COUNTIF($A$2:A393, A393) = 1, A393, "")</f>
        <v/>
      </c>
    </row>
    <row r="395" spans="6:38" x14ac:dyDescent="0.2">
      <c r="F395" t="str">
        <f t="shared" si="45"/>
        <v/>
      </c>
      <c r="L395" s="7" t="str">
        <f t="shared" si="46"/>
        <v/>
      </c>
      <c r="N395" s="7" t="str">
        <f t="shared" si="47"/>
        <v/>
      </c>
      <c r="O395" t="str">
        <f t="shared" si="48"/>
        <v/>
      </c>
      <c r="P395" t="str">
        <f t="shared" si="49"/>
        <v/>
      </c>
      <c r="Q395" t="str">
        <f t="shared" si="50"/>
        <v/>
      </c>
      <c r="S395" t="str">
        <f>""</f>
        <v/>
      </c>
      <c r="AL395" s="18" t="str">
        <f>IF(COUNTIF($A$2:A394, A394) = 1, A394, "")</f>
        <v/>
      </c>
    </row>
    <row r="396" spans="6:38" x14ac:dyDescent="0.2">
      <c r="F396" t="str">
        <f t="shared" si="45"/>
        <v/>
      </c>
      <c r="L396" s="7" t="str">
        <f t="shared" si="46"/>
        <v/>
      </c>
      <c r="N396" s="7" t="str">
        <f t="shared" si="47"/>
        <v/>
      </c>
      <c r="O396" t="str">
        <f t="shared" si="48"/>
        <v/>
      </c>
      <c r="P396" t="str">
        <f t="shared" si="49"/>
        <v/>
      </c>
      <c r="Q396" t="str">
        <f t="shared" si="50"/>
        <v/>
      </c>
      <c r="S396" t="str">
        <f>""</f>
        <v/>
      </c>
      <c r="AL396" s="18" t="str">
        <f>IF(COUNTIF($A$2:A395, A395) = 1, A395, "")</f>
        <v/>
      </c>
    </row>
    <row r="397" spans="6:38" x14ac:dyDescent="0.2">
      <c r="F397" t="str">
        <f t="shared" si="45"/>
        <v/>
      </c>
      <c r="L397" s="7" t="str">
        <f t="shared" si="46"/>
        <v/>
      </c>
      <c r="N397" s="7" t="str">
        <f t="shared" si="47"/>
        <v/>
      </c>
      <c r="O397" t="str">
        <f t="shared" si="48"/>
        <v/>
      </c>
      <c r="P397" t="str">
        <f t="shared" si="49"/>
        <v/>
      </c>
      <c r="Q397" t="str">
        <f t="shared" si="50"/>
        <v/>
      </c>
      <c r="S397" t="str">
        <f>""</f>
        <v/>
      </c>
      <c r="AL397" s="18" t="str">
        <f>IF(COUNTIF($A$2:A396, A396) = 1, A396, "")</f>
        <v/>
      </c>
    </row>
    <row r="398" spans="6:38" x14ac:dyDescent="0.2">
      <c r="F398" t="str">
        <f t="shared" si="45"/>
        <v/>
      </c>
      <c r="L398" s="7" t="str">
        <f t="shared" si="46"/>
        <v/>
      </c>
      <c r="N398" s="7" t="str">
        <f t="shared" si="47"/>
        <v/>
      </c>
      <c r="O398" t="str">
        <f t="shared" si="48"/>
        <v/>
      </c>
      <c r="P398" t="str">
        <f t="shared" si="49"/>
        <v/>
      </c>
      <c r="Q398" t="str">
        <f t="shared" si="50"/>
        <v/>
      </c>
      <c r="S398" t="str">
        <f>""</f>
        <v/>
      </c>
      <c r="AL398" s="18" t="str">
        <f>IF(COUNTIF($A$2:A397, A397) = 1, A397, "")</f>
        <v/>
      </c>
    </row>
    <row r="399" spans="6:38" x14ac:dyDescent="0.2">
      <c r="F399" t="str">
        <f t="shared" si="45"/>
        <v/>
      </c>
      <c r="L399" s="7" t="str">
        <f t="shared" si="46"/>
        <v/>
      </c>
      <c r="N399" s="7" t="str">
        <f t="shared" si="47"/>
        <v/>
      </c>
      <c r="O399" t="str">
        <f t="shared" si="48"/>
        <v/>
      </c>
      <c r="P399" t="str">
        <f t="shared" si="49"/>
        <v/>
      </c>
      <c r="Q399" t="str">
        <f t="shared" si="50"/>
        <v/>
      </c>
      <c r="S399" t="str">
        <f>""</f>
        <v/>
      </c>
      <c r="AL399" s="18" t="str">
        <f>IF(COUNTIF($A$2:A398, A398) = 1, A398, "")</f>
        <v/>
      </c>
    </row>
    <row r="400" spans="6:38" x14ac:dyDescent="0.2">
      <c r="F400" t="str">
        <f t="shared" ref="F400:F463" si="51">IF(OR(O400="", P400=""), "", SUM(IF((O400&lt;&gt;"None")*(O400&lt;&gt;""),LEN(O400)-LEN(SUBSTITUTE(O400,",",""))+1,0)) + SUM(IF((P400&lt;&gt;"None")*(P400&lt;&gt;""),LEN(P400)-LEN(SUBSTITUTE(P400,",",""))+1,0)))</f>
        <v/>
      </c>
      <c r="L400" s="7" t="str">
        <f t="shared" ref="L400:L463" si="52">IF(LEN(E400)=0, "", IFERROR(IF(E400&gt;=0, K400 * (1 + E400/100) - K400, K400 / (ABS(E400)/100))+K400, ""))</f>
        <v/>
      </c>
      <c r="N400" s="7" t="str">
        <f t="shared" ref="N400:N463" si="53">IF(M400="Yes",L400-K400,IF(M400="No",-K400,""))</f>
        <v/>
      </c>
      <c r="O400" t="str">
        <f t="shared" ref="O400:O463" si="54">IF(AND(G400="No",H400="No"), "None", "")</f>
        <v/>
      </c>
      <c r="P400" t="str">
        <f t="shared" ref="P400:P463" si="55">IF(I400="No", "None", "")</f>
        <v/>
      </c>
      <c r="Q400" t="str">
        <f t="shared" ref="Q400:Q463" si="56">IF(AND(D400="Straight", M400 = "No"),IF(O400="None",P400,IF(P400="None",O400) ),"")</f>
        <v/>
      </c>
      <c r="S400" t="str">
        <f>""</f>
        <v/>
      </c>
      <c r="AL400" s="18" t="str">
        <f>IF(COUNTIF($A$2:A399, A399) = 1, A399, "")</f>
        <v/>
      </c>
    </row>
    <row r="401" spans="6:38" x14ac:dyDescent="0.2">
      <c r="F401" t="str">
        <f t="shared" si="51"/>
        <v/>
      </c>
      <c r="L401" s="7" t="str">
        <f t="shared" si="52"/>
        <v/>
      </c>
      <c r="N401" s="7" t="str">
        <f t="shared" si="53"/>
        <v/>
      </c>
      <c r="O401" t="str">
        <f t="shared" si="54"/>
        <v/>
      </c>
      <c r="P401" t="str">
        <f t="shared" si="55"/>
        <v/>
      </c>
      <c r="Q401" t="str">
        <f t="shared" si="56"/>
        <v/>
      </c>
      <c r="S401" t="str">
        <f>""</f>
        <v/>
      </c>
      <c r="AL401" s="18" t="str">
        <f>IF(COUNTIF($A$2:A400, A400) = 1, A400, "")</f>
        <v/>
      </c>
    </row>
    <row r="402" spans="6:38" x14ac:dyDescent="0.2">
      <c r="F402" t="str">
        <f t="shared" si="51"/>
        <v/>
      </c>
      <c r="L402" s="7" t="str">
        <f t="shared" si="52"/>
        <v/>
      </c>
      <c r="N402" s="7" t="str">
        <f t="shared" si="53"/>
        <v/>
      </c>
      <c r="O402" t="str">
        <f t="shared" si="54"/>
        <v/>
      </c>
      <c r="P402" t="str">
        <f t="shared" si="55"/>
        <v/>
      </c>
      <c r="Q402" t="str">
        <f t="shared" si="56"/>
        <v/>
      </c>
      <c r="S402" t="str">
        <f>""</f>
        <v/>
      </c>
      <c r="AL402" s="18" t="str">
        <f>IF(COUNTIF($A$2:A401, A401) = 1, A401, "")</f>
        <v/>
      </c>
    </row>
    <row r="403" spans="6:38" x14ac:dyDescent="0.2">
      <c r="F403" t="str">
        <f t="shared" si="51"/>
        <v/>
      </c>
      <c r="L403" s="7" t="str">
        <f t="shared" si="52"/>
        <v/>
      </c>
      <c r="N403" s="7" t="str">
        <f t="shared" si="53"/>
        <v/>
      </c>
      <c r="O403" t="str">
        <f t="shared" si="54"/>
        <v/>
      </c>
      <c r="P403" t="str">
        <f t="shared" si="55"/>
        <v/>
      </c>
      <c r="Q403" t="str">
        <f t="shared" si="56"/>
        <v/>
      </c>
      <c r="S403" t="str">
        <f>""</f>
        <v/>
      </c>
      <c r="AL403" s="18" t="str">
        <f>IF(COUNTIF($A$2:A402, A402) = 1, A402, "")</f>
        <v/>
      </c>
    </row>
    <row r="404" spans="6:38" x14ac:dyDescent="0.2">
      <c r="F404" t="str">
        <f t="shared" si="51"/>
        <v/>
      </c>
      <c r="L404" s="7" t="str">
        <f t="shared" si="52"/>
        <v/>
      </c>
      <c r="N404" s="7" t="str">
        <f t="shared" si="53"/>
        <v/>
      </c>
      <c r="O404" t="str">
        <f t="shared" si="54"/>
        <v/>
      </c>
      <c r="P404" t="str">
        <f t="shared" si="55"/>
        <v/>
      </c>
      <c r="Q404" t="str">
        <f t="shared" si="56"/>
        <v/>
      </c>
      <c r="S404" t="str">
        <f>""</f>
        <v/>
      </c>
      <c r="AL404" s="18" t="str">
        <f>IF(COUNTIF($A$2:A403, A403) = 1, A403, "")</f>
        <v/>
      </c>
    </row>
    <row r="405" spans="6:38" x14ac:dyDescent="0.2">
      <c r="F405" t="str">
        <f t="shared" si="51"/>
        <v/>
      </c>
      <c r="L405" s="7" t="str">
        <f t="shared" si="52"/>
        <v/>
      </c>
      <c r="N405" s="7" t="str">
        <f t="shared" si="53"/>
        <v/>
      </c>
      <c r="O405" t="str">
        <f t="shared" si="54"/>
        <v/>
      </c>
      <c r="P405" t="str">
        <f t="shared" si="55"/>
        <v/>
      </c>
      <c r="Q405" t="str">
        <f t="shared" si="56"/>
        <v/>
      </c>
      <c r="S405" t="str">
        <f>""</f>
        <v/>
      </c>
      <c r="AL405" s="18" t="str">
        <f>IF(COUNTIF($A$2:A404, A404) = 1, A404, "")</f>
        <v/>
      </c>
    </row>
    <row r="406" spans="6:38" x14ac:dyDescent="0.2">
      <c r="F406" t="str">
        <f t="shared" si="51"/>
        <v/>
      </c>
      <c r="L406" s="7" t="str">
        <f t="shared" si="52"/>
        <v/>
      </c>
      <c r="N406" s="7" t="str">
        <f t="shared" si="53"/>
        <v/>
      </c>
      <c r="O406" t="str">
        <f t="shared" si="54"/>
        <v/>
      </c>
      <c r="P406" t="str">
        <f t="shared" si="55"/>
        <v/>
      </c>
      <c r="Q406" t="str">
        <f t="shared" si="56"/>
        <v/>
      </c>
      <c r="S406" t="str">
        <f>""</f>
        <v/>
      </c>
      <c r="AL406" s="18" t="str">
        <f>IF(COUNTIF($A$2:A405, A405) = 1, A405, "")</f>
        <v/>
      </c>
    </row>
    <row r="407" spans="6:38" x14ac:dyDescent="0.2">
      <c r="F407" t="str">
        <f t="shared" si="51"/>
        <v/>
      </c>
      <c r="L407" s="7" t="str">
        <f t="shared" si="52"/>
        <v/>
      </c>
      <c r="N407" s="7" t="str">
        <f t="shared" si="53"/>
        <v/>
      </c>
      <c r="O407" t="str">
        <f t="shared" si="54"/>
        <v/>
      </c>
      <c r="P407" t="str">
        <f t="shared" si="55"/>
        <v/>
      </c>
      <c r="Q407" t="str">
        <f t="shared" si="56"/>
        <v/>
      </c>
      <c r="S407" t="str">
        <f>""</f>
        <v/>
      </c>
      <c r="AL407" s="18" t="str">
        <f>IF(COUNTIF($A$2:A406, A406) = 1, A406, "")</f>
        <v/>
      </c>
    </row>
    <row r="408" spans="6:38" x14ac:dyDescent="0.2">
      <c r="F408" t="str">
        <f t="shared" si="51"/>
        <v/>
      </c>
      <c r="L408" s="7" t="str">
        <f t="shared" si="52"/>
        <v/>
      </c>
      <c r="N408" s="7" t="str">
        <f t="shared" si="53"/>
        <v/>
      </c>
      <c r="O408" t="str">
        <f t="shared" si="54"/>
        <v/>
      </c>
      <c r="P408" t="str">
        <f t="shared" si="55"/>
        <v/>
      </c>
      <c r="Q408" t="str">
        <f t="shared" si="56"/>
        <v/>
      </c>
      <c r="S408" t="str">
        <f>""</f>
        <v/>
      </c>
      <c r="AL408" s="18" t="str">
        <f>IF(COUNTIF($A$2:A407, A407) = 1, A407, "")</f>
        <v/>
      </c>
    </row>
    <row r="409" spans="6:38" x14ac:dyDescent="0.2">
      <c r="F409" t="str">
        <f t="shared" si="51"/>
        <v/>
      </c>
      <c r="L409" s="7" t="str">
        <f t="shared" si="52"/>
        <v/>
      </c>
      <c r="N409" s="7" t="str">
        <f t="shared" si="53"/>
        <v/>
      </c>
      <c r="O409" t="str">
        <f t="shared" si="54"/>
        <v/>
      </c>
      <c r="P409" t="str">
        <f t="shared" si="55"/>
        <v/>
      </c>
      <c r="Q409" t="str">
        <f t="shared" si="56"/>
        <v/>
      </c>
      <c r="S409" t="str">
        <f>""</f>
        <v/>
      </c>
      <c r="AL409" s="18" t="str">
        <f>IF(COUNTIF($A$2:A408, A408) = 1, A408, "")</f>
        <v/>
      </c>
    </row>
    <row r="410" spans="6:38" x14ac:dyDescent="0.2">
      <c r="F410" t="str">
        <f t="shared" si="51"/>
        <v/>
      </c>
      <c r="L410" s="7" t="str">
        <f t="shared" si="52"/>
        <v/>
      </c>
      <c r="N410" s="7" t="str">
        <f t="shared" si="53"/>
        <v/>
      </c>
      <c r="O410" t="str">
        <f t="shared" si="54"/>
        <v/>
      </c>
      <c r="P410" t="str">
        <f t="shared" si="55"/>
        <v/>
      </c>
      <c r="Q410" t="str">
        <f t="shared" si="56"/>
        <v/>
      </c>
      <c r="S410" t="str">
        <f>""</f>
        <v/>
      </c>
      <c r="AL410" s="18" t="str">
        <f>IF(COUNTIF($A$2:A409, A409) = 1, A409, "")</f>
        <v/>
      </c>
    </row>
    <row r="411" spans="6:38" x14ac:dyDescent="0.2">
      <c r="F411" t="str">
        <f t="shared" si="51"/>
        <v/>
      </c>
      <c r="L411" s="7" t="str">
        <f t="shared" si="52"/>
        <v/>
      </c>
      <c r="N411" s="7" t="str">
        <f t="shared" si="53"/>
        <v/>
      </c>
      <c r="O411" t="str">
        <f t="shared" si="54"/>
        <v/>
      </c>
      <c r="P411" t="str">
        <f t="shared" si="55"/>
        <v/>
      </c>
      <c r="Q411" t="str">
        <f t="shared" si="56"/>
        <v/>
      </c>
      <c r="S411" t="str">
        <f>""</f>
        <v/>
      </c>
      <c r="AL411" s="18" t="str">
        <f>IF(COUNTIF($A$2:A410, A410) = 1, A410, "")</f>
        <v/>
      </c>
    </row>
    <row r="412" spans="6:38" x14ac:dyDescent="0.2">
      <c r="F412" t="str">
        <f t="shared" si="51"/>
        <v/>
      </c>
      <c r="L412" s="7" t="str">
        <f t="shared" si="52"/>
        <v/>
      </c>
      <c r="N412" s="7" t="str">
        <f t="shared" si="53"/>
        <v/>
      </c>
      <c r="O412" t="str">
        <f t="shared" si="54"/>
        <v/>
      </c>
      <c r="P412" t="str">
        <f t="shared" si="55"/>
        <v/>
      </c>
      <c r="Q412" t="str">
        <f t="shared" si="56"/>
        <v/>
      </c>
      <c r="S412" t="str">
        <f>""</f>
        <v/>
      </c>
      <c r="AL412" s="18" t="str">
        <f>IF(COUNTIF($A$2:A411, A411) = 1, A411, "")</f>
        <v/>
      </c>
    </row>
    <row r="413" spans="6:38" x14ac:dyDescent="0.2">
      <c r="F413" t="str">
        <f t="shared" si="51"/>
        <v/>
      </c>
      <c r="L413" s="7" t="str">
        <f t="shared" si="52"/>
        <v/>
      </c>
      <c r="N413" s="7" t="str">
        <f t="shared" si="53"/>
        <v/>
      </c>
      <c r="O413" t="str">
        <f t="shared" si="54"/>
        <v/>
      </c>
      <c r="P413" t="str">
        <f t="shared" si="55"/>
        <v/>
      </c>
      <c r="Q413" t="str">
        <f t="shared" si="56"/>
        <v/>
      </c>
      <c r="S413" t="str">
        <f>""</f>
        <v/>
      </c>
      <c r="AL413" s="18" t="str">
        <f>IF(COUNTIF($A$2:A412, A412) = 1, A412, "")</f>
        <v/>
      </c>
    </row>
    <row r="414" spans="6:38" x14ac:dyDescent="0.2">
      <c r="F414" t="str">
        <f t="shared" si="51"/>
        <v/>
      </c>
      <c r="L414" s="7" t="str">
        <f t="shared" si="52"/>
        <v/>
      </c>
      <c r="N414" s="7" t="str">
        <f t="shared" si="53"/>
        <v/>
      </c>
      <c r="O414" t="str">
        <f t="shared" si="54"/>
        <v/>
      </c>
      <c r="P414" t="str">
        <f t="shared" si="55"/>
        <v/>
      </c>
      <c r="Q414" t="str">
        <f t="shared" si="56"/>
        <v/>
      </c>
      <c r="S414" t="str">
        <f>""</f>
        <v/>
      </c>
      <c r="AL414" s="18" t="str">
        <f>IF(COUNTIF($A$2:A413, A413) = 1, A413, "")</f>
        <v/>
      </c>
    </row>
    <row r="415" spans="6:38" x14ac:dyDescent="0.2">
      <c r="F415" t="str">
        <f t="shared" si="51"/>
        <v/>
      </c>
      <c r="L415" s="7" t="str">
        <f t="shared" si="52"/>
        <v/>
      </c>
      <c r="N415" s="7" t="str">
        <f t="shared" si="53"/>
        <v/>
      </c>
      <c r="O415" t="str">
        <f t="shared" si="54"/>
        <v/>
      </c>
      <c r="P415" t="str">
        <f t="shared" si="55"/>
        <v/>
      </c>
      <c r="Q415" t="str">
        <f t="shared" si="56"/>
        <v/>
      </c>
      <c r="S415" t="str">
        <f>""</f>
        <v/>
      </c>
      <c r="AL415" s="18" t="str">
        <f>IF(COUNTIF($A$2:A414, A414) = 1, A414, "")</f>
        <v/>
      </c>
    </row>
    <row r="416" spans="6:38" x14ac:dyDescent="0.2">
      <c r="F416" t="str">
        <f t="shared" si="51"/>
        <v/>
      </c>
      <c r="L416" s="7" t="str">
        <f t="shared" si="52"/>
        <v/>
      </c>
      <c r="N416" s="7" t="str">
        <f t="shared" si="53"/>
        <v/>
      </c>
      <c r="O416" t="str">
        <f t="shared" si="54"/>
        <v/>
      </c>
      <c r="P416" t="str">
        <f t="shared" si="55"/>
        <v/>
      </c>
      <c r="Q416" t="str">
        <f t="shared" si="56"/>
        <v/>
      </c>
      <c r="S416" t="str">
        <f>""</f>
        <v/>
      </c>
      <c r="AL416" s="18" t="str">
        <f>IF(COUNTIF($A$2:A415, A415) = 1, A415, "")</f>
        <v/>
      </c>
    </row>
    <row r="417" spans="6:38" x14ac:dyDescent="0.2">
      <c r="F417" t="str">
        <f t="shared" si="51"/>
        <v/>
      </c>
      <c r="L417" s="7" t="str">
        <f t="shared" si="52"/>
        <v/>
      </c>
      <c r="N417" s="7" t="str">
        <f t="shared" si="53"/>
        <v/>
      </c>
      <c r="O417" t="str">
        <f t="shared" si="54"/>
        <v/>
      </c>
      <c r="P417" t="str">
        <f t="shared" si="55"/>
        <v/>
      </c>
      <c r="Q417" t="str">
        <f t="shared" si="56"/>
        <v/>
      </c>
      <c r="S417" t="str">
        <f>""</f>
        <v/>
      </c>
      <c r="AL417" s="18" t="str">
        <f>IF(COUNTIF($A$2:A416, A416) = 1, A416, "")</f>
        <v/>
      </c>
    </row>
    <row r="418" spans="6:38" x14ac:dyDescent="0.2">
      <c r="F418" t="str">
        <f t="shared" si="51"/>
        <v/>
      </c>
      <c r="L418" s="7" t="str">
        <f t="shared" si="52"/>
        <v/>
      </c>
      <c r="N418" s="7" t="str">
        <f t="shared" si="53"/>
        <v/>
      </c>
      <c r="O418" t="str">
        <f t="shared" si="54"/>
        <v/>
      </c>
      <c r="P418" t="str">
        <f t="shared" si="55"/>
        <v/>
      </c>
      <c r="Q418" t="str">
        <f t="shared" si="56"/>
        <v/>
      </c>
      <c r="S418" t="str">
        <f>""</f>
        <v/>
      </c>
      <c r="AL418" s="18" t="str">
        <f>IF(COUNTIF($A$2:A417, A417) = 1, A417, "")</f>
        <v/>
      </c>
    </row>
    <row r="419" spans="6:38" x14ac:dyDescent="0.2">
      <c r="F419" t="str">
        <f t="shared" si="51"/>
        <v/>
      </c>
      <c r="L419" s="7" t="str">
        <f t="shared" si="52"/>
        <v/>
      </c>
      <c r="N419" s="7" t="str">
        <f t="shared" si="53"/>
        <v/>
      </c>
      <c r="O419" t="str">
        <f t="shared" si="54"/>
        <v/>
      </c>
      <c r="P419" t="str">
        <f t="shared" si="55"/>
        <v/>
      </c>
      <c r="Q419" t="str">
        <f t="shared" si="56"/>
        <v/>
      </c>
      <c r="S419" t="str">
        <f>""</f>
        <v/>
      </c>
      <c r="AL419" s="18" t="str">
        <f>IF(COUNTIF($A$2:A418, A418) = 1, A418, "")</f>
        <v/>
      </c>
    </row>
    <row r="420" spans="6:38" x14ac:dyDescent="0.2">
      <c r="F420" t="str">
        <f t="shared" si="51"/>
        <v/>
      </c>
      <c r="L420" s="7" t="str">
        <f t="shared" si="52"/>
        <v/>
      </c>
      <c r="N420" s="7" t="str">
        <f t="shared" si="53"/>
        <v/>
      </c>
      <c r="O420" t="str">
        <f t="shared" si="54"/>
        <v/>
      </c>
      <c r="P420" t="str">
        <f t="shared" si="55"/>
        <v/>
      </c>
      <c r="Q420" t="str">
        <f t="shared" si="56"/>
        <v/>
      </c>
      <c r="S420" t="str">
        <f>""</f>
        <v/>
      </c>
      <c r="AL420" s="18" t="str">
        <f>IF(COUNTIF($A$2:A419, A419) = 1, A419, "")</f>
        <v/>
      </c>
    </row>
    <row r="421" spans="6:38" x14ac:dyDescent="0.2">
      <c r="F421" t="str">
        <f t="shared" si="51"/>
        <v/>
      </c>
      <c r="L421" s="7" t="str">
        <f t="shared" si="52"/>
        <v/>
      </c>
      <c r="N421" s="7" t="str">
        <f t="shared" si="53"/>
        <v/>
      </c>
      <c r="O421" t="str">
        <f t="shared" si="54"/>
        <v/>
      </c>
      <c r="P421" t="str">
        <f t="shared" si="55"/>
        <v/>
      </c>
      <c r="Q421" t="str">
        <f t="shared" si="56"/>
        <v/>
      </c>
      <c r="S421" t="str">
        <f>""</f>
        <v/>
      </c>
      <c r="AL421" s="18" t="str">
        <f>IF(COUNTIF($A$2:A420, A420) = 1, A420, "")</f>
        <v/>
      </c>
    </row>
    <row r="422" spans="6:38" x14ac:dyDescent="0.2">
      <c r="F422" t="str">
        <f t="shared" si="51"/>
        <v/>
      </c>
      <c r="L422" s="7" t="str">
        <f t="shared" si="52"/>
        <v/>
      </c>
      <c r="N422" s="7" t="str">
        <f t="shared" si="53"/>
        <v/>
      </c>
      <c r="O422" t="str">
        <f t="shared" si="54"/>
        <v/>
      </c>
      <c r="P422" t="str">
        <f t="shared" si="55"/>
        <v/>
      </c>
      <c r="Q422" t="str">
        <f t="shared" si="56"/>
        <v/>
      </c>
      <c r="S422" t="str">
        <f>""</f>
        <v/>
      </c>
      <c r="AL422" s="18" t="str">
        <f>IF(COUNTIF($A$2:A421, A421) = 1, A421, "")</f>
        <v/>
      </c>
    </row>
    <row r="423" spans="6:38" x14ac:dyDescent="0.2">
      <c r="F423" t="str">
        <f t="shared" si="51"/>
        <v/>
      </c>
      <c r="L423" s="7" t="str">
        <f t="shared" si="52"/>
        <v/>
      </c>
      <c r="N423" s="7" t="str">
        <f t="shared" si="53"/>
        <v/>
      </c>
      <c r="O423" t="str">
        <f t="shared" si="54"/>
        <v/>
      </c>
      <c r="P423" t="str">
        <f t="shared" si="55"/>
        <v/>
      </c>
      <c r="Q423" t="str">
        <f t="shared" si="56"/>
        <v/>
      </c>
      <c r="S423" t="str">
        <f>""</f>
        <v/>
      </c>
      <c r="AL423" s="18" t="str">
        <f>IF(COUNTIF($A$2:A422, A422) = 1, A422, "")</f>
        <v/>
      </c>
    </row>
    <row r="424" spans="6:38" x14ac:dyDescent="0.2">
      <c r="F424" t="str">
        <f t="shared" si="51"/>
        <v/>
      </c>
      <c r="L424" s="7" t="str">
        <f t="shared" si="52"/>
        <v/>
      </c>
      <c r="N424" s="7" t="str">
        <f t="shared" si="53"/>
        <v/>
      </c>
      <c r="O424" t="str">
        <f t="shared" si="54"/>
        <v/>
      </c>
      <c r="P424" t="str">
        <f t="shared" si="55"/>
        <v/>
      </c>
      <c r="Q424" t="str">
        <f t="shared" si="56"/>
        <v/>
      </c>
      <c r="S424" t="str">
        <f>""</f>
        <v/>
      </c>
      <c r="AL424" s="18" t="str">
        <f>IF(COUNTIF($A$2:A423, A423) = 1, A423, "")</f>
        <v/>
      </c>
    </row>
    <row r="425" spans="6:38" x14ac:dyDescent="0.2">
      <c r="F425" t="str">
        <f t="shared" si="51"/>
        <v/>
      </c>
      <c r="L425" s="7" t="str">
        <f t="shared" si="52"/>
        <v/>
      </c>
      <c r="N425" s="7" t="str">
        <f t="shared" si="53"/>
        <v/>
      </c>
      <c r="O425" t="str">
        <f t="shared" si="54"/>
        <v/>
      </c>
      <c r="P425" t="str">
        <f t="shared" si="55"/>
        <v/>
      </c>
      <c r="Q425" t="str">
        <f t="shared" si="56"/>
        <v/>
      </c>
      <c r="S425" t="str">
        <f>""</f>
        <v/>
      </c>
      <c r="AL425" s="18" t="str">
        <f>IF(COUNTIF($A$2:A424, A424) = 1, A424, "")</f>
        <v/>
      </c>
    </row>
    <row r="426" spans="6:38" x14ac:dyDescent="0.2">
      <c r="F426" t="str">
        <f t="shared" si="51"/>
        <v/>
      </c>
      <c r="L426" s="7" t="str">
        <f t="shared" si="52"/>
        <v/>
      </c>
      <c r="N426" s="7" t="str">
        <f t="shared" si="53"/>
        <v/>
      </c>
      <c r="O426" t="str">
        <f t="shared" si="54"/>
        <v/>
      </c>
      <c r="P426" t="str">
        <f t="shared" si="55"/>
        <v/>
      </c>
      <c r="Q426" t="str">
        <f t="shared" si="56"/>
        <v/>
      </c>
      <c r="S426" t="str">
        <f>""</f>
        <v/>
      </c>
      <c r="AL426" s="18" t="str">
        <f>IF(COUNTIF($A$2:A425, A425) = 1, A425, "")</f>
        <v/>
      </c>
    </row>
    <row r="427" spans="6:38" x14ac:dyDescent="0.2">
      <c r="F427" t="str">
        <f t="shared" si="51"/>
        <v/>
      </c>
      <c r="L427" s="7" t="str">
        <f t="shared" si="52"/>
        <v/>
      </c>
      <c r="N427" s="7" t="str">
        <f t="shared" si="53"/>
        <v/>
      </c>
      <c r="O427" t="str">
        <f t="shared" si="54"/>
        <v/>
      </c>
      <c r="P427" t="str">
        <f t="shared" si="55"/>
        <v/>
      </c>
      <c r="Q427" t="str">
        <f t="shared" si="56"/>
        <v/>
      </c>
      <c r="S427" t="str">
        <f>""</f>
        <v/>
      </c>
      <c r="AL427" s="18" t="str">
        <f>IF(COUNTIF($A$2:A426, A426) = 1, A426, "")</f>
        <v/>
      </c>
    </row>
    <row r="428" spans="6:38" x14ac:dyDescent="0.2">
      <c r="F428" t="str">
        <f t="shared" si="51"/>
        <v/>
      </c>
      <c r="L428" s="7" t="str">
        <f t="shared" si="52"/>
        <v/>
      </c>
      <c r="N428" s="7" t="str">
        <f t="shared" si="53"/>
        <v/>
      </c>
      <c r="O428" t="str">
        <f t="shared" si="54"/>
        <v/>
      </c>
      <c r="P428" t="str">
        <f t="shared" si="55"/>
        <v/>
      </c>
      <c r="Q428" t="str">
        <f t="shared" si="56"/>
        <v/>
      </c>
      <c r="S428" t="str">
        <f>""</f>
        <v/>
      </c>
      <c r="AL428" s="18" t="str">
        <f>IF(COUNTIF($A$2:A427, A427) = 1, A427, "")</f>
        <v/>
      </c>
    </row>
    <row r="429" spans="6:38" x14ac:dyDescent="0.2">
      <c r="F429" t="str">
        <f t="shared" si="51"/>
        <v/>
      </c>
      <c r="L429" s="7" t="str">
        <f t="shared" si="52"/>
        <v/>
      </c>
      <c r="N429" s="7" t="str">
        <f t="shared" si="53"/>
        <v/>
      </c>
      <c r="O429" t="str">
        <f t="shared" si="54"/>
        <v/>
      </c>
      <c r="P429" t="str">
        <f t="shared" si="55"/>
        <v/>
      </c>
      <c r="Q429" t="str">
        <f t="shared" si="56"/>
        <v/>
      </c>
      <c r="S429" t="str">
        <f>""</f>
        <v/>
      </c>
      <c r="AL429" s="18" t="str">
        <f>IF(COUNTIF($A$2:A428, A428) = 1, A428, "")</f>
        <v/>
      </c>
    </row>
    <row r="430" spans="6:38" x14ac:dyDescent="0.2">
      <c r="F430" t="str">
        <f t="shared" si="51"/>
        <v/>
      </c>
      <c r="L430" s="7" t="str">
        <f t="shared" si="52"/>
        <v/>
      </c>
      <c r="N430" s="7" t="str">
        <f t="shared" si="53"/>
        <v/>
      </c>
      <c r="O430" t="str">
        <f t="shared" si="54"/>
        <v/>
      </c>
      <c r="P430" t="str">
        <f t="shared" si="55"/>
        <v/>
      </c>
      <c r="Q430" t="str">
        <f t="shared" si="56"/>
        <v/>
      </c>
      <c r="S430" t="str">
        <f>""</f>
        <v/>
      </c>
      <c r="AL430" s="18" t="str">
        <f>IF(COUNTIF($A$2:A429, A429) = 1, A429, "")</f>
        <v/>
      </c>
    </row>
    <row r="431" spans="6:38" x14ac:dyDescent="0.2">
      <c r="F431" t="str">
        <f t="shared" si="51"/>
        <v/>
      </c>
      <c r="L431" s="7" t="str">
        <f t="shared" si="52"/>
        <v/>
      </c>
      <c r="N431" s="7" t="str">
        <f t="shared" si="53"/>
        <v/>
      </c>
      <c r="O431" t="str">
        <f t="shared" si="54"/>
        <v/>
      </c>
      <c r="P431" t="str">
        <f t="shared" si="55"/>
        <v/>
      </c>
      <c r="Q431" t="str">
        <f t="shared" si="56"/>
        <v/>
      </c>
      <c r="S431" t="str">
        <f>""</f>
        <v/>
      </c>
      <c r="AL431" s="18" t="str">
        <f>IF(COUNTIF($A$2:A430, A430) = 1, A430, "")</f>
        <v/>
      </c>
    </row>
    <row r="432" spans="6:38" x14ac:dyDescent="0.2">
      <c r="F432" t="str">
        <f t="shared" si="51"/>
        <v/>
      </c>
      <c r="L432" s="7" t="str">
        <f t="shared" si="52"/>
        <v/>
      </c>
      <c r="N432" s="7" t="str">
        <f t="shared" si="53"/>
        <v/>
      </c>
      <c r="O432" t="str">
        <f t="shared" si="54"/>
        <v/>
      </c>
      <c r="P432" t="str">
        <f t="shared" si="55"/>
        <v/>
      </c>
      <c r="Q432" t="str">
        <f t="shared" si="56"/>
        <v/>
      </c>
      <c r="S432" t="str">
        <f>""</f>
        <v/>
      </c>
      <c r="AL432" s="18" t="str">
        <f>IF(COUNTIF($A$2:A431, A431) = 1, A431, "")</f>
        <v/>
      </c>
    </row>
    <row r="433" spans="6:38" x14ac:dyDescent="0.2">
      <c r="F433" t="str">
        <f t="shared" si="51"/>
        <v/>
      </c>
      <c r="L433" s="7" t="str">
        <f t="shared" si="52"/>
        <v/>
      </c>
      <c r="N433" s="7" t="str">
        <f t="shared" si="53"/>
        <v/>
      </c>
      <c r="O433" t="str">
        <f t="shared" si="54"/>
        <v/>
      </c>
      <c r="P433" t="str">
        <f t="shared" si="55"/>
        <v/>
      </c>
      <c r="Q433" t="str">
        <f t="shared" si="56"/>
        <v/>
      </c>
      <c r="S433" t="str">
        <f>""</f>
        <v/>
      </c>
      <c r="AL433" s="18" t="str">
        <f>IF(COUNTIF($A$2:A432, A432) = 1, A432, "")</f>
        <v/>
      </c>
    </row>
    <row r="434" spans="6:38" x14ac:dyDescent="0.2">
      <c r="F434" t="str">
        <f t="shared" si="51"/>
        <v/>
      </c>
      <c r="L434" s="7" t="str">
        <f t="shared" si="52"/>
        <v/>
      </c>
      <c r="N434" s="7" t="str">
        <f t="shared" si="53"/>
        <v/>
      </c>
      <c r="O434" t="str">
        <f t="shared" si="54"/>
        <v/>
      </c>
      <c r="P434" t="str">
        <f t="shared" si="55"/>
        <v/>
      </c>
      <c r="Q434" t="str">
        <f t="shared" si="56"/>
        <v/>
      </c>
      <c r="S434" t="str">
        <f>""</f>
        <v/>
      </c>
      <c r="AL434" s="18" t="str">
        <f>IF(COUNTIF($A$2:A433, A433) = 1, A433, "")</f>
        <v/>
      </c>
    </row>
    <row r="435" spans="6:38" x14ac:dyDescent="0.2">
      <c r="F435" t="str">
        <f t="shared" si="51"/>
        <v/>
      </c>
      <c r="L435" s="7" t="str">
        <f t="shared" si="52"/>
        <v/>
      </c>
      <c r="N435" s="7" t="str">
        <f t="shared" si="53"/>
        <v/>
      </c>
      <c r="O435" t="str">
        <f t="shared" si="54"/>
        <v/>
      </c>
      <c r="P435" t="str">
        <f t="shared" si="55"/>
        <v/>
      </c>
      <c r="Q435" t="str">
        <f t="shared" si="56"/>
        <v/>
      </c>
      <c r="S435" t="str">
        <f>""</f>
        <v/>
      </c>
      <c r="AL435" s="18" t="str">
        <f>IF(COUNTIF($A$2:A434, A434) = 1, A434, "")</f>
        <v/>
      </c>
    </row>
    <row r="436" spans="6:38" x14ac:dyDescent="0.2">
      <c r="F436" t="str">
        <f t="shared" si="51"/>
        <v/>
      </c>
      <c r="L436" s="7" t="str">
        <f t="shared" si="52"/>
        <v/>
      </c>
      <c r="N436" s="7" t="str">
        <f t="shared" si="53"/>
        <v/>
      </c>
      <c r="O436" t="str">
        <f t="shared" si="54"/>
        <v/>
      </c>
      <c r="P436" t="str">
        <f t="shared" si="55"/>
        <v/>
      </c>
      <c r="Q436" t="str">
        <f t="shared" si="56"/>
        <v/>
      </c>
      <c r="S436" t="str">
        <f>""</f>
        <v/>
      </c>
      <c r="AL436" s="18" t="str">
        <f>IF(COUNTIF($A$2:A435, A435) = 1, A435, "")</f>
        <v/>
      </c>
    </row>
    <row r="437" spans="6:38" x14ac:dyDescent="0.2">
      <c r="F437" t="str">
        <f t="shared" si="51"/>
        <v/>
      </c>
      <c r="L437" s="7" t="str">
        <f t="shared" si="52"/>
        <v/>
      </c>
      <c r="N437" s="7" t="str">
        <f t="shared" si="53"/>
        <v/>
      </c>
      <c r="O437" t="str">
        <f t="shared" si="54"/>
        <v/>
      </c>
      <c r="P437" t="str">
        <f t="shared" si="55"/>
        <v/>
      </c>
      <c r="Q437" t="str">
        <f t="shared" si="56"/>
        <v/>
      </c>
      <c r="S437" t="str">
        <f>""</f>
        <v/>
      </c>
      <c r="AL437" s="18" t="str">
        <f>IF(COUNTIF($A$2:A436, A436) = 1, A436, "")</f>
        <v/>
      </c>
    </row>
    <row r="438" spans="6:38" x14ac:dyDescent="0.2">
      <c r="F438" t="str">
        <f t="shared" si="51"/>
        <v/>
      </c>
      <c r="L438" s="7" t="str">
        <f t="shared" si="52"/>
        <v/>
      </c>
      <c r="N438" s="7" t="str">
        <f t="shared" si="53"/>
        <v/>
      </c>
      <c r="O438" t="str">
        <f t="shared" si="54"/>
        <v/>
      </c>
      <c r="P438" t="str">
        <f t="shared" si="55"/>
        <v/>
      </c>
      <c r="Q438" t="str">
        <f t="shared" si="56"/>
        <v/>
      </c>
      <c r="S438" t="str">
        <f>""</f>
        <v/>
      </c>
      <c r="AL438" s="18" t="str">
        <f>IF(COUNTIF($A$2:A437, A437) = 1, A437, "")</f>
        <v/>
      </c>
    </row>
    <row r="439" spans="6:38" x14ac:dyDescent="0.2">
      <c r="F439" t="str">
        <f t="shared" si="51"/>
        <v/>
      </c>
      <c r="L439" s="7" t="str">
        <f t="shared" si="52"/>
        <v/>
      </c>
      <c r="N439" s="7" t="str">
        <f t="shared" si="53"/>
        <v/>
      </c>
      <c r="O439" t="str">
        <f t="shared" si="54"/>
        <v/>
      </c>
      <c r="P439" t="str">
        <f t="shared" si="55"/>
        <v/>
      </c>
      <c r="Q439" t="str">
        <f t="shared" si="56"/>
        <v/>
      </c>
      <c r="S439" t="str">
        <f>""</f>
        <v/>
      </c>
      <c r="AL439" s="18" t="str">
        <f>IF(COUNTIF($A$2:A438, A438) = 1, A438, "")</f>
        <v/>
      </c>
    </row>
    <row r="440" spans="6:38" x14ac:dyDescent="0.2">
      <c r="F440" t="str">
        <f t="shared" si="51"/>
        <v/>
      </c>
      <c r="L440" s="7" t="str">
        <f t="shared" si="52"/>
        <v/>
      </c>
      <c r="N440" s="7" t="str">
        <f t="shared" si="53"/>
        <v/>
      </c>
      <c r="O440" t="str">
        <f t="shared" si="54"/>
        <v/>
      </c>
      <c r="P440" t="str">
        <f t="shared" si="55"/>
        <v/>
      </c>
      <c r="Q440" t="str">
        <f t="shared" si="56"/>
        <v/>
      </c>
      <c r="S440" t="str">
        <f>""</f>
        <v/>
      </c>
      <c r="AL440" s="18" t="str">
        <f>IF(COUNTIF($A$2:A439, A439) = 1, A439, "")</f>
        <v/>
      </c>
    </row>
    <row r="441" spans="6:38" x14ac:dyDescent="0.2">
      <c r="F441" t="str">
        <f t="shared" si="51"/>
        <v/>
      </c>
      <c r="L441" s="7" t="str">
        <f t="shared" si="52"/>
        <v/>
      </c>
      <c r="N441" s="7" t="str">
        <f t="shared" si="53"/>
        <v/>
      </c>
      <c r="O441" t="str">
        <f t="shared" si="54"/>
        <v/>
      </c>
      <c r="P441" t="str">
        <f t="shared" si="55"/>
        <v/>
      </c>
      <c r="Q441" t="str">
        <f t="shared" si="56"/>
        <v/>
      </c>
      <c r="S441" t="str">
        <f>""</f>
        <v/>
      </c>
      <c r="AL441" s="18" t="str">
        <f>IF(COUNTIF($A$2:A440, A440) = 1, A440, "")</f>
        <v/>
      </c>
    </row>
    <row r="442" spans="6:38" x14ac:dyDescent="0.2">
      <c r="F442" t="str">
        <f t="shared" si="51"/>
        <v/>
      </c>
      <c r="L442" s="7" t="str">
        <f t="shared" si="52"/>
        <v/>
      </c>
      <c r="N442" s="7" t="str">
        <f t="shared" si="53"/>
        <v/>
      </c>
      <c r="O442" t="str">
        <f t="shared" si="54"/>
        <v/>
      </c>
      <c r="P442" t="str">
        <f t="shared" si="55"/>
        <v/>
      </c>
      <c r="Q442" t="str">
        <f t="shared" si="56"/>
        <v/>
      </c>
      <c r="S442" t="str">
        <f>""</f>
        <v/>
      </c>
      <c r="AL442" s="18" t="str">
        <f>IF(COUNTIF($A$2:A441, A441) = 1, A441, "")</f>
        <v/>
      </c>
    </row>
    <row r="443" spans="6:38" x14ac:dyDescent="0.2">
      <c r="F443" t="str">
        <f t="shared" si="51"/>
        <v/>
      </c>
      <c r="L443" s="7" t="str">
        <f t="shared" si="52"/>
        <v/>
      </c>
      <c r="N443" s="7" t="str">
        <f t="shared" si="53"/>
        <v/>
      </c>
      <c r="O443" t="str">
        <f t="shared" si="54"/>
        <v/>
      </c>
      <c r="P443" t="str">
        <f t="shared" si="55"/>
        <v/>
      </c>
      <c r="Q443" t="str">
        <f t="shared" si="56"/>
        <v/>
      </c>
      <c r="S443" t="str">
        <f>""</f>
        <v/>
      </c>
      <c r="AL443" s="18" t="str">
        <f>IF(COUNTIF($A$2:A442, A442) = 1, A442, "")</f>
        <v/>
      </c>
    </row>
    <row r="444" spans="6:38" x14ac:dyDescent="0.2">
      <c r="F444" t="str">
        <f t="shared" si="51"/>
        <v/>
      </c>
      <c r="L444" s="7" t="str">
        <f t="shared" si="52"/>
        <v/>
      </c>
      <c r="N444" s="7" t="str">
        <f t="shared" si="53"/>
        <v/>
      </c>
      <c r="O444" t="str">
        <f t="shared" si="54"/>
        <v/>
      </c>
      <c r="P444" t="str">
        <f t="shared" si="55"/>
        <v/>
      </c>
      <c r="Q444" t="str">
        <f t="shared" si="56"/>
        <v/>
      </c>
      <c r="S444" t="str">
        <f>""</f>
        <v/>
      </c>
      <c r="AL444" s="18" t="str">
        <f>IF(COUNTIF($A$2:A443, A443) = 1, A443, "")</f>
        <v/>
      </c>
    </row>
    <row r="445" spans="6:38" x14ac:dyDescent="0.2">
      <c r="F445" t="str">
        <f t="shared" si="51"/>
        <v/>
      </c>
      <c r="L445" s="7" t="str">
        <f t="shared" si="52"/>
        <v/>
      </c>
      <c r="N445" s="7" t="str">
        <f t="shared" si="53"/>
        <v/>
      </c>
      <c r="O445" t="str">
        <f t="shared" si="54"/>
        <v/>
      </c>
      <c r="P445" t="str">
        <f t="shared" si="55"/>
        <v/>
      </c>
      <c r="Q445" t="str">
        <f t="shared" si="56"/>
        <v/>
      </c>
      <c r="S445" t="str">
        <f>""</f>
        <v/>
      </c>
      <c r="AL445" s="18" t="str">
        <f>IF(COUNTIF($A$2:A444, A444) = 1, A444, "")</f>
        <v/>
      </c>
    </row>
    <row r="446" spans="6:38" x14ac:dyDescent="0.2">
      <c r="F446" t="str">
        <f t="shared" si="51"/>
        <v/>
      </c>
      <c r="L446" s="7" t="str">
        <f t="shared" si="52"/>
        <v/>
      </c>
      <c r="N446" s="7" t="str">
        <f t="shared" si="53"/>
        <v/>
      </c>
      <c r="O446" t="str">
        <f t="shared" si="54"/>
        <v/>
      </c>
      <c r="P446" t="str">
        <f t="shared" si="55"/>
        <v/>
      </c>
      <c r="Q446" t="str">
        <f t="shared" si="56"/>
        <v/>
      </c>
      <c r="S446" t="str">
        <f>""</f>
        <v/>
      </c>
      <c r="AL446" s="18" t="str">
        <f>IF(COUNTIF($A$2:A445, A445) = 1, A445, "")</f>
        <v/>
      </c>
    </row>
    <row r="447" spans="6:38" x14ac:dyDescent="0.2">
      <c r="F447" t="str">
        <f t="shared" si="51"/>
        <v/>
      </c>
      <c r="L447" s="7" t="str">
        <f t="shared" si="52"/>
        <v/>
      </c>
      <c r="N447" s="7" t="str">
        <f t="shared" si="53"/>
        <v/>
      </c>
      <c r="O447" t="str">
        <f t="shared" si="54"/>
        <v/>
      </c>
      <c r="P447" t="str">
        <f t="shared" si="55"/>
        <v/>
      </c>
      <c r="Q447" t="str">
        <f t="shared" si="56"/>
        <v/>
      </c>
      <c r="S447" t="str">
        <f>""</f>
        <v/>
      </c>
      <c r="AL447" s="18" t="str">
        <f>IF(COUNTIF($A$2:A446, A446) = 1, A446, "")</f>
        <v/>
      </c>
    </row>
    <row r="448" spans="6:38" x14ac:dyDescent="0.2">
      <c r="F448" t="str">
        <f t="shared" si="51"/>
        <v/>
      </c>
      <c r="L448" s="7" t="str">
        <f t="shared" si="52"/>
        <v/>
      </c>
      <c r="N448" s="7" t="str">
        <f t="shared" si="53"/>
        <v/>
      </c>
      <c r="O448" t="str">
        <f t="shared" si="54"/>
        <v/>
      </c>
      <c r="P448" t="str">
        <f t="shared" si="55"/>
        <v/>
      </c>
      <c r="Q448" t="str">
        <f t="shared" si="56"/>
        <v/>
      </c>
      <c r="S448" t="str">
        <f>""</f>
        <v/>
      </c>
      <c r="AL448" s="18" t="str">
        <f>IF(COUNTIF($A$2:A447, A447) = 1, A447, "")</f>
        <v/>
      </c>
    </row>
    <row r="449" spans="6:38" x14ac:dyDescent="0.2">
      <c r="F449" t="str">
        <f t="shared" si="51"/>
        <v/>
      </c>
      <c r="L449" s="7" t="str">
        <f t="shared" si="52"/>
        <v/>
      </c>
      <c r="N449" s="7" t="str">
        <f t="shared" si="53"/>
        <v/>
      </c>
      <c r="O449" t="str">
        <f t="shared" si="54"/>
        <v/>
      </c>
      <c r="P449" t="str">
        <f t="shared" si="55"/>
        <v/>
      </c>
      <c r="Q449" t="str">
        <f t="shared" si="56"/>
        <v/>
      </c>
      <c r="S449" t="str">
        <f>""</f>
        <v/>
      </c>
      <c r="AL449" s="18" t="str">
        <f>IF(COUNTIF($A$2:A448, A448) = 1, A448, "")</f>
        <v/>
      </c>
    </row>
    <row r="450" spans="6:38" x14ac:dyDescent="0.2">
      <c r="F450" t="str">
        <f t="shared" si="51"/>
        <v/>
      </c>
      <c r="L450" s="7" t="str">
        <f t="shared" si="52"/>
        <v/>
      </c>
      <c r="N450" s="7" t="str">
        <f t="shared" si="53"/>
        <v/>
      </c>
      <c r="O450" t="str">
        <f t="shared" si="54"/>
        <v/>
      </c>
      <c r="P450" t="str">
        <f t="shared" si="55"/>
        <v/>
      </c>
      <c r="Q450" t="str">
        <f t="shared" si="56"/>
        <v/>
      </c>
      <c r="S450" t="str">
        <f>""</f>
        <v/>
      </c>
      <c r="AL450" s="18" t="str">
        <f>IF(COUNTIF($A$2:A449, A449) = 1, A449, "")</f>
        <v/>
      </c>
    </row>
    <row r="451" spans="6:38" x14ac:dyDescent="0.2">
      <c r="F451" t="str">
        <f t="shared" si="51"/>
        <v/>
      </c>
      <c r="L451" s="7" t="str">
        <f t="shared" si="52"/>
        <v/>
      </c>
      <c r="N451" s="7" t="str">
        <f t="shared" si="53"/>
        <v/>
      </c>
      <c r="O451" t="str">
        <f t="shared" si="54"/>
        <v/>
      </c>
      <c r="P451" t="str">
        <f t="shared" si="55"/>
        <v/>
      </c>
      <c r="Q451" t="str">
        <f t="shared" si="56"/>
        <v/>
      </c>
      <c r="S451" t="str">
        <f>""</f>
        <v/>
      </c>
      <c r="AL451" s="18" t="str">
        <f>IF(COUNTIF($A$2:A450, A450) = 1, A450, "")</f>
        <v/>
      </c>
    </row>
    <row r="452" spans="6:38" x14ac:dyDescent="0.2">
      <c r="F452" t="str">
        <f t="shared" si="51"/>
        <v/>
      </c>
      <c r="L452" s="7" t="str">
        <f t="shared" si="52"/>
        <v/>
      </c>
      <c r="N452" s="7" t="str">
        <f t="shared" si="53"/>
        <v/>
      </c>
      <c r="O452" t="str">
        <f t="shared" si="54"/>
        <v/>
      </c>
      <c r="P452" t="str">
        <f t="shared" si="55"/>
        <v/>
      </c>
      <c r="Q452" t="str">
        <f t="shared" si="56"/>
        <v/>
      </c>
      <c r="S452" t="str">
        <f>""</f>
        <v/>
      </c>
      <c r="AL452" s="18" t="str">
        <f>IF(COUNTIF($A$2:A451, A451) = 1, A451, "")</f>
        <v/>
      </c>
    </row>
    <row r="453" spans="6:38" x14ac:dyDescent="0.2">
      <c r="F453" t="str">
        <f t="shared" si="51"/>
        <v/>
      </c>
      <c r="L453" s="7" t="str">
        <f t="shared" si="52"/>
        <v/>
      </c>
      <c r="N453" s="7" t="str">
        <f t="shared" si="53"/>
        <v/>
      </c>
      <c r="O453" t="str">
        <f t="shared" si="54"/>
        <v/>
      </c>
      <c r="P453" t="str">
        <f t="shared" si="55"/>
        <v/>
      </c>
      <c r="Q453" t="str">
        <f t="shared" si="56"/>
        <v/>
      </c>
      <c r="S453" t="str">
        <f>""</f>
        <v/>
      </c>
      <c r="AL453" s="18" t="str">
        <f>IF(COUNTIF($A$2:A452, A452) = 1, A452, "")</f>
        <v/>
      </c>
    </row>
    <row r="454" spans="6:38" x14ac:dyDescent="0.2">
      <c r="F454" t="str">
        <f t="shared" si="51"/>
        <v/>
      </c>
      <c r="L454" s="7" t="str">
        <f t="shared" si="52"/>
        <v/>
      </c>
      <c r="N454" s="7" t="str">
        <f t="shared" si="53"/>
        <v/>
      </c>
      <c r="O454" t="str">
        <f t="shared" si="54"/>
        <v/>
      </c>
      <c r="P454" t="str">
        <f t="shared" si="55"/>
        <v/>
      </c>
      <c r="Q454" t="str">
        <f t="shared" si="56"/>
        <v/>
      </c>
      <c r="S454" t="str">
        <f>""</f>
        <v/>
      </c>
      <c r="AL454" s="18" t="str">
        <f>IF(COUNTIF($A$2:A453, A453) = 1, A453, "")</f>
        <v/>
      </c>
    </row>
    <row r="455" spans="6:38" x14ac:dyDescent="0.2">
      <c r="F455" t="str">
        <f t="shared" si="51"/>
        <v/>
      </c>
      <c r="L455" s="7" t="str">
        <f t="shared" si="52"/>
        <v/>
      </c>
      <c r="N455" s="7" t="str">
        <f t="shared" si="53"/>
        <v/>
      </c>
      <c r="O455" t="str">
        <f t="shared" si="54"/>
        <v/>
      </c>
      <c r="P455" t="str">
        <f t="shared" si="55"/>
        <v/>
      </c>
      <c r="Q455" t="str">
        <f t="shared" si="56"/>
        <v/>
      </c>
      <c r="S455" t="str">
        <f>""</f>
        <v/>
      </c>
      <c r="AL455" s="18" t="str">
        <f>IF(COUNTIF($A$2:A454, A454) = 1, A454, "")</f>
        <v/>
      </c>
    </row>
    <row r="456" spans="6:38" x14ac:dyDescent="0.2">
      <c r="F456" t="str">
        <f t="shared" si="51"/>
        <v/>
      </c>
      <c r="L456" s="7" t="str">
        <f t="shared" si="52"/>
        <v/>
      </c>
      <c r="N456" s="7" t="str">
        <f t="shared" si="53"/>
        <v/>
      </c>
      <c r="O456" t="str">
        <f t="shared" si="54"/>
        <v/>
      </c>
      <c r="P456" t="str">
        <f t="shared" si="55"/>
        <v/>
      </c>
      <c r="Q456" t="str">
        <f t="shared" si="56"/>
        <v/>
      </c>
      <c r="S456" t="str">
        <f>""</f>
        <v/>
      </c>
      <c r="AL456" s="18" t="str">
        <f>IF(COUNTIF($A$2:A455, A455) = 1, A455, "")</f>
        <v/>
      </c>
    </row>
    <row r="457" spans="6:38" x14ac:dyDescent="0.2">
      <c r="F457" t="str">
        <f t="shared" si="51"/>
        <v/>
      </c>
      <c r="L457" s="7" t="str">
        <f t="shared" si="52"/>
        <v/>
      </c>
      <c r="N457" s="7" t="str">
        <f t="shared" si="53"/>
        <v/>
      </c>
      <c r="O457" t="str">
        <f t="shared" si="54"/>
        <v/>
      </c>
      <c r="P457" t="str">
        <f t="shared" si="55"/>
        <v/>
      </c>
      <c r="Q457" t="str">
        <f t="shared" si="56"/>
        <v/>
      </c>
      <c r="S457" t="str">
        <f>""</f>
        <v/>
      </c>
      <c r="AL457" s="18" t="str">
        <f>IF(COUNTIF($A$2:A456, A456) = 1, A456, "")</f>
        <v/>
      </c>
    </row>
    <row r="458" spans="6:38" x14ac:dyDescent="0.2">
      <c r="F458" t="str">
        <f t="shared" si="51"/>
        <v/>
      </c>
      <c r="L458" s="7" t="str">
        <f t="shared" si="52"/>
        <v/>
      </c>
      <c r="N458" s="7" t="str">
        <f t="shared" si="53"/>
        <v/>
      </c>
      <c r="O458" t="str">
        <f t="shared" si="54"/>
        <v/>
      </c>
      <c r="P458" t="str">
        <f t="shared" si="55"/>
        <v/>
      </c>
      <c r="Q458" t="str">
        <f t="shared" si="56"/>
        <v/>
      </c>
      <c r="S458" t="str">
        <f>""</f>
        <v/>
      </c>
      <c r="AL458" s="18" t="str">
        <f>IF(COUNTIF($A$2:A457, A457) = 1, A457, "")</f>
        <v/>
      </c>
    </row>
    <row r="459" spans="6:38" x14ac:dyDescent="0.2">
      <c r="F459" t="str">
        <f t="shared" si="51"/>
        <v/>
      </c>
      <c r="L459" s="7" t="str">
        <f t="shared" si="52"/>
        <v/>
      </c>
      <c r="N459" s="7" t="str">
        <f t="shared" si="53"/>
        <v/>
      </c>
      <c r="O459" t="str">
        <f t="shared" si="54"/>
        <v/>
      </c>
      <c r="P459" t="str">
        <f t="shared" si="55"/>
        <v/>
      </c>
      <c r="Q459" t="str">
        <f t="shared" si="56"/>
        <v/>
      </c>
      <c r="S459" t="str">
        <f>""</f>
        <v/>
      </c>
      <c r="AL459" s="18" t="str">
        <f>IF(COUNTIF($A$2:A458, A458) = 1, A458, "")</f>
        <v/>
      </c>
    </row>
    <row r="460" spans="6:38" x14ac:dyDescent="0.2">
      <c r="F460" t="str">
        <f t="shared" si="51"/>
        <v/>
      </c>
      <c r="L460" s="7" t="str">
        <f t="shared" si="52"/>
        <v/>
      </c>
      <c r="N460" s="7" t="str">
        <f t="shared" si="53"/>
        <v/>
      </c>
      <c r="O460" t="str">
        <f t="shared" si="54"/>
        <v/>
      </c>
      <c r="P460" t="str">
        <f t="shared" si="55"/>
        <v/>
      </c>
      <c r="Q460" t="str">
        <f t="shared" si="56"/>
        <v/>
      </c>
      <c r="S460" t="str">
        <f>""</f>
        <v/>
      </c>
      <c r="AL460" s="18" t="str">
        <f>IF(COUNTIF($A$2:A459, A459) = 1, A459, "")</f>
        <v/>
      </c>
    </row>
    <row r="461" spans="6:38" x14ac:dyDescent="0.2">
      <c r="F461" t="str">
        <f t="shared" si="51"/>
        <v/>
      </c>
      <c r="L461" s="7" t="str">
        <f t="shared" si="52"/>
        <v/>
      </c>
      <c r="N461" s="7" t="str">
        <f t="shared" si="53"/>
        <v/>
      </c>
      <c r="O461" t="str">
        <f t="shared" si="54"/>
        <v/>
      </c>
      <c r="P461" t="str">
        <f t="shared" si="55"/>
        <v/>
      </c>
      <c r="Q461" t="str">
        <f t="shared" si="56"/>
        <v/>
      </c>
      <c r="S461" t="str">
        <f>""</f>
        <v/>
      </c>
      <c r="AL461" s="18" t="str">
        <f>IF(COUNTIF($A$2:A460, A460) = 1, A460, "")</f>
        <v/>
      </c>
    </row>
    <row r="462" spans="6:38" x14ac:dyDescent="0.2">
      <c r="F462" t="str">
        <f t="shared" si="51"/>
        <v/>
      </c>
      <c r="L462" s="7" t="str">
        <f t="shared" si="52"/>
        <v/>
      </c>
      <c r="N462" s="7" t="str">
        <f t="shared" si="53"/>
        <v/>
      </c>
      <c r="O462" t="str">
        <f t="shared" si="54"/>
        <v/>
      </c>
      <c r="P462" t="str">
        <f t="shared" si="55"/>
        <v/>
      </c>
      <c r="Q462" t="str">
        <f t="shared" si="56"/>
        <v/>
      </c>
      <c r="S462" t="str">
        <f>""</f>
        <v/>
      </c>
      <c r="AL462" s="18" t="str">
        <f>IF(COUNTIF($A$2:A461, A461) = 1, A461, "")</f>
        <v/>
      </c>
    </row>
    <row r="463" spans="6:38" x14ac:dyDescent="0.2">
      <c r="F463" t="str">
        <f t="shared" si="51"/>
        <v/>
      </c>
      <c r="L463" s="7" t="str">
        <f t="shared" si="52"/>
        <v/>
      </c>
      <c r="N463" s="7" t="str">
        <f t="shared" si="53"/>
        <v/>
      </c>
      <c r="O463" t="str">
        <f t="shared" si="54"/>
        <v/>
      </c>
      <c r="P463" t="str">
        <f t="shared" si="55"/>
        <v/>
      </c>
      <c r="Q463" t="str">
        <f t="shared" si="56"/>
        <v/>
      </c>
      <c r="S463" t="str">
        <f>""</f>
        <v/>
      </c>
      <c r="AL463" s="18" t="str">
        <f>IF(COUNTIF($A$2:A462, A462) = 1, A462, "")</f>
        <v/>
      </c>
    </row>
    <row r="464" spans="6:38" x14ac:dyDescent="0.2">
      <c r="F464" t="str">
        <f t="shared" ref="F464:F499" si="57">IF(OR(O464="", P464=""), "", SUM(IF((O464&lt;&gt;"None")*(O464&lt;&gt;""),LEN(O464)-LEN(SUBSTITUTE(O464,",",""))+1,0)) + SUM(IF((P464&lt;&gt;"None")*(P464&lt;&gt;""),LEN(P464)-LEN(SUBSTITUTE(P464,",",""))+1,0)))</f>
        <v/>
      </c>
      <c r="L464" s="7" t="str">
        <f t="shared" ref="L464:L499" si="58">IF(LEN(E464)=0, "", IFERROR(IF(E464&gt;=0, K464 * (1 + E464/100) - K464, K464 / (ABS(E464)/100))+K464, ""))</f>
        <v/>
      </c>
      <c r="N464" s="7" t="str">
        <f t="shared" ref="N464:N499" si="59">IF(M464="Yes",L464-K464,IF(M464="No",-K464,""))</f>
        <v/>
      </c>
      <c r="O464" t="str">
        <f t="shared" ref="O464:O499" si="60">IF(AND(G464="No",H464="No"), "None", "")</f>
        <v/>
      </c>
      <c r="P464" t="str">
        <f t="shared" ref="P464:P499" si="61">IF(I464="No", "None", "")</f>
        <v/>
      </c>
      <c r="Q464" t="str">
        <f t="shared" ref="Q464:Q499" si="62">IF(AND(D464="Straight", M464 = "No"),IF(O464="None",P464,IF(P464="None",O464) ),"")</f>
        <v/>
      </c>
      <c r="S464" t="str">
        <f>""</f>
        <v/>
      </c>
      <c r="AL464" s="18" t="str">
        <f>IF(COUNTIF($A$2:A463, A463) = 1, A463, "")</f>
        <v/>
      </c>
    </row>
    <row r="465" spans="6:38" x14ac:dyDescent="0.2">
      <c r="F465" t="str">
        <f t="shared" si="57"/>
        <v/>
      </c>
      <c r="L465" s="7" t="str">
        <f t="shared" si="58"/>
        <v/>
      </c>
      <c r="N465" s="7" t="str">
        <f t="shared" si="59"/>
        <v/>
      </c>
      <c r="O465" t="str">
        <f t="shared" si="60"/>
        <v/>
      </c>
      <c r="P465" t="str">
        <f t="shared" si="61"/>
        <v/>
      </c>
      <c r="Q465" t="str">
        <f t="shared" si="62"/>
        <v/>
      </c>
      <c r="S465" t="str">
        <f>""</f>
        <v/>
      </c>
      <c r="AL465" s="18" t="str">
        <f>IF(COUNTIF($A$2:A464, A464) = 1, A464, "")</f>
        <v/>
      </c>
    </row>
    <row r="466" spans="6:38" x14ac:dyDescent="0.2">
      <c r="F466" t="str">
        <f t="shared" si="57"/>
        <v/>
      </c>
      <c r="L466" s="7" t="str">
        <f t="shared" si="58"/>
        <v/>
      </c>
      <c r="N466" s="7" t="str">
        <f t="shared" si="59"/>
        <v/>
      </c>
      <c r="O466" t="str">
        <f t="shared" si="60"/>
        <v/>
      </c>
      <c r="P466" t="str">
        <f t="shared" si="61"/>
        <v/>
      </c>
      <c r="Q466" t="str">
        <f t="shared" si="62"/>
        <v/>
      </c>
      <c r="S466" t="str">
        <f>""</f>
        <v/>
      </c>
      <c r="AL466" s="18" t="str">
        <f>IF(COUNTIF($A$2:A465, A465) = 1, A465, "")</f>
        <v/>
      </c>
    </row>
    <row r="467" spans="6:38" x14ac:dyDescent="0.2">
      <c r="F467" t="str">
        <f t="shared" si="57"/>
        <v/>
      </c>
      <c r="L467" s="7" t="str">
        <f t="shared" si="58"/>
        <v/>
      </c>
      <c r="N467" s="7" t="str">
        <f t="shared" si="59"/>
        <v/>
      </c>
      <c r="O467" t="str">
        <f t="shared" si="60"/>
        <v/>
      </c>
      <c r="P467" t="str">
        <f t="shared" si="61"/>
        <v/>
      </c>
      <c r="Q467" t="str">
        <f t="shared" si="62"/>
        <v/>
      </c>
      <c r="S467" t="str">
        <f>""</f>
        <v/>
      </c>
      <c r="AL467" s="18" t="str">
        <f>IF(COUNTIF($A$2:A466, A466) = 1, A466, "")</f>
        <v/>
      </c>
    </row>
    <row r="468" spans="6:38" x14ac:dyDescent="0.2">
      <c r="F468" t="str">
        <f t="shared" si="57"/>
        <v/>
      </c>
      <c r="L468" s="7" t="str">
        <f t="shared" si="58"/>
        <v/>
      </c>
      <c r="N468" s="7" t="str">
        <f t="shared" si="59"/>
        <v/>
      </c>
      <c r="O468" t="str">
        <f t="shared" si="60"/>
        <v/>
      </c>
      <c r="P468" t="str">
        <f t="shared" si="61"/>
        <v/>
      </c>
      <c r="Q468" t="str">
        <f t="shared" si="62"/>
        <v/>
      </c>
      <c r="S468" t="str">
        <f>""</f>
        <v/>
      </c>
      <c r="AL468" s="18" t="str">
        <f>IF(COUNTIF($A$2:A467, A467) = 1, A467, "")</f>
        <v/>
      </c>
    </row>
    <row r="469" spans="6:38" x14ac:dyDescent="0.2">
      <c r="F469" t="str">
        <f t="shared" si="57"/>
        <v/>
      </c>
      <c r="L469" s="7" t="str">
        <f t="shared" si="58"/>
        <v/>
      </c>
      <c r="N469" s="7" t="str">
        <f t="shared" si="59"/>
        <v/>
      </c>
      <c r="O469" t="str">
        <f t="shared" si="60"/>
        <v/>
      </c>
      <c r="P469" t="str">
        <f t="shared" si="61"/>
        <v/>
      </c>
      <c r="Q469" t="str">
        <f t="shared" si="62"/>
        <v/>
      </c>
      <c r="S469" t="str">
        <f>""</f>
        <v/>
      </c>
      <c r="AL469" s="18" t="str">
        <f>IF(COUNTIF($A$2:A468, A468) = 1, A468, "")</f>
        <v/>
      </c>
    </row>
    <row r="470" spans="6:38" x14ac:dyDescent="0.2">
      <c r="F470" t="str">
        <f t="shared" si="57"/>
        <v/>
      </c>
      <c r="L470" s="7" t="str">
        <f t="shared" si="58"/>
        <v/>
      </c>
      <c r="N470" s="7" t="str">
        <f t="shared" si="59"/>
        <v/>
      </c>
      <c r="O470" t="str">
        <f t="shared" si="60"/>
        <v/>
      </c>
      <c r="P470" t="str">
        <f t="shared" si="61"/>
        <v/>
      </c>
      <c r="Q470" t="str">
        <f t="shared" si="62"/>
        <v/>
      </c>
      <c r="S470" t="str">
        <f>""</f>
        <v/>
      </c>
      <c r="AL470" s="18" t="str">
        <f>IF(COUNTIF($A$2:A469, A469) = 1, A469, "")</f>
        <v/>
      </c>
    </row>
    <row r="471" spans="6:38" x14ac:dyDescent="0.2">
      <c r="F471" t="str">
        <f t="shared" si="57"/>
        <v/>
      </c>
      <c r="L471" s="7" t="str">
        <f t="shared" si="58"/>
        <v/>
      </c>
      <c r="N471" s="7" t="str">
        <f t="shared" si="59"/>
        <v/>
      </c>
      <c r="O471" t="str">
        <f t="shared" si="60"/>
        <v/>
      </c>
      <c r="P471" t="str">
        <f t="shared" si="61"/>
        <v/>
      </c>
      <c r="Q471" t="str">
        <f t="shared" si="62"/>
        <v/>
      </c>
      <c r="S471" t="str">
        <f>""</f>
        <v/>
      </c>
      <c r="AL471" s="18" t="str">
        <f>IF(COUNTIF($A$2:A470, A470) = 1, A470, "")</f>
        <v/>
      </c>
    </row>
    <row r="472" spans="6:38" x14ac:dyDescent="0.2">
      <c r="F472" t="str">
        <f t="shared" si="57"/>
        <v/>
      </c>
      <c r="L472" s="7" t="str">
        <f t="shared" si="58"/>
        <v/>
      </c>
      <c r="N472" s="7" t="str">
        <f t="shared" si="59"/>
        <v/>
      </c>
      <c r="O472" t="str">
        <f t="shared" si="60"/>
        <v/>
      </c>
      <c r="P472" t="str">
        <f t="shared" si="61"/>
        <v/>
      </c>
      <c r="Q472" t="str">
        <f t="shared" si="62"/>
        <v/>
      </c>
      <c r="S472" t="str">
        <f>""</f>
        <v/>
      </c>
      <c r="AL472" s="18" t="str">
        <f>IF(COUNTIF($A$2:A471, A471) = 1, A471, "")</f>
        <v/>
      </c>
    </row>
    <row r="473" spans="6:38" x14ac:dyDescent="0.2">
      <c r="F473" t="str">
        <f t="shared" si="57"/>
        <v/>
      </c>
      <c r="L473" s="7" t="str">
        <f t="shared" si="58"/>
        <v/>
      </c>
      <c r="N473" s="7" t="str">
        <f t="shared" si="59"/>
        <v/>
      </c>
      <c r="O473" t="str">
        <f t="shared" si="60"/>
        <v/>
      </c>
      <c r="P473" t="str">
        <f t="shared" si="61"/>
        <v/>
      </c>
      <c r="Q473" t="str">
        <f t="shared" si="62"/>
        <v/>
      </c>
      <c r="S473" t="str">
        <f>""</f>
        <v/>
      </c>
      <c r="AL473" s="18" t="str">
        <f>IF(COUNTIF($A$2:A472, A472) = 1, A472, "")</f>
        <v/>
      </c>
    </row>
    <row r="474" spans="6:38" x14ac:dyDescent="0.2">
      <c r="F474" t="str">
        <f t="shared" si="57"/>
        <v/>
      </c>
      <c r="L474" s="7" t="str">
        <f t="shared" si="58"/>
        <v/>
      </c>
      <c r="N474" s="7" t="str">
        <f t="shared" si="59"/>
        <v/>
      </c>
      <c r="O474" t="str">
        <f t="shared" si="60"/>
        <v/>
      </c>
      <c r="P474" t="str">
        <f t="shared" si="61"/>
        <v/>
      </c>
      <c r="Q474" t="str">
        <f t="shared" si="62"/>
        <v/>
      </c>
      <c r="S474" t="str">
        <f>""</f>
        <v/>
      </c>
      <c r="AL474" s="18" t="str">
        <f>IF(COUNTIF($A$2:A473, A473) = 1, A473, "")</f>
        <v/>
      </c>
    </row>
    <row r="475" spans="6:38" x14ac:dyDescent="0.2">
      <c r="F475" t="str">
        <f t="shared" si="57"/>
        <v/>
      </c>
      <c r="L475" s="7" t="str">
        <f t="shared" si="58"/>
        <v/>
      </c>
      <c r="N475" s="7" t="str">
        <f t="shared" si="59"/>
        <v/>
      </c>
      <c r="O475" t="str">
        <f t="shared" si="60"/>
        <v/>
      </c>
      <c r="P475" t="str">
        <f t="shared" si="61"/>
        <v/>
      </c>
      <c r="Q475" t="str">
        <f t="shared" si="62"/>
        <v/>
      </c>
      <c r="S475" t="str">
        <f>""</f>
        <v/>
      </c>
      <c r="AL475" s="18" t="str">
        <f>IF(COUNTIF($A$2:A474, A474) = 1, A474, "")</f>
        <v/>
      </c>
    </row>
    <row r="476" spans="6:38" x14ac:dyDescent="0.2">
      <c r="F476" t="str">
        <f t="shared" si="57"/>
        <v/>
      </c>
      <c r="L476" s="7" t="str">
        <f t="shared" si="58"/>
        <v/>
      </c>
      <c r="N476" s="7" t="str">
        <f t="shared" si="59"/>
        <v/>
      </c>
      <c r="O476" t="str">
        <f t="shared" si="60"/>
        <v/>
      </c>
      <c r="P476" t="str">
        <f t="shared" si="61"/>
        <v/>
      </c>
      <c r="Q476" t="str">
        <f t="shared" si="62"/>
        <v/>
      </c>
      <c r="S476" t="str">
        <f>""</f>
        <v/>
      </c>
      <c r="AL476" s="18" t="str">
        <f>IF(COUNTIF($A$2:A475, A475) = 1, A475, "")</f>
        <v/>
      </c>
    </row>
    <row r="477" spans="6:38" x14ac:dyDescent="0.2">
      <c r="F477" t="str">
        <f t="shared" si="57"/>
        <v/>
      </c>
      <c r="L477" s="7" t="str">
        <f t="shared" si="58"/>
        <v/>
      </c>
      <c r="N477" s="7" t="str">
        <f t="shared" si="59"/>
        <v/>
      </c>
      <c r="O477" t="str">
        <f t="shared" si="60"/>
        <v/>
      </c>
      <c r="P477" t="str">
        <f t="shared" si="61"/>
        <v/>
      </c>
      <c r="Q477" t="str">
        <f t="shared" si="62"/>
        <v/>
      </c>
      <c r="S477" t="str">
        <f>""</f>
        <v/>
      </c>
      <c r="AL477" s="18" t="str">
        <f>IF(COUNTIF($A$2:A476, A476) = 1, A476, "")</f>
        <v/>
      </c>
    </row>
    <row r="478" spans="6:38" x14ac:dyDescent="0.2">
      <c r="F478" t="str">
        <f t="shared" si="57"/>
        <v/>
      </c>
      <c r="L478" s="7" t="str">
        <f t="shared" si="58"/>
        <v/>
      </c>
      <c r="N478" s="7" t="str">
        <f t="shared" si="59"/>
        <v/>
      </c>
      <c r="O478" t="str">
        <f t="shared" si="60"/>
        <v/>
      </c>
      <c r="P478" t="str">
        <f t="shared" si="61"/>
        <v/>
      </c>
      <c r="Q478" t="str">
        <f t="shared" si="62"/>
        <v/>
      </c>
      <c r="S478" t="str">
        <f>""</f>
        <v/>
      </c>
      <c r="AL478" s="18" t="str">
        <f>IF(COUNTIF($A$2:A477, A477) = 1, A477, "")</f>
        <v/>
      </c>
    </row>
    <row r="479" spans="6:38" x14ac:dyDescent="0.2">
      <c r="F479" t="str">
        <f t="shared" si="57"/>
        <v/>
      </c>
      <c r="L479" s="7" t="str">
        <f t="shared" si="58"/>
        <v/>
      </c>
      <c r="N479" s="7" t="str">
        <f t="shared" si="59"/>
        <v/>
      </c>
      <c r="O479" t="str">
        <f t="shared" si="60"/>
        <v/>
      </c>
      <c r="P479" t="str">
        <f t="shared" si="61"/>
        <v/>
      </c>
      <c r="Q479" t="str">
        <f t="shared" si="62"/>
        <v/>
      </c>
      <c r="S479" t="str">
        <f>""</f>
        <v/>
      </c>
      <c r="AL479" s="18" t="str">
        <f>IF(COUNTIF($A$2:A478, A478) = 1, A478, "")</f>
        <v/>
      </c>
    </row>
    <row r="480" spans="6:38" x14ac:dyDescent="0.2">
      <c r="F480" t="str">
        <f t="shared" si="57"/>
        <v/>
      </c>
      <c r="L480" s="7" t="str">
        <f t="shared" si="58"/>
        <v/>
      </c>
      <c r="N480" s="7" t="str">
        <f t="shared" si="59"/>
        <v/>
      </c>
      <c r="O480" t="str">
        <f t="shared" si="60"/>
        <v/>
      </c>
      <c r="P480" t="str">
        <f t="shared" si="61"/>
        <v/>
      </c>
      <c r="Q480" t="str">
        <f t="shared" si="62"/>
        <v/>
      </c>
      <c r="S480" t="str">
        <f>""</f>
        <v/>
      </c>
      <c r="AL480" s="18" t="str">
        <f>IF(COUNTIF($A$2:A479, A479) = 1, A479, "")</f>
        <v/>
      </c>
    </row>
    <row r="481" spans="6:38" x14ac:dyDescent="0.2">
      <c r="F481" t="str">
        <f t="shared" si="57"/>
        <v/>
      </c>
      <c r="L481" s="7" t="str">
        <f t="shared" si="58"/>
        <v/>
      </c>
      <c r="N481" s="7" t="str">
        <f t="shared" si="59"/>
        <v/>
      </c>
      <c r="O481" t="str">
        <f t="shared" si="60"/>
        <v/>
      </c>
      <c r="P481" t="str">
        <f t="shared" si="61"/>
        <v/>
      </c>
      <c r="Q481" t="str">
        <f t="shared" si="62"/>
        <v/>
      </c>
      <c r="S481" t="str">
        <f>""</f>
        <v/>
      </c>
      <c r="AL481" s="18" t="str">
        <f>IF(COUNTIF($A$2:A480, A480) = 1, A480, "")</f>
        <v/>
      </c>
    </row>
    <row r="482" spans="6:38" x14ac:dyDescent="0.2">
      <c r="F482" t="str">
        <f t="shared" si="57"/>
        <v/>
      </c>
      <c r="L482" s="7" t="str">
        <f t="shared" si="58"/>
        <v/>
      </c>
      <c r="N482" s="7" t="str">
        <f t="shared" si="59"/>
        <v/>
      </c>
      <c r="O482" t="str">
        <f t="shared" si="60"/>
        <v/>
      </c>
      <c r="P482" t="str">
        <f t="shared" si="61"/>
        <v/>
      </c>
      <c r="Q482" t="str">
        <f t="shared" si="62"/>
        <v/>
      </c>
      <c r="S482" t="str">
        <f>""</f>
        <v/>
      </c>
      <c r="AL482" s="18" t="str">
        <f>IF(COUNTIF($A$2:A481, A481) = 1, A481, "")</f>
        <v/>
      </c>
    </row>
    <row r="483" spans="6:38" x14ac:dyDescent="0.2">
      <c r="F483" t="str">
        <f t="shared" si="57"/>
        <v/>
      </c>
      <c r="L483" s="7" t="str">
        <f t="shared" si="58"/>
        <v/>
      </c>
      <c r="N483" s="7" t="str">
        <f t="shared" si="59"/>
        <v/>
      </c>
      <c r="O483" t="str">
        <f t="shared" si="60"/>
        <v/>
      </c>
      <c r="P483" t="str">
        <f t="shared" si="61"/>
        <v/>
      </c>
      <c r="Q483" t="str">
        <f t="shared" si="62"/>
        <v/>
      </c>
      <c r="S483" t="str">
        <f>""</f>
        <v/>
      </c>
      <c r="AL483" s="18" t="str">
        <f>IF(COUNTIF($A$2:A482, A482) = 1, A482, "")</f>
        <v/>
      </c>
    </row>
    <row r="484" spans="6:38" x14ac:dyDescent="0.2">
      <c r="F484" t="str">
        <f t="shared" si="57"/>
        <v/>
      </c>
      <c r="L484" s="7" t="str">
        <f t="shared" si="58"/>
        <v/>
      </c>
      <c r="N484" s="7" t="str">
        <f t="shared" si="59"/>
        <v/>
      </c>
      <c r="O484" t="str">
        <f t="shared" si="60"/>
        <v/>
      </c>
      <c r="P484" t="str">
        <f t="shared" si="61"/>
        <v/>
      </c>
      <c r="Q484" t="str">
        <f t="shared" si="62"/>
        <v/>
      </c>
      <c r="S484" t="str">
        <f>""</f>
        <v/>
      </c>
      <c r="AL484" s="18" t="str">
        <f>IF(COUNTIF($A$2:A483, A483) = 1, A483, "")</f>
        <v/>
      </c>
    </row>
    <row r="485" spans="6:38" x14ac:dyDescent="0.2">
      <c r="F485" t="str">
        <f t="shared" si="57"/>
        <v/>
      </c>
      <c r="L485" s="7" t="str">
        <f t="shared" si="58"/>
        <v/>
      </c>
      <c r="N485" s="7" t="str">
        <f t="shared" si="59"/>
        <v/>
      </c>
      <c r="O485" t="str">
        <f t="shared" si="60"/>
        <v/>
      </c>
      <c r="P485" t="str">
        <f t="shared" si="61"/>
        <v/>
      </c>
      <c r="Q485" t="str">
        <f t="shared" si="62"/>
        <v/>
      </c>
      <c r="S485" t="str">
        <f>""</f>
        <v/>
      </c>
      <c r="AL485" s="18" t="str">
        <f>IF(COUNTIF($A$2:A484, A484) = 1, A484, "")</f>
        <v/>
      </c>
    </row>
    <row r="486" spans="6:38" x14ac:dyDescent="0.2">
      <c r="F486" t="str">
        <f t="shared" si="57"/>
        <v/>
      </c>
      <c r="L486" s="7" t="str">
        <f t="shared" si="58"/>
        <v/>
      </c>
      <c r="N486" s="7" t="str">
        <f t="shared" si="59"/>
        <v/>
      </c>
      <c r="O486" t="str">
        <f t="shared" si="60"/>
        <v/>
      </c>
      <c r="P486" t="str">
        <f t="shared" si="61"/>
        <v/>
      </c>
      <c r="Q486" t="str">
        <f t="shared" si="62"/>
        <v/>
      </c>
      <c r="S486" t="str">
        <f>""</f>
        <v/>
      </c>
      <c r="AL486" s="18" t="str">
        <f>IF(COUNTIF($A$2:A485, A485) = 1, A485, "")</f>
        <v/>
      </c>
    </row>
    <row r="487" spans="6:38" x14ac:dyDescent="0.2">
      <c r="F487" t="str">
        <f t="shared" si="57"/>
        <v/>
      </c>
      <c r="L487" s="7" t="str">
        <f t="shared" si="58"/>
        <v/>
      </c>
      <c r="N487" s="7" t="str">
        <f t="shared" si="59"/>
        <v/>
      </c>
      <c r="O487" t="str">
        <f t="shared" si="60"/>
        <v/>
      </c>
      <c r="P487" t="str">
        <f t="shared" si="61"/>
        <v/>
      </c>
      <c r="Q487" t="str">
        <f t="shared" si="62"/>
        <v/>
      </c>
      <c r="S487" t="str">
        <f>""</f>
        <v/>
      </c>
      <c r="AL487" s="18" t="str">
        <f>IF(COUNTIF($A$2:A486, A486) = 1, A486, "")</f>
        <v/>
      </c>
    </row>
    <row r="488" spans="6:38" x14ac:dyDescent="0.2">
      <c r="F488" t="str">
        <f t="shared" si="57"/>
        <v/>
      </c>
      <c r="L488" s="7" t="str">
        <f t="shared" si="58"/>
        <v/>
      </c>
      <c r="N488" s="7" t="str">
        <f t="shared" si="59"/>
        <v/>
      </c>
      <c r="O488" t="str">
        <f t="shared" si="60"/>
        <v/>
      </c>
      <c r="P488" t="str">
        <f t="shared" si="61"/>
        <v/>
      </c>
      <c r="Q488" t="str">
        <f t="shared" si="62"/>
        <v/>
      </c>
      <c r="S488" t="str">
        <f>""</f>
        <v/>
      </c>
      <c r="AL488" s="18" t="str">
        <f>IF(COUNTIF($A$2:A487, A487) = 1, A487, "")</f>
        <v/>
      </c>
    </row>
    <row r="489" spans="6:38" x14ac:dyDescent="0.2">
      <c r="F489" t="str">
        <f t="shared" si="57"/>
        <v/>
      </c>
      <c r="L489" s="7" t="str">
        <f t="shared" si="58"/>
        <v/>
      </c>
      <c r="N489" s="7" t="str">
        <f t="shared" si="59"/>
        <v/>
      </c>
      <c r="O489" t="str">
        <f t="shared" si="60"/>
        <v/>
      </c>
      <c r="P489" t="str">
        <f t="shared" si="61"/>
        <v/>
      </c>
      <c r="Q489" t="str">
        <f t="shared" si="62"/>
        <v/>
      </c>
      <c r="S489" t="str">
        <f>""</f>
        <v/>
      </c>
      <c r="AL489" s="18" t="str">
        <f>IF(COUNTIF($A$2:A488, A488) = 1, A488, "")</f>
        <v/>
      </c>
    </row>
    <row r="490" spans="6:38" x14ac:dyDescent="0.2">
      <c r="F490" t="str">
        <f t="shared" si="57"/>
        <v/>
      </c>
      <c r="L490" s="7" t="str">
        <f t="shared" si="58"/>
        <v/>
      </c>
      <c r="N490" s="7" t="str">
        <f t="shared" si="59"/>
        <v/>
      </c>
      <c r="O490" t="str">
        <f t="shared" si="60"/>
        <v/>
      </c>
      <c r="P490" t="str">
        <f t="shared" si="61"/>
        <v/>
      </c>
      <c r="Q490" t="str">
        <f t="shared" si="62"/>
        <v/>
      </c>
      <c r="S490" t="str">
        <f>""</f>
        <v/>
      </c>
      <c r="AL490" s="18" t="str">
        <f>IF(COUNTIF($A$2:A489, A489) = 1, A489, "")</f>
        <v/>
      </c>
    </row>
    <row r="491" spans="6:38" x14ac:dyDescent="0.2">
      <c r="F491" t="str">
        <f t="shared" si="57"/>
        <v/>
      </c>
      <c r="L491" s="7" t="str">
        <f t="shared" si="58"/>
        <v/>
      </c>
      <c r="N491" s="7" t="str">
        <f t="shared" si="59"/>
        <v/>
      </c>
      <c r="O491" t="str">
        <f t="shared" si="60"/>
        <v/>
      </c>
      <c r="P491" t="str">
        <f t="shared" si="61"/>
        <v/>
      </c>
      <c r="Q491" t="str">
        <f t="shared" si="62"/>
        <v/>
      </c>
      <c r="S491" t="str">
        <f>""</f>
        <v/>
      </c>
      <c r="AL491" s="18" t="str">
        <f>IF(COUNTIF($A$2:A490, A490) = 1, A490, "")</f>
        <v/>
      </c>
    </row>
    <row r="492" spans="6:38" x14ac:dyDescent="0.2">
      <c r="F492" t="str">
        <f t="shared" si="57"/>
        <v/>
      </c>
      <c r="L492" s="7" t="str">
        <f t="shared" si="58"/>
        <v/>
      </c>
      <c r="N492" s="7" t="str">
        <f t="shared" si="59"/>
        <v/>
      </c>
      <c r="O492" t="str">
        <f t="shared" si="60"/>
        <v/>
      </c>
      <c r="P492" t="str">
        <f t="shared" si="61"/>
        <v/>
      </c>
      <c r="Q492" t="str">
        <f t="shared" si="62"/>
        <v/>
      </c>
      <c r="S492" t="str">
        <f>""</f>
        <v/>
      </c>
      <c r="AL492" s="18" t="str">
        <f>IF(COUNTIF($A$2:A491, A491) = 1, A491, "")</f>
        <v/>
      </c>
    </row>
    <row r="493" spans="6:38" x14ac:dyDescent="0.2">
      <c r="F493" t="str">
        <f t="shared" si="57"/>
        <v/>
      </c>
      <c r="L493" s="7" t="str">
        <f t="shared" si="58"/>
        <v/>
      </c>
      <c r="N493" s="7" t="str">
        <f t="shared" si="59"/>
        <v/>
      </c>
      <c r="O493" t="str">
        <f t="shared" si="60"/>
        <v/>
      </c>
      <c r="P493" t="str">
        <f t="shared" si="61"/>
        <v/>
      </c>
      <c r="Q493" t="str">
        <f t="shared" si="62"/>
        <v/>
      </c>
      <c r="S493" t="str">
        <f>""</f>
        <v/>
      </c>
      <c r="AL493" s="18" t="str">
        <f>IF(COUNTIF($A$2:A492, A492) = 1, A492, "")</f>
        <v/>
      </c>
    </row>
    <row r="494" spans="6:38" x14ac:dyDescent="0.2">
      <c r="F494" t="str">
        <f t="shared" si="57"/>
        <v/>
      </c>
      <c r="L494" s="7" t="str">
        <f t="shared" si="58"/>
        <v/>
      </c>
      <c r="N494" s="7" t="str">
        <f t="shared" si="59"/>
        <v/>
      </c>
      <c r="O494" t="str">
        <f t="shared" si="60"/>
        <v/>
      </c>
      <c r="P494" t="str">
        <f t="shared" si="61"/>
        <v/>
      </c>
      <c r="Q494" t="str">
        <f t="shared" si="62"/>
        <v/>
      </c>
      <c r="S494" t="str">
        <f>""</f>
        <v/>
      </c>
      <c r="AL494" s="18" t="str">
        <f>IF(COUNTIF($A$2:A493, A493) = 1, A493, "")</f>
        <v/>
      </c>
    </row>
    <row r="495" spans="6:38" x14ac:dyDescent="0.2">
      <c r="F495" t="str">
        <f t="shared" si="57"/>
        <v/>
      </c>
      <c r="L495" s="7" t="str">
        <f t="shared" si="58"/>
        <v/>
      </c>
      <c r="N495" s="7" t="str">
        <f t="shared" si="59"/>
        <v/>
      </c>
      <c r="O495" t="str">
        <f t="shared" si="60"/>
        <v/>
      </c>
      <c r="P495" t="str">
        <f t="shared" si="61"/>
        <v/>
      </c>
      <c r="Q495" t="str">
        <f t="shared" si="62"/>
        <v/>
      </c>
      <c r="S495" t="str">
        <f>""</f>
        <v/>
      </c>
      <c r="AL495" s="18" t="str">
        <f>IF(COUNTIF($A$2:A494, A494) = 1, A494, "")</f>
        <v/>
      </c>
    </row>
    <row r="496" spans="6:38" x14ac:dyDescent="0.2">
      <c r="F496" t="str">
        <f t="shared" si="57"/>
        <v/>
      </c>
      <c r="L496" s="7" t="str">
        <f t="shared" si="58"/>
        <v/>
      </c>
      <c r="N496" s="7" t="str">
        <f t="shared" si="59"/>
        <v/>
      </c>
      <c r="O496" t="str">
        <f t="shared" si="60"/>
        <v/>
      </c>
      <c r="P496" t="str">
        <f t="shared" si="61"/>
        <v/>
      </c>
      <c r="Q496" t="str">
        <f t="shared" si="62"/>
        <v/>
      </c>
      <c r="S496" t="str">
        <f>""</f>
        <v/>
      </c>
      <c r="AL496" s="18" t="str">
        <f>IF(COUNTIF($A$2:A495, A495) = 1, A495, "")</f>
        <v/>
      </c>
    </row>
    <row r="497" spans="6:38" x14ac:dyDescent="0.2">
      <c r="F497" t="str">
        <f t="shared" si="57"/>
        <v/>
      </c>
      <c r="L497" s="7" t="str">
        <f t="shared" si="58"/>
        <v/>
      </c>
      <c r="N497" s="7" t="str">
        <f t="shared" si="59"/>
        <v/>
      </c>
      <c r="O497" t="str">
        <f t="shared" si="60"/>
        <v/>
      </c>
      <c r="P497" t="str">
        <f t="shared" si="61"/>
        <v/>
      </c>
      <c r="Q497" t="str">
        <f t="shared" si="62"/>
        <v/>
      </c>
      <c r="S497" t="str">
        <f>""</f>
        <v/>
      </c>
      <c r="AL497" s="18" t="str">
        <f>IF(COUNTIF($A$2:A496, A496) = 1, A496, "")</f>
        <v/>
      </c>
    </row>
    <row r="498" spans="6:38" x14ac:dyDescent="0.2">
      <c r="F498" t="str">
        <f t="shared" si="57"/>
        <v/>
      </c>
      <c r="L498" s="7" t="str">
        <f t="shared" si="58"/>
        <v/>
      </c>
      <c r="N498" s="7" t="str">
        <f t="shared" si="59"/>
        <v/>
      </c>
      <c r="O498" t="str">
        <f t="shared" si="60"/>
        <v/>
      </c>
      <c r="P498" t="str">
        <f t="shared" si="61"/>
        <v/>
      </c>
      <c r="Q498" t="str">
        <f t="shared" si="62"/>
        <v/>
      </c>
      <c r="S498" t="str">
        <f>""</f>
        <v/>
      </c>
      <c r="AL498" s="18" t="str">
        <f>IF(COUNTIF($A$2:A497, A497) = 1, A497, "")</f>
        <v/>
      </c>
    </row>
    <row r="499" spans="6:38" x14ac:dyDescent="0.2">
      <c r="F499" t="str">
        <f t="shared" si="57"/>
        <v/>
      </c>
      <c r="L499" s="7" t="str">
        <f t="shared" si="58"/>
        <v/>
      </c>
      <c r="N499" s="7" t="str">
        <f t="shared" si="59"/>
        <v/>
      </c>
      <c r="O499" t="str">
        <f t="shared" si="60"/>
        <v/>
      </c>
      <c r="P499" t="str">
        <f t="shared" si="61"/>
        <v/>
      </c>
      <c r="Q499" t="str">
        <f t="shared" si="62"/>
        <v/>
      </c>
      <c r="S499" t="str">
        <f>""</f>
        <v/>
      </c>
      <c r="AL499" s="18" t="str">
        <f>IF(COUNTIF($A$2:A498, A498) = 1, A498, "")</f>
        <v/>
      </c>
    </row>
    <row r="500" spans="6:38" x14ac:dyDescent="0.2">
      <c r="AL500" s="18" t="str">
        <f>IF(COUNTIF($A$2:A499, A499) = 1, A499, "")</f>
        <v/>
      </c>
    </row>
    <row r="501" spans="6:38" x14ac:dyDescent="0.2">
      <c r="AL501" s="18" t="str">
        <f>IF(COUNTIF($A$2:A500, A500) = 1, A500, "")</f>
        <v/>
      </c>
    </row>
    <row r="502" spans="6:38" x14ac:dyDescent="0.2">
      <c r="AL502" s="18" t="str">
        <f>IF(COUNTIF($A$2:A501, A501) = 1, A501, "")</f>
        <v/>
      </c>
    </row>
    <row r="503" spans="6:38" x14ac:dyDescent="0.2">
      <c r="AL503" s="18" t="str">
        <f>IF(COUNTIF($A$2:A502, A502) = 1, A502, "")</f>
        <v/>
      </c>
    </row>
    <row r="504" spans="6:38" x14ac:dyDescent="0.2">
      <c r="AL504" s="18" t="str">
        <f>IF(COUNTIF($A$2:A503, A503) = 1, A503, "")</f>
        <v/>
      </c>
    </row>
    <row r="505" spans="6:38" x14ac:dyDescent="0.2">
      <c r="AL505" s="18" t="str">
        <f>IF(COUNTIF($A$2:A504, A504) = 1, A504, "")</f>
        <v/>
      </c>
    </row>
    <row r="506" spans="6:38" x14ac:dyDescent="0.2">
      <c r="AL506" s="18" t="str">
        <f>IF(COUNTIF($A$2:A505, A505) = 1, A505, "")</f>
        <v/>
      </c>
    </row>
    <row r="507" spans="6:38" x14ac:dyDescent="0.2">
      <c r="AL507" s="18" t="str">
        <f>IF(COUNTIF($A$2:A506, A506) = 1, A506, "")</f>
        <v/>
      </c>
    </row>
    <row r="508" spans="6:38" x14ac:dyDescent="0.2">
      <c r="AL508" s="18" t="str">
        <f>IF(COUNTIF($A$2:A507, A507) = 1, A507, "")</f>
        <v/>
      </c>
    </row>
    <row r="509" spans="6:38" x14ac:dyDescent="0.2">
      <c r="AL509" s="18" t="str">
        <f>IF(COUNTIF($A$2:A508, A508) = 1, A508, "")</f>
        <v/>
      </c>
    </row>
    <row r="510" spans="6:38" x14ac:dyDescent="0.2">
      <c r="AL510" s="18" t="str">
        <f>IF(COUNTIF($A$2:A509, A509) = 1, A509, "")</f>
        <v/>
      </c>
    </row>
    <row r="511" spans="6:38" x14ac:dyDescent="0.2">
      <c r="AL511" s="18" t="str">
        <f>IF(COUNTIF($A$2:A510, A510) = 1, A510, "")</f>
        <v/>
      </c>
    </row>
    <row r="512" spans="6:38" x14ac:dyDescent="0.2">
      <c r="AL512" s="18" t="str">
        <f>IF(COUNTIF($A$2:A511, A511) = 1, A511, "")</f>
        <v/>
      </c>
    </row>
    <row r="513" spans="38:38" x14ac:dyDescent="0.2">
      <c r="AL513" s="18" t="str">
        <f>IF(COUNTIF($A$2:A512, A512) = 1, A512, "")</f>
        <v/>
      </c>
    </row>
    <row r="514" spans="38:38" x14ac:dyDescent="0.2">
      <c r="AL514" s="18" t="str">
        <f>IF(COUNTIF($A$2:A513, A513) = 1, A513, "")</f>
        <v/>
      </c>
    </row>
    <row r="515" spans="38:38" x14ac:dyDescent="0.2">
      <c r="AL515" s="18" t="str">
        <f>IF(COUNTIF($A$2:A514, A514) = 1, A514, "")</f>
        <v/>
      </c>
    </row>
    <row r="516" spans="38:38" x14ac:dyDescent="0.2">
      <c r="AL516" s="18" t="str">
        <f>IF(COUNTIF($A$2:A515, A515) = 1, A515, "")</f>
        <v/>
      </c>
    </row>
    <row r="517" spans="38:38" x14ac:dyDescent="0.2">
      <c r="AL517" s="18" t="str">
        <f>IF(COUNTIF($A$2:A516, A516) = 1, A516, "")</f>
        <v/>
      </c>
    </row>
    <row r="518" spans="38:38" x14ac:dyDescent="0.2">
      <c r="AL518" s="18" t="str">
        <f>IF(COUNTIF($A$2:A517, A517) = 1, A517, "")</f>
        <v/>
      </c>
    </row>
    <row r="519" spans="38:38" x14ac:dyDescent="0.2">
      <c r="AL519" s="18" t="str">
        <f>IF(COUNTIF($A$2:A518, A518) = 1, A518, "")</f>
        <v/>
      </c>
    </row>
    <row r="520" spans="38:38" x14ac:dyDescent="0.2">
      <c r="AL520" s="18" t="str">
        <f>IF(COUNTIF($A$2:A519, A519) = 1, A519, "")</f>
        <v/>
      </c>
    </row>
    <row r="521" spans="38:38" x14ac:dyDescent="0.2">
      <c r="AL521" s="18" t="str">
        <f>IF(COUNTIF($A$2:A520, A520) = 1, A520, "")</f>
        <v/>
      </c>
    </row>
    <row r="522" spans="38:38" x14ac:dyDescent="0.2">
      <c r="AL522" s="18" t="str">
        <f>IF(COUNTIF($A$2:A521, A521) = 1, A521, "")</f>
        <v/>
      </c>
    </row>
    <row r="523" spans="38:38" x14ac:dyDescent="0.2">
      <c r="AL523" s="18" t="str">
        <f>IF(COUNTIF($A$2:A522, A522) = 1, A522, "")</f>
        <v/>
      </c>
    </row>
    <row r="524" spans="38:38" x14ac:dyDescent="0.2">
      <c r="AL524" s="18" t="str">
        <f>IF(COUNTIF($A$2:A523, A523) = 1, A523, "")</f>
        <v/>
      </c>
    </row>
    <row r="525" spans="38:38" x14ac:dyDescent="0.2">
      <c r="AL525" s="18" t="str">
        <f>IF(COUNTIF($A$2:A524, A524) = 1, A524, "")</f>
        <v/>
      </c>
    </row>
    <row r="526" spans="38:38" x14ac:dyDescent="0.2">
      <c r="AL526" s="18" t="str">
        <f>IF(COUNTIF($A$2:A525, A525) = 1, A525, "")</f>
        <v/>
      </c>
    </row>
    <row r="527" spans="38:38" x14ac:dyDescent="0.2">
      <c r="AL527" s="18" t="str">
        <f>IF(COUNTIF($A$2:A526, A526) = 1, A526, "")</f>
        <v/>
      </c>
    </row>
    <row r="528" spans="38:38" x14ac:dyDescent="0.2">
      <c r="AL528" s="18" t="str">
        <f>IF(COUNTIF($A$2:A527, A527) = 1, A527, "")</f>
        <v/>
      </c>
    </row>
    <row r="529" spans="38:38" x14ac:dyDescent="0.2">
      <c r="AL529" s="18" t="str">
        <f>IF(COUNTIF($A$2:A528, A528) = 1, A528, "")</f>
        <v/>
      </c>
    </row>
    <row r="530" spans="38:38" x14ac:dyDescent="0.2">
      <c r="AL530" s="18" t="str">
        <f>IF(COUNTIF($A$2:A529, A529) = 1, A529, "")</f>
        <v/>
      </c>
    </row>
    <row r="531" spans="38:38" x14ac:dyDescent="0.2">
      <c r="AL531" s="18" t="str">
        <f>IF(COUNTIF($A$2:A530, A530) = 1, A530, "")</f>
        <v/>
      </c>
    </row>
    <row r="532" spans="38:38" x14ac:dyDescent="0.2">
      <c r="AL532" s="18" t="str">
        <f>IF(COUNTIF($A$2:A531, A531) = 1, A531, "")</f>
        <v/>
      </c>
    </row>
    <row r="533" spans="38:38" x14ac:dyDescent="0.2">
      <c r="AL533" s="18" t="str">
        <f>IF(COUNTIF($A$2:A532, A532) = 1, A532, "")</f>
        <v/>
      </c>
    </row>
    <row r="534" spans="38:38" x14ac:dyDescent="0.2">
      <c r="AL534" s="18" t="str">
        <f>IF(COUNTIF($A$2:A533, A533) = 1, A533, "")</f>
        <v/>
      </c>
    </row>
    <row r="535" spans="38:38" x14ac:dyDescent="0.2">
      <c r="AL535" s="18" t="str">
        <f>IF(COUNTIF($A$2:A534, A534) = 1, A534, "")</f>
        <v/>
      </c>
    </row>
    <row r="536" spans="38:38" x14ac:dyDescent="0.2">
      <c r="AL536" s="18" t="str">
        <f>IF(COUNTIF($A$2:A535, A535) = 1, A535, "")</f>
        <v/>
      </c>
    </row>
    <row r="537" spans="38:38" x14ac:dyDescent="0.2">
      <c r="AL537" s="18" t="str">
        <f>IF(COUNTIF($A$2:A536, A536) = 1, A536, "")</f>
        <v/>
      </c>
    </row>
    <row r="538" spans="38:38" x14ac:dyDescent="0.2">
      <c r="AL538" s="18" t="str">
        <f>IF(COUNTIF($A$2:A537, A537) = 1, A537, "")</f>
        <v/>
      </c>
    </row>
    <row r="539" spans="38:38" x14ac:dyDescent="0.2">
      <c r="AL539" s="18" t="str">
        <f>IF(COUNTIF($A$2:A538, A538) = 1, A538, "")</f>
        <v/>
      </c>
    </row>
    <row r="540" spans="38:38" x14ac:dyDescent="0.2">
      <c r="AL540" s="18" t="str">
        <f>IF(COUNTIF($A$2:A539, A539) = 1, A539, "")</f>
        <v/>
      </c>
    </row>
    <row r="541" spans="38:38" x14ac:dyDescent="0.2">
      <c r="AL541" s="18" t="str">
        <f>IF(COUNTIF($A$2:A540, A540) = 1, A540, "")</f>
        <v/>
      </c>
    </row>
    <row r="542" spans="38:38" x14ac:dyDescent="0.2">
      <c r="AL542" s="18" t="str">
        <f>IF(COUNTIF($A$2:A541, A541) = 1, A541, "")</f>
        <v/>
      </c>
    </row>
    <row r="543" spans="38:38" x14ac:dyDescent="0.2">
      <c r="AL543" s="18" t="str">
        <f>IF(COUNTIF($A$2:A542, A542) = 1, A542, "")</f>
        <v/>
      </c>
    </row>
    <row r="544" spans="38:38" x14ac:dyDescent="0.2">
      <c r="AL544" s="18" t="str">
        <f>IF(COUNTIF($A$2:A543, A543) = 1, A543, "")</f>
        <v/>
      </c>
    </row>
    <row r="545" spans="38:38" x14ac:dyDescent="0.2">
      <c r="AL545" s="18" t="str">
        <f>IF(COUNTIF($A$2:A544, A544) = 1, A544, "")</f>
        <v/>
      </c>
    </row>
    <row r="546" spans="38:38" x14ac:dyDescent="0.2">
      <c r="AL546" s="18" t="str">
        <f>IF(COUNTIF($A$2:A545, A545) = 1, A545, "")</f>
        <v/>
      </c>
    </row>
    <row r="547" spans="38:38" x14ac:dyDescent="0.2">
      <c r="AL547" s="18" t="str">
        <f>IF(COUNTIF($A$2:A546, A546) = 1, A546, "")</f>
        <v/>
      </c>
    </row>
    <row r="548" spans="38:38" x14ac:dyDescent="0.2">
      <c r="AL548" s="18" t="str">
        <f>IF(COUNTIF($A$2:A547, A547) = 1, A547, "")</f>
        <v/>
      </c>
    </row>
    <row r="549" spans="38:38" x14ac:dyDescent="0.2">
      <c r="AL549" s="18" t="str">
        <f>IF(COUNTIF($A$2:A548, A548) = 1, A548, "")</f>
        <v/>
      </c>
    </row>
    <row r="550" spans="38:38" x14ac:dyDescent="0.2">
      <c r="AL550" s="18" t="str">
        <f>IF(COUNTIF($A$2:A549, A549) = 1, A549, "")</f>
        <v/>
      </c>
    </row>
    <row r="551" spans="38:38" x14ac:dyDescent="0.2">
      <c r="AL551" s="18" t="str">
        <f>IF(COUNTIF($A$2:A550, A550) = 1, A550, "")</f>
        <v/>
      </c>
    </row>
    <row r="552" spans="38:38" x14ac:dyDescent="0.2">
      <c r="AL552" s="18" t="str">
        <f>IF(COUNTIF($A$2:A551, A551) = 1, A551, "")</f>
        <v/>
      </c>
    </row>
    <row r="553" spans="38:38" x14ac:dyDescent="0.2">
      <c r="AL553" s="18" t="str">
        <f>IF(COUNTIF($A$2:A552, A552) = 1, A552, "")</f>
        <v/>
      </c>
    </row>
    <row r="554" spans="38:38" x14ac:dyDescent="0.2">
      <c r="AL554" s="18" t="str">
        <f>IF(COUNTIF($A$2:A553, A553) = 1, A553, "")</f>
        <v/>
      </c>
    </row>
    <row r="555" spans="38:38" x14ac:dyDescent="0.2">
      <c r="AL555" s="18" t="str">
        <f>IF(COUNTIF($A$2:A554, A554) = 1, A554, "")</f>
        <v/>
      </c>
    </row>
    <row r="556" spans="38:38" x14ac:dyDescent="0.2">
      <c r="AL556" s="18" t="str">
        <f>IF(COUNTIF($A$2:A555, A555) = 1, A555, "")</f>
        <v/>
      </c>
    </row>
    <row r="557" spans="38:38" x14ac:dyDescent="0.2">
      <c r="AL557" s="18" t="str">
        <f>IF(COUNTIF($A$2:A556, A556) = 1, A556, "")</f>
        <v/>
      </c>
    </row>
    <row r="558" spans="38:38" x14ac:dyDescent="0.2">
      <c r="AL558" s="18" t="str">
        <f>IF(COUNTIF($A$2:A557, A557) = 1, A557, "")</f>
        <v/>
      </c>
    </row>
    <row r="559" spans="38:38" x14ac:dyDescent="0.2">
      <c r="AL559" s="18" t="str">
        <f>IF(COUNTIF($A$2:A558, A558) = 1, A558, "")</f>
        <v/>
      </c>
    </row>
    <row r="560" spans="38:38" x14ac:dyDescent="0.2">
      <c r="AL560" s="18" t="str">
        <f>IF(COUNTIF($A$2:A559, A559) = 1, A559, "")</f>
        <v/>
      </c>
    </row>
    <row r="561" spans="38:38" x14ac:dyDescent="0.2">
      <c r="AL561" s="18" t="str">
        <f>IF(COUNTIF($A$2:A560, A560) = 1, A560, "")</f>
        <v/>
      </c>
    </row>
    <row r="562" spans="38:38" x14ac:dyDescent="0.2">
      <c r="AL562" s="18" t="str">
        <f>IF(COUNTIF($A$2:A561, A561) = 1, A561, "")</f>
        <v/>
      </c>
    </row>
    <row r="563" spans="38:38" x14ac:dyDescent="0.2">
      <c r="AL563" s="18" t="str">
        <f>IF(COUNTIF($A$2:A562, A562) = 1, A562, "")</f>
        <v/>
      </c>
    </row>
    <row r="564" spans="38:38" x14ac:dyDescent="0.2">
      <c r="AL564" s="18" t="str">
        <f>IF(COUNTIF($A$2:A563, A563) = 1, A563, "")</f>
        <v/>
      </c>
    </row>
    <row r="565" spans="38:38" x14ac:dyDescent="0.2">
      <c r="AL565" s="18" t="str">
        <f>IF(COUNTIF($A$2:A564, A564) = 1, A564, "")</f>
        <v/>
      </c>
    </row>
    <row r="566" spans="38:38" x14ac:dyDescent="0.2">
      <c r="AL566" s="18" t="str">
        <f>IF(COUNTIF($A$2:A565, A565) = 1, A565, "")</f>
        <v/>
      </c>
    </row>
    <row r="567" spans="38:38" x14ac:dyDescent="0.2">
      <c r="AL567" s="18" t="str">
        <f>IF(COUNTIF($A$2:A566, A566) = 1, A566, "")</f>
        <v/>
      </c>
    </row>
    <row r="568" spans="38:38" x14ac:dyDescent="0.2">
      <c r="AL568" s="18" t="str">
        <f>IF(COUNTIF($A$2:A567, A567) = 1, A567, "")</f>
        <v/>
      </c>
    </row>
    <row r="569" spans="38:38" x14ac:dyDescent="0.2">
      <c r="AL569" s="18" t="str">
        <f>IF(COUNTIF($A$2:A568, A568) = 1, A568, "")</f>
        <v/>
      </c>
    </row>
    <row r="570" spans="38:38" x14ac:dyDescent="0.2">
      <c r="AL570" s="18" t="str">
        <f>IF(COUNTIF($A$2:A569, A569) = 1, A569, "")</f>
        <v/>
      </c>
    </row>
    <row r="571" spans="38:38" x14ac:dyDescent="0.2">
      <c r="AL571" s="18" t="str">
        <f>IF(COUNTIF($A$2:A570, A570) = 1, A570, "")</f>
        <v/>
      </c>
    </row>
    <row r="572" spans="38:38" x14ac:dyDescent="0.2">
      <c r="AL572" s="18" t="str">
        <f>IF(COUNTIF($A$2:A571, A571) = 1, A571, "")</f>
        <v/>
      </c>
    </row>
    <row r="573" spans="38:38" x14ac:dyDescent="0.2">
      <c r="AL573" s="18" t="str">
        <f>IF(COUNTIF($A$2:A572, A572) = 1, A572, "")</f>
        <v/>
      </c>
    </row>
    <row r="574" spans="38:38" x14ac:dyDescent="0.2">
      <c r="AL574" s="18" t="str">
        <f>IF(COUNTIF($A$2:A573, A573) = 1, A573, "")</f>
        <v/>
      </c>
    </row>
    <row r="575" spans="38:38" x14ac:dyDescent="0.2">
      <c r="AL575" s="18" t="str">
        <f>IF(COUNTIF($A$2:A574, A574) = 1, A574, "")</f>
        <v/>
      </c>
    </row>
    <row r="576" spans="38:38" x14ac:dyDescent="0.2">
      <c r="AL576" s="18" t="str">
        <f>IF(COUNTIF($A$2:A575, A575) = 1, A575, "")</f>
        <v/>
      </c>
    </row>
    <row r="577" spans="38:38" x14ac:dyDescent="0.2">
      <c r="AL577" s="18" t="str">
        <f>IF(COUNTIF($A$2:A576, A576) = 1, A576, "")</f>
        <v/>
      </c>
    </row>
    <row r="578" spans="38:38" x14ac:dyDescent="0.2">
      <c r="AL578" s="18" t="str">
        <f>IF(COUNTIF($A$2:A577, A577) = 1, A577, "")</f>
        <v/>
      </c>
    </row>
    <row r="579" spans="38:38" x14ac:dyDescent="0.2">
      <c r="AL579" s="18" t="str">
        <f>IF(COUNTIF($A$2:A578, A578) = 1, A578, "")</f>
        <v/>
      </c>
    </row>
    <row r="580" spans="38:38" x14ac:dyDescent="0.2">
      <c r="AL580" s="18" t="str">
        <f>IF(COUNTIF($A$2:A579, A579) = 1, A579, "")</f>
        <v/>
      </c>
    </row>
    <row r="581" spans="38:38" x14ac:dyDescent="0.2">
      <c r="AL581" s="18" t="str">
        <f>IF(COUNTIF($A$2:A580, A580) = 1, A580, "")</f>
        <v/>
      </c>
    </row>
  </sheetData>
  <mergeCells count="19">
    <mergeCell ref="T2:U2"/>
    <mergeCell ref="T3:U3"/>
    <mergeCell ref="T4:U4"/>
    <mergeCell ref="T6:U6"/>
    <mergeCell ref="T19:U19"/>
    <mergeCell ref="T20:U20"/>
    <mergeCell ref="T21:U21"/>
    <mergeCell ref="T22:U22"/>
    <mergeCell ref="T7:U7"/>
    <mergeCell ref="T8:U8"/>
    <mergeCell ref="T9:U9"/>
    <mergeCell ref="T10:U10"/>
    <mergeCell ref="T11:V11"/>
    <mergeCell ref="T12:U12"/>
    <mergeCell ref="T14:U14"/>
    <mergeCell ref="T15:U15"/>
    <mergeCell ref="T16:U16"/>
    <mergeCell ref="T17:V17"/>
    <mergeCell ref="T13:U13"/>
  </mergeCells>
  <conditionalFormatting sqref="N1:N1048576">
    <cfRule type="dataBar" priority="70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{8536BFF0-C35B-074C-979D-56D4C6FD651C}</x14:id>
        </ext>
      </extLst>
    </cfRule>
  </conditionalFormatting>
  <conditionalFormatting sqref="V4">
    <cfRule type="colorScale" priority="63">
      <colorScale>
        <cfvo type="num" val="-50"/>
        <cfvo type="num" val="0"/>
        <cfvo type="num" val="50"/>
        <color rgb="FFC00000"/>
        <color theme="0"/>
        <color rgb="FF00B050"/>
      </colorScale>
    </cfRule>
  </conditionalFormatting>
  <conditionalFormatting sqref="V9">
    <cfRule type="dataBar" priority="62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{1FB8B43F-4081-6E41-B4A1-BA21F4F0973B}</x14:id>
        </ext>
      </extLst>
    </cfRule>
  </conditionalFormatting>
  <conditionalFormatting sqref="V15">
    <cfRule type="dataBar" priority="61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{106D8B03-9B7F-1F42-A4A4-2E0C8C5ECB7D}</x14:id>
        </ext>
      </extLst>
    </cfRule>
  </conditionalFormatting>
  <conditionalFormatting sqref="V10">
    <cfRule type="dataBar" priority="42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{DB99CEA6-E668-F940-AACA-C871DD0023CA}</x14:id>
        </ext>
      </extLst>
    </cfRule>
    <cfRule type="colorScale" priority="43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V16">
    <cfRule type="dataBar" priority="40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{9CA9968C-E84C-0F4D-9EB5-7D1FFF067256}</x14:id>
        </ext>
      </extLst>
    </cfRule>
    <cfRule type="colorScale" priority="41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12:Y18">
    <cfRule type="dataBar" priority="16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{182BAB55-2702-8A41-812A-E6B4F5D5586E}</x14:id>
        </ext>
      </extLst>
    </cfRule>
    <cfRule type="colorScale" priority="17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A41:AA43 AA26:AA31 AA3:AA9 AA34:AA38 AA12:AA18 AA21:AA23">
    <cfRule type="dataBar" priority="11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{8A0112DE-725C-F240-8CFF-A985ABB7E8E5}</x14:id>
        </ext>
      </extLst>
    </cfRule>
  </conditionalFormatting>
  <conditionalFormatting sqref="AA46:AA47">
    <cfRule type="dataBar" priority="10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{9260C2CF-701A-F748-B521-12850CBB36BF}</x14:id>
        </ext>
      </extLst>
    </cfRule>
  </conditionalFormatting>
  <conditionalFormatting sqref="Z2:Z47">
    <cfRule type="dataBar" priority="9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{7D05D3DD-9954-6049-A189-F1CB184581DA}</x14:id>
        </ext>
      </extLst>
    </cfRule>
  </conditionalFormatting>
  <conditionalFormatting sqref="AE3:AE50">
    <cfRule type="dataBar" priority="12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{A3D814EC-F8DB-FD4A-877B-C450CD8AE087}</x14:id>
        </ext>
      </extLst>
    </cfRule>
    <cfRule type="colorScale" priority="13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D3:AD50">
    <cfRule type="dataBar" priority="14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{6D207DEA-FA65-C74D-8CB4-5158294C5572}</x14:id>
        </ext>
      </extLst>
    </cfRule>
    <cfRule type="colorScale" priority="15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3:Y9">
    <cfRule type="dataBar" priority="7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{B67FC846-031D-7B4F-869C-62694F840EAF}</x14:id>
        </ext>
      </extLst>
    </cfRule>
    <cfRule type="colorScale" priority="8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21:Y47">
    <cfRule type="dataBar" priority="5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{64CB56E7-41F3-0942-8E00-3042824276EC}</x14:id>
        </ext>
      </extLst>
    </cfRule>
    <cfRule type="colorScale" priority="6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A50:AA58">
    <cfRule type="dataBar" priority="4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{E09C183E-1CBD-4A4F-B884-225E26862763}</x14:id>
        </ext>
      </extLst>
    </cfRule>
  </conditionalFormatting>
  <conditionalFormatting sqref="Z49:Z58">
    <cfRule type="dataBar" priority="3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{97B0124C-21C3-4540-8380-D40A8AA6BFDC}</x14:id>
        </ext>
      </extLst>
    </cfRule>
  </conditionalFormatting>
  <conditionalFormatting sqref="Y49:Y58">
    <cfRule type="dataBar" priority="1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{3C329659-29ED-5E49-AF20-FD0D78FBBF11}</x14:id>
        </ext>
      </extLst>
    </cfRule>
    <cfRule type="colorScale" priority="2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dataValidations count="3">
    <dataValidation type="list" allowBlank="1" showInputMessage="1" showErrorMessage="1" sqref="G2:J499 M2:M499" xr:uid="{BE252D1C-5535-3F43-A893-DAF9F52BC332}">
      <formula1>"Yes, No"</formula1>
    </dataValidation>
    <dataValidation type="list" allowBlank="1" showInputMessage="1" showErrorMessage="1" sqref="D2:D499" xr:uid="{750E9EBB-3384-DE48-B182-9139C42DE4A1}">
      <formula1>"Straight, Parlay, Boost"</formula1>
    </dataValidation>
    <dataValidation type="list" allowBlank="1" showInputMessage="1" showErrorMessage="1" sqref="R2:R1048576" xr:uid="{4C2CE7A1-E169-3A40-B248-22B749D70AE6}">
      <formula1>$X$50:$X$58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536BFF0-C35B-074C-979D-56D4C6FD651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N1:N1048576</xm:sqref>
        </x14:conditionalFormatting>
        <x14:conditionalFormatting xmlns:xm="http://schemas.microsoft.com/office/excel/2006/main">
          <x14:cfRule type="dataBar" id="{1FB8B43F-4081-6E41-B4A1-BA21F4F0973B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106D8B03-9B7F-1F42-A4A4-2E0C8C5ECB7D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DB99CEA6-E668-F940-AACA-C871DD0023C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9CA9968C-E84C-0F4D-9EB5-7D1FFF06725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182BAB55-2702-8A41-812A-E6B4F5D5586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Y12:Y18</xm:sqref>
        </x14:conditionalFormatting>
        <x14:conditionalFormatting xmlns:xm="http://schemas.microsoft.com/office/excel/2006/main">
          <x14:cfRule type="dataBar" id="{8A0112DE-725C-F240-8CFF-A985ABB7E8E5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AA41:AA43 AA26:AA31 AA3:AA9 AA34:AA38 AA12:AA18 AA21:AA23</xm:sqref>
        </x14:conditionalFormatting>
        <x14:conditionalFormatting xmlns:xm="http://schemas.microsoft.com/office/excel/2006/main">
          <x14:cfRule type="dataBar" id="{9260C2CF-701A-F748-B521-12850CBB36BF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AA46:AA47</xm:sqref>
        </x14:conditionalFormatting>
        <x14:conditionalFormatting xmlns:xm="http://schemas.microsoft.com/office/excel/2006/main">
          <x14:cfRule type="dataBar" id="{7D05D3DD-9954-6049-A189-F1CB184581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Z2:Z47</xm:sqref>
        </x14:conditionalFormatting>
        <x14:conditionalFormatting xmlns:xm="http://schemas.microsoft.com/office/excel/2006/main">
          <x14:cfRule type="dataBar" id="{A3D814EC-F8DB-FD4A-877B-C450CD8AE08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AE3:AE50</xm:sqref>
        </x14:conditionalFormatting>
        <x14:conditionalFormatting xmlns:xm="http://schemas.microsoft.com/office/excel/2006/main">
          <x14:cfRule type="dataBar" id="{6D207DEA-FA65-C74D-8CB4-5158294C557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AD3:AD50</xm:sqref>
        </x14:conditionalFormatting>
        <x14:conditionalFormatting xmlns:xm="http://schemas.microsoft.com/office/excel/2006/main">
          <x14:cfRule type="dataBar" id="{B67FC846-031D-7B4F-869C-62694F840EA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Y3:Y9</xm:sqref>
        </x14:conditionalFormatting>
        <x14:conditionalFormatting xmlns:xm="http://schemas.microsoft.com/office/excel/2006/main">
          <x14:cfRule type="dataBar" id="{64CB56E7-41F3-0942-8E00-3042824276E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Y21:Y47</xm:sqref>
        </x14:conditionalFormatting>
        <x14:conditionalFormatting xmlns:xm="http://schemas.microsoft.com/office/excel/2006/main">
          <x14:cfRule type="dataBar" id="{E09C183E-1CBD-4A4F-B884-225E26862763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AA50:AA58</xm:sqref>
        </x14:conditionalFormatting>
        <x14:conditionalFormatting xmlns:xm="http://schemas.microsoft.com/office/excel/2006/main">
          <x14:cfRule type="dataBar" id="{97B0124C-21C3-4540-8380-D40A8AA6BFD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Z49:Z58</xm:sqref>
        </x14:conditionalFormatting>
        <x14:conditionalFormatting xmlns:xm="http://schemas.microsoft.com/office/excel/2006/main">
          <x14:cfRule type="dataBar" id="{3C329659-29ED-5E49-AF20-FD0D78FBBF1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Y49:Y58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39858-17FC-AF47-9D6D-5907EDF163D0}">
  <sheetPr codeName="Sheet9"/>
  <dimension ref="A1:AL581"/>
  <sheetViews>
    <sheetView topLeftCell="D1" zoomScale="80" zoomScaleNormal="80" workbookViewId="0">
      <pane ySplit="1" topLeftCell="A3" activePane="bottomLeft" state="frozen"/>
      <selection pane="bottomLeft" activeCell="B2" sqref="B2:B1048576"/>
    </sheetView>
  </sheetViews>
  <sheetFormatPr baseColWidth="10" defaultRowHeight="16" x14ac:dyDescent="0.2"/>
  <cols>
    <col min="1" max="1" width="11.5" style="18" bestFit="1" customWidth="1"/>
    <col min="4" max="4" width="11.5" bestFit="1" customWidth="1"/>
    <col min="6" max="6" width="14.83203125" bestFit="1" customWidth="1"/>
    <col min="8" max="8" width="12.5" bestFit="1" customWidth="1"/>
    <col min="11" max="11" width="10.83203125" style="7"/>
    <col min="14" max="14" width="13.5" bestFit="1" customWidth="1"/>
    <col min="15" max="15" width="21.1640625" bestFit="1" customWidth="1"/>
    <col min="16" max="16" width="31.33203125" customWidth="1"/>
    <col min="17" max="17" width="30.5" customWidth="1"/>
    <col min="18" max="18" width="11.5" customWidth="1"/>
    <col min="19" max="19" width="19.33203125" customWidth="1"/>
    <col min="20" max="20" width="11.6640625" bestFit="1" customWidth="1"/>
    <col min="22" max="22" width="12.6640625" bestFit="1" customWidth="1"/>
    <col min="24" max="24" width="14.83203125" style="32" bestFit="1" customWidth="1"/>
    <col min="26" max="26" width="10.83203125" hidden="1" customWidth="1"/>
    <col min="29" max="29" width="10.83203125" style="18"/>
    <col min="30" max="30" width="11" customWidth="1"/>
    <col min="31" max="31" width="10.1640625" bestFit="1" customWidth="1"/>
    <col min="38" max="38" width="0" hidden="1" customWidth="1"/>
  </cols>
  <sheetData>
    <row r="1" spans="1:38" ht="17" thickBot="1" x14ac:dyDescent="0.25">
      <c r="A1" s="56" t="s">
        <v>15</v>
      </c>
      <c r="B1" s="57" t="s">
        <v>10</v>
      </c>
      <c r="C1" s="57" t="s">
        <v>11</v>
      </c>
      <c r="D1" s="57" t="s">
        <v>50</v>
      </c>
      <c r="E1" s="57" t="s">
        <v>12</v>
      </c>
      <c r="F1" s="57" t="s">
        <v>3</v>
      </c>
      <c r="G1" s="57" t="s">
        <v>4</v>
      </c>
      <c r="H1" s="57" t="s">
        <v>60</v>
      </c>
      <c r="I1" s="57" t="s">
        <v>6</v>
      </c>
      <c r="J1" s="57" t="s">
        <v>69</v>
      </c>
      <c r="K1" s="57" t="s">
        <v>7</v>
      </c>
      <c r="L1" s="57" t="s">
        <v>8</v>
      </c>
      <c r="M1" s="57" t="s">
        <v>21</v>
      </c>
      <c r="N1" s="57" t="s">
        <v>9</v>
      </c>
      <c r="O1" s="57" t="s">
        <v>51</v>
      </c>
      <c r="P1" s="57" t="s">
        <v>13</v>
      </c>
      <c r="Q1" s="57" t="s">
        <v>14</v>
      </c>
      <c r="R1" s="57" t="s">
        <v>89</v>
      </c>
      <c r="S1" s="57" t="s">
        <v>61</v>
      </c>
    </row>
    <row r="2" spans="1:38" ht="17" thickBot="1" x14ac:dyDescent="0.25">
      <c r="A2" s="55" t="s">
        <v>86</v>
      </c>
      <c r="F2" t="str">
        <f t="shared" ref="F2:F65" si="0">IF(OR(O2="", P2=""), "", SUM(IF((O2&lt;&gt;"None")*(O2&lt;&gt;""),LEN(O2)-LEN(SUBSTITUTE(O2,",",""))+1,0)) + SUM(IF((P2&lt;&gt;"None")*(P2&lt;&gt;""),LEN(P2)-LEN(SUBSTITUTE(P2,",",""))+1,0)))</f>
        <v/>
      </c>
      <c r="L2" s="7" t="str">
        <f t="shared" ref="L2:L65" si="1">IF(LEN(E2)=0, "", IFERROR(IF(E2&gt;=0, K2 * (1 + E2/100) - K2, K2 / (ABS(E2)/100))+K2, ""))</f>
        <v/>
      </c>
      <c r="N2" s="7" t="str">
        <f t="shared" ref="N2:N65" si="2">IF(M2="Yes",L2-K2,IF(M2="No",-K2,""))</f>
        <v/>
      </c>
      <c r="O2" t="str">
        <f t="shared" ref="O2:O65" si="3">IF(AND(G2="No",H2="No"), "None", "")</f>
        <v/>
      </c>
      <c r="P2" t="str">
        <f t="shared" ref="P2:P17" si="4">IF(I2="No", "None", "")</f>
        <v/>
      </c>
      <c r="Q2" t="str">
        <f t="shared" ref="Q2:Q65" si="5">IF(AND(D2="Straight", M2 = "No"),IF(O2="None",P2,IF(P2="None",O2) ),"")</f>
        <v/>
      </c>
      <c r="S2" t="str">
        <f>""</f>
        <v/>
      </c>
      <c r="T2" s="109" t="s">
        <v>0</v>
      </c>
      <c r="U2" s="110"/>
      <c r="V2" s="4">
        <f>'June 2025'!V3</f>
        <v>0</v>
      </c>
      <c r="X2" s="79" t="s">
        <v>10</v>
      </c>
      <c r="Y2" s="80" t="s">
        <v>9</v>
      </c>
      <c r="Z2" s="81" t="s">
        <v>84</v>
      </c>
      <c r="AA2" s="82" t="s">
        <v>39</v>
      </c>
      <c r="AC2" s="86" t="s">
        <v>70</v>
      </c>
      <c r="AD2" s="87" t="s">
        <v>9</v>
      </c>
      <c r="AE2" s="88" t="s">
        <v>71</v>
      </c>
    </row>
    <row r="3" spans="1:38" x14ac:dyDescent="0.2">
      <c r="F3" t="str">
        <f t="shared" si="0"/>
        <v/>
      </c>
      <c r="L3" s="7" t="str">
        <f t="shared" si="1"/>
        <v/>
      </c>
      <c r="N3" s="7" t="str">
        <f t="shared" si="2"/>
        <v/>
      </c>
      <c r="O3" t="str">
        <f t="shared" si="3"/>
        <v/>
      </c>
      <c r="P3" t="str">
        <f t="shared" si="4"/>
        <v/>
      </c>
      <c r="Q3" t="str">
        <f t="shared" si="5"/>
        <v/>
      </c>
      <c r="S3" t="str">
        <f>""</f>
        <v/>
      </c>
      <c r="T3" s="101" t="s">
        <v>1</v>
      </c>
      <c r="U3" s="102"/>
      <c r="V3" s="5">
        <f>V2+V4</f>
        <v>0</v>
      </c>
      <c r="X3" s="47" t="s">
        <v>16</v>
      </c>
      <c r="Y3" s="45">
        <f>SUMIF($B:B,X3,N:N)</f>
        <v>0</v>
      </c>
      <c r="Z3" s="40">
        <f t="shared" ref="Z3:Z9" si="6">COUNTIF(B:B,X3)</f>
        <v>0</v>
      </c>
      <c r="AA3" s="41">
        <f t="shared" ref="AA3:AA9" si="7">IFERROR(COUNTIFS(B:B, X3)/COUNTA($B$2:$B$994),0)</f>
        <v>0</v>
      </c>
      <c r="AC3" s="17" t="str" cm="1">
        <f t="array" ref="AC3">IFERROR(INDEX($AL$2:$AL$300, MATCH(0, COUNTIF($AC$2:AC2, $AL$2:$AL$300) + IF($AL$2:$AL$300="", 1, 0), 0)), "")</f>
        <v/>
      </c>
      <c r="AD3" s="9">
        <f t="shared" ref="AD3:AD25" si="8">IF(ISBLANK(AC3),"",SUMIF(A:A,AC3,N:N))</f>
        <v>0</v>
      </c>
      <c r="AE3" s="19">
        <f>SUM(AD$3:AD3)</f>
        <v>0</v>
      </c>
      <c r="AL3" s="18" t="str">
        <f>IF(COUNTIF($A$2:A2, A2) = 1, A2, "")</f>
        <v/>
      </c>
    </row>
    <row r="4" spans="1:38" ht="17" thickBot="1" x14ac:dyDescent="0.25">
      <c r="F4" t="str">
        <f t="shared" si="0"/>
        <v/>
      </c>
      <c r="L4" s="7" t="str">
        <f t="shared" si="1"/>
        <v/>
      </c>
      <c r="N4" s="7" t="str">
        <f t="shared" si="2"/>
        <v/>
      </c>
      <c r="O4" t="str">
        <f t="shared" si="3"/>
        <v/>
      </c>
      <c r="P4" t="str">
        <f t="shared" si="4"/>
        <v/>
      </c>
      <c r="Q4" t="str">
        <f t="shared" si="5"/>
        <v/>
      </c>
      <c r="S4" t="str">
        <f>""</f>
        <v/>
      </c>
      <c r="T4" s="96" t="s">
        <v>2</v>
      </c>
      <c r="U4" s="97"/>
      <c r="V4" s="10">
        <f>SUM(N2:N1048576)</f>
        <v>0</v>
      </c>
      <c r="X4" s="48" t="s">
        <v>23</v>
      </c>
      <c r="Y4" s="45">
        <f>SUMIF($B:B,X4,N:N)</f>
        <v>0</v>
      </c>
      <c r="Z4" s="34">
        <f t="shared" si="6"/>
        <v>0</v>
      </c>
      <c r="AA4" s="38">
        <f t="shared" si="7"/>
        <v>0</v>
      </c>
      <c r="AC4" s="17" t="str" cm="1">
        <f t="array" ref="AC4">IFERROR(INDEX($AL$2:$AL$300, MATCH(0, COUNTIF($AC$2:AC3, $AL$2:$AL$300) + IF($AL$2:$AL$300="", 1, 0), 0)), "")</f>
        <v/>
      </c>
      <c r="AD4" s="9">
        <f t="shared" si="8"/>
        <v>0</v>
      </c>
      <c r="AE4" s="19">
        <f>SUM(AD$3:AD4)</f>
        <v>0</v>
      </c>
      <c r="AL4" s="18" t="str">
        <f>IF(COUNTIF($A$2:A3, A3) = 1, A3, "")</f>
        <v/>
      </c>
    </row>
    <row r="5" spans="1:38" ht="17" thickBot="1" x14ac:dyDescent="0.25">
      <c r="F5" t="str">
        <f t="shared" si="0"/>
        <v/>
      </c>
      <c r="L5" s="7" t="str">
        <f t="shared" si="1"/>
        <v/>
      </c>
      <c r="N5" s="7" t="str">
        <f t="shared" si="2"/>
        <v/>
      </c>
      <c r="O5" t="str">
        <f t="shared" si="3"/>
        <v/>
      </c>
      <c r="P5" t="str">
        <f t="shared" si="4"/>
        <v/>
      </c>
      <c r="Q5" t="str">
        <f t="shared" si="5"/>
        <v/>
      </c>
      <c r="S5" t="str">
        <f>""</f>
        <v/>
      </c>
      <c r="X5" s="48" t="s">
        <v>24</v>
      </c>
      <c r="Y5" s="45">
        <f>SUMIF($B:B,X5,N:N)</f>
        <v>0</v>
      </c>
      <c r="Z5" s="34">
        <f t="shared" si="6"/>
        <v>0</v>
      </c>
      <c r="AA5" s="38">
        <f t="shared" si="7"/>
        <v>0</v>
      </c>
      <c r="AC5" s="17" t="str" cm="1">
        <f t="array" ref="AC5">IFERROR(INDEX($AL$2:$AL$300, MATCH(0, COUNTIF($AC$2:AC4, $AL$2:$AL$300) + IF($AL$2:$AL$300="", 1, 0), 0)), "")</f>
        <v/>
      </c>
      <c r="AD5" s="9">
        <f t="shared" si="8"/>
        <v>0</v>
      </c>
      <c r="AE5" s="19">
        <f>SUM(AD$3:AD5)</f>
        <v>0</v>
      </c>
      <c r="AL5" s="18" t="str">
        <f>IF(COUNTIF($A$2:A4, A4) = 1, A4, "")</f>
        <v/>
      </c>
    </row>
    <row r="6" spans="1:38" x14ac:dyDescent="0.2">
      <c r="F6" t="str">
        <f t="shared" si="0"/>
        <v/>
      </c>
      <c r="L6" s="7" t="str">
        <f t="shared" si="1"/>
        <v/>
      </c>
      <c r="N6" s="7" t="str">
        <f t="shared" si="2"/>
        <v/>
      </c>
      <c r="O6" t="str">
        <f t="shared" si="3"/>
        <v/>
      </c>
      <c r="P6" t="str">
        <f t="shared" si="4"/>
        <v/>
      </c>
      <c r="Q6" t="str">
        <f t="shared" si="5"/>
        <v/>
      </c>
      <c r="S6" t="str">
        <f>""</f>
        <v/>
      </c>
      <c r="T6" s="109" t="s">
        <v>27</v>
      </c>
      <c r="U6" s="110"/>
      <c r="V6" s="58" t="str">
        <f>Master!D6</f>
        <v>Lions</v>
      </c>
      <c r="X6" s="48" t="s">
        <v>52</v>
      </c>
      <c r="Y6" s="45">
        <f>SUMIF($B:B,X6,N:N)</f>
        <v>0</v>
      </c>
      <c r="Z6" s="34">
        <f t="shared" si="6"/>
        <v>0</v>
      </c>
      <c r="AA6" s="38">
        <f t="shared" si="7"/>
        <v>0</v>
      </c>
      <c r="AC6" s="17" t="str" cm="1">
        <f t="array" ref="AC6">IFERROR(INDEX($AL$2:$AL$300, MATCH(0, COUNTIF($AC$2:AC5, $AL$2:$AL$300) + IF($AL$2:$AL$300="", 1, 0), 0)), "")</f>
        <v/>
      </c>
      <c r="AD6" s="9">
        <f t="shared" si="8"/>
        <v>0</v>
      </c>
      <c r="AE6" s="19">
        <f>SUM(AD$3:AD6)</f>
        <v>0</v>
      </c>
      <c r="AL6" s="18" t="str">
        <f>IF(COUNTIF($A$2:A5, A5) = 1, A5, "")</f>
        <v/>
      </c>
    </row>
    <row r="7" spans="1:38" x14ac:dyDescent="0.2">
      <c r="F7" t="str">
        <f t="shared" si="0"/>
        <v/>
      </c>
      <c r="L7" s="7" t="str">
        <f t="shared" si="1"/>
        <v/>
      </c>
      <c r="N7" s="7" t="str">
        <f t="shared" si="2"/>
        <v/>
      </c>
      <c r="O7" t="str">
        <f t="shared" si="3"/>
        <v/>
      </c>
      <c r="P7" t="str">
        <f t="shared" si="4"/>
        <v/>
      </c>
      <c r="Q7" t="str">
        <f t="shared" si="5"/>
        <v/>
      </c>
      <c r="S7" t="str">
        <f>""</f>
        <v/>
      </c>
      <c r="T7" s="101" t="s">
        <v>99</v>
      </c>
      <c r="U7" s="102"/>
      <c r="V7" s="8" cm="1">
        <f t="array" ref="V7">SUM(IF(ISNUMBER(SEARCH(V6, SUBSTITUTE($O$2:$O$998, ",", ""))), 1, 0))</f>
        <v>0</v>
      </c>
      <c r="X7" s="48" t="s">
        <v>87</v>
      </c>
      <c r="Y7" s="45">
        <f>SUMIF($B:B,X7,N:N)</f>
        <v>0</v>
      </c>
      <c r="Z7" s="34">
        <f t="shared" si="6"/>
        <v>0</v>
      </c>
      <c r="AA7" s="38">
        <f t="shared" si="7"/>
        <v>0</v>
      </c>
      <c r="AC7" s="17" t="str" cm="1">
        <f t="array" ref="AC7">IFERROR(INDEX($AL$2:$AL$300, MATCH(0, COUNTIF($AC$2:AC6, $AL$2:$AL$300) + IF($AL$2:$AL$300="", 1, 0), 0)), "")</f>
        <v/>
      </c>
      <c r="AD7" s="9">
        <f t="shared" si="8"/>
        <v>0</v>
      </c>
      <c r="AE7" s="20">
        <f>SUM(AD$3:AD7)</f>
        <v>0</v>
      </c>
      <c r="AL7" s="18" t="str">
        <f>IF(COUNTIF($A$2:A6, A6) = 1, A6, "")</f>
        <v/>
      </c>
    </row>
    <row r="8" spans="1:38" x14ac:dyDescent="0.2">
      <c r="F8" t="str">
        <f t="shared" si="0"/>
        <v/>
      </c>
      <c r="L8" s="7" t="str">
        <f t="shared" si="1"/>
        <v/>
      </c>
      <c r="N8" s="7" t="str">
        <f t="shared" si="2"/>
        <v/>
      </c>
      <c r="O8" t="str">
        <f t="shared" si="3"/>
        <v/>
      </c>
      <c r="P8" t="str">
        <f t="shared" si="4"/>
        <v/>
      </c>
      <c r="Q8" t="str">
        <f t="shared" si="5"/>
        <v/>
      </c>
      <c r="S8" t="str">
        <f>""</f>
        <v/>
      </c>
      <c r="T8" s="101" t="s">
        <v>100</v>
      </c>
      <c r="U8" s="102"/>
      <c r="V8" s="8" cm="1">
        <f t="array" ref="V8">SUM(IF(ISNUMBER(SEARCH(V6, SUBSTITUTE($Q$2:$Q$998, ",", ""))), 1, 0))</f>
        <v>0</v>
      </c>
      <c r="X8" s="48" t="s">
        <v>85</v>
      </c>
      <c r="Y8" s="45">
        <f>SUMIF($B:B,X8,N:N)</f>
        <v>0</v>
      </c>
      <c r="Z8" s="34">
        <f t="shared" si="6"/>
        <v>0</v>
      </c>
      <c r="AA8" s="38">
        <f t="shared" si="7"/>
        <v>0</v>
      </c>
      <c r="AC8" s="17" t="str" cm="1">
        <f t="array" ref="AC8">IFERROR(INDEX($AL$2:$AL$300, MATCH(0, COUNTIF($AC$2:AC7, $AL$2:$AL$300) + IF($AL$2:$AL$300="", 1, 0), 0)), "")</f>
        <v/>
      </c>
      <c r="AD8" s="9">
        <f t="shared" si="8"/>
        <v>0</v>
      </c>
      <c r="AE8" s="19">
        <f>SUM(AD$3:AD8)</f>
        <v>0</v>
      </c>
      <c r="AL8" s="18" t="str">
        <f>IF(COUNTIF($A$2:A7, A7) = 1, A7, "")</f>
        <v/>
      </c>
    </row>
    <row r="9" spans="1:38" ht="17" thickBot="1" x14ac:dyDescent="0.25">
      <c r="F9" t="str">
        <f t="shared" si="0"/>
        <v/>
      </c>
      <c r="L9" s="7" t="str">
        <f t="shared" si="1"/>
        <v/>
      </c>
      <c r="N9" s="7" t="str">
        <f t="shared" si="2"/>
        <v/>
      </c>
      <c r="O9" t="str">
        <f t="shared" si="3"/>
        <v/>
      </c>
      <c r="P9" t="str">
        <f t="shared" si="4"/>
        <v/>
      </c>
      <c r="Q9" t="str">
        <f t="shared" si="5"/>
        <v/>
      </c>
      <c r="S9" t="str">
        <f>""</f>
        <v/>
      </c>
      <c r="T9" s="101" t="s">
        <v>28</v>
      </c>
      <c r="U9" s="102"/>
      <c r="V9" s="51" t="e">
        <f>1-(V8/V7)</f>
        <v>#DIV/0!</v>
      </c>
      <c r="X9" s="50" t="s">
        <v>53</v>
      </c>
      <c r="Y9" s="44">
        <f>SUMIF($B:B,X9,N:N)</f>
        <v>0</v>
      </c>
      <c r="Z9" s="35">
        <f t="shared" si="6"/>
        <v>0</v>
      </c>
      <c r="AA9" s="39">
        <f t="shared" si="7"/>
        <v>0</v>
      </c>
      <c r="AC9" s="17" t="str" cm="1">
        <f t="array" ref="AC9">IFERROR(INDEX($AL$2:$AL$300, MATCH(0, COUNTIF($AC$2:AC8, $AL$2:$AL$300) + IF($AL$2:$AL$300="", 1, 0), 0)), "")</f>
        <v/>
      </c>
      <c r="AD9" s="9">
        <f t="shared" si="8"/>
        <v>0</v>
      </c>
      <c r="AE9" s="19">
        <f>SUM(AD$3:AD9)</f>
        <v>0</v>
      </c>
      <c r="AL9" s="18" t="str">
        <f>IF(COUNTIF($A$2:A8, A8) = 1, A8, "")</f>
        <v/>
      </c>
    </row>
    <row r="10" spans="1:38" ht="17" thickBot="1" x14ac:dyDescent="0.25">
      <c r="F10" t="str">
        <f t="shared" si="0"/>
        <v/>
      </c>
      <c r="L10" s="7" t="str">
        <f t="shared" si="1"/>
        <v/>
      </c>
      <c r="N10" s="7" t="str">
        <f t="shared" si="2"/>
        <v/>
      </c>
      <c r="O10" t="str">
        <f t="shared" si="3"/>
        <v/>
      </c>
      <c r="P10" t="str">
        <f t="shared" si="4"/>
        <v/>
      </c>
      <c r="Q10" t="str">
        <f t="shared" si="5"/>
        <v/>
      </c>
      <c r="S10" t="str">
        <f>""</f>
        <v/>
      </c>
      <c r="T10" s="115" t="s">
        <v>9</v>
      </c>
      <c r="U10" s="116"/>
      <c r="V10" s="45" cm="1">
        <f t="array" ref="V10">SUMPRODUCT(--($D$2:$D$998="Straight"), --ISNUMBER(SEARCH(V6, SUBSTITUTE($O$2:$O$998, ",", ""))), $N$2:$N$998)</f>
        <v>0</v>
      </c>
      <c r="Y10" s="7"/>
      <c r="AC10" s="17" t="str" cm="1">
        <f t="array" ref="AC10">IFERROR(INDEX($AL$2:$AL$300, MATCH(0, COUNTIF($AC$2:AC9, $AL$2:$AL$300) + IF($AL$2:$AL$300="", 1, 0), 0)), "")</f>
        <v/>
      </c>
      <c r="AD10" s="9">
        <f t="shared" si="8"/>
        <v>0</v>
      </c>
      <c r="AE10" s="19">
        <f>SUM(AD$3:AD10)</f>
        <v>0</v>
      </c>
      <c r="AL10" s="18" t="str">
        <f>IF(COUNTIF($A$2:A9, A9) = 1, A9, "")</f>
        <v/>
      </c>
    </row>
    <row r="11" spans="1:38" ht="17" thickBot="1" x14ac:dyDescent="0.25">
      <c r="F11" t="str">
        <f t="shared" si="0"/>
        <v/>
      </c>
      <c r="L11" s="7" t="str">
        <f t="shared" si="1"/>
        <v/>
      </c>
      <c r="N11" s="7" t="str">
        <f t="shared" si="2"/>
        <v/>
      </c>
      <c r="O11" t="str">
        <f t="shared" si="3"/>
        <v/>
      </c>
      <c r="P11" t="str">
        <f t="shared" si="4"/>
        <v/>
      </c>
      <c r="Q11" t="str">
        <f t="shared" si="5"/>
        <v/>
      </c>
      <c r="S11" t="str">
        <f>""</f>
        <v/>
      </c>
      <c r="T11" s="117" t="s">
        <v>57</v>
      </c>
      <c r="U11" s="118"/>
      <c r="V11" s="119"/>
      <c r="X11" s="79" t="s">
        <v>11</v>
      </c>
      <c r="Y11" s="83" t="s">
        <v>9</v>
      </c>
      <c r="Z11" s="81" t="s">
        <v>84</v>
      </c>
      <c r="AA11" s="82" t="s">
        <v>39</v>
      </c>
      <c r="AC11" s="17" t="str" cm="1">
        <f t="array" ref="AC11">IFERROR(INDEX($AL$2:$AL$300, MATCH(0, COUNTIF($AC$2:AC10, $AL$2:$AL$300) + IF($AL$2:$AL$300="", 1, 0), 0)), "")</f>
        <v/>
      </c>
      <c r="AD11" s="9">
        <f t="shared" si="8"/>
        <v>0</v>
      </c>
      <c r="AE11" s="20">
        <f>SUM(AD$3:AD11)</f>
        <v>0</v>
      </c>
      <c r="AL11" s="18" t="str">
        <f>IF(COUNTIF($A$2:A10, A10) = 1, A10, "")</f>
        <v/>
      </c>
    </row>
    <row r="12" spans="1:38" x14ac:dyDescent="0.2">
      <c r="F12" t="str">
        <f t="shared" si="0"/>
        <v/>
      </c>
      <c r="L12" s="7" t="str">
        <f t="shared" si="1"/>
        <v/>
      </c>
      <c r="N12" s="7" t="str">
        <f t="shared" si="2"/>
        <v/>
      </c>
      <c r="O12" t="str">
        <f t="shared" si="3"/>
        <v/>
      </c>
      <c r="P12" t="str">
        <f t="shared" si="4"/>
        <v/>
      </c>
      <c r="Q12" t="str">
        <f t="shared" si="5"/>
        <v/>
      </c>
      <c r="S12" t="str">
        <f>""</f>
        <v/>
      </c>
      <c r="T12" s="109" t="s">
        <v>22</v>
      </c>
      <c r="U12" s="110"/>
      <c r="V12" s="58" t="str">
        <f>Master!D12</f>
        <v>Josh Allen</v>
      </c>
      <c r="X12" s="47" t="s">
        <v>17</v>
      </c>
      <c r="Y12" s="45">
        <f t="shared" ref="Y12:Y18" si="9">SUMIF(C:C,X12,N:N)</f>
        <v>0</v>
      </c>
      <c r="Z12" s="40">
        <f t="shared" ref="Z12:Z18" si="10">COUNTIF(C:C,X12)</f>
        <v>0</v>
      </c>
      <c r="AA12" s="41">
        <f t="shared" ref="AA12:AA18" si="11">IFERROR(COUNTIFS(C:C, X12)/COUNTA($C$2:$C$994),0)</f>
        <v>0</v>
      </c>
      <c r="AC12" s="17" t="str" cm="1">
        <f t="array" ref="AC12">IFERROR(INDEX($AL$2:$AL$300, MATCH(0, COUNTIF($AC$2:AC11, $AL$2:$AL$300) + IF($AL$2:$AL$300="", 1, 0), 0)), "")</f>
        <v/>
      </c>
      <c r="AD12" s="9">
        <f t="shared" si="8"/>
        <v>0</v>
      </c>
      <c r="AE12" s="19">
        <f>SUM(AD$3:AD12)</f>
        <v>0</v>
      </c>
      <c r="AL12" s="18" t="str">
        <f>IF(COUNTIF($A$2:A11, A11) = 1, A11, "")</f>
        <v/>
      </c>
    </row>
    <row r="13" spans="1:38" x14ac:dyDescent="0.2">
      <c r="F13" t="str">
        <f t="shared" si="0"/>
        <v/>
      </c>
      <c r="L13" s="7" t="str">
        <f t="shared" si="1"/>
        <v/>
      </c>
      <c r="N13" s="7" t="str">
        <f t="shared" si="2"/>
        <v/>
      </c>
      <c r="O13" t="str">
        <f t="shared" si="3"/>
        <v/>
      </c>
      <c r="P13" t="str">
        <f t="shared" si="4"/>
        <v/>
      </c>
      <c r="Q13" t="str">
        <f t="shared" si="5"/>
        <v/>
      </c>
      <c r="S13" t="str">
        <f>""</f>
        <v/>
      </c>
      <c r="T13" s="101" t="s">
        <v>99</v>
      </c>
      <c r="U13" s="102"/>
      <c r="V13" s="8" cm="1">
        <f t="array" ref="V13">SUM(IF(ISNUMBER(SEARCH(V12, SUBSTITUTE($P$2:$P$998, ",", ""))), 1, 0))</f>
        <v>0</v>
      </c>
      <c r="X13" s="48" t="s">
        <v>19</v>
      </c>
      <c r="Y13" s="43">
        <f t="shared" si="9"/>
        <v>0</v>
      </c>
      <c r="Z13" s="34">
        <f t="shared" si="10"/>
        <v>0</v>
      </c>
      <c r="AA13" s="41">
        <f t="shared" si="11"/>
        <v>0</v>
      </c>
      <c r="AC13" s="17" t="str" cm="1">
        <f t="array" ref="AC13">IFERROR(INDEX($AL$2:$AL$300, MATCH(0, COUNTIF($AC$2:AC12, $AL$2:$AL$300) + IF($AL$2:$AL$300="", 1, 0), 0)), "")</f>
        <v/>
      </c>
      <c r="AD13" s="9">
        <f t="shared" si="8"/>
        <v>0</v>
      </c>
      <c r="AE13" s="19">
        <f>SUM(AD$3:AD13)</f>
        <v>0</v>
      </c>
      <c r="AL13" s="18" t="str">
        <f>IF(COUNTIF($A$2:A12, A12) = 1, A12, "")</f>
        <v/>
      </c>
    </row>
    <row r="14" spans="1:38" x14ac:dyDescent="0.2">
      <c r="F14" t="str">
        <f t="shared" si="0"/>
        <v/>
      </c>
      <c r="L14" s="7" t="str">
        <f t="shared" si="1"/>
        <v/>
      </c>
      <c r="N14" s="7" t="str">
        <f t="shared" si="2"/>
        <v/>
      </c>
      <c r="O14" t="str">
        <f t="shared" si="3"/>
        <v/>
      </c>
      <c r="P14" t="str">
        <f t="shared" si="4"/>
        <v/>
      </c>
      <c r="Q14" t="str">
        <f t="shared" si="5"/>
        <v/>
      </c>
      <c r="S14" t="str">
        <f>""</f>
        <v/>
      </c>
      <c r="T14" s="101" t="s">
        <v>100</v>
      </c>
      <c r="U14" s="102"/>
      <c r="V14" s="8" cm="1">
        <f t="array" ref="V14">SUM(IF(ISNUMBER(SEARCH(V12, SUBSTITUTE($Q$2:$Q$998, ",", ""))), 1, 0))</f>
        <v>0</v>
      </c>
      <c r="X14" s="48" t="s">
        <v>25</v>
      </c>
      <c r="Y14" s="43">
        <f t="shared" si="9"/>
        <v>0</v>
      </c>
      <c r="Z14" s="34">
        <f t="shared" si="10"/>
        <v>0</v>
      </c>
      <c r="AA14" s="41">
        <f t="shared" si="11"/>
        <v>0</v>
      </c>
      <c r="AC14" s="17" t="str" cm="1">
        <f t="array" ref="AC14">IFERROR(INDEX($AL$2:$AL$300, MATCH(0, COUNTIF($AC$2:AC13, $AL$2:$AL$300) + IF($AL$2:$AL$300="", 1, 0), 0)), "")</f>
        <v/>
      </c>
      <c r="AD14" s="9">
        <f t="shared" si="8"/>
        <v>0</v>
      </c>
      <c r="AE14" s="19">
        <f>SUM(AD$3:AD14)</f>
        <v>0</v>
      </c>
      <c r="AL14" s="18" t="str">
        <f>IF(COUNTIF($A$2:A13, A13) = 1, A13, "")</f>
        <v/>
      </c>
    </row>
    <row r="15" spans="1:38" x14ac:dyDescent="0.2">
      <c r="F15" t="str">
        <f t="shared" si="0"/>
        <v/>
      </c>
      <c r="L15" s="7" t="str">
        <f t="shared" si="1"/>
        <v/>
      </c>
      <c r="N15" s="7" t="str">
        <f t="shared" si="2"/>
        <v/>
      </c>
      <c r="O15" t="str">
        <f t="shared" si="3"/>
        <v/>
      </c>
      <c r="P15" t="str">
        <f t="shared" si="4"/>
        <v/>
      </c>
      <c r="Q15" t="str">
        <f t="shared" si="5"/>
        <v/>
      </c>
      <c r="S15" t="str">
        <f>""</f>
        <v/>
      </c>
      <c r="T15" s="101" t="s">
        <v>28</v>
      </c>
      <c r="U15" s="102"/>
      <c r="V15" s="51" t="e">
        <f>1-(V14/V13)</f>
        <v>#DIV/0!</v>
      </c>
      <c r="X15" s="47" t="s">
        <v>26</v>
      </c>
      <c r="Y15" s="43">
        <f t="shared" si="9"/>
        <v>0</v>
      </c>
      <c r="Z15" s="34">
        <f t="shared" si="10"/>
        <v>0</v>
      </c>
      <c r="AA15" s="41">
        <f t="shared" si="11"/>
        <v>0</v>
      </c>
      <c r="AC15" s="17" t="str" cm="1">
        <f t="array" ref="AC15">IFERROR(INDEX($AL$2:$AL$300, MATCH(0, COUNTIF($AC$2:AC14, $AL$2:$AL$300) + IF($AL$2:$AL$300="", 1, 0), 0)), "")</f>
        <v/>
      </c>
      <c r="AD15" s="9">
        <f t="shared" si="8"/>
        <v>0</v>
      </c>
      <c r="AE15" s="20">
        <f>SUM(AD$3:AD15)</f>
        <v>0</v>
      </c>
      <c r="AL15" s="18" t="str">
        <f>IF(COUNTIF($A$2:A14, A14) = 1, A14, "")</f>
        <v/>
      </c>
    </row>
    <row r="16" spans="1:38" ht="17" thickBot="1" x14ac:dyDescent="0.25">
      <c r="F16" t="str">
        <f t="shared" si="0"/>
        <v/>
      </c>
      <c r="L16" s="7" t="str">
        <f t="shared" si="1"/>
        <v/>
      </c>
      <c r="N16" s="7" t="str">
        <f t="shared" si="2"/>
        <v/>
      </c>
      <c r="O16" t="str">
        <f t="shared" si="3"/>
        <v/>
      </c>
      <c r="P16" t="str">
        <f t="shared" si="4"/>
        <v/>
      </c>
      <c r="Q16" t="str">
        <f t="shared" si="5"/>
        <v/>
      </c>
      <c r="S16" t="str">
        <f>""</f>
        <v/>
      </c>
      <c r="T16" s="115" t="s">
        <v>9</v>
      </c>
      <c r="U16" s="116"/>
      <c r="V16" s="45" cm="1">
        <f t="array" ref="V16">SUMPRODUCT(--($D$2:$D$998="Straight"), --ISNUMBER(SEARCH(V12, SUBSTITUTE($P$2:$P$998, ",", ""))), $N$2:$N$998)</f>
        <v>0</v>
      </c>
      <c r="X16" s="48" t="s">
        <v>29</v>
      </c>
      <c r="Y16" s="43">
        <f t="shared" si="9"/>
        <v>0</v>
      </c>
      <c r="Z16" s="34">
        <f t="shared" si="10"/>
        <v>0</v>
      </c>
      <c r="AA16" s="41">
        <f t="shared" si="11"/>
        <v>0</v>
      </c>
      <c r="AC16" s="17" t="str" cm="1">
        <f t="array" ref="AC16">IFERROR(INDEX($AL$2:$AL$300, MATCH(0, COUNTIF($AC$2:AC15, $AL$2:$AL$300) + IF($AL$2:$AL$300="", 1, 0), 0)), "")</f>
        <v/>
      </c>
      <c r="AD16" s="9">
        <f t="shared" si="8"/>
        <v>0</v>
      </c>
      <c r="AE16" s="19">
        <f>SUM(AD$3:AD16)</f>
        <v>0</v>
      </c>
      <c r="AL16" s="18" t="str">
        <f>IF(COUNTIF($A$2:A15, A15) = 1, A15, "")</f>
        <v/>
      </c>
    </row>
    <row r="17" spans="6:38" ht="17" thickBot="1" x14ac:dyDescent="0.25">
      <c r="F17" t="str">
        <f t="shared" si="0"/>
        <v/>
      </c>
      <c r="L17" s="7" t="str">
        <f t="shared" si="1"/>
        <v/>
      </c>
      <c r="N17" s="7" t="str">
        <f t="shared" si="2"/>
        <v/>
      </c>
      <c r="O17" t="str">
        <f t="shared" si="3"/>
        <v/>
      </c>
      <c r="P17" t="str">
        <f t="shared" si="4"/>
        <v/>
      </c>
      <c r="Q17" t="str">
        <f t="shared" si="5"/>
        <v/>
      </c>
      <c r="S17" t="str">
        <f>""</f>
        <v/>
      </c>
      <c r="T17" s="117" t="s">
        <v>57</v>
      </c>
      <c r="U17" s="118"/>
      <c r="V17" s="119"/>
      <c r="X17" s="48" t="s">
        <v>30</v>
      </c>
      <c r="Y17" s="43">
        <f t="shared" si="9"/>
        <v>0</v>
      </c>
      <c r="Z17" s="34">
        <f t="shared" si="10"/>
        <v>0</v>
      </c>
      <c r="AA17" s="41">
        <f t="shared" si="11"/>
        <v>0</v>
      </c>
      <c r="AC17" s="17" t="str" cm="1">
        <f t="array" ref="AC17">IFERROR(INDEX($AL$2:$AL$300, MATCH(0, COUNTIF($AC$2:AC16, $AL$2:$AL$300) + IF($AL$2:$AL$300="", 1, 0), 0)), "")</f>
        <v/>
      </c>
      <c r="AD17" s="9">
        <f t="shared" si="8"/>
        <v>0</v>
      </c>
      <c r="AE17" s="19">
        <f>SUM(AD$3:AD17)</f>
        <v>0</v>
      </c>
      <c r="AL17" s="18" t="str">
        <f>IF(COUNTIF($A$2:A16, A16) = 1, A16, "")</f>
        <v/>
      </c>
    </row>
    <row r="18" spans="6:38" ht="17" thickBot="1" x14ac:dyDescent="0.25">
      <c r="F18" t="str">
        <f t="shared" si="0"/>
        <v/>
      </c>
      <c r="L18" s="7" t="str">
        <f t="shared" si="1"/>
        <v/>
      </c>
      <c r="N18" s="7" t="str">
        <f t="shared" si="2"/>
        <v/>
      </c>
      <c r="O18" t="str">
        <f t="shared" si="3"/>
        <v/>
      </c>
      <c r="P18" t="str">
        <f>IF(I18="No", "None", "")</f>
        <v/>
      </c>
      <c r="Q18" t="str">
        <f t="shared" si="5"/>
        <v/>
      </c>
      <c r="S18" t="str">
        <f>""</f>
        <v/>
      </c>
      <c r="X18" s="50" t="s">
        <v>82</v>
      </c>
      <c r="Y18" s="44">
        <f t="shared" si="9"/>
        <v>0</v>
      </c>
      <c r="Z18" s="35">
        <f t="shared" si="10"/>
        <v>0</v>
      </c>
      <c r="AA18" s="52">
        <f t="shared" si="11"/>
        <v>0</v>
      </c>
      <c r="AC18" s="17" t="str" cm="1">
        <f t="array" ref="AC18">IFERROR(INDEX($AL$2:$AL$300, MATCH(0, COUNTIF($AC$2:AC17, $AL$2:$AL$300) + IF($AL$2:$AL$300="", 1, 0), 0)), "")</f>
        <v/>
      </c>
      <c r="AD18" s="9">
        <f t="shared" si="8"/>
        <v>0</v>
      </c>
      <c r="AE18" s="19">
        <f>SUM(AD$3:AD18)</f>
        <v>0</v>
      </c>
      <c r="AL18" s="18" t="str">
        <f>IF(COUNTIF($A$2:A17, A17) = 1, A17, "")</f>
        <v/>
      </c>
    </row>
    <row r="19" spans="6:38" ht="17" thickBot="1" x14ac:dyDescent="0.25">
      <c r="F19" t="str">
        <f t="shared" si="0"/>
        <v/>
      </c>
      <c r="L19" s="7" t="str">
        <f t="shared" si="1"/>
        <v/>
      </c>
      <c r="N19" s="7" t="str">
        <f t="shared" si="2"/>
        <v/>
      </c>
      <c r="O19" t="str">
        <f t="shared" si="3"/>
        <v/>
      </c>
      <c r="P19" t="str">
        <f t="shared" ref="P19:P82" si="12">IF(I19="No", "None", "")</f>
        <v/>
      </c>
      <c r="Q19" t="str">
        <f t="shared" si="5"/>
        <v/>
      </c>
      <c r="S19" t="str">
        <f>""</f>
        <v/>
      </c>
      <c r="T19" s="103" t="s">
        <v>62</v>
      </c>
      <c r="U19" s="104"/>
      <c r="V19" s="13">
        <f>COUNTA(B:B) - 1</f>
        <v>0</v>
      </c>
      <c r="Y19" s="7"/>
      <c r="AC19" s="17" t="str" cm="1">
        <f t="array" ref="AC19">IFERROR(INDEX($AL$2:$AL$300, MATCH(0, COUNTIF($AC$2:AC18, $AL$2:$AL$300) + IF($AL$2:$AL$300="", 1, 0), 0)), "")</f>
        <v/>
      </c>
      <c r="AD19" s="9">
        <f t="shared" si="8"/>
        <v>0</v>
      </c>
      <c r="AE19" s="20">
        <f>SUM(AD$3:AD19)</f>
        <v>0</v>
      </c>
      <c r="AL19" s="18" t="str">
        <f>IF(COUNTIF($A$2:A18, A18) = 1, A18, "")</f>
        <v/>
      </c>
    </row>
    <row r="20" spans="6:38" ht="17" thickBot="1" x14ac:dyDescent="0.25">
      <c r="F20" t="str">
        <f t="shared" si="0"/>
        <v/>
      </c>
      <c r="L20" s="7" t="str">
        <f t="shared" si="1"/>
        <v/>
      </c>
      <c r="N20" s="7" t="str">
        <f t="shared" si="2"/>
        <v/>
      </c>
      <c r="O20" t="str">
        <f t="shared" si="3"/>
        <v/>
      </c>
      <c r="P20" t="str">
        <f t="shared" si="12"/>
        <v/>
      </c>
      <c r="Q20" t="str">
        <f t="shared" si="5"/>
        <v/>
      </c>
      <c r="S20" t="str">
        <f>""</f>
        <v/>
      </c>
      <c r="T20" s="111" t="s">
        <v>64</v>
      </c>
      <c r="U20" s="112"/>
      <c r="V20" s="24">
        <f>COUNTIF(M:M, "Yes")</f>
        <v>0</v>
      </c>
      <c r="X20" s="79" t="s">
        <v>50</v>
      </c>
      <c r="Y20" s="83" t="s">
        <v>9</v>
      </c>
      <c r="Z20" s="81" t="s">
        <v>84</v>
      </c>
      <c r="AA20" s="82" t="s">
        <v>39</v>
      </c>
      <c r="AC20" s="17" t="str" cm="1">
        <f t="array" ref="AC20">IFERROR(INDEX($AL$2:$AL$300, MATCH(0, COUNTIF($AC$2:AC19, $AL$2:$AL$300) + IF($AL$2:$AL$300="", 1, 0), 0)), "")</f>
        <v/>
      </c>
      <c r="AD20" s="9">
        <f t="shared" si="8"/>
        <v>0</v>
      </c>
      <c r="AE20" s="19">
        <f>SUM(AD$3:AD20)</f>
        <v>0</v>
      </c>
      <c r="AL20" s="18" t="str">
        <f>IF(COUNTIF($A$2:A19, A19) = 1, A19, "")</f>
        <v/>
      </c>
    </row>
    <row r="21" spans="6:38" x14ac:dyDescent="0.2">
      <c r="F21" t="str">
        <f t="shared" si="0"/>
        <v/>
      </c>
      <c r="L21" s="7" t="str">
        <f t="shared" si="1"/>
        <v/>
      </c>
      <c r="N21" s="7" t="str">
        <f t="shared" si="2"/>
        <v/>
      </c>
      <c r="O21" t="str">
        <f t="shared" si="3"/>
        <v/>
      </c>
      <c r="P21" t="str">
        <f t="shared" si="12"/>
        <v/>
      </c>
      <c r="Q21" t="str">
        <f t="shared" si="5"/>
        <v/>
      </c>
      <c r="S21" t="str">
        <f>""</f>
        <v/>
      </c>
      <c r="T21" s="111" t="s">
        <v>65</v>
      </c>
      <c r="U21" s="112"/>
      <c r="V21" s="25">
        <f>COUNTIF(M:M, "No")</f>
        <v>0</v>
      </c>
      <c r="X21" s="47" t="s">
        <v>20</v>
      </c>
      <c r="Y21" s="45">
        <f>SUMIF(D:D,X21,N:N)</f>
        <v>0</v>
      </c>
      <c r="Z21" s="40">
        <f>COUNTIF(D:D,X21)</f>
        <v>0</v>
      </c>
      <c r="AA21" s="41">
        <f>IFERROR(COUNTIFS(D:D, X21)/COUNTA($D$2:$D$994),0)</f>
        <v>0</v>
      </c>
      <c r="AC21" s="17" t="str" cm="1">
        <f t="array" ref="AC21">IFERROR(INDEX($AL$2:$AL$300, MATCH(0, COUNTIF($AC$2:AC20, $AL$2:$AL$300) + IF($AL$2:$AL$300="", 1, 0), 0)), "")</f>
        <v/>
      </c>
      <c r="AD21" s="9">
        <f t="shared" si="8"/>
        <v>0</v>
      </c>
      <c r="AE21" s="19">
        <f>SUM(AD$3:AD21)</f>
        <v>0</v>
      </c>
      <c r="AL21" s="18" t="str">
        <f>IF(COUNTIF($A$2:A20, A20) = 1, A20, "")</f>
        <v/>
      </c>
    </row>
    <row r="22" spans="6:38" ht="17" thickBot="1" x14ac:dyDescent="0.25">
      <c r="F22" t="str">
        <f t="shared" si="0"/>
        <v/>
      </c>
      <c r="L22" s="7" t="str">
        <f t="shared" si="1"/>
        <v/>
      </c>
      <c r="N22" s="7" t="str">
        <f t="shared" si="2"/>
        <v/>
      </c>
      <c r="O22" t="str">
        <f t="shared" si="3"/>
        <v/>
      </c>
      <c r="P22" t="str">
        <f t="shared" si="12"/>
        <v/>
      </c>
      <c r="Q22" t="str">
        <f t="shared" si="5"/>
        <v/>
      </c>
      <c r="S22" t="str">
        <f>""</f>
        <v/>
      </c>
      <c r="T22" s="107" t="s">
        <v>76</v>
      </c>
      <c r="U22" s="108"/>
      <c r="V22" s="14">
        <f>V19-V20-V21</f>
        <v>0</v>
      </c>
      <c r="X22" s="48" t="s">
        <v>18</v>
      </c>
      <c r="Y22" s="45">
        <f>SUMIF(D:D,X22,N:N)</f>
        <v>0</v>
      </c>
      <c r="Z22" s="34">
        <f>COUNTIF(D:D,X22)</f>
        <v>0</v>
      </c>
      <c r="AA22" s="41">
        <f>IFERROR(COUNTIFS(D:D, X22)/COUNTA($D$2:$D$994),0)</f>
        <v>0</v>
      </c>
      <c r="AC22" s="17" t="str" cm="1">
        <f t="array" ref="AC22">IFERROR(INDEX($AL$2:$AL$300, MATCH(0, COUNTIF($AC$2:AC21, $AL$2:$AL$300) + IF($AL$2:$AL$300="", 1, 0), 0)), "")</f>
        <v/>
      </c>
      <c r="AD22" s="9">
        <f t="shared" si="8"/>
        <v>0</v>
      </c>
      <c r="AE22" s="19">
        <f>SUM(AD$3:AD22)</f>
        <v>0</v>
      </c>
      <c r="AL22" s="18" t="str">
        <f>IF(COUNTIF($A$2:A21, A21) = 1, A21, "")</f>
        <v/>
      </c>
    </row>
    <row r="23" spans="6:38" ht="17" thickBot="1" x14ac:dyDescent="0.25">
      <c r="F23" t="str">
        <f t="shared" si="0"/>
        <v/>
      </c>
      <c r="L23" s="7" t="str">
        <f t="shared" si="1"/>
        <v/>
      </c>
      <c r="N23" s="7" t="str">
        <f t="shared" si="2"/>
        <v/>
      </c>
      <c r="O23" t="str">
        <f t="shared" si="3"/>
        <v/>
      </c>
      <c r="P23" t="str">
        <f t="shared" si="12"/>
        <v/>
      </c>
      <c r="Q23" t="str">
        <f t="shared" si="5"/>
        <v/>
      </c>
      <c r="S23" t="str">
        <f>""</f>
        <v/>
      </c>
      <c r="X23" s="50" t="s">
        <v>31</v>
      </c>
      <c r="Y23" s="44">
        <f>SUMIF(D:D,X23,N:N)</f>
        <v>0</v>
      </c>
      <c r="Z23" s="35">
        <f>COUNTIF(D:D,X23)</f>
        <v>0</v>
      </c>
      <c r="AA23" s="52">
        <f>IFERROR(COUNTIFS(D:D, X23)/COUNTA($D$2:$D$994),0)</f>
        <v>0</v>
      </c>
      <c r="AC23" s="17" t="str" cm="1">
        <f t="array" ref="AC23">IFERROR(INDEX($AL$2:$AL$300, MATCH(0, COUNTIF($AC$2:AC22, $AL$2:$AL$300) + IF($AL$2:$AL$300="", 1, 0), 0)), "")</f>
        <v/>
      </c>
      <c r="AD23" s="9">
        <f t="shared" si="8"/>
        <v>0</v>
      </c>
      <c r="AE23" s="20">
        <f>SUM(AD$3:AD23)</f>
        <v>0</v>
      </c>
      <c r="AL23" s="18" t="str">
        <f>IF(COUNTIF($A$2:A22, A22) = 1, A22, "")</f>
        <v/>
      </c>
    </row>
    <row r="24" spans="6:38" ht="17" thickBot="1" x14ac:dyDescent="0.25">
      <c r="F24" t="str">
        <f t="shared" si="0"/>
        <v/>
      </c>
      <c r="L24" s="7" t="str">
        <f t="shared" si="1"/>
        <v/>
      </c>
      <c r="N24" s="7" t="str">
        <f t="shared" si="2"/>
        <v/>
      </c>
      <c r="O24" t="str">
        <f t="shared" si="3"/>
        <v/>
      </c>
      <c r="P24" t="str">
        <f t="shared" si="12"/>
        <v/>
      </c>
      <c r="Q24" t="str">
        <f t="shared" si="5"/>
        <v/>
      </c>
      <c r="S24" t="str">
        <f>""</f>
        <v/>
      </c>
      <c r="Y24" s="60"/>
      <c r="AC24" s="17" t="str" cm="1">
        <f t="array" ref="AC24">IFERROR(INDEX($AL$2:$AL$300, MATCH(0, COUNTIF($AC$2:AC23, $AL$2:$AL$300) + IF($AL$2:$AL$300="", 1, 0), 0)), "")</f>
        <v/>
      </c>
      <c r="AD24" s="9">
        <f t="shared" si="8"/>
        <v>0</v>
      </c>
      <c r="AE24" s="19">
        <f>SUM(AD$3:AD24)</f>
        <v>0</v>
      </c>
      <c r="AL24" s="18" t="str">
        <f>IF(COUNTIF($A$2:A23, A23) = 1, A23, "")</f>
        <v/>
      </c>
    </row>
    <row r="25" spans="6:38" ht="17" thickBot="1" x14ac:dyDescent="0.25">
      <c r="F25" t="str">
        <f t="shared" si="0"/>
        <v/>
      </c>
      <c r="L25" s="7" t="str">
        <f t="shared" si="1"/>
        <v/>
      </c>
      <c r="N25" s="7" t="str">
        <f t="shared" si="2"/>
        <v/>
      </c>
      <c r="O25" t="str">
        <f t="shared" si="3"/>
        <v/>
      </c>
      <c r="P25" t="str">
        <f t="shared" si="12"/>
        <v/>
      </c>
      <c r="Q25" t="str">
        <f t="shared" si="5"/>
        <v/>
      </c>
      <c r="S25" t="str">
        <f>""</f>
        <v/>
      </c>
      <c r="X25" s="79" t="s">
        <v>12</v>
      </c>
      <c r="Y25" s="83" t="s">
        <v>9</v>
      </c>
      <c r="Z25" s="81" t="s">
        <v>84</v>
      </c>
      <c r="AA25" s="82" t="s">
        <v>39</v>
      </c>
      <c r="AC25" s="21" t="str" cm="1">
        <f t="array" ref="AC25">IFERROR(INDEX($AL$2:$AL$300, MATCH(0, COUNTIF($AC$2:AC24, $AL$2:$AL$300) + IF($AL$2:$AL$300="", 1, 0), 0)), "")</f>
        <v/>
      </c>
      <c r="AD25" s="22">
        <f t="shared" si="8"/>
        <v>0</v>
      </c>
      <c r="AE25" s="23">
        <f>SUM(AD$3:AD25)</f>
        <v>0</v>
      </c>
      <c r="AL25" s="18" t="str">
        <f>IF(COUNTIF($A$2:A24, A24) = 1, A24, "")</f>
        <v/>
      </c>
    </row>
    <row r="26" spans="6:38" x14ac:dyDescent="0.2">
      <c r="F26" t="str">
        <f t="shared" si="0"/>
        <v/>
      </c>
      <c r="L26" s="7" t="str">
        <f t="shared" si="1"/>
        <v/>
      </c>
      <c r="N26" s="7" t="str">
        <f t="shared" si="2"/>
        <v/>
      </c>
      <c r="O26" t="str">
        <f t="shared" si="3"/>
        <v/>
      </c>
      <c r="P26" t="str">
        <f t="shared" si="12"/>
        <v/>
      </c>
      <c r="Q26" t="str">
        <f t="shared" si="5"/>
        <v/>
      </c>
      <c r="S26" t="str">
        <f>""</f>
        <v/>
      </c>
      <c r="X26" s="47" t="s">
        <v>32</v>
      </c>
      <c r="Y26" s="45">
        <f>SUMIFS(N:N, E:E, "&lt;-150")</f>
        <v>0</v>
      </c>
      <c r="Z26" s="40">
        <f>COUNTIFS(E:E, "&lt; -150")</f>
        <v>0</v>
      </c>
      <c r="AA26" s="41">
        <f>IFERROR(COUNTIFS(E:E, "&lt; -150")/COUNTA($E$2:$E$993),0)</f>
        <v>0</v>
      </c>
      <c r="AC26" s="59"/>
      <c r="AD26" s="7"/>
      <c r="AE26" s="7"/>
      <c r="AL26" s="18" t="str">
        <f>IF(COUNTIF($A$2:A25, A25) = 1, A25, "")</f>
        <v/>
      </c>
    </row>
    <row r="27" spans="6:38" x14ac:dyDescent="0.2">
      <c r="F27" t="str">
        <f t="shared" si="0"/>
        <v/>
      </c>
      <c r="L27" s="7" t="str">
        <f t="shared" si="1"/>
        <v/>
      </c>
      <c r="N27" s="7" t="str">
        <f t="shared" si="2"/>
        <v/>
      </c>
      <c r="O27" t="str">
        <f t="shared" si="3"/>
        <v/>
      </c>
      <c r="P27" t="str">
        <f t="shared" si="12"/>
        <v/>
      </c>
      <c r="Q27" t="str">
        <f t="shared" si="5"/>
        <v/>
      </c>
      <c r="S27" t="str">
        <f>""</f>
        <v/>
      </c>
      <c r="X27" s="48" t="s">
        <v>33</v>
      </c>
      <c r="Y27" s="45">
        <f>SUMIFS(N:N, E:E, "&gt;=-150", E:E, "&lt;100")</f>
        <v>0</v>
      </c>
      <c r="Z27" s="34">
        <f>COUNTIFS(E:E, "&lt; 100", E:E, "&gt;=-150")</f>
        <v>0</v>
      </c>
      <c r="AA27" s="38">
        <f>IFERROR(COUNTIFS(E:E, "&lt; 100", E:E, "&gt;=-150")/COUNTA($E$2:$E$6993),0)</f>
        <v>0</v>
      </c>
      <c r="AC27" s="59"/>
      <c r="AD27" s="7"/>
      <c r="AE27" s="7"/>
      <c r="AL27" s="18" t="str">
        <f>IF(COUNTIF($A$2:A26, A26) = 1, A26, "")</f>
        <v/>
      </c>
    </row>
    <row r="28" spans="6:38" x14ac:dyDescent="0.2">
      <c r="F28" t="str">
        <f t="shared" si="0"/>
        <v/>
      </c>
      <c r="L28" s="7" t="str">
        <f t="shared" si="1"/>
        <v/>
      </c>
      <c r="N28" s="7" t="str">
        <f t="shared" si="2"/>
        <v/>
      </c>
      <c r="O28" t="str">
        <f t="shared" si="3"/>
        <v/>
      </c>
      <c r="P28" t="str">
        <f t="shared" si="12"/>
        <v/>
      </c>
      <c r="Q28" t="str">
        <f t="shared" si="5"/>
        <v/>
      </c>
      <c r="S28" t="str">
        <f>""</f>
        <v/>
      </c>
      <c r="X28" s="48" t="s">
        <v>34</v>
      </c>
      <c r="Y28" s="45">
        <f>SUMIFS(N:N, E:E, "&gt;=100", E:E, "&lt;125")</f>
        <v>0</v>
      </c>
      <c r="Z28" s="34">
        <f>COUNTIFS(E:E, "&lt; 125", E:E, "&gt;=100")</f>
        <v>0</v>
      </c>
      <c r="AA28" s="38">
        <f>IFERROR(COUNTIFS(E:E, "&lt; 125", E:E, "&gt;=100")/COUNTA($E$2:$E$6993),0)</f>
        <v>0</v>
      </c>
      <c r="AC28" s="59"/>
      <c r="AD28" s="7"/>
      <c r="AE28" s="7"/>
      <c r="AL28" s="18" t="str">
        <f>IF(COUNTIF($A$2:A27, A27) = 1, A27, "")</f>
        <v/>
      </c>
    </row>
    <row r="29" spans="6:38" x14ac:dyDescent="0.2">
      <c r="F29" t="str">
        <f t="shared" si="0"/>
        <v/>
      </c>
      <c r="L29" s="7" t="str">
        <f t="shared" si="1"/>
        <v/>
      </c>
      <c r="N29" s="7" t="str">
        <f t="shared" si="2"/>
        <v/>
      </c>
      <c r="O29" t="str">
        <f t="shared" si="3"/>
        <v/>
      </c>
      <c r="P29" t="str">
        <f t="shared" si="12"/>
        <v/>
      </c>
      <c r="Q29" t="str">
        <f t="shared" si="5"/>
        <v/>
      </c>
      <c r="S29" t="str">
        <f>""</f>
        <v/>
      </c>
      <c r="X29" s="47" t="s">
        <v>35</v>
      </c>
      <c r="Y29" s="45">
        <f>SUMIFS(N:N, E:E, "&gt;=125", E:E, "&lt;150")</f>
        <v>0</v>
      </c>
      <c r="Z29" s="40">
        <f>COUNTIFS(E:E, "&lt; 150", E:E, "&gt;=125")</f>
        <v>0</v>
      </c>
      <c r="AA29" s="41">
        <f>IFERROR(COUNTIFS(E:E, "&lt; 150", E:E, "&gt;=125")/COUNTA($E$2:$E$6993),0)</f>
        <v>0</v>
      </c>
      <c r="AC29" s="59"/>
      <c r="AD29" s="7"/>
      <c r="AE29" s="7"/>
      <c r="AL29" s="18" t="str">
        <f>IF(COUNTIF($A$2:A28, A28) = 1, A28, "")</f>
        <v/>
      </c>
    </row>
    <row r="30" spans="6:38" x14ac:dyDescent="0.2">
      <c r="F30" t="str">
        <f t="shared" si="0"/>
        <v/>
      </c>
      <c r="L30" s="7" t="str">
        <f t="shared" si="1"/>
        <v/>
      </c>
      <c r="N30" s="7" t="str">
        <f t="shared" si="2"/>
        <v/>
      </c>
      <c r="O30" t="str">
        <f t="shared" si="3"/>
        <v/>
      </c>
      <c r="P30" t="str">
        <f t="shared" si="12"/>
        <v/>
      </c>
      <c r="Q30" t="str">
        <f t="shared" si="5"/>
        <v/>
      </c>
      <c r="S30" t="str">
        <f>""</f>
        <v/>
      </c>
      <c r="X30" s="48" t="s">
        <v>36</v>
      </c>
      <c r="Y30" s="45">
        <f>SUMIFS(N:N, E:E, "&gt;=150", E:E, "&lt;200")</f>
        <v>0</v>
      </c>
      <c r="Z30" s="34">
        <f>COUNTIFS(E:E, "&lt; 200", E:E, "&gt;=150")</f>
        <v>0</v>
      </c>
      <c r="AA30" s="38">
        <f>IFERROR(COUNTIFS(E:E, "&lt; 200", E:E, "&gt;=150")/COUNTA($E$2:$E$6993),0)</f>
        <v>0</v>
      </c>
      <c r="AC30" s="59"/>
      <c r="AD30" s="7"/>
      <c r="AE30" s="7"/>
      <c r="AL30" s="18" t="str">
        <f>IF(COUNTIF($A$2:A29, A29) = 1, A29, "")</f>
        <v/>
      </c>
    </row>
    <row r="31" spans="6:38" ht="17" thickBot="1" x14ac:dyDescent="0.25">
      <c r="F31" t="str">
        <f t="shared" si="0"/>
        <v/>
      </c>
      <c r="L31" s="7" t="str">
        <f t="shared" si="1"/>
        <v/>
      </c>
      <c r="N31" s="7" t="str">
        <f t="shared" si="2"/>
        <v/>
      </c>
      <c r="O31" t="str">
        <f t="shared" si="3"/>
        <v/>
      </c>
      <c r="P31" t="str">
        <f t="shared" si="12"/>
        <v/>
      </c>
      <c r="Q31" t="str">
        <f t="shared" si="5"/>
        <v/>
      </c>
      <c r="S31" t="str">
        <f>""</f>
        <v/>
      </c>
      <c r="X31" s="49" t="s">
        <v>37</v>
      </c>
      <c r="Y31" s="44">
        <f>SUMIFS(N:N, E:E, "&gt;=200")</f>
        <v>0</v>
      </c>
      <c r="Z31" s="35">
        <f>COUNTIFS(E:E, "&gt;=200")</f>
        <v>0</v>
      </c>
      <c r="AA31" s="39">
        <f>IFERROR(COUNTIFS(E:E, "&gt;=200")/COUNTA($E$2:$E$69993),0)</f>
        <v>0</v>
      </c>
      <c r="AC31" s="59"/>
      <c r="AD31" s="7"/>
      <c r="AE31" s="7"/>
      <c r="AL31" s="18" t="str">
        <f>IF(COUNTIF($A$2:A30, A30) = 1, A30, "")</f>
        <v/>
      </c>
    </row>
    <row r="32" spans="6:38" ht="17" thickBot="1" x14ac:dyDescent="0.25">
      <c r="F32" t="str">
        <f t="shared" si="0"/>
        <v/>
      </c>
      <c r="L32" s="7" t="str">
        <f t="shared" si="1"/>
        <v/>
      </c>
      <c r="N32" s="7" t="str">
        <f t="shared" si="2"/>
        <v/>
      </c>
      <c r="O32" t="str">
        <f t="shared" si="3"/>
        <v/>
      </c>
      <c r="P32" t="str">
        <f t="shared" si="12"/>
        <v/>
      </c>
      <c r="Q32" t="str">
        <f t="shared" si="5"/>
        <v/>
      </c>
      <c r="S32" t="str">
        <f>""</f>
        <v/>
      </c>
      <c r="Y32" s="60"/>
      <c r="AC32" s="59"/>
      <c r="AD32" s="7"/>
      <c r="AE32" s="7"/>
      <c r="AL32" s="18" t="str">
        <f>IF(COUNTIF($A$2:A31, A31) = 1, A31, "")</f>
        <v/>
      </c>
    </row>
    <row r="33" spans="6:38" ht="17" thickBot="1" x14ac:dyDescent="0.25">
      <c r="F33" t="str">
        <f t="shared" si="0"/>
        <v/>
      </c>
      <c r="L33" s="7" t="str">
        <f t="shared" si="1"/>
        <v/>
      </c>
      <c r="N33" s="7" t="str">
        <f t="shared" si="2"/>
        <v/>
      </c>
      <c r="O33" t="str">
        <f t="shared" si="3"/>
        <v/>
      </c>
      <c r="P33" t="str">
        <f t="shared" si="12"/>
        <v/>
      </c>
      <c r="Q33" t="str">
        <f t="shared" si="5"/>
        <v/>
      </c>
      <c r="S33" t="str">
        <f>""</f>
        <v/>
      </c>
      <c r="X33" s="79" t="s">
        <v>3</v>
      </c>
      <c r="Y33" s="83" t="s">
        <v>9</v>
      </c>
      <c r="Z33" s="81" t="s">
        <v>84</v>
      </c>
      <c r="AA33" s="82" t="s">
        <v>39</v>
      </c>
      <c r="AC33" s="59"/>
      <c r="AD33" s="7"/>
      <c r="AE33" s="7"/>
      <c r="AL33" s="18" t="str">
        <f>IF(COUNTIF($A$2:A32, A32) = 1, A32, "")</f>
        <v/>
      </c>
    </row>
    <row r="34" spans="6:38" x14ac:dyDescent="0.2">
      <c r="F34" t="str">
        <f t="shared" si="0"/>
        <v/>
      </c>
      <c r="L34" s="7" t="str">
        <f t="shared" si="1"/>
        <v/>
      </c>
      <c r="N34" s="7" t="str">
        <f t="shared" si="2"/>
        <v/>
      </c>
      <c r="O34" t="str">
        <f t="shared" si="3"/>
        <v/>
      </c>
      <c r="P34" t="str">
        <f t="shared" si="12"/>
        <v/>
      </c>
      <c r="Q34" t="str">
        <f t="shared" si="5"/>
        <v/>
      </c>
      <c r="S34" t="str">
        <f>""</f>
        <v/>
      </c>
      <c r="X34" s="47">
        <v>1</v>
      </c>
      <c r="Y34" s="45">
        <f>SUMIFS(N:N, F:F, X34)</f>
        <v>0</v>
      </c>
      <c r="Z34" s="40">
        <f>COUNTIF(F:F,X34)</f>
        <v>0</v>
      </c>
      <c r="AA34" s="41">
        <f>IFERROR(COUNTIFS(F:F, X34)/COUNTA($E$2:$E$993),0)</f>
        <v>0</v>
      </c>
      <c r="AC34" s="59"/>
      <c r="AD34" s="7"/>
      <c r="AE34" s="7"/>
      <c r="AL34" s="18" t="str">
        <f>IF(COUNTIF($A$2:A33, A33) = 1, A33, "")</f>
        <v/>
      </c>
    </row>
    <row r="35" spans="6:38" x14ac:dyDescent="0.2">
      <c r="F35" t="str">
        <f t="shared" si="0"/>
        <v/>
      </c>
      <c r="L35" s="7" t="str">
        <f t="shared" si="1"/>
        <v/>
      </c>
      <c r="N35" s="7" t="str">
        <f t="shared" si="2"/>
        <v/>
      </c>
      <c r="O35" t="str">
        <f t="shared" si="3"/>
        <v/>
      </c>
      <c r="P35" t="str">
        <f t="shared" si="12"/>
        <v/>
      </c>
      <c r="Q35" t="str">
        <f t="shared" si="5"/>
        <v/>
      </c>
      <c r="S35" t="str">
        <f>""</f>
        <v/>
      </c>
      <c r="X35" s="48">
        <v>2</v>
      </c>
      <c r="Y35" s="45">
        <f>SUMIFS(N:N, F:F, X35)</f>
        <v>0</v>
      </c>
      <c r="Z35" s="34">
        <f>COUNTIF(F:F,X35)</f>
        <v>0</v>
      </c>
      <c r="AA35" s="41">
        <f>IFERROR(COUNTIFS(F:F, X35)/COUNTA($E$2:$E$993),0)</f>
        <v>0</v>
      </c>
      <c r="AC35" s="59"/>
      <c r="AD35" s="7"/>
      <c r="AE35" s="7"/>
      <c r="AL35" s="18" t="str">
        <f>IF(COUNTIF($A$2:A34, A34) = 1, A34, "")</f>
        <v/>
      </c>
    </row>
    <row r="36" spans="6:38" x14ac:dyDescent="0.2">
      <c r="F36" t="str">
        <f t="shared" si="0"/>
        <v/>
      </c>
      <c r="L36" s="7" t="str">
        <f t="shared" si="1"/>
        <v/>
      </c>
      <c r="N36" s="7" t="str">
        <f t="shared" si="2"/>
        <v/>
      </c>
      <c r="O36" t="str">
        <f t="shared" si="3"/>
        <v/>
      </c>
      <c r="P36" t="str">
        <f t="shared" si="12"/>
        <v/>
      </c>
      <c r="Q36" t="str">
        <f t="shared" si="5"/>
        <v/>
      </c>
      <c r="S36" t="str">
        <f>""</f>
        <v/>
      </c>
      <c r="X36" s="48">
        <v>3</v>
      </c>
      <c r="Y36" s="45">
        <f>SUMIFS(N:N, F:F, X36)</f>
        <v>0</v>
      </c>
      <c r="Z36" s="34">
        <f>COUNTIF(F:F,X36)</f>
        <v>0</v>
      </c>
      <c r="AA36" s="41">
        <f>IFERROR(COUNTIFS(F:F, X36)/COUNTA($E$2:$E$993),0)</f>
        <v>0</v>
      </c>
      <c r="AD36" s="7"/>
      <c r="AE36" s="7"/>
      <c r="AL36" s="18" t="str">
        <f>IF(COUNTIF($A$2:A35, A35) = 1, A35, "")</f>
        <v/>
      </c>
    </row>
    <row r="37" spans="6:38" x14ac:dyDescent="0.2">
      <c r="F37" t="str">
        <f t="shared" si="0"/>
        <v/>
      </c>
      <c r="L37" s="7" t="str">
        <f t="shared" si="1"/>
        <v/>
      </c>
      <c r="N37" s="7" t="str">
        <f t="shared" si="2"/>
        <v/>
      </c>
      <c r="O37" t="str">
        <f t="shared" si="3"/>
        <v/>
      </c>
      <c r="P37" t="str">
        <f t="shared" si="12"/>
        <v/>
      </c>
      <c r="Q37" t="str">
        <f t="shared" si="5"/>
        <v/>
      </c>
      <c r="S37" t="str">
        <f>""</f>
        <v/>
      </c>
      <c r="X37" s="47">
        <v>4</v>
      </c>
      <c r="Y37" s="45">
        <f>SUMIFS(N:N, F:F, X37)</f>
        <v>0</v>
      </c>
      <c r="Z37" s="34">
        <f>COUNTIF(F:F,X37)</f>
        <v>0</v>
      </c>
      <c r="AA37" s="41">
        <f>IFERROR(COUNTIFS(F:F, X37)/COUNTA($E$2:$E$993),0)</f>
        <v>0</v>
      </c>
      <c r="AD37" s="7"/>
      <c r="AE37" s="7"/>
      <c r="AL37" s="18" t="str">
        <f>IF(COUNTIF($A$2:A36, A36) = 1, A36, "")</f>
        <v/>
      </c>
    </row>
    <row r="38" spans="6:38" ht="17" thickBot="1" x14ac:dyDescent="0.25">
      <c r="F38" t="str">
        <f t="shared" si="0"/>
        <v/>
      </c>
      <c r="L38" s="7" t="str">
        <f t="shared" si="1"/>
        <v/>
      </c>
      <c r="N38" s="7" t="str">
        <f t="shared" si="2"/>
        <v/>
      </c>
      <c r="O38" t="str">
        <f t="shared" si="3"/>
        <v/>
      </c>
      <c r="P38" t="str">
        <f t="shared" si="12"/>
        <v/>
      </c>
      <c r="Q38" t="str">
        <f t="shared" si="5"/>
        <v/>
      </c>
      <c r="S38" t="str">
        <f>""</f>
        <v/>
      </c>
      <c r="X38" s="49" t="s">
        <v>88</v>
      </c>
      <c r="Y38" s="44">
        <f>SUMIFS(N:N, F:F, "&gt;4")</f>
        <v>0</v>
      </c>
      <c r="Z38" s="35">
        <f>COUNTIF(F:F,"&gt;4")</f>
        <v>0</v>
      </c>
      <c r="AA38" s="52">
        <f>IFERROR(COUNTIFS(F:F, X38)/COUNTA($E$2:$E$993),0)</f>
        <v>0</v>
      </c>
      <c r="AD38" s="7"/>
      <c r="AE38" s="7"/>
      <c r="AL38" s="18" t="str">
        <f>IF(COUNTIF($A$2:A37, A37) = 1, A37, "")</f>
        <v/>
      </c>
    </row>
    <row r="39" spans="6:38" ht="17" thickBot="1" x14ac:dyDescent="0.25">
      <c r="F39" t="str">
        <f t="shared" si="0"/>
        <v/>
      </c>
      <c r="L39" s="7" t="str">
        <f t="shared" si="1"/>
        <v/>
      </c>
      <c r="N39" s="7" t="str">
        <f t="shared" si="2"/>
        <v/>
      </c>
      <c r="O39" t="str">
        <f t="shared" si="3"/>
        <v/>
      </c>
      <c r="P39" t="str">
        <f t="shared" si="12"/>
        <v/>
      </c>
      <c r="Q39" t="str">
        <f t="shared" si="5"/>
        <v/>
      </c>
      <c r="S39" t="str">
        <f>""</f>
        <v/>
      </c>
      <c r="Y39" s="60"/>
      <c r="AD39" s="7"/>
      <c r="AE39" s="7"/>
      <c r="AL39" s="18" t="str">
        <f>IF(COUNTIF($A$2:A38, A38) = 1, A38, "")</f>
        <v/>
      </c>
    </row>
    <row r="40" spans="6:38" ht="17" thickBot="1" x14ac:dyDescent="0.25">
      <c r="F40" t="str">
        <f t="shared" si="0"/>
        <v/>
      </c>
      <c r="L40" s="7" t="str">
        <f t="shared" si="1"/>
        <v/>
      </c>
      <c r="N40" s="7" t="str">
        <f t="shared" si="2"/>
        <v/>
      </c>
      <c r="O40" t="str">
        <f t="shared" si="3"/>
        <v/>
      </c>
      <c r="P40" t="str">
        <f t="shared" si="12"/>
        <v/>
      </c>
      <c r="Q40" t="str">
        <f t="shared" si="5"/>
        <v/>
      </c>
      <c r="S40" t="str">
        <f>""</f>
        <v/>
      </c>
      <c r="X40" s="79" t="s">
        <v>38</v>
      </c>
      <c r="Y40" s="83" t="s">
        <v>9</v>
      </c>
      <c r="Z40" s="81" t="s">
        <v>84</v>
      </c>
      <c r="AA40" s="82" t="s">
        <v>39</v>
      </c>
      <c r="AD40" s="7"/>
      <c r="AE40" s="7"/>
      <c r="AL40" s="18" t="str">
        <f>IF(COUNTIF($A$2:A39, A39) = 1, A39, "")</f>
        <v/>
      </c>
    </row>
    <row r="41" spans="6:38" x14ac:dyDescent="0.2">
      <c r="F41" t="str">
        <f t="shared" si="0"/>
        <v/>
      </c>
      <c r="L41" s="7" t="str">
        <f t="shared" si="1"/>
        <v/>
      </c>
      <c r="N41" s="7" t="str">
        <f t="shared" si="2"/>
        <v/>
      </c>
      <c r="O41" t="str">
        <f t="shared" si="3"/>
        <v/>
      </c>
      <c r="P41" t="str">
        <f t="shared" si="12"/>
        <v/>
      </c>
      <c r="Q41" t="str">
        <f t="shared" si="5"/>
        <v/>
      </c>
      <c r="S41" t="str">
        <f>""</f>
        <v/>
      </c>
      <c r="X41" s="47" t="s">
        <v>4</v>
      </c>
      <c r="Y41" s="45">
        <f>SUMIFS(N:N,G:G, "Yes")</f>
        <v>0</v>
      </c>
      <c r="Z41" s="40">
        <f>COUNTIF(G:G,"Yes")</f>
        <v>0</v>
      </c>
      <c r="AA41" s="41">
        <f>IFERROR(COUNTIFS(G:G, "Yes")/COUNTA($G$2:$G$994),0)</f>
        <v>0</v>
      </c>
      <c r="AD41" s="7"/>
      <c r="AE41" s="7"/>
      <c r="AL41" s="18" t="str">
        <f>IF(COUNTIF($A$2:A40, A40) = 1, A40, "")</f>
        <v/>
      </c>
    </row>
    <row r="42" spans="6:38" x14ac:dyDescent="0.2">
      <c r="F42" t="str">
        <f t="shared" si="0"/>
        <v/>
      </c>
      <c r="L42" s="7" t="str">
        <f t="shared" si="1"/>
        <v/>
      </c>
      <c r="N42" s="7" t="str">
        <f t="shared" si="2"/>
        <v/>
      </c>
      <c r="O42" t="str">
        <f t="shared" si="3"/>
        <v/>
      </c>
      <c r="P42" t="str">
        <f t="shared" si="12"/>
        <v/>
      </c>
      <c r="Q42" t="str">
        <f t="shared" si="5"/>
        <v/>
      </c>
      <c r="S42" t="str">
        <f>""</f>
        <v/>
      </c>
      <c r="X42" s="48" t="s">
        <v>5</v>
      </c>
      <c r="Y42" s="45">
        <f>SUMIFS(N:N,H:H, "Yes")</f>
        <v>0</v>
      </c>
      <c r="Z42" s="34">
        <f>COUNTIF(H:H,"Yes")</f>
        <v>0</v>
      </c>
      <c r="AA42" s="38">
        <f>IFERROR(COUNTIFS(H:H, "Yes")/COUNTA($G$2:$G$994),0)</f>
        <v>0</v>
      </c>
      <c r="AD42" s="7"/>
      <c r="AE42" s="7"/>
      <c r="AL42" s="18" t="str">
        <f>IF(COUNTIF($A$2:A41, A41) = 1, A41, "")</f>
        <v/>
      </c>
    </row>
    <row r="43" spans="6:38" ht="17" thickBot="1" x14ac:dyDescent="0.25">
      <c r="F43" t="str">
        <f t="shared" si="0"/>
        <v/>
      </c>
      <c r="L43" s="7" t="str">
        <f t="shared" si="1"/>
        <v/>
      </c>
      <c r="N43" s="7" t="str">
        <f t="shared" si="2"/>
        <v/>
      </c>
      <c r="O43" t="str">
        <f t="shared" si="3"/>
        <v/>
      </c>
      <c r="P43" t="str">
        <f t="shared" si="12"/>
        <v/>
      </c>
      <c r="Q43" t="str">
        <f t="shared" si="5"/>
        <v/>
      </c>
      <c r="S43" t="str">
        <f>""</f>
        <v/>
      </c>
      <c r="X43" s="50" t="s">
        <v>6</v>
      </c>
      <c r="Y43" s="45">
        <f>SUMIFS(N:N,I:I, "Yes")</f>
        <v>0</v>
      </c>
      <c r="Z43" s="42">
        <f>COUNTIF(I:I,"Yes")</f>
        <v>0</v>
      </c>
      <c r="AA43" s="39">
        <f>IFERROR(COUNTIFS(I:I, "Yes")/COUNTA($G$2:$G$994),0)</f>
        <v>0</v>
      </c>
      <c r="AD43" s="7"/>
      <c r="AE43" s="7"/>
      <c r="AL43" s="18" t="str">
        <f>IF(COUNTIF($A$2:A42, A42) = 1, A42, "")</f>
        <v/>
      </c>
    </row>
    <row r="44" spans="6:38" ht="17" thickBot="1" x14ac:dyDescent="0.25">
      <c r="F44" t="str">
        <f t="shared" si="0"/>
        <v/>
      </c>
      <c r="L44" s="7" t="str">
        <f t="shared" si="1"/>
        <v/>
      </c>
      <c r="N44" s="7" t="str">
        <f t="shared" si="2"/>
        <v/>
      </c>
      <c r="O44" t="str">
        <f t="shared" si="3"/>
        <v/>
      </c>
      <c r="P44" t="str">
        <f t="shared" si="12"/>
        <v/>
      </c>
      <c r="Q44" t="str">
        <f t="shared" si="5"/>
        <v/>
      </c>
      <c r="S44" t="str">
        <f>""</f>
        <v/>
      </c>
      <c r="Y44" s="60"/>
      <c r="AD44" s="7"/>
      <c r="AE44" s="7"/>
      <c r="AL44" s="18" t="str">
        <f>IF(COUNTIF($A$2:A43, A43) = 1, A43, "")</f>
        <v/>
      </c>
    </row>
    <row r="45" spans="6:38" ht="17" thickBot="1" x14ac:dyDescent="0.25">
      <c r="F45" t="str">
        <f t="shared" si="0"/>
        <v/>
      </c>
      <c r="L45" s="7" t="str">
        <f t="shared" si="1"/>
        <v/>
      </c>
      <c r="N45" s="7" t="str">
        <f t="shared" si="2"/>
        <v/>
      </c>
      <c r="O45" t="str">
        <f t="shared" si="3"/>
        <v/>
      </c>
      <c r="P45" t="str">
        <f t="shared" si="12"/>
        <v/>
      </c>
      <c r="Q45" t="str">
        <f t="shared" si="5"/>
        <v/>
      </c>
      <c r="S45" t="str">
        <f>""</f>
        <v/>
      </c>
      <c r="X45" s="79" t="s">
        <v>74</v>
      </c>
      <c r="Y45" s="83" t="s">
        <v>9</v>
      </c>
      <c r="Z45" s="81" t="s">
        <v>84</v>
      </c>
      <c r="AA45" s="82" t="s">
        <v>39</v>
      </c>
      <c r="AD45" s="7"/>
      <c r="AE45" s="7"/>
      <c r="AL45" s="18" t="str">
        <f>IF(COUNTIF($A$2:A44, A44) = 1, A44, "")</f>
        <v/>
      </c>
    </row>
    <row r="46" spans="6:38" x14ac:dyDescent="0.2">
      <c r="F46" t="str">
        <f t="shared" si="0"/>
        <v/>
      </c>
      <c r="L46" s="7" t="str">
        <f t="shared" si="1"/>
        <v/>
      </c>
      <c r="N46" s="7" t="str">
        <f t="shared" si="2"/>
        <v/>
      </c>
      <c r="O46" t="str">
        <f t="shared" si="3"/>
        <v/>
      </c>
      <c r="P46" t="str">
        <f t="shared" si="12"/>
        <v/>
      </c>
      <c r="Q46" t="str">
        <f t="shared" si="5"/>
        <v/>
      </c>
      <c r="S46" t="str">
        <f>""</f>
        <v/>
      </c>
      <c r="X46" s="47" t="s">
        <v>75</v>
      </c>
      <c r="Y46" s="45">
        <f>SUMIFS(N:N,J:J,"No")</f>
        <v>0</v>
      </c>
      <c r="Z46" s="40">
        <f>COUNTIF(J:J,"No")</f>
        <v>0</v>
      </c>
      <c r="AA46" s="46">
        <f>IFERROR(COUNTIFS($J$2:$J$1048576, "No")/COUNTA($G$2:$G$994), 0)</f>
        <v>0</v>
      </c>
      <c r="AD46" s="7"/>
      <c r="AE46" s="7"/>
      <c r="AL46" s="18" t="str">
        <f>IF(COUNTIF($A$2:A45, A45) = 1, A45, "")</f>
        <v/>
      </c>
    </row>
    <row r="47" spans="6:38" ht="17" thickBot="1" x14ac:dyDescent="0.25">
      <c r="F47" t="str">
        <f t="shared" si="0"/>
        <v/>
      </c>
      <c r="L47" s="7" t="str">
        <f t="shared" si="1"/>
        <v/>
      </c>
      <c r="N47" s="7" t="str">
        <f t="shared" si="2"/>
        <v/>
      </c>
      <c r="O47" t="str">
        <f t="shared" si="3"/>
        <v/>
      </c>
      <c r="P47" t="str">
        <f t="shared" si="12"/>
        <v/>
      </c>
      <c r="Q47" t="str">
        <f t="shared" si="5"/>
        <v/>
      </c>
      <c r="S47" t="str">
        <f>""</f>
        <v/>
      </c>
      <c r="X47" s="49" t="s">
        <v>69</v>
      </c>
      <c r="Y47" s="44">
        <f>SUMIFS(N:N,J:J,"Yes")</f>
        <v>0</v>
      </c>
      <c r="Z47" s="35">
        <f>COUNTIF(J:J,"Yes")</f>
        <v>0</v>
      </c>
      <c r="AA47" s="53">
        <f>IFERROR(COUNTIFS($J$2:$J$1048576, "Yes")/COUNTA($G$2:$G$994), 0)</f>
        <v>0</v>
      </c>
      <c r="AD47" s="7"/>
      <c r="AE47" s="7"/>
      <c r="AL47" s="18" t="str">
        <f>IF(COUNTIF($A$2:A46, A46) = 1, A46, "")</f>
        <v/>
      </c>
    </row>
    <row r="48" spans="6:38" ht="17" thickBot="1" x14ac:dyDescent="0.25">
      <c r="F48" t="str">
        <f t="shared" si="0"/>
        <v/>
      </c>
      <c r="L48" s="7" t="str">
        <f t="shared" si="1"/>
        <v/>
      </c>
      <c r="N48" s="7" t="str">
        <f t="shared" si="2"/>
        <v/>
      </c>
      <c r="O48" t="str">
        <f t="shared" si="3"/>
        <v/>
      </c>
      <c r="P48" t="str">
        <f t="shared" si="12"/>
        <v/>
      </c>
      <c r="Q48" t="str">
        <f t="shared" si="5"/>
        <v/>
      </c>
      <c r="S48" t="str">
        <f>""</f>
        <v/>
      </c>
      <c r="AD48" s="7"/>
      <c r="AE48" s="7"/>
      <c r="AL48" s="18" t="str">
        <f>IF(COUNTIF($A$2:A47, A47) = 1, A47, "")</f>
        <v/>
      </c>
    </row>
    <row r="49" spans="6:38" ht="17" thickBot="1" x14ac:dyDescent="0.25">
      <c r="F49" t="str">
        <f t="shared" si="0"/>
        <v/>
      </c>
      <c r="L49" s="7" t="str">
        <f t="shared" si="1"/>
        <v/>
      </c>
      <c r="N49" s="7" t="str">
        <f t="shared" si="2"/>
        <v/>
      </c>
      <c r="O49" t="str">
        <f t="shared" si="3"/>
        <v/>
      </c>
      <c r="P49" t="str">
        <f t="shared" si="12"/>
        <v/>
      </c>
      <c r="Q49" t="str">
        <f t="shared" si="5"/>
        <v/>
      </c>
      <c r="S49" t="str">
        <f>""</f>
        <v/>
      </c>
      <c r="X49" s="92" t="s">
        <v>89</v>
      </c>
      <c r="Y49" s="83" t="s">
        <v>9</v>
      </c>
      <c r="Z49" s="81" t="s">
        <v>84</v>
      </c>
      <c r="AA49" s="82" t="s">
        <v>39</v>
      </c>
      <c r="AD49" s="7"/>
      <c r="AE49" s="7"/>
      <c r="AL49" s="18" t="str">
        <f>IF(COUNTIF($A$2:A48, A48) = 1, A48, "")</f>
        <v/>
      </c>
    </row>
    <row r="50" spans="6:38" x14ac:dyDescent="0.2">
      <c r="F50" t="str">
        <f t="shared" si="0"/>
        <v/>
      </c>
      <c r="L50" s="7" t="str">
        <f t="shared" si="1"/>
        <v/>
      </c>
      <c r="N50" s="7" t="str">
        <f t="shared" si="2"/>
        <v/>
      </c>
      <c r="O50" t="str">
        <f t="shared" si="3"/>
        <v/>
      </c>
      <c r="P50" t="str">
        <f t="shared" si="12"/>
        <v/>
      </c>
      <c r="Q50" t="str">
        <f t="shared" si="5"/>
        <v/>
      </c>
      <c r="S50" t="str">
        <f>""</f>
        <v/>
      </c>
      <c r="X50" s="48" t="str">
        <f>Master!F50</f>
        <v>Source 1</v>
      </c>
      <c r="Y50" s="62">
        <f>SUMIFS(N:N,R:R,X50)</f>
        <v>0</v>
      </c>
      <c r="Z50" s="63">
        <f t="shared" ref="Z50:Z58" si="13">COUNTIF(R:R,X50)</f>
        <v>0</v>
      </c>
      <c r="AA50" s="54">
        <f>IFERROR(COUNTIFS(R:R, X50)/COUNTA($R$2:$R$994), 0)</f>
        <v>0</v>
      </c>
      <c r="AD50" s="7"/>
      <c r="AE50" s="7"/>
      <c r="AL50" s="18" t="str">
        <f>IF(COUNTIF($A$2:A49, A49) = 1, A49, "")</f>
        <v/>
      </c>
    </row>
    <row r="51" spans="6:38" x14ac:dyDescent="0.2">
      <c r="F51" t="str">
        <f t="shared" si="0"/>
        <v/>
      </c>
      <c r="L51" s="7" t="str">
        <f t="shared" si="1"/>
        <v/>
      </c>
      <c r="N51" s="7" t="str">
        <f t="shared" si="2"/>
        <v/>
      </c>
      <c r="O51" t="str">
        <f t="shared" si="3"/>
        <v/>
      </c>
      <c r="P51" t="str">
        <f t="shared" si="12"/>
        <v/>
      </c>
      <c r="Q51" t="str">
        <f t="shared" si="5"/>
        <v/>
      </c>
      <c r="S51" t="str">
        <f>""</f>
        <v/>
      </c>
      <c r="X51" s="48" t="str">
        <f>Master!F51</f>
        <v>Source 2</v>
      </c>
      <c r="Y51" s="45">
        <f t="shared" ref="Y51:Y58" si="14">SUMIFS(N:N,R:R,X51)</f>
        <v>0</v>
      </c>
      <c r="Z51" s="64">
        <f t="shared" si="13"/>
        <v>0</v>
      </c>
      <c r="AA51" s="46">
        <f t="shared" ref="AA51:AA56" si="15">IFERROR(COUNTIFS(R:R, X51)/COUNTA($R$2:$R$994), 0)</f>
        <v>0</v>
      </c>
      <c r="AD51" s="7"/>
      <c r="AE51" s="7"/>
      <c r="AL51" s="18" t="str">
        <f>IF(COUNTIF($A$2:A50, A50) = 1, A50, "")</f>
        <v/>
      </c>
    </row>
    <row r="52" spans="6:38" x14ac:dyDescent="0.2">
      <c r="F52" t="str">
        <f t="shared" si="0"/>
        <v/>
      </c>
      <c r="L52" s="7" t="str">
        <f t="shared" si="1"/>
        <v/>
      </c>
      <c r="N52" s="7" t="str">
        <f t="shared" si="2"/>
        <v/>
      </c>
      <c r="O52" t="str">
        <f t="shared" si="3"/>
        <v/>
      </c>
      <c r="P52" t="str">
        <f t="shared" si="12"/>
        <v/>
      </c>
      <c r="Q52" t="str">
        <f t="shared" si="5"/>
        <v/>
      </c>
      <c r="S52" t="str">
        <f>""</f>
        <v/>
      </c>
      <c r="X52" s="48" t="str">
        <f>Master!F52</f>
        <v>Source 3</v>
      </c>
      <c r="Y52" s="45">
        <f t="shared" si="14"/>
        <v>0</v>
      </c>
      <c r="Z52" s="64">
        <f t="shared" si="13"/>
        <v>0</v>
      </c>
      <c r="AA52" s="46">
        <f t="shared" si="15"/>
        <v>0</v>
      </c>
      <c r="AD52" s="7"/>
      <c r="AE52" s="7"/>
      <c r="AL52" s="18" t="str">
        <f>IF(COUNTIF($A$2:A51, A51) = 1, A51, "")</f>
        <v/>
      </c>
    </row>
    <row r="53" spans="6:38" x14ac:dyDescent="0.2">
      <c r="F53" t="str">
        <f t="shared" si="0"/>
        <v/>
      </c>
      <c r="L53" s="7" t="str">
        <f t="shared" si="1"/>
        <v/>
      </c>
      <c r="N53" s="7" t="str">
        <f t="shared" si="2"/>
        <v/>
      </c>
      <c r="O53" t="str">
        <f t="shared" si="3"/>
        <v/>
      </c>
      <c r="P53" t="str">
        <f t="shared" si="12"/>
        <v/>
      </c>
      <c r="Q53" t="str">
        <f t="shared" si="5"/>
        <v/>
      </c>
      <c r="S53" t="str">
        <f>""</f>
        <v/>
      </c>
      <c r="X53" s="48" t="str">
        <f>Master!F53</f>
        <v>Source 4</v>
      </c>
      <c r="Y53" s="45">
        <f t="shared" si="14"/>
        <v>0</v>
      </c>
      <c r="Z53" s="64">
        <f t="shared" si="13"/>
        <v>0</v>
      </c>
      <c r="AA53" s="46">
        <f t="shared" si="15"/>
        <v>0</v>
      </c>
      <c r="AD53" s="7"/>
      <c r="AE53" s="7"/>
      <c r="AL53" s="18" t="str">
        <f>IF(COUNTIF($A$2:A52, A52) = 1, A52, "")</f>
        <v/>
      </c>
    </row>
    <row r="54" spans="6:38" x14ac:dyDescent="0.2">
      <c r="F54" t="str">
        <f t="shared" si="0"/>
        <v/>
      </c>
      <c r="L54" s="7" t="str">
        <f t="shared" si="1"/>
        <v/>
      </c>
      <c r="N54" s="7" t="str">
        <f t="shared" si="2"/>
        <v/>
      </c>
      <c r="O54" t="str">
        <f t="shared" si="3"/>
        <v/>
      </c>
      <c r="P54" t="str">
        <f t="shared" si="12"/>
        <v/>
      </c>
      <c r="Q54" t="str">
        <f t="shared" si="5"/>
        <v/>
      </c>
      <c r="S54" t="str">
        <f>""</f>
        <v/>
      </c>
      <c r="X54" s="48" t="str">
        <f>Master!F54</f>
        <v>Source 5</v>
      </c>
      <c r="Y54" s="45">
        <f t="shared" si="14"/>
        <v>0</v>
      </c>
      <c r="Z54" s="64">
        <f t="shared" si="13"/>
        <v>0</v>
      </c>
      <c r="AA54" s="46">
        <f t="shared" si="15"/>
        <v>0</v>
      </c>
      <c r="AD54" s="7"/>
      <c r="AE54" s="7"/>
      <c r="AL54" s="18" t="str">
        <f>IF(COUNTIF($A$2:A53, A53) = 1, A53, "")</f>
        <v/>
      </c>
    </row>
    <row r="55" spans="6:38" x14ac:dyDescent="0.2">
      <c r="F55" t="str">
        <f t="shared" si="0"/>
        <v/>
      </c>
      <c r="L55" s="7" t="str">
        <f t="shared" si="1"/>
        <v/>
      </c>
      <c r="N55" s="7" t="str">
        <f t="shared" si="2"/>
        <v/>
      </c>
      <c r="O55" t="str">
        <f t="shared" si="3"/>
        <v/>
      </c>
      <c r="P55" t="str">
        <f t="shared" si="12"/>
        <v/>
      </c>
      <c r="Q55" t="str">
        <f t="shared" si="5"/>
        <v/>
      </c>
      <c r="S55" t="str">
        <f>""</f>
        <v/>
      </c>
      <c r="X55" s="48" t="str">
        <f>Master!F55</f>
        <v>Source 6</v>
      </c>
      <c r="Y55" s="45">
        <f t="shared" si="14"/>
        <v>0</v>
      </c>
      <c r="Z55" s="64">
        <f t="shared" si="13"/>
        <v>0</v>
      </c>
      <c r="AA55" s="46">
        <f>IFERROR(COUNTIFS(R:R, X55)/COUNTA($R$2:$R$994), 0)</f>
        <v>0</v>
      </c>
      <c r="AD55" s="7"/>
      <c r="AE55" s="7"/>
      <c r="AL55" s="18" t="str">
        <f>IF(COUNTIF($A$2:A54, A54) = 1, A54, "")</f>
        <v/>
      </c>
    </row>
    <row r="56" spans="6:38" x14ac:dyDescent="0.2">
      <c r="F56" t="str">
        <f t="shared" si="0"/>
        <v/>
      </c>
      <c r="L56" s="7" t="str">
        <f t="shared" si="1"/>
        <v/>
      </c>
      <c r="N56" s="7" t="str">
        <f t="shared" si="2"/>
        <v/>
      </c>
      <c r="O56" t="str">
        <f t="shared" si="3"/>
        <v/>
      </c>
      <c r="P56" t="str">
        <f t="shared" si="12"/>
        <v/>
      </c>
      <c r="Q56" t="str">
        <f t="shared" si="5"/>
        <v/>
      </c>
      <c r="S56" t="str">
        <f>""</f>
        <v/>
      </c>
      <c r="X56" s="48" t="str">
        <f>Master!F56</f>
        <v>Source 7</v>
      </c>
      <c r="Y56" s="45">
        <f t="shared" si="14"/>
        <v>0</v>
      </c>
      <c r="Z56" s="64">
        <f t="shared" si="13"/>
        <v>0</v>
      </c>
      <c r="AA56" s="46">
        <f t="shared" si="15"/>
        <v>0</v>
      </c>
      <c r="AD56" s="7"/>
      <c r="AE56" s="7"/>
      <c r="AL56" s="18" t="str">
        <f>IF(COUNTIF($A$2:A55, A55) = 1, A55, "")</f>
        <v/>
      </c>
    </row>
    <row r="57" spans="6:38" x14ac:dyDescent="0.2">
      <c r="F57" t="str">
        <f t="shared" si="0"/>
        <v/>
      </c>
      <c r="L57" s="7" t="str">
        <f t="shared" si="1"/>
        <v/>
      </c>
      <c r="N57" s="7" t="str">
        <f t="shared" si="2"/>
        <v/>
      </c>
      <c r="O57" t="str">
        <f t="shared" si="3"/>
        <v/>
      </c>
      <c r="P57" t="str">
        <f t="shared" si="12"/>
        <v/>
      </c>
      <c r="Q57" t="str">
        <f t="shared" si="5"/>
        <v/>
      </c>
      <c r="S57" t="str">
        <f>""</f>
        <v/>
      </c>
      <c r="X57" s="48" t="str">
        <f>Master!F57</f>
        <v>Source 8</v>
      </c>
      <c r="Y57" s="45">
        <f t="shared" si="14"/>
        <v>0</v>
      </c>
      <c r="Z57" s="64">
        <f t="shared" si="13"/>
        <v>0</v>
      </c>
      <c r="AA57" s="46">
        <f>IFERROR(COUNTIFS(R:R, X57)/COUNTA($R$2:$R$994), 0)</f>
        <v>0</v>
      </c>
      <c r="AD57" s="7"/>
      <c r="AE57" s="7"/>
      <c r="AL57" s="18" t="str">
        <f>IF(COUNTIF($A$2:A56, A56) = 1, A56, "")</f>
        <v/>
      </c>
    </row>
    <row r="58" spans="6:38" ht="17" thickBot="1" x14ac:dyDescent="0.25">
      <c r="F58" t="str">
        <f t="shared" si="0"/>
        <v/>
      </c>
      <c r="L58" s="7" t="str">
        <f t="shared" si="1"/>
        <v/>
      </c>
      <c r="N58" s="7" t="str">
        <f t="shared" si="2"/>
        <v/>
      </c>
      <c r="O58" t="str">
        <f t="shared" si="3"/>
        <v/>
      </c>
      <c r="P58" t="str">
        <f t="shared" si="12"/>
        <v/>
      </c>
      <c r="Q58" t="str">
        <f t="shared" si="5"/>
        <v/>
      </c>
      <c r="S58" t="str">
        <f>""</f>
        <v/>
      </c>
      <c r="X58" s="49" t="s">
        <v>90</v>
      </c>
      <c r="Y58" s="44">
        <f t="shared" si="14"/>
        <v>0</v>
      </c>
      <c r="Z58" s="65">
        <f t="shared" si="13"/>
        <v>0</v>
      </c>
      <c r="AA58" s="53">
        <f>IFERROR(COUNTIFS(R:R, X58)/COUNTA($R$2:$R$994), 0)</f>
        <v>0</v>
      </c>
      <c r="AD58" s="7"/>
      <c r="AE58" s="7"/>
      <c r="AL58" s="18" t="str">
        <f>IF(COUNTIF($A$2:A57, A57) = 1, A57, "")</f>
        <v/>
      </c>
    </row>
    <row r="59" spans="6:38" x14ac:dyDescent="0.2">
      <c r="F59" t="str">
        <f t="shared" si="0"/>
        <v/>
      </c>
      <c r="L59" s="7" t="str">
        <f t="shared" si="1"/>
        <v/>
      </c>
      <c r="N59" s="7" t="str">
        <f t="shared" si="2"/>
        <v/>
      </c>
      <c r="O59" t="str">
        <f t="shared" si="3"/>
        <v/>
      </c>
      <c r="P59" t="str">
        <f t="shared" si="12"/>
        <v/>
      </c>
      <c r="Q59" t="str">
        <f t="shared" si="5"/>
        <v/>
      </c>
      <c r="S59" t="str">
        <f>""</f>
        <v/>
      </c>
      <c r="AL59" s="18" t="str">
        <f>IF(COUNTIF($A$2:A58, A58) = 1, A58, "")</f>
        <v/>
      </c>
    </row>
    <row r="60" spans="6:38" x14ac:dyDescent="0.2">
      <c r="F60" t="str">
        <f t="shared" si="0"/>
        <v/>
      </c>
      <c r="L60" s="7" t="str">
        <f t="shared" si="1"/>
        <v/>
      </c>
      <c r="N60" s="7" t="str">
        <f t="shared" si="2"/>
        <v/>
      </c>
      <c r="O60" t="str">
        <f t="shared" si="3"/>
        <v/>
      </c>
      <c r="P60" t="str">
        <f t="shared" si="12"/>
        <v/>
      </c>
      <c r="Q60" t="str">
        <f t="shared" si="5"/>
        <v/>
      </c>
      <c r="S60" t="str">
        <f>""</f>
        <v/>
      </c>
      <c r="AL60" s="18" t="str">
        <f>IF(COUNTIF($A$2:A59, A59) = 1, A59, "")</f>
        <v/>
      </c>
    </row>
    <row r="61" spans="6:38" x14ac:dyDescent="0.2">
      <c r="F61" t="str">
        <f t="shared" si="0"/>
        <v/>
      </c>
      <c r="L61" s="7" t="str">
        <f t="shared" si="1"/>
        <v/>
      </c>
      <c r="N61" s="7" t="str">
        <f t="shared" si="2"/>
        <v/>
      </c>
      <c r="O61" t="str">
        <f t="shared" si="3"/>
        <v/>
      </c>
      <c r="P61" t="str">
        <f t="shared" si="12"/>
        <v/>
      </c>
      <c r="Q61" t="str">
        <f t="shared" si="5"/>
        <v/>
      </c>
      <c r="S61" t="str">
        <f>""</f>
        <v/>
      </c>
      <c r="AL61" s="18" t="str">
        <f>IF(COUNTIF($A$2:A60, A60) = 1, A60, "")</f>
        <v/>
      </c>
    </row>
    <row r="62" spans="6:38" x14ac:dyDescent="0.2">
      <c r="F62" t="str">
        <f t="shared" si="0"/>
        <v/>
      </c>
      <c r="L62" s="7" t="str">
        <f t="shared" si="1"/>
        <v/>
      </c>
      <c r="N62" s="7" t="str">
        <f t="shared" si="2"/>
        <v/>
      </c>
      <c r="O62" t="str">
        <f t="shared" si="3"/>
        <v/>
      </c>
      <c r="P62" t="str">
        <f t="shared" si="12"/>
        <v/>
      </c>
      <c r="Q62" t="str">
        <f t="shared" si="5"/>
        <v/>
      </c>
      <c r="S62" t="str">
        <f>""</f>
        <v/>
      </c>
      <c r="AL62" s="18" t="str">
        <f>IF(COUNTIF($A$2:A61, A61) = 1, A61, "")</f>
        <v/>
      </c>
    </row>
    <row r="63" spans="6:38" x14ac:dyDescent="0.2">
      <c r="F63" t="str">
        <f t="shared" si="0"/>
        <v/>
      </c>
      <c r="L63" s="7" t="str">
        <f t="shared" si="1"/>
        <v/>
      </c>
      <c r="N63" s="7" t="str">
        <f t="shared" si="2"/>
        <v/>
      </c>
      <c r="O63" t="str">
        <f t="shared" si="3"/>
        <v/>
      </c>
      <c r="P63" t="str">
        <f t="shared" si="12"/>
        <v/>
      </c>
      <c r="Q63" t="str">
        <f t="shared" si="5"/>
        <v/>
      </c>
      <c r="S63" t="str">
        <f>""</f>
        <v/>
      </c>
      <c r="AL63" s="18" t="str">
        <f>IF(COUNTIF($A$2:A62, A62) = 1, A62, "")</f>
        <v/>
      </c>
    </row>
    <row r="64" spans="6:38" x14ac:dyDescent="0.2">
      <c r="F64" t="str">
        <f t="shared" si="0"/>
        <v/>
      </c>
      <c r="L64" s="7" t="str">
        <f t="shared" si="1"/>
        <v/>
      </c>
      <c r="N64" s="7" t="str">
        <f t="shared" si="2"/>
        <v/>
      </c>
      <c r="O64" t="str">
        <f t="shared" si="3"/>
        <v/>
      </c>
      <c r="P64" t="str">
        <f t="shared" si="12"/>
        <v/>
      </c>
      <c r="Q64" t="str">
        <f t="shared" si="5"/>
        <v/>
      </c>
      <c r="S64" t="str">
        <f>""</f>
        <v/>
      </c>
      <c r="AL64" s="18" t="str">
        <f>IF(COUNTIF($A$2:A63, A63) = 1, A63, "")</f>
        <v/>
      </c>
    </row>
    <row r="65" spans="6:38" x14ac:dyDescent="0.2">
      <c r="F65" t="str">
        <f t="shared" si="0"/>
        <v/>
      </c>
      <c r="L65" s="7" t="str">
        <f t="shared" si="1"/>
        <v/>
      </c>
      <c r="N65" s="7" t="str">
        <f t="shared" si="2"/>
        <v/>
      </c>
      <c r="O65" t="str">
        <f t="shared" si="3"/>
        <v/>
      </c>
      <c r="P65" t="str">
        <f t="shared" si="12"/>
        <v/>
      </c>
      <c r="Q65" t="str">
        <f t="shared" si="5"/>
        <v/>
      </c>
      <c r="S65" t="str">
        <f>""</f>
        <v/>
      </c>
      <c r="AL65" s="18" t="str">
        <f>IF(COUNTIF($A$2:A64, A64) = 1, A64, "")</f>
        <v/>
      </c>
    </row>
    <row r="66" spans="6:38" x14ac:dyDescent="0.2">
      <c r="F66" t="str">
        <f t="shared" ref="F66:F129" si="16">IF(OR(O66="", P66=""), "", SUM(IF((O66&lt;&gt;"None")*(O66&lt;&gt;""),LEN(O66)-LEN(SUBSTITUTE(O66,",",""))+1,0)) + SUM(IF((P66&lt;&gt;"None")*(P66&lt;&gt;""),LEN(P66)-LEN(SUBSTITUTE(P66,",",""))+1,0)))</f>
        <v/>
      </c>
      <c r="L66" s="7" t="str">
        <f t="shared" ref="L66:L129" si="17">IF(LEN(E66)=0, "", IFERROR(IF(E66&gt;=0, K66 * (1 + E66/100) - K66, K66 / (ABS(E66)/100))+K66, ""))</f>
        <v/>
      </c>
      <c r="N66" s="7" t="str">
        <f t="shared" ref="N66:N129" si="18">IF(M66="Yes",L66-K66,IF(M66="No",-K66,""))</f>
        <v/>
      </c>
      <c r="O66" t="str">
        <f t="shared" ref="O66:O129" si="19">IF(AND(G66="No",H66="No"), "None", "")</f>
        <v/>
      </c>
      <c r="P66" t="str">
        <f t="shared" si="12"/>
        <v/>
      </c>
      <c r="Q66" t="str">
        <f t="shared" ref="Q66:Q129" si="20">IF(AND(D66="Straight", M66 = "No"),IF(O66="None",P66,IF(P66="None",O66) ),"")</f>
        <v/>
      </c>
      <c r="S66" t="str">
        <f>""</f>
        <v/>
      </c>
      <c r="AL66" s="18" t="str">
        <f>IF(COUNTIF($A$2:A65, A65) = 1, A65, "")</f>
        <v/>
      </c>
    </row>
    <row r="67" spans="6:38" x14ac:dyDescent="0.2">
      <c r="F67" t="str">
        <f t="shared" si="16"/>
        <v/>
      </c>
      <c r="L67" s="7" t="str">
        <f t="shared" si="17"/>
        <v/>
      </c>
      <c r="N67" s="7" t="str">
        <f t="shared" si="18"/>
        <v/>
      </c>
      <c r="O67" t="str">
        <f t="shared" si="19"/>
        <v/>
      </c>
      <c r="P67" t="str">
        <f t="shared" si="12"/>
        <v/>
      </c>
      <c r="Q67" t="str">
        <f t="shared" si="20"/>
        <v/>
      </c>
      <c r="S67" t="str">
        <f>""</f>
        <v/>
      </c>
      <c r="AL67" s="18" t="str">
        <f>IF(COUNTIF($A$2:A66, A66) = 1, A66, "")</f>
        <v/>
      </c>
    </row>
    <row r="68" spans="6:38" x14ac:dyDescent="0.2">
      <c r="F68" t="str">
        <f t="shared" si="16"/>
        <v/>
      </c>
      <c r="L68" s="7" t="str">
        <f t="shared" si="17"/>
        <v/>
      </c>
      <c r="N68" s="7" t="str">
        <f t="shared" si="18"/>
        <v/>
      </c>
      <c r="O68" t="str">
        <f t="shared" si="19"/>
        <v/>
      </c>
      <c r="P68" t="str">
        <f t="shared" si="12"/>
        <v/>
      </c>
      <c r="Q68" t="str">
        <f t="shared" si="20"/>
        <v/>
      </c>
      <c r="S68" t="str">
        <f>""</f>
        <v/>
      </c>
      <c r="AL68" s="18" t="str">
        <f>IF(COUNTIF($A$2:A67, A67) = 1, A67, "")</f>
        <v/>
      </c>
    </row>
    <row r="69" spans="6:38" x14ac:dyDescent="0.2">
      <c r="F69" t="str">
        <f t="shared" si="16"/>
        <v/>
      </c>
      <c r="L69" s="7" t="str">
        <f t="shared" si="17"/>
        <v/>
      </c>
      <c r="N69" s="7" t="str">
        <f t="shared" si="18"/>
        <v/>
      </c>
      <c r="O69" t="str">
        <f t="shared" si="19"/>
        <v/>
      </c>
      <c r="P69" t="str">
        <f t="shared" si="12"/>
        <v/>
      </c>
      <c r="Q69" t="str">
        <f t="shared" si="20"/>
        <v/>
      </c>
      <c r="S69" t="str">
        <f>""</f>
        <v/>
      </c>
      <c r="AL69" s="18" t="str">
        <f>IF(COUNTIF($A$2:A68, A68) = 1, A68, "")</f>
        <v/>
      </c>
    </row>
    <row r="70" spans="6:38" x14ac:dyDescent="0.2">
      <c r="F70" t="str">
        <f t="shared" si="16"/>
        <v/>
      </c>
      <c r="L70" s="7" t="str">
        <f t="shared" si="17"/>
        <v/>
      </c>
      <c r="N70" s="7" t="str">
        <f t="shared" si="18"/>
        <v/>
      </c>
      <c r="O70" t="str">
        <f t="shared" si="19"/>
        <v/>
      </c>
      <c r="P70" t="str">
        <f t="shared" si="12"/>
        <v/>
      </c>
      <c r="Q70" t="str">
        <f t="shared" si="20"/>
        <v/>
      </c>
      <c r="S70" t="str">
        <f>""</f>
        <v/>
      </c>
      <c r="AL70" s="18" t="str">
        <f>IF(COUNTIF($A$2:A69, A69) = 1, A69, "")</f>
        <v/>
      </c>
    </row>
    <row r="71" spans="6:38" x14ac:dyDescent="0.2">
      <c r="F71" t="str">
        <f t="shared" si="16"/>
        <v/>
      </c>
      <c r="L71" s="7" t="str">
        <f t="shared" si="17"/>
        <v/>
      </c>
      <c r="N71" s="7" t="str">
        <f t="shared" si="18"/>
        <v/>
      </c>
      <c r="O71" t="str">
        <f t="shared" si="19"/>
        <v/>
      </c>
      <c r="P71" t="str">
        <f t="shared" si="12"/>
        <v/>
      </c>
      <c r="Q71" t="str">
        <f t="shared" si="20"/>
        <v/>
      </c>
      <c r="S71" t="str">
        <f>""</f>
        <v/>
      </c>
      <c r="AL71" s="18" t="str">
        <f>IF(COUNTIF($A$2:A70, A70) = 1, A70, "")</f>
        <v/>
      </c>
    </row>
    <row r="72" spans="6:38" x14ac:dyDescent="0.2">
      <c r="F72" t="str">
        <f t="shared" si="16"/>
        <v/>
      </c>
      <c r="L72" s="7" t="str">
        <f t="shared" si="17"/>
        <v/>
      </c>
      <c r="N72" s="7" t="str">
        <f t="shared" si="18"/>
        <v/>
      </c>
      <c r="O72" t="str">
        <f t="shared" si="19"/>
        <v/>
      </c>
      <c r="P72" t="str">
        <f t="shared" si="12"/>
        <v/>
      </c>
      <c r="Q72" t="str">
        <f t="shared" si="20"/>
        <v/>
      </c>
      <c r="S72" t="str">
        <f>""</f>
        <v/>
      </c>
      <c r="AL72" s="18" t="str">
        <f>IF(COUNTIF($A$2:A71, A71) = 1, A71, "")</f>
        <v/>
      </c>
    </row>
    <row r="73" spans="6:38" x14ac:dyDescent="0.2">
      <c r="F73" t="str">
        <f t="shared" si="16"/>
        <v/>
      </c>
      <c r="L73" s="7" t="str">
        <f t="shared" si="17"/>
        <v/>
      </c>
      <c r="N73" s="7" t="str">
        <f t="shared" si="18"/>
        <v/>
      </c>
      <c r="O73" t="str">
        <f t="shared" si="19"/>
        <v/>
      </c>
      <c r="P73" t="str">
        <f t="shared" si="12"/>
        <v/>
      </c>
      <c r="Q73" t="str">
        <f t="shared" si="20"/>
        <v/>
      </c>
      <c r="S73" t="str">
        <f>""</f>
        <v/>
      </c>
      <c r="AL73" s="18" t="str">
        <f>IF(COUNTIF($A$2:A72, A72) = 1, A72, "")</f>
        <v/>
      </c>
    </row>
    <row r="74" spans="6:38" x14ac:dyDescent="0.2">
      <c r="F74" t="str">
        <f t="shared" si="16"/>
        <v/>
      </c>
      <c r="L74" s="7" t="str">
        <f t="shared" si="17"/>
        <v/>
      </c>
      <c r="N74" s="7" t="str">
        <f t="shared" si="18"/>
        <v/>
      </c>
      <c r="O74" t="str">
        <f t="shared" si="19"/>
        <v/>
      </c>
      <c r="P74" t="str">
        <f t="shared" si="12"/>
        <v/>
      </c>
      <c r="Q74" t="str">
        <f t="shared" si="20"/>
        <v/>
      </c>
      <c r="S74" t="str">
        <f>""</f>
        <v/>
      </c>
      <c r="AL74" s="18" t="str">
        <f>IF(COUNTIF($A$2:A73, A73) = 1, A73, "")</f>
        <v/>
      </c>
    </row>
    <row r="75" spans="6:38" x14ac:dyDescent="0.2">
      <c r="F75" t="str">
        <f t="shared" si="16"/>
        <v/>
      </c>
      <c r="L75" s="7" t="str">
        <f t="shared" si="17"/>
        <v/>
      </c>
      <c r="N75" s="7" t="str">
        <f t="shared" si="18"/>
        <v/>
      </c>
      <c r="O75" t="str">
        <f t="shared" si="19"/>
        <v/>
      </c>
      <c r="P75" t="str">
        <f t="shared" si="12"/>
        <v/>
      </c>
      <c r="Q75" t="str">
        <f t="shared" si="20"/>
        <v/>
      </c>
      <c r="S75" t="str">
        <f>""</f>
        <v/>
      </c>
      <c r="AL75" s="18" t="str">
        <f>IF(COUNTIF($A$2:A74, A74) = 1, A74, "")</f>
        <v/>
      </c>
    </row>
    <row r="76" spans="6:38" x14ac:dyDescent="0.2">
      <c r="F76" t="str">
        <f t="shared" si="16"/>
        <v/>
      </c>
      <c r="L76" s="7" t="str">
        <f t="shared" si="17"/>
        <v/>
      </c>
      <c r="N76" s="7" t="str">
        <f t="shared" si="18"/>
        <v/>
      </c>
      <c r="O76" t="str">
        <f t="shared" si="19"/>
        <v/>
      </c>
      <c r="P76" t="str">
        <f t="shared" si="12"/>
        <v/>
      </c>
      <c r="Q76" t="str">
        <f t="shared" si="20"/>
        <v/>
      </c>
      <c r="S76" t="str">
        <f>""</f>
        <v/>
      </c>
      <c r="AL76" s="18" t="str">
        <f>IF(COUNTIF($A$2:A75, A75) = 1, A75, "")</f>
        <v/>
      </c>
    </row>
    <row r="77" spans="6:38" x14ac:dyDescent="0.2">
      <c r="F77" t="str">
        <f t="shared" si="16"/>
        <v/>
      </c>
      <c r="L77" s="7" t="str">
        <f t="shared" si="17"/>
        <v/>
      </c>
      <c r="N77" s="7" t="str">
        <f t="shared" si="18"/>
        <v/>
      </c>
      <c r="O77" t="str">
        <f t="shared" si="19"/>
        <v/>
      </c>
      <c r="P77" t="str">
        <f t="shared" si="12"/>
        <v/>
      </c>
      <c r="Q77" t="str">
        <f t="shared" si="20"/>
        <v/>
      </c>
      <c r="S77" t="str">
        <f>""</f>
        <v/>
      </c>
      <c r="AL77" s="18" t="str">
        <f>IF(COUNTIF($A$2:A76, A76) = 1, A76, "")</f>
        <v/>
      </c>
    </row>
    <row r="78" spans="6:38" x14ac:dyDescent="0.2">
      <c r="F78" t="str">
        <f t="shared" si="16"/>
        <v/>
      </c>
      <c r="L78" s="7" t="str">
        <f t="shared" si="17"/>
        <v/>
      </c>
      <c r="N78" s="7" t="str">
        <f t="shared" si="18"/>
        <v/>
      </c>
      <c r="O78" t="str">
        <f t="shared" si="19"/>
        <v/>
      </c>
      <c r="P78" t="str">
        <f t="shared" si="12"/>
        <v/>
      </c>
      <c r="Q78" t="str">
        <f t="shared" si="20"/>
        <v/>
      </c>
      <c r="S78" t="str">
        <f>""</f>
        <v/>
      </c>
      <c r="AL78" s="18" t="str">
        <f>IF(COUNTIF($A$2:A77, A77) = 1, A77, "")</f>
        <v/>
      </c>
    </row>
    <row r="79" spans="6:38" x14ac:dyDescent="0.2">
      <c r="F79" t="str">
        <f t="shared" si="16"/>
        <v/>
      </c>
      <c r="L79" s="7" t="str">
        <f t="shared" si="17"/>
        <v/>
      </c>
      <c r="N79" s="7" t="str">
        <f t="shared" si="18"/>
        <v/>
      </c>
      <c r="O79" t="str">
        <f t="shared" si="19"/>
        <v/>
      </c>
      <c r="P79" t="str">
        <f t="shared" si="12"/>
        <v/>
      </c>
      <c r="Q79" t="str">
        <f t="shared" si="20"/>
        <v/>
      </c>
      <c r="S79" t="str">
        <f>""</f>
        <v/>
      </c>
      <c r="AL79" s="18" t="str">
        <f>IF(COUNTIF($A$2:A78, A78) = 1, A78, "")</f>
        <v/>
      </c>
    </row>
    <row r="80" spans="6:38" x14ac:dyDescent="0.2">
      <c r="F80" t="str">
        <f t="shared" si="16"/>
        <v/>
      </c>
      <c r="L80" s="7" t="str">
        <f t="shared" si="17"/>
        <v/>
      </c>
      <c r="N80" s="7" t="str">
        <f t="shared" si="18"/>
        <v/>
      </c>
      <c r="O80" t="str">
        <f t="shared" si="19"/>
        <v/>
      </c>
      <c r="P80" t="str">
        <f t="shared" si="12"/>
        <v/>
      </c>
      <c r="Q80" t="str">
        <f t="shared" si="20"/>
        <v/>
      </c>
      <c r="S80" t="str">
        <f>""</f>
        <v/>
      </c>
      <c r="AL80" s="18" t="str">
        <f>IF(COUNTIF($A$2:A79, A79) = 1, A79, "")</f>
        <v/>
      </c>
    </row>
    <row r="81" spans="6:38" x14ac:dyDescent="0.2">
      <c r="F81" t="str">
        <f t="shared" si="16"/>
        <v/>
      </c>
      <c r="L81" s="7" t="str">
        <f t="shared" si="17"/>
        <v/>
      </c>
      <c r="N81" s="7" t="str">
        <f t="shared" si="18"/>
        <v/>
      </c>
      <c r="O81" t="str">
        <f t="shared" si="19"/>
        <v/>
      </c>
      <c r="P81" t="str">
        <f t="shared" si="12"/>
        <v/>
      </c>
      <c r="Q81" t="str">
        <f t="shared" si="20"/>
        <v/>
      </c>
      <c r="S81" t="str">
        <f>""</f>
        <v/>
      </c>
      <c r="AL81" s="18" t="str">
        <f>IF(COUNTIF($A$2:A80, A80) = 1, A80, "")</f>
        <v/>
      </c>
    </row>
    <row r="82" spans="6:38" x14ac:dyDescent="0.2">
      <c r="F82" t="str">
        <f t="shared" si="16"/>
        <v/>
      </c>
      <c r="L82" s="7" t="str">
        <f t="shared" si="17"/>
        <v/>
      </c>
      <c r="N82" s="7" t="str">
        <f t="shared" si="18"/>
        <v/>
      </c>
      <c r="O82" t="str">
        <f t="shared" si="19"/>
        <v/>
      </c>
      <c r="P82" t="str">
        <f t="shared" si="12"/>
        <v/>
      </c>
      <c r="Q82" t="str">
        <f t="shared" si="20"/>
        <v/>
      </c>
      <c r="S82" t="str">
        <f>""</f>
        <v/>
      </c>
      <c r="AL82" s="18" t="str">
        <f>IF(COUNTIF($A$2:A81, A81) = 1, A81, "")</f>
        <v/>
      </c>
    </row>
    <row r="83" spans="6:38" x14ac:dyDescent="0.2">
      <c r="F83" t="str">
        <f t="shared" si="16"/>
        <v/>
      </c>
      <c r="L83" s="7" t="str">
        <f t="shared" si="17"/>
        <v/>
      </c>
      <c r="N83" s="7" t="str">
        <f t="shared" si="18"/>
        <v/>
      </c>
      <c r="O83" t="str">
        <f t="shared" si="19"/>
        <v/>
      </c>
      <c r="P83" t="str">
        <f t="shared" ref="P83:P143" si="21">IF(I83="No", "None", "")</f>
        <v/>
      </c>
      <c r="Q83" t="str">
        <f t="shared" si="20"/>
        <v/>
      </c>
      <c r="S83" t="str">
        <f>""</f>
        <v/>
      </c>
      <c r="AL83" s="18" t="str">
        <f>IF(COUNTIF($A$2:A82, A82) = 1, A82, "")</f>
        <v/>
      </c>
    </row>
    <row r="84" spans="6:38" x14ac:dyDescent="0.2">
      <c r="F84" t="str">
        <f t="shared" si="16"/>
        <v/>
      </c>
      <c r="L84" s="7" t="str">
        <f t="shared" si="17"/>
        <v/>
      </c>
      <c r="N84" s="7" t="str">
        <f t="shared" si="18"/>
        <v/>
      </c>
      <c r="O84" t="str">
        <f t="shared" si="19"/>
        <v/>
      </c>
      <c r="P84" t="str">
        <f t="shared" si="21"/>
        <v/>
      </c>
      <c r="Q84" t="str">
        <f t="shared" si="20"/>
        <v/>
      </c>
      <c r="S84" t="str">
        <f>""</f>
        <v/>
      </c>
      <c r="AL84" s="18" t="str">
        <f>IF(COUNTIF($A$2:A83, A83) = 1, A83, "")</f>
        <v/>
      </c>
    </row>
    <row r="85" spans="6:38" x14ac:dyDescent="0.2">
      <c r="F85" t="str">
        <f t="shared" si="16"/>
        <v/>
      </c>
      <c r="L85" s="7" t="str">
        <f t="shared" si="17"/>
        <v/>
      </c>
      <c r="N85" s="7" t="str">
        <f t="shared" si="18"/>
        <v/>
      </c>
      <c r="O85" t="str">
        <f t="shared" si="19"/>
        <v/>
      </c>
      <c r="P85" t="str">
        <f t="shared" si="21"/>
        <v/>
      </c>
      <c r="Q85" t="str">
        <f t="shared" si="20"/>
        <v/>
      </c>
      <c r="S85" t="str">
        <f>""</f>
        <v/>
      </c>
      <c r="AL85" s="18" t="str">
        <f>IF(COUNTIF($A$2:A84, A84) = 1, A84, "")</f>
        <v/>
      </c>
    </row>
    <row r="86" spans="6:38" x14ac:dyDescent="0.2">
      <c r="F86" t="str">
        <f t="shared" si="16"/>
        <v/>
      </c>
      <c r="L86" s="7" t="str">
        <f t="shared" si="17"/>
        <v/>
      </c>
      <c r="N86" s="7" t="str">
        <f t="shared" si="18"/>
        <v/>
      </c>
      <c r="O86" t="str">
        <f t="shared" si="19"/>
        <v/>
      </c>
      <c r="P86" t="str">
        <f t="shared" si="21"/>
        <v/>
      </c>
      <c r="Q86" t="str">
        <f t="shared" si="20"/>
        <v/>
      </c>
      <c r="S86" t="str">
        <f>""</f>
        <v/>
      </c>
      <c r="AL86" s="18" t="str">
        <f>IF(COUNTIF($A$2:A85, A85) = 1, A85, "")</f>
        <v/>
      </c>
    </row>
    <row r="87" spans="6:38" x14ac:dyDescent="0.2">
      <c r="F87" t="str">
        <f t="shared" si="16"/>
        <v/>
      </c>
      <c r="L87" s="7" t="str">
        <f t="shared" si="17"/>
        <v/>
      </c>
      <c r="N87" s="7" t="str">
        <f t="shared" si="18"/>
        <v/>
      </c>
      <c r="O87" t="str">
        <f t="shared" si="19"/>
        <v/>
      </c>
      <c r="P87" t="str">
        <f t="shared" si="21"/>
        <v/>
      </c>
      <c r="Q87" t="str">
        <f t="shared" si="20"/>
        <v/>
      </c>
      <c r="S87" t="str">
        <f>""</f>
        <v/>
      </c>
      <c r="AL87" s="18" t="str">
        <f>IF(COUNTIF($A$2:A86, A86) = 1, A86, "")</f>
        <v/>
      </c>
    </row>
    <row r="88" spans="6:38" x14ac:dyDescent="0.2">
      <c r="F88" t="str">
        <f t="shared" si="16"/>
        <v/>
      </c>
      <c r="L88" s="7" t="str">
        <f t="shared" si="17"/>
        <v/>
      </c>
      <c r="N88" s="7" t="str">
        <f t="shared" si="18"/>
        <v/>
      </c>
      <c r="O88" t="str">
        <f t="shared" si="19"/>
        <v/>
      </c>
      <c r="P88" t="str">
        <f t="shared" si="21"/>
        <v/>
      </c>
      <c r="Q88" t="str">
        <f t="shared" si="20"/>
        <v/>
      </c>
      <c r="S88" t="str">
        <f>""</f>
        <v/>
      </c>
      <c r="AL88" s="18" t="str">
        <f>IF(COUNTIF($A$2:A87, A87) = 1, A87, "")</f>
        <v/>
      </c>
    </row>
    <row r="89" spans="6:38" x14ac:dyDescent="0.2">
      <c r="F89" t="str">
        <f t="shared" si="16"/>
        <v/>
      </c>
      <c r="L89" s="7" t="str">
        <f t="shared" si="17"/>
        <v/>
      </c>
      <c r="N89" s="7" t="str">
        <f t="shared" si="18"/>
        <v/>
      </c>
      <c r="O89" t="str">
        <f t="shared" si="19"/>
        <v/>
      </c>
      <c r="P89" t="str">
        <f t="shared" si="21"/>
        <v/>
      </c>
      <c r="Q89" t="str">
        <f t="shared" si="20"/>
        <v/>
      </c>
      <c r="S89" t="str">
        <f>""</f>
        <v/>
      </c>
      <c r="AL89" s="18" t="str">
        <f>IF(COUNTIF($A$2:A88, A88) = 1, A88, "")</f>
        <v/>
      </c>
    </row>
    <row r="90" spans="6:38" x14ac:dyDescent="0.2">
      <c r="F90" t="str">
        <f t="shared" si="16"/>
        <v/>
      </c>
      <c r="L90" s="7" t="str">
        <f t="shared" si="17"/>
        <v/>
      </c>
      <c r="N90" s="7" t="str">
        <f t="shared" si="18"/>
        <v/>
      </c>
      <c r="O90" t="str">
        <f t="shared" si="19"/>
        <v/>
      </c>
      <c r="P90" t="str">
        <f t="shared" si="21"/>
        <v/>
      </c>
      <c r="Q90" t="str">
        <f t="shared" si="20"/>
        <v/>
      </c>
      <c r="S90" t="str">
        <f>""</f>
        <v/>
      </c>
      <c r="AL90" s="18" t="str">
        <f>IF(COUNTIF($A$2:A89, A89) = 1, A89, "")</f>
        <v/>
      </c>
    </row>
    <row r="91" spans="6:38" x14ac:dyDescent="0.2">
      <c r="F91" t="str">
        <f t="shared" si="16"/>
        <v/>
      </c>
      <c r="L91" s="7" t="str">
        <f t="shared" si="17"/>
        <v/>
      </c>
      <c r="N91" s="7" t="str">
        <f t="shared" si="18"/>
        <v/>
      </c>
      <c r="O91" t="str">
        <f t="shared" si="19"/>
        <v/>
      </c>
      <c r="P91" t="str">
        <f t="shared" si="21"/>
        <v/>
      </c>
      <c r="Q91" t="str">
        <f t="shared" si="20"/>
        <v/>
      </c>
      <c r="S91" t="str">
        <f>""</f>
        <v/>
      </c>
      <c r="AL91" s="18" t="str">
        <f>IF(COUNTIF($A$2:A90, A90) = 1, A90, "")</f>
        <v/>
      </c>
    </row>
    <row r="92" spans="6:38" x14ac:dyDescent="0.2">
      <c r="F92" t="str">
        <f t="shared" si="16"/>
        <v/>
      </c>
      <c r="L92" s="7" t="str">
        <f t="shared" si="17"/>
        <v/>
      </c>
      <c r="N92" s="7" t="str">
        <f t="shared" si="18"/>
        <v/>
      </c>
      <c r="O92" t="str">
        <f t="shared" si="19"/>
        <v/>
      </c>
      <c r="P92" t="str">
        <f t="shared" si="21"/>
        <v/>
      </c>
      <c r="Q92" t="str">
        <f t="shared" si="20"/>
        <v/>
      </c>
      <c r="S92" t="str">
        <f>""</f>
        <v/>
      </c>
      <c r="AL92" s="18" t="str">
        <f>IF(COUNTIF($A$2:A91, A91) = 1, A91, "")</f>
        <v/>
      </c>
    </row>
    <row r="93" spans="6:38" x14ac:dyDescent="0.2">
      <c r="F93" t="str">
        <f t="shared" si="16"/>
        <v/>
      </c>
      <c r="L93" s="7" t="str">
        <f t="shared" si="17"/>
        <v/>
      </c>
      <c r="N93" s="7" t="str">
        <f t="shared" si="18"/>
        <v/>
      </c>
      <c r="O93" t="str">
        <f t="shared" si="19"/>
        <v/>
      </c>
      <c r="P93" t="str">
        <f t="shared" si="21"/>
        <v/>
      </c>
      <c r="Q93" t="str">
        <f t="shared" si="20"/>
        <v/>
      </c>
      <c r="S93" t="str">
        <f>""</f>
        <v/>
      </c>
      <c r="AL93" s="18" t="str">
        <f>IF(COUNTIF($A$2:A92, A92) = 1, A92, "")</f>
        <v/>
      </c>
    </row>
    <row r="94" spans="6:38" x14ac:dyDescent="0.2">
      <c r="F94" t="str">
        <f t="shared" si="16"/>
        <v/>
      </c>
      <c r="L94" s="7" t="str">
        <f t="shared" si="17"/>
        <v/>
      </c>
      <c r="N94" s="7" t="str">
        <f t="shared" si="18"/>
        <v/>
      </c>
      <c r="O94" t="str">
        <f t="shared" si="19"/>
        <v/>
      </c>
      <c r="P94" t="str">
        <f t="shared" si="21"/>
        <v/>
      </c>
      <c r="Q94" t="str">
        <f t="shared" si="20"/>
        <v/>
      </c>
      <c r="S94" t="str">
        <f>""</f>
        <v/>
      </c>
      <c r="AL94" s="18" t="str">
        <f>IF(COUNTIF($A$2:A93, A93) = 1, A93, "")</f>
        <v/>
      </c>
    </row>
    <row r="95" spans="6:38" x14ac:dyDescent="0.2">
      <c r="F95" t="str">
        <f t="shared" si="16"/>
        <v/>
      </c>
      <c r="L95" s="7" t="str">
        <f t="shared" si="17"/>
        <v/>
      </c>
      <c r="N95" s="7" t="str">
        <f t="shared" si="18"/>
        <v/>
      </c>
      <c r="O95" t="str">
        <f t="shared" si="19"/>
        <v/>
      </c>
      <c r="P95" t="str">
        <f t="shared" si="21"/>
        <v/>
      </c>
      <c r="Q95" t="str">
        <f t="shared" si="20"/>
        <v/>
      </c>
      <c r="S95" t="str">
        <f>""</f>
        <v/>
      </c>
      <c r="AL95" s="18" t="str">
        <f>IF(COUNTIF($A$2:A94, A94) = 1, A94, "")</f>
        <v/>
      </c>
    </row>
    <row r="96" spans="6:38" x14ac:dyDescent="0.2">
      <c r="F96" t="str">
        <f t="shared" si="16"/>
        <v/>
      </c>
      <c r="L96" s="7" t="str">
        <f t="shared" si="17"/>
        <v/>
      </c>
      <c r="N96" s="7" t="str">
        <f t="shared" si="18"/>
        <v/>
      </c>
      <c r="O96" t="str">
        <f t="shared" si="19"/>
        <v/>
      </c>
      <c r="P96" t="str">
        <f t="shared" si="21"/>
        <v/>
      </c>
      <c r="Q96" t="str">
        <f t="shared" si="20"/>
        <v/>
      </c>
      <c r="S96" t="str">
        <f>""</f>
        <v/>
      </c>
      <c r="AL96" s="18" t="str">
        <f>IF(COUNTIF($A$2:A95, A95) = 1, A95, "")</f>
        <v/>
      </c>
    </row>
    <row r="97" spans="6:38" x14ac:dyDescent="0.2">
      <c r="F97" t="str">
        <f t="shared" si="16"/>
        <v/>
      </c>
      <c r="L97" s="7" t="str">
        <f t="shared" si="17"/>
        <v/>
      </c>
      <c r="N97" s="7" t="str">
        <f t="shared" si="18"/>
        <v/>
      </c>
      <c r="O97" t="str">
        <f t="shared" si="19"/>
        <v/>
      </c>
      <c r="P97" t="str">
        <f t="shared" si="21"/>
        <v/>
      </c>
      <c r="Q97" t="str">
        <f t="shared" si="20"/>
        <v/>
      </c>
      <c r="S97" t="str">
        <f>""</f>
        <v/>
      </c>
      <c r="AL97" s="18" t="str">
        <f>IF(COUNTIF($A$2:A96, A96) = 1, A96, "")</f>
        <v/>
      </c>
    </row>
    <row r="98" spans="6:38" x14ac:dyDescent="0.2">
      <c r="F98" t="str">
        <f t="shared" si="16"/>
        <v/>
      </c>
      <c r="L98" s="7" t="str">
        <f t="shared" si="17"/>
        <v/>
      </c>
      <c r="N98" s="7" t="str">
        <f t="shared" si="18"/>
        <v/>
      </c>
      <c r="O98" t="str">
        <f t="shared" si="19"/>
        <v/>
      </c>
      <c r="P98" t="str">
        <f t="shared" si="21"/>
        <v/>
      </c>
      <c r="Q98" t="str">
        <f t="shared" si="20"/>
        <v/>
      </c>
      <c r="S98" t="str">
        <f>""</f>
        <v/>
      </c>
      <c r="AL98" s="18" t="str">
        <f>IF(COUNTIF($A$2:A97, A97) = 1, A97, "")</f>
        <v/>
      </c>
    </row>
    <row r="99" spans="6:38" x14ac:dyDescent="0.2">
      <c r="F99" t="str">
        <f t="shared" si="16"/>
        <v/>
      </c>
      <c r="L99" s="7" t="str">
        <f t="shared" si="17"/>
        <v/>
      </c>
      <c r="N99" s="7" t="str">
        <f t="shared" si="18"/>
        <v/>
      </c>
      <c r="O99" t="str">
        <f t="shared" si="19"/>
        <v/>
      </c>
      <c r="P99" t="str">
        <f t="shared" si="21"/>
        <v/>
      </c>
      <c r="Q99" t="str">
        <f t="shared" si="20"/>
        <v/>
      </c>
      <c r="S99" t="str">
        <f>""</f>
        <v/>
      </c>
      <c r="AL99" s="18" t="str">
        <f>IF(COUNTIF($A$2:A98, A98) = 1, A98, "")</f>
        <v/>
      </c>
    </row>
    <row r="100" spans="6:38" x14ac:dyDescent="0.2">
      <c r="F100" t="str">
        <f t="shared" si="16"/>
        <v/>
      </c>
      <c r="L100" s="7" t="str">
        <f t="shared" si="17"/>
        <v/>
      </c>
      <c r="N100" s="7" t="str">
        <f t="shared" si="18"/>
        <v/>
      </c>
      <c r="O100" t="str">
        <f t="shared" si="19"/>
        <v/>
      </c>
      <c r="P100" t="str">
        <f t="shared" si="21"/>
        <v/>
      </c>
      <c r="Q100" t="str">
        <f t="shared" si="20"/>
        <v/>
      </c>
      <c r="S100" t="str">
        <f>""</f>
        <v/>
      </c>
      <c r="AL100" s="18" t="str">
        <f>IF(COUNTIF($A$2:A99, A99) = 1, A99, "")</f>
        <v/>
      </c>
    </row>
    <row r="101" spans="6:38" x14ac:dyDescent="0.2">
      <c r="F101" t="str">
        <f t="shared" si="16"/>
        <v/>
      </c>
      <c r="L101" s="7" t="str">
        <f t="shared" si="17"/>
        <v/>
      </c>
      <c r="N101" s="7" t="str">
        <f t="shared" si="18"/>
        <v/>
      </c>
      <c r="O101" t="str">
        <f t="shared" si="19"/>
        <v/>
      </c>
      <c r="P101" t="str">
        <f t="shared" si="21"/>
        <v/>
      </c>
      <c r="Q101" t="str">
        <f t="shared" si="20"/>
        <v/>
      </c>
      <c r="S101" t="str">
        <f>""</f>
        <v/>
      </c>
      <c r="AL101" s="18" t="str">
        <f>IF(COUNTIF($A$2:A100, A100) = 1, A100, "")</f>
        <v/>
      </c>
    </row>
    <row r="102" spans="6:38" x14ac:dyDescent="0.2">
      <c r="F102" t="str">
        <f t="shared" si="16"/>
        <v/>
      </c>
      <c r="L102" s="7" t="str">
        <f t="shared" si="17"/>
        <v/>
      </c>
      <c r="N102" s="7" t="str">
        <f t="shared" si="18"/>
        <v/>
      </c>
      <c r="O102" t="str">
        <f t="shared" si="19"/>
        <v/>
      </c>
      <c r="P102" t="str">
        <f t="shared" si="21"/>
        <v/>
      </c>
      <c r="Q102" t="str">
        <f t="shared" si="20"/>
        <v/>
      </c>
      <c r="S102" t="str">
        <f>""</f>
        <v/>
      </c>
      <c r="AL102" s="18" t="str">
        <f>IF(COUNTIF($A$2:A101, A101) = 1, A101, "")</f>
        <v/>
      </c>
    </row>
    <row r="103" spans="6:38" x14ac:dyDescent="0.2">
      <c r="F103" t="str">
        <f t="shared" si="16"/>
        <v/>
      </c>
      <c r="L103" s="7" t="str">
        <f t="shared" si="17"/>
        <v/>
      </c>
      <c r="N103" s="7" t="str">
        <f t="shared" si="18"/>
        <v/>
      </c>
      <c r="O103" t="str">
        <f t="shared" si="19"/>
        <v/>
      </c>
      <c r="P103" t="str">
        <f t="shared" si="21"/>
        <v/>
      </c>
      <c r="Q103" t="str">
        <f t="shared" si="20"/>
        <v/>
      </c>
      <c r="S103" t="str">
        <f>""</f>
        <v/>
      </c>
      <c r="AL103" s="18" t="str">
        <f>IF(COUNTIF($A$2:A102, A102) = 1, A102, "")</f>
        <v/>
      </c>
    </row>
    <row r="104" spans="6:38" x14ac:dyDescent="0.2">
      <c r="F104" t="str">
        <f t="shared" si="16"/>
        <v/>
      </c>
      <c r="L104" s="7" t="str">
        <f t="shared" si="17"/>
        <v/>
      </c>
      <c r="N104" s="7" t="str">
        <f t="shared" si="18"/>
        <v/>
      </c>
      <c r="O104" t="str">
        <f t="shared" si="19"/>
        <v/>
      </c>
      <c r="P104" t="str">
        <f t="shared" si="21"/>
        <v/>
      </c>
      <c r="Q104" t="str">
        <f t="shared" si="20"/>
        <v/>
      </c>
      <c r="S104" t="str">
        <f>""</f>
        <v/>
      </c>
      <c r="AL104" s="18" t="str">
        <f>IF(COUNTIF($A$2:A103, A103) = 1, A103, "")</f>
        <v/>
      </c>
    </row>
    <row r="105" spans="6:38" x14ac:dyDescent="0.2">
      <c r="F105" t="str">
        <f t="shared" si="16"/>
        <v/>
      </c>
      <c r="L105" s="7" t="str">
        <f t="shared" si="17"/>
        <v/>
      </c>
      <c r="N105" s="7" t="str">
        <f t="shared" si="18"/>
        <v/>
      </c>
      <c r="O105" t="str">
        <f t="shared" si="19"/>
        <v/>
      </c>
      <c r="P105" t="str">
        <f t="shared" si="21"/>
        <v/>
      </c>
      <c r="Q105" t="str">
        <f t="shared" si="20"/>
        <v/>
      </c>
      <c r="S105" t="str">
        <f>""</f>
        <v/>
      </c>
      <c r="AL105" s="18" t="str">
        <f>IF(COUNTIF($A$2:A104, A104) = 1, A104, "")</f>
        <v/>
      </c>
    </row>
    <row r="106" spans="6:38" x14ac:dyDescent="0.2">
      <c r="F106" t="str">
        <f t="shared" si="16"/>
        <v/>
      </c>
      <c r="L106" s="7" t="str">
        <f t="shared" si="17"/>
        <v/>
      </c>
      <c r="N106" s="7" t="str">
        <f t="shared" si="18"/>
        <v/>
      </c>
      <c r="O106" t="str">
        <f t="shared" si="19"/>
        <v/>
      </c>
      <c r="P106" t="str">
        <f t="shared" si="21"/>
        <v/>
      </c>
      <c r="Q106" t="str">
        <f t="shared" si="20"/>
        <v/>
      </c>
      <c r="S106" t="str">
        <f>""</f>
        <v/>
      </c>
      <c r="AL106" s="18" t="str">
        <f>IF(COUNTIF($A$2:A105, A105) = 1, A105, "")</f>
        <v/>
      </c>
    </row>
    <row r="107" spans="6:38" x14ac:dyDescent="0.2">
      <c r="F107" t="str">
        <f t="shared" si="16"/>
        <v/>
      </c>
      <c r="L107" s="7" t="str">
        <f t="shared" si="17"/>
        <v/>
      </c>
      <c r="N107" s="7" t="str">
        <f t="shared" si="18"/>
        <v/>
      </c>
      <c r="O107" t="str">
        <f t="shared" si="19"/>
        <v/>
      </c>
      <c r="P107" t="str">
        <f t="shared" si="21"/>
        <v/>
      </c>
      <c r="Q107" t="str">
        <f t="shared" si="20"/>
        <v/>
      </c>
      <c r="S107" t="str">
        <f>""</f>
        <v/>
      </c>
      <c r="AL107" s="18" t="str">
        <f>IF(COUNTIF($A$2:A106, A106) = 1, A106, "")</f>
        <v/>
      </c>
    </row>
    <row r="108" spans="6:38" x14ac:dyDescent="0.2">
      <c r="F108" t="str">
        <f t="shared" si="16"/>
        <v/>
      </c>
      <c r="L108" s="7" t="str">
        <f t="shared" si="17"/>
        <v/>
      </c>
      <c r="N108" s="7" t="str">
        <f t="shared" si="18"/>
        <v/>
      </c>
      <c r="O108" t="str">
        <f t="shared" si="19"/>
        <v/>
      </c>
      <c r="P108" t="str">
        <f t="shared" si="21"/>
        <v/>
      </c>
      <c r="Q108" t="str">
        <f t="shared" si="20"/>
        <v/>
      </c>
      <c r="S108" t="str">
        <f>""</f>
        <v/>
      </c>
      <c r="AL108" s="18" t="str">
        <f>IF(COUNTIF($A$2:A107, A107) = 1, A107, "")</f>
        <v/>
      </c>
    </row>
    <row r="109" spans="6:38" x14ac:dyDescent="0.2">
      <c r="F109" t="str">
        <f t="shared" si="16"/>
        <v/>
      </c>
      <c r="L109" s="7" t="str">
        <f t="shared" si="17"/>
        <v/>
      </c>
      <c r="N109" s="7" t="str">
        <f t="shared" si="18"/>
        <v/>
      </c>
      <c r="O109" t="str">
        <f t="shared" si="19"/>
        <v/>
      </c>
      <c r="P109" t="str">
        <f t="shared" si="21"/>
        <v/>
      </c>
      <c r="Q109" t="str">
        <f t="shared" si="20"/>
        <v/>
      </c>
      <c r="S109" t="str">
        <f>""</f>
        <v/>
      </c>
      <c r="AL109" s="18" t="str">
        <f>IF(COUNTIF($A$2:A108, A108) = 1, A108, "")</f>
        <v/>
      </c>
    </row>
    <row r="110" spans="6:38" x14ac:dyDescent="0.2">
      <c r="F110" t="str">
        <f t="shared" si="16"/>
        <v/>
      </c>
      <c r="L110" s="7" t="str">
        <f t="shared" si="17"/>
        <v/>
      </c>
      <c r="N110" s="7" t="str">
        <f t="shared" si="18"/>
        <v/>
      </c>
      <c r="O110" t="str">
        <f t="shared" si="19"/>
        <v/>
      </c>
      <c r="P110" t="str">
        <f t="shared" si="21"/>
        <v/>
      </c>
      <c r="Q110" t="str">
        <f t="shared" si="20"/>
        <v/>
      </c>
      <c r="S110" t="str">
        <f>""</f>
        <v/>
      </c>
      <c r="AL110" s="18" t="str">
        <f>IF(COUNTIF($A$2:A109, A109) = 1, A109, "")</f>
        <v/>
      </c>
    </row>
    <row r="111" spans="6:38" x14ac:dyDescent="0.2">
      <c r="F111" t="str">
        <f t="shared" si="16"/>
        <v/>
      </c>
      <c r="L111" s="7" t="str">
        <f t="shared" si="17"/>
        <v/>
      </c>
      <c r="N111" s="7" t="str">
        <f t="shared" si="18"/>
        <v/>
      </c>
      <c r="O111" t="str">
        <f t="shared" si="19"/>
        <v/>
      </c>
      <c r="P111" t="str">
        <f t="shared" si="21"/>
        <v/>
      </c>
      <c r="Q111" t="str">
        <f t="shared" si="20"/>
        <v/>
      </c>
      <c r="S111" t="str">
        <f>""</f>
        <v/>
      </c>
      <c r="AL111" s="18" t="str">
        <f>IF(COUNTIF($A$2:A110, A110) = 1, A110, "")</f>
        <v/>
      </c>
    </row>
    <row r="112" spans="6:38" x14ac:dyDescent="0.2">
      <c r="F112" t="str">
        <f t="shared" si="16"/>
        <v/>
      </c>
      <c r="L112" s="7" t="str">
        <f t="shared" si="17"/>
        <v/>
      </c>
      <c r="N112" s="7" t="str">
        <f t="shared" si="18"/>
        <v/>
      </c>
      <c r="O112" t="str">
        <f t="shared" si="19"/>
        <v/>
      </c>
      <c r="P112" t="str">
        <f t="shared" si="21"/>
        <v/>
      </c>
      <c r="Q112" t="str">
        <f t="shared" si="20"/>
        <v/>
      </c>
      <c r="S112" t="str">
        <f>""</f>
        <v/>
      </c>
      <c r="AL112" s="18" t="str">
        <f>IF(COUNTIF($A$2:A111, A111) = 1, A111, "")</f>
        <v/>
      </c>
    </row>
    <row r="113" spans="6:38" x14ac:dyDescent="0.2">
      <c r="F113" t="str">
        <f t="shared" si="16"/>
        <v/>
      </c>
      <c r="L113" s="7" t="str">
        <f t="shared" si="17"/>
        <v/>
      </c>
      <c r="N113" s="7" t="str">
        <f t="shared" si="18"/>
        <v/>
      </c>
      <c r="O113" t="str">
        <f t="shared" si="19"/>
        <v/>
      </c>
      <c r="P113" t="str">
        <f t="shared" si="21"/>
        <v/>
      </c>
      <c r="Q113" t="str">
        <f t="shared" si="20"/>
        <v/>
      </c>
      <c r="S113" t="str">
        <f>""</f>
        <v/>
      </c>
      <c r="AL113" s="18" t="str">
        <f>IF(COUNTIF($A$2:A112, A112) = 1, A112, "")</f>
        <v/>
      </c>
    </row>
    <row r="114" spans="6:38" x14ac:dyDescent="0.2">
      <c r="F114" t="str">
        <f t="shared" si="16"/>
        <v/>
      </c>
      <c r="L114" s="7" t="str">
        <f t="shared" si="17"/>
        <v/>
      </c>
      <c r="N114" s="7" t="str">
        <f t="shared" si="18"/>
        <v/>
      </c>
      <c r="O114" t="str">
        <f t="shared" si="19"/>
        <v/>
      </c>
      <c r="P114" t="str">
        <f t="shared" si="21"/>
        <v/>
      </c>
      <c r="Q114" t="str">
        <f t="shared" si="20"/>
        <v/>
      </c>
      <c r="S114" t="str">
        <f>""</f>
        <v/>
      </c>
      <c r="AL114" s="18" t="str">
        <f>IF(COUNTIF($A$2:A113, A113) = 1, A113, "")</f>
        <v/>
      </c>
    </row>
    <row r="115" spans="6:38" x14ac:dyDescent="0.2">
      <c r="F115" t="str">
        <f t="shared" si="16"/>
        <v/>
      </c>
      <c r="L115" s="7" t="str">
        <f t="shared" si="17"/>
        <v/>
      </c>
      <c r="N115" s="7" t="str">
        <f t="shared" si="18"/>
        <v/>
      </c>
      <c r="O115" t="str">
        <f t="shared" si="19"/>
        <v/>
      </c>
      <c r="P115" t="str">
        <f t="shared" si="21"/>
        <v/>
      </c>
      <c r="Q115" t="str">
        <f t="shared" si="20"/>
        <v/>
      </c>
      <c r="S115" t="str">
        <f>""</f>
        <v/>
      </c>
      <c r="AL115" s="18" t="str">
        <f>IF(COUNTIF($A$2:A114, A114) = 1, A114, "")</f>
        <v/>
      </c>
    </row>
    <row r="116" spans="6:38" x14ac:dyDescent="0.2">
      <c r="F116" t="str">
        <f t="shared" si="16"/>
        <v/>
      </c>
      <c r="L116" s="7" t="str">
        <f t="shared" si="17"/>
        <v/>
      </c>
      <c r="N116" s="7" t="str">
        <f t="shared" si="18"/>
        <v/>
      </c>
      <c r="O116" t="str">
        <f t="shared" si="19"/>
        <v/>
      </c>
      <c r="P116" t="str">
        <f t="shared" si="21"/>
        <v/>
      </c>
      <c r="Q116" t="str">
        <f t="shared" si="20"/>
        <v/>
      </c>
      <c r="S116" t="str">
        <f>""</f>
        <v/>
      </c>
      <c r="AL116" s="18" t="str">
        <f>IF(COUNTIF($A$2:A115, A115) = 1, A115, "")</f>
        <v/>
      </c>
    </row>
    <row r="117" spans="6:38" x14ac:dyDescent="0.2">
      <c r="F117" t="str">
        <f t="shared" si="16"/>
        <v/>
      </c>
      <c r="L117" s="7" t="str">
        <f t="shared" si="17"/>
        <v/>
      </c>
      <c r="N117" s="7" t="str">
        <f t="shared" si="18"/>
        <v/>
      </c>
      <c r="O117" t="str">
        <f t="shared" si="19"/>
        <v/>
      </c>
      <c r="P117" t="str">
        <f t="shared" si="21"/>
        <v/>
      </c>
      <c r="Q117" t="str">
        <f t="shared" si="20"/>
        <v/>
      </c>
      <c r="S117" t="str">
        <f>""</f>
        <v/>
      </c>
      <c r="AL117" s="18" t="str">
        <f>IF(COUNTIF($A$2:A116, A116) = 1, A116, "")</f>
        <v/>
      </c>
    </row>
    <row r="118" spans="6:38" x14ac:dyDescent="0.2">
      <c r="F118" t="str">
        <f t="shared" si="16"/>
        <v/>
      </c>
      <c r="L118" s="7" t="str">
        <f t="shared" si="17"/>
        <v/>
      </c>
      <c r="N118" s="7" t="str">
        <f t="shared" si="18"/>
        <v/>
      </c>
      <c r="O118" t="str">
        <f t="shared" si="19"/>
        <v/>
      </c>
      <c r="P118" t="str">
        <f t="shared" si="21"/>
        <v/>
      </c>
      <c r="Q118" t="str">
        <f t="shared" si="20"/>
        <v/>
      </c>
      <c r="S118" t="str">
        <f>""</f>
        <v/>
      </c>
      <c r="AL118" s="18" t="str">
        <f>IF(COUNTIF($A$2:A117, A117) = 1, A117, "")</f>
        <v/>
      </c>
    </row>
    <row r="119" spans="6:38" x14ac:dyDescent="0.2">
      <c r="F119" t="str">
        <f t="shared" si="16"/>
        <v/>
      </c>
      <c r="L119" s="7" t="str">
        <f t="shared" si="17"/>
        <v/>
      </c>
      <c r="N119" s="7" t="str">
        <f t="shared" si="18"/>
        <v/>
      </c>
      <c r="O119" t="str">
        <f t="shared" si="19"/>
        <v/>
      </c>
      <c r="P119" t="str">
        <f t="shared" si="21"/>
        <v/>
      </c>
      <c r="Q119" t="str">
        <f t="shared" si="20"/>
        <v/>
      </c>
      <c r="S119" t="str">
        <f>""</f>
        <v/>
      </c>
      <c r="AL119" s="18" t="str">
        <f>IF(COUNTIF($A$2:A118, A118) = 1, A118, "")</f>
        <v/>
      </c>
    </row>
    <row r="120" spans="6:38" x14ac:dyDescent="0.2">
      <c r="F120" t="str">
        <f t="shared" si="16"/>
        <v/>
      </c>
      <c r="L120" s="7" t="str">
        <f t="shared" si="17"/>
        <v/>
      </c>
      <c r="N120" s="7" t="str">
        <f t="shared" si="18"/>
        <v/>
      </c>
      <c r="O120" t="str">
        <f t="shared" si="19"/>
        <v/>
      </c>
      <c r="P120" t="str">
        <f t="shared" si="21"/>
        <v/>
      </c>
      <c r="Q120" t="str">
        <f t="shared" si="20"/>
        <v/>
      </c>
      <c r="S120" t="str">
        <f>""</f>
        <v/>
      </c>
      <c r="AL120" s="18" t="str">
        <f>IF(COUNTIF($A$2:A119, A119) = 1, A119, "")</f>
        <v/>
      </c>
    </row>
    <row r="121" spans="6:38" x14ac:dyDescent="0.2">
      <c r="F121" t="str">
        <f t="shared" si="16"/>
        <v/>
      </c>
      <c r="L121" s="7" t="str">
        <f t="shared" si="17"/>
        <v/>
      </c>
      <c r="N121" s="7" t="str">
        <f t="shared" si="18"/>
        <v/>
      </c>
      <c r="O121" t="str">
        <f t="shared" si="19"/>
        <v/>
      </c>
      <c r="P121" t="str">
        <f t="shared" si="21"/>
        <v/>
      </c>
      <c r="Q121" t="str">
        <f t="shared" si="20"/>
        <v/>
      </c>
      <c r="S121" t="str">
        <f>""</f>
        <v/>
      </c>
      <c r="AL121" s="18" t="str">
        <f>IF(COUNTIF($A$2:A120, A120) = 1, A120, "")</f>
        <v/>
      </c>
    </row>
    <row r="122" spans="6:38" x14ac:dyDescent="0.2">
      <c r="F122" t="str">
        <f t="shared" si="16"/>
        <v/>
      </c>
      <c r="L122" s="7" t="str">
        <f t="shared" si="17"/>
        <v/>
      </c>
      <c r="N122" s="7" t="str">
        <f t="shared" si="18"/>
        <v/>
      </c>
      <c r="O122" t="str">
        <f t="shared" si="19"/>
        <v/>
      </c>
      <c r="P122" t="str">
        <f t="shared" si="21"/>
        <v/>
      </c>
      <c r="Q122" t="str">
        <f t="shared" si="20"/>
        <v/>
      </c>
      <c r="S122" t="str">
        <f>""</f>
        <v/>
      </c>
      <c r="AL122" s="18" t="str">
        <f>IF(COUNTIF($A$2:A121, A121) = 1, A121, "")</f>
        <v/>
      </c>
    </row>
    <row r="123" spans="6:38" x14ac:dyDescent="0.2">
      <c r="F123" t="str">
        <f t="shared" si="16"/>
        <v/>
      </c>
      <c r="L123" s="7" t="str">
        <f t="shared" si="17"/>
        <v/>
      </c>
      <c r="N123" s="7" t="str">
        <f t="shared" si="18"/>
        <v/>
      </c>
      <c r="O123" t="str">
        <f t="shared" si="19"/>
        <v/>
      </c>
      <c r="P123" t="str">
        <f t="shared" si="21"/>
        <v/>
      </c>
      <c r="Q123" t="str">
        <f t="shared" si="20"/>
        <v/>
      </c>
      <c r="S123" t="str">
        <f>""</f>
        <v/>
      </c>
      <c r="AL123" s="18" t="str">
        <f>IF(COUNTIF($A$2:A122, A122) = 1, A122, "")</f>
        <v/>
      </c>
    </row>
    <row r="124" spans="6:38" x14ac:dyDescent="0.2">
      <c r="F124" t="str">
        <f t="shared" si="16"/>
        <v/>
      </c>
      <c r="L124" s="7" t="str">
        <f t="shared" si="17"/>
        <v/>
      </c>
      <c r="N124" s="7" t="str">
        <f t="shared" si="18"/>
        <v/>
      </c>
      <c r="O124" t="str">
        <f t="shared" si="19"/>
        <v/>
      </c>
      <c r="P124" t="str">
        <f t="shared" si="21"/>
        <v/>
      </c>
      <c r="Q124" t="str">
        <f t="shared" si="20"/>
        <v/>
      </c>
      <c r="S124" t="str">
        <f>""</f>
        <v/>
      </c>
      <c r="AL124" s="18" t="str">
        <f>IF(COUNTIF($A$2:A123, A123) = 1, A123, "")</f>
        <v/>
      </c>
    </row>
    <row r="125" spans="6:38" x14ac:dyDescent="0.2">
      <c r="F125" t="str">
        <f t="shared" si="16"/>
        <v/>
      </c>
      <c r="L125" s="7" t="str">
        <f t="shared" si="17"/>
        <v/>
      </c>
      <c r="N125" s="7" t="str">
        <f t="shared" si="18"/>
        <v/>
      </c>
      <c r="O125" t="str">
        <f t="shared" si="19"/>
        <v/>
      </c>
      <c r="P125" t="str">
        <f t="shared" si="21"/>
        <v/>
      </c>
      <c r="Q125" t="str">
        <f t="shared" si="20"/>
        <v/>
      </c>
      <c r="S125" t="str">
        <f>""</f>
        <v/>
      </c>
      <c r="AL125" s="18" t="str">
        <f>IF(COUNTIF($A$2:A124, A124) = 1, A124, "")</f>
        <v/>
      </c>
    </row>
    <row r="126" spans="6:38" x14ac:dyDescent="0.2">
      <c r="F126" t="str">
        <f t="shared" si="16"/>
        <v/>
      </c>
      <c r="L126" s="7" t="str">
        <f t="shared" si="17"/>
        <v/>
      </c>
      <c r="N126" s="7" t="str">
        <f t="shared" si="18"/>
        <v/>
      </c>
      <c r="O126" t="str">
        <f t="shared" si="19"/>
        <v/>
      </c>
      <c r="P126" t="str">
        <f t="shared" si="21"/>
        <v/>
      </c>
      <c r="Q126" t="str">
        <f t="shared" si="20"/>
        <v/>
      </c>
      <c r="S126" t="str">
        <f>""</f>
        <v/>
      </c>
      <c r="AL126" s="18" t="str">
        <f>IF(COUNTIF($A$2:A125, A125) = 1, A125, "")</f>
        <v/>
      </c>
    </row>
    <row r="127" spans="6:38" x14ac:dyDescent="0.2">
      <c r="F127" t="str">
        <f t="shared" si="16"/>
        <v/>
      </c>
      <c r="L127" s="7" t="str">
        <f t="shared" si="17"/>
        <v/>
      </c>
      <c r="N127" s="7" t="str">
        <f t="shared" si="18"/>
        <v/>
      </c>
      <c r="O127" t="str">
        <f t="shared" si="19"/>
        <v/>
      </c>
      <c r="P127" t="str">
        <f t="shared" si="21"/>
        <v/>
      </c>
      <c r="Q127" t="str">
        <f t="shared" si="20"/>
        <v/>
      </c>
      <c r="S127" t="str">
        <f>""</f>
        <v/>
      </c>
      <c r="AL127" s="18" t="str">
        <f>IF(COUNTIF($A$2:A126, A126) = 1, A126, "")</f>
        <v/>
      </c>
    </row>
    <row r="128" spans="6:38" x14ac:dyDescent="0.2">
      <c r="F128" t="str">
        <f t="shared" si="16"/>
        <v/>
      </c>
      <c r="L128" s="7" t="str">
        <f t="shared" si="17"/>
        <v/>
      </c>
      <c r="N128" s="7" t="str">
        <f t="shared" si="18"/>
        <v/>
      </c>
      <c r="O128" t="str">
        <f t="shared" si="19"/>
        <v/>
      </c>
      <c r="P128" t="str">
        <f t="shared" si="21"/>
        <v/>
      </c>
      <c r="Q128" t="str">
        <f t="shared" si="20"/>
        <v/>
      </c>
      <c r="S128" t="str">
        <f>""</f>
        <v/>
      </c>
      <c r="AL128" s="18" t="str">
        <f>IF(COUNTIF($A$2:A127, A127) = 1, A127, "")</f>
        <v/>
      </c>
    </row>
    <row r="129" spans="6:38" x14ac:dyDescent="0.2">
      <c r="F129" t="str">
        <f t="shared" si="16"/>
        <v/>
      </c>
      <c r="L129" s="7" t="str">
        <f t="shared" si="17"/>
        <v/>
      </c>
      <c r="N129" s="7" t="str">
        <f t="shared" si="18"/>
        <v/>
      </c>
      <c r="O129" t="str">
        <f t="shared" si="19"/>
        <v/>
      </c>
      <c r="P129" t="str">
        <f t="shared" si="21"/>
        <v/>
      </c>
      <c r="Q129" t="str">
        <f t="shared" si="20"/>
        <v/>
      </c>
      <c r="S129" t="str">
        <f>""</f>
        <v/>
      </c>
      <c r="AL129" s="18" t="str">
        <f>IF(COUNTIF($A$2:A128, A128) = 1, A128, "")</f>
        <v/>
      </c>
    </row>
    <row r="130" spans="6:38" x14ac:dyDescent="0.2">
      <c r="F130" t="str">
        <f t="shared" ref="F130:F143" si="22">IF(OR(O130="", P130=""), "", SUM(IF((O130&lt;&gt;"None")*(O130&lt;&gt;""),LEN(O130)-LEN(SUBSTITUTE(O130,",",""))+1,0)) + SUM(IF((P130&lt;&gt;"None")*(P130&lt;&gt;""),LEN(P130)-LEN(SUBSTITUTE(P130,",",""))+1,0)))</f>
        <v/>
      </c>
      <c r="L130" s="7" t="str">
        <f t="shared" ref="L130:L143" si="23">IF(LEN(E130)=0, "", IFERROR(IF(E130&gt;=0, K130 * (1 + E130/100) - K130, K130 / (ABS(E130)/100))+K130, ""))</f>
        <v/>
      </c>
      <c r="N130" s="7" t="str">
        <f t="shared" ref="N130:N143" si="24">IF(M130="Yes",L130-K130,IF(M130="No",-K130,""))</f>
        <v/>
      </c>
      <c r="O130" t="str">
        <f t="shared" ref="O130:O143" si="25">IF(AND(G130="No",H130="No"), "None", "")</f>
        <v/>
      </c>
      <c r="P130" t="str">
        <f t="shared" si="21"/>
        <v/>
      </c>
      <c r="Q130" t="str">
        <f t="shared" ref="Q130:Q143" si="26">IF(AND(D130="Straight", M130 = "No"),IF(O130="None",P130,IF(P130="None",O130) ),"")</f>
        <v/>
      </c>
      <c r="S130" t="str">
        <f>""</f>
        <v/>
      </c>
      <c r="AL130" s="18" t="str">
        <f>IF(COUNTIF($A$2:A129, A129) = 1, A129, "")</f>
        <v/>
      </c>
    </row>
    <row r="131" spans="6:38" x14ac:dyDescent="0.2">
      <c r="F131" t="str">
        <f t="shared" si="22"/>
        <v/>
      </c>
      <c r="L131" s="7" t="str">
        <f t="shared" si="23"/>
        <v/>
      </c>
      <c r="N131" s="7" t="str">
        <f t="shared" si="24"/>
        <v/>
      </c>
      <c r="O131" t="str">
        <f t="shared" si="25"/>
        <v/>
      </c>
      <c r="P131" t="str">
        <f t="shared" si="21"/>
        <v/>
      </c>
      <c r="Q131" t="str">
        <f t="shared" si="26"/>
        <v/>
      </c>
      <c r="S131" t="str">
        <f>""</f>
        <v/>
      </c>
      <c r="AL131" s="18" t="str">
        <f>IF(COUNTIF($A$2:A130, A130) = 1, A130, "")</f>
        <v/>
      </c>
    </row>
    <row r="132" spans="6:38" x14ac:dyDescent="0.2">
      <c r="F132" t="str">
        <f t="shared" si="22"/>
        <v/>
      </c>
      <c r="L132" s="7" t="str">
        <f t="shared" si="23"/>
        <v/>
      </c>
      <c r="N132" s="7" t="str">
        <f t="shared" si="24"/>
        <v/>
      </c>
      <c r="O132" t="str">
        <f t="shared" si="25"/>
        <v/>
      </c>
      <c r="P132" t="str">
        <f t="shared" si="21"/>
        <v/>
      </c>
      <c r="Q132" t="str">
        <f t="shared" si="26"/>
        <v/>
      </c>
      <c r="S132" t="str">
        <f>""</f>
        <v/>
      </c>
      <c r="AL132" s="18" t="str">
        <f>IF(COUNTIF($A$2:A131, A131) = 1, A131, "")</f>
        <v/>
      </c>
    </row>
    <row r="133" spans="6:38" x14ac:dyDescent="0.2">
      <c r="F133" t="str">
        <f t="shared" si="22"/>
        <v/>
      </c>
      <c r="L133" s="7" t="str">
        <f t="shared" si="23"/>
        <v/>
      </c>
      <c r="N133" s="7" t="str">
        <f t="shared" si="24"/>
        <v/>
      </c>
      <c r="O133" t="str">
        <f t="shared" si="25"/>
        <v/>
      </c>
      <c r="P133" t="str">
        <f t="shared" si="21"/>
        <v/>
      </c>
      <c r="Q133" t="str">
        <f t="shared" si="26"/>
        <v/>
      </c>
      <c r="S133" t="str">
        <f>""</f>
        <v/>
      </c>
      <c r="AL133" s="18" t="str">
        <f>IF(COUNTIF($A$2:A132, A132) = 1, A132, "")</f>
        <v/>
      </c>
    </row>
    <row r="134" spans="6:38" x14ac:dyDescent="0.2">
      <c r="F134" t="str">
        <f t="shared" si="22"/>
        <v/>
      </c>
      <c r="L134" s="7" t="str">
        <f t="shared" si="23"/>
        <v/>
      </c>
      <c r="N134" s="7" t="str">
        <f t="shared" si="24"/>
        <v/>
      </c>
      <c r="O134" t="str">
        <f t="shared" si="25"/>
        <v/>
      </c>
      <c r="P134" t="str">
        <f t="shared" si="21"/>
        <v/>
      </c>
      <c r="Q134" t="str">
        <f t="shared" si="26"/>
        <v/>
      </c>
      <c r="S134" t="str">
        <f>""</f>
        <v/>
      </c>
      <c r="AL134" s="18" t="str">
        <f>IF(COUNTIF($A$2:A133, A133) = 1, A133, "")</f>
        <v/>
      </c>
    </row>
    <row r="135" spans="6:38" x14ac:dyDescent="0.2">
      <c r="F135" t="str">
        <f t="shared" si="22"/>
        <v/>
      </c>
      <c r="L135" s="7" t="str">
        <f t="shared" si="23"/>
        <v/>
      </c>
      <c r="N135" s="7" t="str">
        <f t="shared" si="24"/>
        <v/>
      </c>
      <c r="O135" t="str">
        <f t="shared" si="25"/>
        <v/>
      </c>
      <c r="P135" t="str">
        <f t="shared" si="21"/>
        <v/>
      </c>
      <c r="Q135" t="str">
        <f t="shared" si="26"/>
        <v/>
      </c>
      <c r="S135" t="str">
        <f>""</f>
        <v/>
      </c>
      <c r="AL135" s="18" t="str">
        <f>IF(COUNTIF($A$2:A134, A134) = 1, A134, "")</f>
        <v/>
      </c>
    </row>
    <row r="136" spans="6:38" x14ac:dyDescent="0.2">
      <c r="F136" t="str">
        <f t="shared" si="22"/>
        <v/>
      </c>
      <c r="L136" s="7" t="str">
        <f t="shared" si="23"/>
        <v/>
      </c>
      <c r="N136" s="7" t="str">
        <f t="shared" si="24"/>
        <v/>
      </c>
      <c r="O136" t="str">
        <f t="shared" si="25"/>
        <v/>
      </c>
      <c r="P136" t="str">
        <f t="shared" si="21"/>
        <v/>
      </c>
      <c r="Q136" t="str">
        <f t="shared" si="26"/>
        <v/>
      </c>
      <c r="S136" t="str">
        <f>""</f>
        <v/>
      </c>
      <c r="AL136" s="18" t="str">
        <f>IF(COUNTIF($A$2:A135, A135) = 1, A135, "")</f>
        <v/>
      </c>
    </row>
    <row r="137" spans="6:38" x14ac:dyDescent="0.2">
      <c r="F137" t="str">
        <f t="shared" si="22"/>
        <v/>
      </c>
      <c r="L137" s="7" t="str">
        <f t="shared" si="23"/>
        <v/>
      </c>
      <c r="N137" s="7" t="str">
        <f t="shared" si="24"/>
        <v/>
      </c>
      <c r="O137" t="str">
        <f t="shared" si="25"/>
        <v/>
      </c>
      <c r="P137" t="str">
        <f t="shared" si="21"/>
        <v/>
      </c>
      <c r="Q137" t="str">
        <f t="shared" si="26"/>
        <v/>
      </c>
      <c r="S137" t="str">
        <f>""</f>
        <v/>
      </c>
      <c r="AL137" s="18" t="str">
        <f>IF(COUNTIF($A$2:A136, A136) = 1, A136, "")</f>
        <v/>
      </c>
    </row>
    <row r="138" spans="6:38" x14ac:dyDescent="0.2">
      <c r="F138" t="str">
        <f t="shared" si="22"/>
        <v/>
      </c>
      <c r="L138" s="7" t="str">
        <f t="shared" si="23"/>
        <v/>
      </c>
      <c r="N138" s="7" t="str">
        <f t="shared" si="24"/>
        <v/>
      </c>
      <c r="O138" t="str">
        <f t="shared" si="25"/>
        <v/>
      </c>
      <c r="P138" t="str">
        <f t="shared" si="21"/>
        <v/>
      </c>
      <c r="Q138" t="str">
        <f t="shared" si="26"/>
        <v/>
      </c>
      <c r="S138" t="str">
        <f>""</f>
        <v/>
      </c>
      <c r="AL138" s="18" t="str">
        <f>IF(COUNTIF($A$2:A137, A137) = 1, A137, "")</f>
        <v/>
      </c>
    </row>
    <row r="139" spans="6:38" x14ac:dyDescent="0.2">
      <c r="F139" t="str">
        <f t="shared" si="22"/>
        <v/>
      </c>
      <c r="L139" s="7" t="str">
        <f t="shared" si="23"/>
        <v/>
      </c>
      <c r="N139" s="7" t="str">
        <f t="shared" si="24"/>
        <v/>
      </c>
      <c r="O139" t="str">
        <f t="shared" si="25"/>
        <v/>
      </c>
      <c r="P139" t="str">
        <f t="shared" si="21"/>
        <v/>
      </c>
      <c r="Q139" t="str">
        <f t="shared" si="26"/>
        <v/>
      </c>
      <c r="S139" t="str">
        <f>""</f>
        <v/>
      </c>
      <c r="AL139" s="18" t="str">
        <f>IF(COUNTIF($A$2:A138, A138) = 1, A138, "")</f>
        <v/>
      </c>
    </row>
    <row r="140" spans="6:38" x14ac:dyDescent="0.2">
      <c r="F140" t="str">
        <f t="shared" si="22"/>
        <v/>
      </c>
      <c r="L140" s="7" t="str">
        <f t="shared" si="23"/>
        <v/>
      </c>
      <c r="N140" s="7" t="str">
        <f t="shared" si="24"/>
        <v/>
      </c>
      <c r="O140" t="str">
        <f t="shared" si="25"/>
        <v/>
      </c>
      <c r="P140" t="str">
        <f t="shared" si="21"/>
        <v/>
      </c>
      <c r="Q140" t="str">
        <f t="shared" si="26"/>
        <v/>
      </c>
      <c r="S140" t="str">
        <f>""</f>
        <v/>
      </c>
      <c r="AL140" s="18" t="str">
        <f>IF(COUNTIF($A$2:A139, A139) = 1, A139, "")</f>
        <v/>
      </c>
    </row>
    <row r="141" spans="6:38" x14ac:dyDescent="0.2">
      <c r="F141" t="str">
        <f t="shared" si="22"/>
        <v/>
      </c>
      <c r="L141" s="7" t="str">
        <f t="shared" si="23"/>
        <v/>
      </c>
      <c r="N141" s="7" t="str">
        <f t="shared" si="24"/>
        <v/>
      </c>
      <c r="O141" t="str">
        <f t="shared" si="25"/>
        <v/>
      </c>
      <c r="P141" t="str">
        <f t="shared" si="21"/>
        <v/>
      </c>
      <c r="Q141" t="str">
        <f t="shared" si="26"/>
        <v/>
      </c>
      <c r="S141" t="str">
        <f>""</f>
        <v/>
      </c>
      <c r="AL141" s="18" t="str">
        <f>IF(COUNTIF($A$2:A140, A140) = 1, A140, "")</f>
        <v/>
      </c>
    </row>
    <row r="142" spans="6:38" x14ac:dyDescent="0.2">
      <c r="F142" t="str">
        <f t="shared" si="22"/>
        <v/>
      </c>
      <c r="L142" s="7" t="str">
        <f t="shared" si="23"/>
        <v/>
      </c>
      <c r="N142" s="7" t="str">
        <f t="shared" si="24"/>
        <v/>
      </c>
      <c r="O142" t="str">
        <f t="shared" si="25"/>
        <v/>
      </c>
      <c r="P142" t="str">
        <f t="shared" si="21"/>
        <v/>
      </c>
      <c r="Q142" t="str">
        <f t="shared" si="26"/>
        <v/>
      </c>
      <c r="S142" t="str">
        <f>""</f>
        <v/>
      </c>
      <c r="AL142" s="18" t="str">
        <f>IF(COUNTIF($A$2:A141, A141) = 1, A141, "")</f>
        <v/>
      </c>
    </row>
    <row r="143" spans="6:38" x14ac:dyDescent="0.2">
      <c r="F143" t="str">
        <f t="shared" si="22"/>
        <v/>
      </c>
      <c r="L143" s="7" t="str">
        <f t="shared" si="23"/>
        <v/>
      </c>
      <c r="N143" s="7" t="str">
        <f t="shared" si="24"/>
        <v/>
      </c>
      <c r="O143" t="str">
        <f t="shared" si="25"/>
        <v/>
      </c>
      <c r="P143" t="str">
        <f t="shared" si="21"/>
        <v/>
      </c>
      <c r="Q143" t="str">
        <f t="shared" si="26"/>
        <v/>
      </c>
      <c r="S143" t="str">
        <f>""</f>
        <v/>
      </c>
      <c r="AL143" s="18" t="str">
        <f>IF(COUNTIF($A$2:A142, A142) = 1, A142, "")</f>
        <v/>
      </c>
    </row>
    <row r="144" spans="6:38" x14ac:dyDescent="0.2">
      <c r="F144" t="str">
        <f t="shared" ref="F144:F207" si="27">IF(OR(O144="", P144=""), "", SUM(IF((O144&lt;&gt;"None")*(O144&lt;&gt;""),LEN(O144)-LEN(SUBSTITUTE(O144,",",""))+1,0)) + SUM(IF((P144&lt;&gt;"None")*(P144&lt;&gt;""),LEN(P144)-LEN(SUBSTITUTE(P144,",",""))+1,0)))</f>
        <v/>
      </c>
      <c r="L144" s="7" t="str">
        <f t="shared" ref="L144:L207" si="28">IF(LEN(E144)=0, "", IFERROR(IF(E144&gt;=0, K144 * (1 + E144/100) - K144, K144 / (ABS(E144)/100))+K144, ""))</f>
        <v/>
      </c>
      <c r="N144" s="7" t="str">
        <f t="shared" ref="N144:N207" si="29">IF(M144="Yes",L144-K144,IF(M144="No",-K144,""))</f>
        <v/>
      </c>
      <c r="O144" t="str">
        <f t="shared" ref="O144:O207" si="30">IF(AND(G144="No",H144="No"), "None", "")</f>
        <v/>
      </c>
      <c r="P144" t="str">
        <f t="shared" ref="P144:P207" si="31">IF(I144="No", "None", "")</f>
        <v/>
      </c>
      <c r="Q144" t="str">
        <f t="shared" ref="Q144:Q207" si="32">IF(AND(D144="Straight", M144 = "No"),IF(O144="None",P144,IF(P144="None",O144) ),"")</f>
        <v/>
      </c>
      <c r="S144" t="str">
        <f>""</f>
        <v/>
      </c>
      <c r="AL144" s="18" t="str">
        <f>IF(COUNTIF($A$2:A143, A143) = 1, A143, "")</f>
        <v/>
      </c>
    </row>
    <row r="145" spans="6:38" x14ac:dyDescent="0.2">
      <c r="F145" t="str">
        <f t="shared" si="27"/>
        <v/>
      </c>
      <c r="L145" s="7" t="str">
        <f t="shared" si="28"/>
        <v/>
      </c>
      <c r="N145" s="7" t="str">
        <f t="shared" si="29"/>
        <v/>
      </c>
      <c r="O145" t="str">
        <f t="shared" si="30"/>
        <v/>
      </c>
      <c r="P145" t="str">
        <f t="shared" si="31"/>
        <v/>
      </c>
      <c r="Q145" t="str">
        <f t="shared" si="32"/>
        <v/>
      </c>
      <c r="S145" t="str">
        <f>""</f>
        <v/>
      </c>
      <c r="AL145" s="18" t="str">
        <f>IF(COUNTIF($A$2:A144, A144) = 1, A144, "")</f>
        <v/>
      </c>
    </row>
    <row r="146" spans="6:38" x14ac:dyDescent="0.2">
      <c r="F146" t="str">
        <f t="shared" si="27"/>
        <v/>
      </c>
      <c r="L146" s="7" t="str">
        <f t="shared" si="28"/>
        <v/>
      </c>
      <c r="N146" s="7" t="str">
        <f t="shared" si="29"/>
        <v/>
      </c>
      <c r="O146" t="str">
        <f t="shared" si="30"/>
        <v/>
      </c>
      <c r="P146" t="str">
        <f t="shared" si="31"/>
        <v/>
      </c>
      <c r="Q146" t="str">
        <f t="shared" si="32"/>
        <v/>
      </c>
      <c r="S146" t="str">
        <f>""</f>
        <v/>
      </c>
      <c r="AL146" s="18" t="str">
        <f>IF(COUNTIF($A$2:A145, A145) = 1, A145, "")</f>
        <v/>
      </c>
    </row>
    <row r="147" spans="6:38" x14ac:dyDescent="0.2">
      <c r="F147" t="str">
        <f t="shared" si="27"/>
        <v/>
      </c>
      <c r="L147" s="7" t="str">
        <f t="shared" si="28"/>
        <v/>
      </c>
      <c r="N147" s="7" t="str">
        <f t="shared" si="29"/>
        <v/>
      </c>
      <c r="O147" t="str">
        <f t="shared" si="30"/>
        <v/>
      </c>
      <c r="P147" t="str">
        <f t="shared" si="31"/>
        <v/>
      </c>
      <c r="Q147" t="str">
        <f t="shared" si="32"/>
        <v/>
      </c>
      <c r="S147" t="str">
        <f>""</f>
        <v/>
      </c>
      <c r="AL147" s="18" t="str">
        <f>IF(COUNTIF($A$2:A146, A146) = 1, A146, "")</f>
        <v/>
      </c>
    </row>
    <row r="148" spans="6:38" x14ac:dyDescent="0.2">
      <c r="F148" t="str">
        <f t="shared" si="27"/>
        <v/>
      </c>
      <c r="L148" s="7" t="str">
        <f t="shared" si="28"/>
        <v/>
      </c>
      <c r="N148" s="7" t="str">
        <f t="shared" si="29"/>
        <v/>
      </c>
      <c r="O148" t="str">
        <f t="shared" si="30"/>
        <v/>
      </c>
      <c r="P148" t="str">
        <f t="shared" si="31"/>
        <v/>
      </c>
      <c r="Q148" t="str">
        <f t="shared" si="32"/>
        <v/>
      </c>
      <c r="S148" t="str">
        <f>""</f>
        <v/>
      </c>
      <c r="AL148" s="18" t="str">
        <f>IF(COUNTIF($A$2:A147, A147) = 1, A147, "")</f>
        <v/>
      </c>
    </row>
    <row r="149" spans="6:38" x14ac:dyDescent="0.2">
      <c r="F149" t="str">
        <f t="shared" si="27"/>
        <v/>
      </c>
      <c r="L149" s="7" t="str">
        <f t="shared" si="28"/>
        <v/>
      </c>
      <c r="N149" s="7" t="str">
        <f t="shared" si="29"/>
        <v/>
      </c>
      <c r="O149" t="str">
        <f t="shared" si="30"/>
        <v/>
      </c>
      <c r="P149" t="str">
        <f t="shared" si="31"/>
        <v/>
      </c>
      <c r="Q149" t="str">
        <f t="shared" si="32"/>
        <v/>
      </c>
      <c r="S149" t="str">
        <f>""</f>
        <v/>
      </c>
      <c r="AL149" s="18" t="str">
        <f>IF(COUNTIF($A$2:A148, A148) = 1, A148, "")</f>
        <v/>
      </c>
    </row>
    <row r="150" spans="6:38" x14ac:dyDescent="0.2">
      <c r="F150" t="str">
        <f t="shared" si="27"/>
        <v/>
      </c>
      <c r="L150" s="7" t="str">
        <f t="shared" si="28"/>
        <v/>
      </c>
      <c r="N150" s="7" t="str">
        <f t="shared" si="29"/>
        <v/>
      </c>
      <c r="O150" t="str">
        <f t="shared" si="30"/>
        <v/>
      </c>
      <c r="P150" t="str">
        <f t="shared" si="31"/>
        <v/>
      </c>
      <c r="Q150" t="str">
        <f t="shared" si="32"/>
        <v/>
      </c>
      <c r="S150" t="str">
        <f>""</f>
        <v/>
      </c>
      <c r="AL150" s="18" t="str">
        <f>IF(COUNTIF($A$2:A149, A149) = 1, A149, "")</f>
        <v/>
      </c>
    </row>
    <row r="151" spans="6:38" x14ac:dyDescent="0.2">
      <c r="F151" t="str">
        <f t="shared" si="27"/>
        <v/>
      </c>
      <c r="L151" s="7" t="str">
        <f t="shared" si="28"/>
        <v/>
      </c>
      <c r="N151" s="7" t="str">
        <f t="shared" si="29"/>
        <v/>
      </c>
      <c r="O151" t="str">
        <f t="shared" si="30"/>
        <v/>
      </c>
      <c r="P151" t="str">
        <f t="shared" si="31"/>
        <v/>
      </c>
      <c r="Q151" t="str">
        <f t="shared" si="32"/>
        <v/>
      </c>
      <c r="S151" t="str">
        <f>""</f>
        <v/>
      </c>
      <c r="AL151" s="18" t="str">
        <f>IF(COUNTIF($A$2:A150, A150) = 1, A150, "")</f>
        <v/>
      </c>
    </row>
    <row r="152" spans="6:38" x14ac:dyDescent="0.2">
      <c r="F152" t="str">
        <f t="shared" si="27"/>
        <v/>
      </c>
      <c r="L152" s="7" t="str">
        <f t="shared" si="28"/>
        <v/>
      </c>
      <c r="N152" s="7" t="str">
        <f t="shared" si="29"/>
        <v/>
      </c>
      <c r="O152" t="str">
        <f t="shared" si="30"/>
        <v/>
      </c>
      <c r="P152" t="str">
        <f t="shared" si="31"/>
        <v/>
      </c>
      <c r="Q152" t="str">
        <f t="shared" si="32"/>
        <v/>
      </c>
      <c r="S152" t="str">
        <f>""</f>
        <v/>
      </c>
      <c r="AL152" s="18" t="str">
        <f>IF(COUNTIF($A$2:A151, A151) = 1, A151, "")</f>
        <v/>
      </c>
    </row>
    <row r="153" spans="6:38" x14ac:dyDescent="0.2">
      <c r="F153" t="str">
        <f t="shared" si="27"/>
        <v/>
      </c>
      <c r="L153" s="7" t="str">
        <f t="shared" si="28"/>
        <v/>
      </c>
      <c r="N153" s="7" t="str">
        <f t="shared" si="29"/>
        <v/>
      </c>
      <c r="O153" t="str">
        <f t="shared" si="30"/>
        <v/>
      </c>
      <c r="P153" t="str">
        <f t="shared" si="31"/>
        <v/>
      </c>
      <c r="Q153" t="str">
        <f t="shared" si="32"/>
        <v/>
      </c>
      <c r="S153" t="str">
        <f>""</f>
        <v/>
      </c>
      <c r="AL153" s="18" t="str">
        <f>IF(COUNTIF($A$2:A152, A152) = 1, A152, "")</f>
        <v/>
      </c>
    </row>
    <row r="154" spans="6:38" x14ac:dyDescent="0.2">
      <c r="F154" t="str">
        <f t="shared" si="27"/>
        <v/>
      </c>
      <c r="L154" s="7" t="str">
        <f t="shared" si="28"/>
        <v/>
      </c>
      <c r="N154" s="7" t="str">
        <f t="shared" si="29"/>
        <v/>
      </c>
      <c r="O154" t="str">
        <f t="shared" si="30"/>
        <v/>
      </c>
      <c r="P154" t="str">
        <f t="shared" si="31"/>
        <v/>
      </c>
      <c r="Q154" t="str">
        <f t="shared" si="32"/>
        <v/>
      </c>
      <c r="S154" t="str">
        <f>""</f>
        <v/>
      </c>
      <c r="AL154" s="18" t="str">
        <f>IF(COUNTIF($A$2:A153, A153) = 1, A153, "")</f>
        <v/>
      </c>
    </row>
    <row r="155" spans="6:38" x14ac:dyDescent="0.2">
      <c r="F155" t="str">
        <f t="shared" si="27"/>
        <v/>
      </c>
      <c r="L155" s="7" t="str">
        <f t="shared" si="28"/>
        <v/>
      </c>
      <c r="N155" s="7" t="str">
        <f t="shared" si="29"/>
        <v/>
      </c>
      <c r="O155" t="str">
        <f t="shared" si="30"/>
        <v/>
      </c>
      <c r="P155" t="str">
        <f t="shared" si="31"/>
        <v/>
      </c>
      <c r="Q155" t="str">
        <f t="shared" si="32"/>
        <v/>
      </c>
      <c r="S155" t="str">
        <f>""</f>
        <v/>
      </c>
      <c r="AL155" s="18" t="str">
        <f>IF(COUNTIF($A$2:A154, A154) = 1, A154, "")</f>
        <v/>
      </c>
    </row>
    <row r="156" spans="6:38" x14ac:dyDescent="0.2">
      <c r="F156" t="str">
        <f t="shared" si="27"/>
        <v/>
      </c>
      <c r="L156" s="7" t="str">
        <f t="shared" si="28"/>
        <v/>
      </c>
      <c r="N156" s="7" t="str">
        <f t="shared" si="29"/>
        <v/>
      </c>
      <c r="O156" t="str">
        <f t="shared" si="30"/>
        <v/>
      </c>
      <c r="P156" t="str">
        <f t="shared" si="31"/>
        <v/>
      </c>
      <c r="Q156" t="str">
        <f t="shared" si="32"/>
        <v/>
      </c>
      <c r="S156" t="str">
        <f>""</f>
        <v/>
      </c>
      <c r="AL156" s="18" t="str">
        <f>IF(COUNTIF($A$2:A155, A155) = 1, A155, "")</f>
        <v/>
      </c>
    </row>
    <row r="157" spans="6:38" x14ac:dyDescent="0.2">
      <c r="F157" t="str">
        <f t="shared" si="27"/>
        <v/>
      </c>
      <c r="L157" s="7" t="str">
        <f t="shared" si="28"/>
        <v/>
      </c>
      <c r="N157" s="7" t="str">
        <f t="shared" si="29"/>
        <v/>
      </c>
      <c r="O157" t="str">
        <f t="shared" si="30"/>
        <v/>
      </c>
      <c r="P157" t="str">
        <f t="shared" si="31"/>
        <v/>
      </c>
      <c r="Q157" t="str">
        <f t="shared" si="32"/>
        <v/>
      </c>
      <c r="S157" t="str">
        <f>""</f>
        <v/>
      </c>
      <c r="AL157" s="18" t="str">
        <f>IF(COUNTIF($A$2:A156, A156) = 1, A156, "")</f>
        <v/>
      </c>
    </row>
    <row r="158" spans="6:38" x14ac:dyDescent="0.2">
      <c r="F158" t="str">
        <f t="shared" si="27"/>
        <v/>
      </c>
      <c r="L158" s="7" t="str">
        <f t="shared" si="28"/>
        <v/>
      </c>
      <c r="N158" s="7" t="str">
        <f t="shared" si="29"/>
        <v/>
      </c>
      <c r="O158" t="str">
        <f t="shared" si="30"/>
        <v/>
      </c>
      <c r="P158" t="str">
        <f t="shared" si="31"/>
        <v/>
      </c>
      <c r="Q158" t="str">
        <f t="shared" si="32"/>
        <v/>
      </c>
      <c r="S158" t="str">
        <f>""</f>
        <v/>
      </c>
      <c r="AL158" s="18" t="str">
        <f>IF(COUNTIF($A$2:A157, A157) = 1, A157, "")</f>
        <v/>
      </c>
    </row>
    <row r="159" spans="6:38" x14ac:dyDescent="0.2">
      <c r="F159" t="str">
        <f t="shared" si="27"/>
        <v/>
      </c>
      <c r="L159" s="7" t="str">
        <f t="shared" si="28"/>
        <v/>
      </c>
      <c r="N159" s="7" t="str">
        <f t="shared" si="29"/>
        <v/>
      </c>
      <c r="O159" t="str">
        <f t="shared" si="30"/>
        <v/>
      </c>
      <c r="P159" t="str">
        <f t="shared" si="31"/>
        <v/>
      </c>
      <c r="Q159" t="str">
        <f t="shared" si="32"/>
        <v/>
      </c>
      <c r="S159" t="str">
        <f>""</f>
        <v/>
      </c>
      <c r="AL159" s="18" t="str">
        <f>IF(COUNTIF($A$2:A158, A158) = 1, A158, "")</f>
        <v/>
      </c>
    </row>
    <row r="160" spans="6:38" x14ac:dyDescent="0.2">
      <c r="F160" t="str">
        <f t="shared" si="27"/>
        <v/>
      </c>
      <c r="L160" s="7" t="str">
        <f t="shared" si="28"/>
        <v/>
      </c>
      <c r="N160" s="7" t="str">
        <f t="shared" si="29"/>
        <v/>
      </c>
      <c r="O160" t="str">
        <f t="shared" si="30"/>
        <v/>
      </c>
      <c r="P160" t="str">
        <f t="shared" si="31"/>
        <v/>
      </c>
      <c r="Q160" t="str">
        <f t="shared" si="32"/>
        <v/>
      </c>
      <c r="S160" t="str">
        <f>""</f>
        <v/>
      </c>
      <c r="AL160" s="18" t="str">
        <f>IF(COUNTIF($A$2:A159, A159) = 1, A159, "")</f>
        <v/>
      </c>
    </row>
    <row r="161" spans="6:38" x14ac:dyDescent="0.2">
      <c r="F161" t="str">
        <f t="shared" si="27"/>
        <v/>
      </c>
      <c r="L161" s="7" t="str">
        <f t="shared" si="28"/>
        <v/>
      </c>
      <c r="N161" s="7" t="str">
        <f t="shared" si="29"/>
        <v/>
      </c>
      <c r="O161" t="str">
        <f t="shared" si="30"/>
        <v/>
      </c>
      <c r="P161" t="str">
        <f t="shared" si="31"/>
        <v/>
      </c>
      <c r="Q161" t="str">
        <f t="shared" si="32"/>
        <v/>
      </c>
      <c r="S161" t="str">
        <f>""</f>
        <v/>
      </c>
      <c r="AL161" s="18" t="str">
        <f>IF(COUNTIF($A$2:A160, A160) = 1, A160, "")</f>
        <v/>
      </c>
    </row>
    <row r="162" spans="6:38" x14ac:dyDescent="0.2">
      <c r="F162" t="str">
        <f t="shared" si="27"/>
        <v/>
      </c>
      <c r="L162" s="7" t="str">
        <f t="shared" si="28"/>
        <v/>
      </c>
      <c r="N162" s="7" t="str">
        <f t="shared" si="29"/>
        <v/>
      </c>
      <c r="O162" t="str">
        <f t="shared" si="30"/>
        <v/>
      </c>
      <c r="P162" t="str">
        <f t="shared" si="31"/>
        <v/>
      </c>
      <c r="Q162" t="str">
        <f t="shared" si="32"/>
        <v/>
      </c>
      <c r="S162" t="str">
        <f>""</f>
        <v/>
      </c>
      <c r="AL162" s="18" t="str">
        <f>IF(COUNTIF($A$2:A161, A161) = 1, A161, "")</f>
        <v/>
      </c>
    </row>
    <row r="163" spans="6:38" x14ac:dyDescent="0.2">
      <c r="F163" t="str">
        <f t="shared" si="27"/>
        <v/>
      </c>
      <c r="L163" s="7" t="str">
        <f t="shared" si="28"/>
        <v/>
      </c>
      <c r="N163" s="7" t="str">
        <f t="shared" si="29"/>
        <v/>
      </c>
      <c r="O163" t="str">
        <f t="shared" si="30"/>
        <v/>
      </c>
      <c r="P163" t="str">
        <f t="shared" si="31"/>
        <v/>
      </c>
      <c r="Q163" t="str">
        <f t="shared" si="32"/>
        <v/>
      </c>
      <c r="S163" t="str">
        <f>""</f>
        <v/>
      </c>
      <c r="AL163" s="18" t="str">
        <f>IF(COUNTIF($A$2:A162, A162) = 1, A162, "")</f>
        <v/>
      </c>
    </row>
    <row r="164" spans="6:38" x14ac:dyDescent="0.2">
      <c r="F164" t="str">
        <f t="shared" si="27"/>
        <v/>
      </c>
      <c r="L164" s="7" t="str">
        <f t="shared" si="28"/>
        <v/>
      </c>
      <c r="N164" s="7" t="str">
        <f t="shared" si="29"/>
        <v/>
      </c>
      <c r="O164" t="str">
        <f t="shared" si="30"/>
        <v/>
      </c>
      <c r="P164" t="str">
        <f t="shared" si="31"/>
        <v/>
      </c>
      <c r="Q164" t="str">
        <f t="shared" si="32"/>
        <v/>
      </c>
      <c r="S164" t="str">
        <f>""</f>
        <v/>
      </c>
      <c r="AL164" s="18" t="str">
        <f>IF(COUNTIF($A$2:A163, A163) = 1, A163, "")</f>
        <v/>
      </c>
    </row>
    <row r="165" spans="6:38" x14ac:dyDescent="0.2">
      <c r="F165" t="str">
        <f t="shared" si="27"/>
        <v/>
      </c>
      <c r="L165" s="7" t="str">
        <f t="shared" si="28"/>
        <v/>
      </c>
      <c r="N165" s="7" t="str">
        <f t="shared" si="29"/>
        <v/>
      </c>
      <c r="O165" t="str">
        <f t="shared" si="30"/>
        <v/>
      </c>
      <c r="P165" t="str">
        <f t="shared" si="31"/>
        <v/>
      </c>
      <c r="Q165" t="str">
        <f t="shared" si="32"/>
        <v/>
      </c>
      <c r="S165" t="str">
        <f>""</f>
        <v/>
      </c>
      <c r="AL165" s="18" t="str">
        <f>IF(COUNTIF($A$2:A164, A164) = 1, A164, "")</f>
        <v/>
      </c>
    </row>
    <row r="166" spans="6:38" x14ac:dyDescent="0.2">
      <c r="F166" t="str">
        <f t="shared" si="27"/>
        <v/>
      </c>
      <c r="L166" s="7" t="str">
        <f t="shared" si="28"/>
        <v/>
      </c>
      <c r="N166" s="7" t="str">
        <f t="shared" si="29"/>
        <v/>
      </c>
      <c r="O166" t="str">
        <f t="shared" si="30"/>
        <v/>
      </c>
      <c r="P166" t="str">
        <f t="shared" si="31"/>
        <v/>
      </c>
      <c r="Q166" t="str">
        <f t="shared" si="32"/>
        <v/>
      </c>
      <c r="S166" t="str">
        <f>""</f>
        <v/>
      </c>
      <c r="AL166" s="18" t="str">
        <f>IF(COUNTIF($A$2:A165, A165) = 1, A165, "")</f>
        <v/>
      </c>
    </row>
    <row r="167" spans="6:38" x14ac:dyDescent="0.2">
      <c r="F167" t="str">
        <f t="shared" si="27"/>
        <v/>
      </c>
      <c r="L167" s="7" t="str">
        <f t="shared" si="28"/>
        <v/>
      </c>
      <c r="N167" s="7" t="str">
        <f t="shared" si="29"/>
        <v/>
      </c>
      <c r="O167" t="str">
        <f t="shared" si="30"/>
        <v/>
      </c>
      <c r="P167" t="str">
        <f t="shared" si="31"/>
        <v/>
      </c>
      <c r="Q167" t="str">
        <f t="shared" si="32"/>
        <v/>
      </c>
      <c r="S167" t="str">
        <f>""</f>
        <v/>
      </c>
      <c r="AL167" s="18" t="str">
        <f>IF(COUNTIF($A$2:A166, A166) = 1, A166, "")</f>
        <v/>
      </c>
    </row>
    <row r="168" spans="6:38" x14ac:dyDescent="0.2">
      <c r="F168" t="str">
        <f t="shared" si="27"/>
        <v/>
      </c>
      <c r="L168" s="7" t="str">
        <f t="shared" si="28"/>
        <v/>
      </c>
      <c r="N168" s="7" t="str">
        <f t="shared" si="29"/>
        <v/>
      </c>
      <c r="O168" t="str">
        <f t="shared" si="30"/>
        <v/>
      </c>
      <c r="P168" t="str">
        <f t="shared" si="31"/>
        <v/>
      </c>
      <c r="Q168" t="str">
        <f t="shared" si="32"/>
        <v/>
      </c>
      <c r="S168" t="str">
        <f>""</f>
        <v/>
      </c>
      <c r="AL168" s="18" t="str">
        <f>IF(COUNTIF($A$2:A167, A167) = 1, A167, "")</f>
        <v/>
      </c>
    </row>
    <row r="169" spans="6:38" x14ac:dyDescent="0.2">
      <c r="F169" t="str">
        <f t="shared" si="27"/>
        <v/>
      </c>
      <c r="L169" s="7" t="str">
        <f t="shared" si="28"/>
        <v/>
      </c>
      <c r="N169" s="7" t="str">
        <f t="shared" si="29"/>
        <v/>
      </c>
      <c r="O169" t="str">
        <f t="shared" si="30"/>
        <v/>
      </c>
      <c r="P169" t="str">
        <f t="shared" si="31"/>
        <v/>
      </c>
      <c r="Q169" t="str">
        <f t="shared" si="32"/>
        <v/>
      </c>
      <c r="S169" t="str">
        <f>""</f>
        <v/>
      </c>
      <c r="AL169" s="18" t="str">
        <f>IF(COUNTIF($A$2:A168, A168) = 1, A168, "")</f>
        <v/>
      </c>
    </row>
    <row r="170" spans="6:38" x14ac:dyDescent="0.2">
      <c r="F170" t="str">
        <f t="shared" si="27"/>
        <v/>
      </c>
      <c r="L170" s="7" t="str">
        <f t="shared" si="28"/>
        <v/>
      </c>
      <c r="N170" s="7" t="str">
        <f t="shared" si="29"/>
        <v/>
      </c>
      <c r="O170" t="str">
        <f t="shared" si="30"/>
        <v/>
      </c>
      <c r="P170" t="str">
        <f t="shared" si="31"/>
        <v/>
      </c>
      <c r="Q170" t="str">
        <f t="shared" si="32"/>
        <v/>
      </c>
      <c r="S170" t="str">
        <f>""</f>
        <v/>
      </c>
      <c r="AL170" s="18" t="str">
        <f>IF(COUNTIF($A$2:A169, A169) = 1, A169, "")</f>
        <v/>
      </c>
    </row>
    <row r="171" spans="6:38" x14ac:dyDescent="0.2">
      <c r="F171" t="str">
        <f t="shared" si="27"/>
        <v/>
      </c>
      <c r="L171" s="7" t="str">
        <f t="shared" si="28"/>
        <v/>
      </c>
      <c r="N171" s="7" t="str">
        <f t="shared" si="29"/>
        <v/>
      </c>
      <c r="O171" t="str">
        <f t="shared" si="30"/>
        <v/>
      </c>
      <c r="P171" t="str">
        <f t="shared" si="31"/>
        <v/>
      </c>
      <c r="Q171" t="str">
        <f t="shared" si="32"/>
        <v/>
      </c>
      <c r="S171" t="str">
        <f>""</f>
        <v/>
      </c>
      <c r="AL171" s="18" t="str">
        <f>IF(COUNTIF($A$2:A170, A170) = 1, A170, "")</f>
        <v/>
      </c>
    </row>
    <row r="172" spans="6:38" x14ac:dyDescent="0.2">
      <c r="F172" t="str">
        <f t="shared" si="27"/>
        <v/>
      </c>
      <c r="L172" s="7" t="str">
        <f t="shared" si="28"/>
        <v/>
      </c>
      <c r="N172" s="7" t="str">
        <f t="shared" si="29"/>
        <v/>
      </c>
      <c r="O172" t="str">
        <f t="shared" si="30"/>
        <v/>
      </c>
      <c r="P172" t="str">
        <f t="shared" si="31"/>
        <v/>
      </c>
      <c r="Q172" t="str">
        <f t="shared" si="32"/>
        <v/>
      </c>
      <c r="S172" t="str">
        <f>""</f>
        <v/>
      </c>
      <c r="AL172" s="18" t="str">
        <f>IF(COUNTIF($A$2:A171, A171) = 1, A171, "")</f>
        <v/>
      </c>
    </row>
    <row r="173" spans="6:38" x14ac:dyDescent="0.2">
      <c r="F173" t="str">
        <f t="shared" si="27"/>
        <v/>
      </c>
      <c r="L173" s="7" t="str">
        <f t="shared" si="28"/>
        <v/>
      </c>
      <c r="N173" s="7" t="str">
        <f t="shared" si="29"/>
        <v/>
      </c>
      <c r="O173" t="str">
        <f t="shared" si="30"/>
        <v/>
      </c>
      <c r="P173" t="str">
        <f t="shared" si="31"/>
        <v/>
      </c>
      <c r="Q173" t="str">
        <f t="shared" si="32"/>
        <v/>
      </c>
      <c r="S173" t="str">
        <f>""</f>
        <v/>
      </c>
      <c r="AL173" s="18" t="str">
        <f>IF(COUNTIF($A$2:A172, A172) = 1, A172, "")</f>
        <v/>
      </c>
    </row>
    <row r="174" spans="6:38" x14ac:dyDescent="0.2">
      <c r="F174" t="str">
        <f t="shared" si="27"/>
        <v/>
      </c>
      <c r="L174" s="7" t="str">
        <f t="shared" si="28"/>
        <v/>
      </c>
      <c r="N174" s="7" t="str">
        <f t="shared" si="29"/>
        <v/>
      </c>
      <c r="O174" t="str">
        <f t="shared" si="30"/>
        <v/>
      </c>
      <c r="P174" t="str">
        <f t="shared" si="31"/>
        <v/>
      </c>
      <c r="Q174" t="str">
        <f t="shared" si="32"/>
        <v/>
      </c>
      <c r="S174" t="str">
        <f>""</f>
        <v/>
      </c>
      <c r="AL174" s="18" t="str">
        <f>IF(COUNTIF($A$2:A173, A173) = 1, A173, "")</f>
        <v/>
      </c>
    </row>
    <row r="175" spans="6:38" x14ac:dyDescent="0.2">
      <c r="F175" t="str">
        <f t="shared" si="27"/>
        <v/>
      </c>
      <c r="L175" s="7" t="str">
        <f t="shared" si="28"/>
        <v/>
      </c>
      <c r="N175" s="7" t="str">
        <f t="shared" si="29"/>
        <v/>
      </c>
      <c r="O175" t="str">
        <f t="shared" si="30"/>
        <v/>
      </c>
      <c r="P175" t="str">
        <f t="shared" si="31"/>
        <v/>
      </c>
      <c r="Q175" t="str">
        <f t="shared" si="32"/>
        <v/>
      </c>
      <c r="S175" t="str">
        <f>""</f>
        <v/>
      </c>
      <c r="AL175" s="18" t="str">
        <f>IF(COUNTIF($A$2:A174, A174) = 1, A174, "")</f>
        <v/>
      </c>
    </row>
    <row r="176" spans="6:38" x14ac:dyDescent="0.2">
      <c r="F176" t="str">
        <f t="shared" si="27"/>
        <v/>
      </c>
      <c r="L176" s="7" t="str">
        <f t="shared" si="28"/>
        <v/>
      </c>
      <c r="N176" s="7" t="str">
        <f t="shared" si="29"/>
        <v/>
      </c>
      <c r="O176" t="str">
        <f t="shared" si="30"/>
        <v/>
      </c>
      <c r="P176" t="str">
        <f t="shared" si="31"/>
        <v/>
      </c>
      <c r="Q176" t="str">
        <f t="shared" si="32"/>
        <v/>
      </c>
      <c r="S176" t="str">
        <f>""</f>
        <v/>
      </c>
      <c r="AL176" s="18" t="str">
        <f>IF(COUNTIF($A$2:A175, A175) = 1, A175, "")</f>
        <v/>
      </c>
    </row>
    <row r="177" spans="6:38" x14ac:dyDescent="0.2">
      <c r="F177" t="str">
        <f t="shared" si="27"/>
        <v/>
      </c>
      <c r="L177" s="7" t="str">
        <f t="shared" si="28"/>
        <v/>
      </c>
      <c r="N177" s="7" t="str">
        <f t="shared" si="29"/>
        <v/>
      </c>
      <c r="O177" t="str">
        <f t="shared" si="30"/>
        <v/>
      </c>
      <c r="P177" t="str">
        <f t="shared" si="31"/>
        <v/>
      </c>
      <c r="Q177" t="str">
        <f t="shared" si="32"/>
        <v/>
      </c>
      <c r="S177" t="str">
        <f>""</f>
        <v/>
      </c>
      <c r="AL177" s="18" t="str">
        <f>IF(COUNTIF($A$2:A176, A176) = 1, A176, "")</f>
        <v/>
      </c>
    </row>
    <row r="178" spans="6:38" x14ac:dyDescent="0.2">
      <c r="F178" t="str">
        <f t="shared" si="27"/>
        <v/>
      </c>
      <c r="L178" s="7" t="str">
        <f t="shared" si="28"/>
        <v/>
      </c>
      <c r="N178" s="7" t="str">
        <f t="shared" si="29"/>
        <v/>
      </c>
      <c r="O178" t="str">
        <f t="shared" si="30"/>
        <v/>
      </c>
      <c r="P178" t="str">
        <f t="shared" si="31"/>
        <v/>
      </c>
      <c r="Q178" t="str">
        <f t="shared" si="32"/>
        <v/>
      </c>
      <c r="S178" t="str">
        <f>""</f>
        <v/>
      </c>
      <c r="AL178" s="18" t="str">
        <f>IF(COUNTIF($A$2:A177, A177) = 1, A177, "")</f>
        <v/>
      </c>
    </row>
    <row r="179" spans="6:38" x14ac:dyDescent="0.2">
      <c r="F179" t="str">
        <f t="shared" si="27"/>
        <v/>
      </c>
      <c r="L179" s="7" t="str">
        <f t="shared" si="28"/>
        <v/>
      </c>
      <c r="N179" s="7" t="str">
        <f t="shared" si="29"/>
        <v/>
      </c>
      <c r="O179" t="str">
        <f t="shared" si="30"/>
        <v/>
      </c>
      <c r="P179" t="str">
        <f t="shared" si="31"/>
        <v/>
      </c>
      <c r="Q179" t="str">
        <f t="shared" si="32"/>
        <v/>
      </c>
      <c r="S179" t="str">
        <f>""</f>
        <v/>
      </c>
      <c r="AL179" s="18" t="str">
        <f>IF(COUNTIF($A$2:A178, A178) = 1, A178, "")</f>
        <v/>
      </c>
    </row>
    <row r="180" spans="6:38" x14ac:dyDescent="0.2">
      <c r="F180" t="str">
        <f t="shared" si="27"/>
        <v/>
      </c>
      <c r="L180" s="7" t="str">
        <f t="shared" si="28"/>
        <v/>
      </c>
      <c r="N180" s="7" t="str">
        <f t="shared" si="29"/>
        <v/>
      </c>
      <c r="O180" t="str">
        <f t="shared" si="30"/>
        <v/>
      </c>
      <c r="P180" t="str">
        <f t="shared" si="31"/>
        <v/>
      </c>
      <c r="Q180" t="str">
        <f t="shared" si="32"/>
        <v/>
      </c>
      <c r="S180" t="str">
        <f>""</f>
        <v/>
      </c>
      <c r="AL180" s="18" t="str">
        <f>IF(COUNTIF($A$2:A179, A179) = 1, A179, "")</f>
        <v/>
      </c>
    </row>
    <row r="181" spans="6:38" x14ac:dyDescent="0.2">
      <c r="F181" t="str">
        <f t="shared" si="27"/>
        <v/>
      </c>
      <c r="L181" s="7" t="str">
        <f t="shared" si="28"/>
        <v/>
      </c>
      <c r="N181" s="7" t="str">
        <f t="shared" si="29"/>
        <v/>
      </c>
      <c r="O181" t="str">
        <f t="shared" si="30"/>
        <v/>
      </c>
      <c r="P181" t="str">
        <f t="shared" si="31"/>
        <v/>
      </c>
      <c r="Q181" t="str">
        <f t="shared" si="32"/>
        <v/>
      </c>
      <c r="S181" t="str">
        <f>""</f>
        <v/>
      </c>
      <c r="AL181" s="18" t="str">
        <f>IF(COUNTIF($A$2:A180, A180) = 1, A180, "")</f>
        <v/>
      </c>
    </row>
    <row r="182" spans="6:38" x14ac:dyDescent="0.2">
      <c r="F182" t="str">
        <f t="shared" si="27"/>
        <v/>
      </c>
      <c r="L182" s="7" t="str">
        <f t="shared" si="28"/>
        <v/>
      </c>
      <c r="N182" s="7" t="str">
        <f t="shared" si="29"/>
        <v/>
      </c>
      <c r="O182" t="str">
        <f t="shared" si="30"/>
        <v/>
      </c>
      <c r="P182" t="str">
        <f t="shared" si="31"/>
        <v/>
      </c>
      <c r="Q182" t="str">
        <f t="shared" si="32"/>
        <v/>
      </c>
      <c r="S182" t="str">
        <f>""</f>
        <v/>
      </c>
      <c r="AL182" s="18" t="str">
        <f>IF(COUNTIF($A$2:A181, A181) = 1, A181, "")</f>
        <v/>
      </c>
    </row>
    <row r="183" spans="6:38" x14ac:dyDescent="0.2">
      <c r="F183" t="str">
        <f t="shared" si="27"/>
        <v/>
      </c>
      <c r="L183" s="7" t="str">
        <f t="shared" si="28"/>
        <v/>
      </c>
      <c r="N183" s="7" t="str">
        <f t="shared" si="29"/>
        <v/>
      </c>
      <c r="O183" t="str">
        <f t="shared" si="30"/>
        <v/>
      </c>
      <c r="P183" t="str">
        <f t="shared" si="31"/>
        <v/>
      </c>
      <c r="Q183" t="str">
        <f t="shared" si="32"/>
        <v/>
      </c>
      <c r="S183" t="str">
        <f>""</f>
        <v/>
      </c>
      <c r="AL183" s="18" t="str">
        <f>IF(COUNTIF($A$2:A182, A182) = 1, A182, "")</f>
        <v/>
      </c>
    </row>
    <row r="184" spans="6:38" x14ac:dyDescent="0.2">
      <c r="F184" t="str">
        <f t="shared" si="27"/>
        <v/>
      </c>
      <c r="L184" s="7" t="str">
        <f t="shared" si="28"/>
        <v/>
      </c>
      <c r="N184" s="7" t="str">
        <f t="shared" si="29"/>
        <v/>
      </c>
      <c r="O184" t="str">
        <f t="shared" si="30"/>
        <v/>
      </c>
      <c r="P184" t="str">
        <f t="shared" si="31"/>
        <v/>
      </c>
      <c r="Q184" t="str">
        <f t="shared" si="32"/>
        <v/>
      </c>
      <c r="S184" t="str">
        <f>""</f>
        <v/>
      </c>
      <c r="AL184" s="18" t="str">
        <f>IF(COUNTIF($A$2:A183, A183) = 1, A183, "")</f>
        <v/>
      </c>
    </row>
    <row r="185" spans="6:38" x14ac:dyDescent="0.2">
      <c r="F185" t="str">
        <f t="shared" si="27"/>
        <v/>
      </c>
      <c r="L185" s="7" t="str">
        <f t="shared" si="28"/>
        <v/>
      </c>
      <c r="N185" s="7" t="str">
        <f t="shared" si="29"/>
        <v/>
      </c>
      <c r="O185" t="str">
        <f t="shared" si="30"/>
        <v/>
      </c>
      <c r="P185" t="str">
        <f t="shared" si="31"/>
        <v/>
      </c>
      <c r="Q185" t="str">
        <f t="shared" si="32"/>
        <v/>
      </c>
      <c r="S185" t="str">
        <f>""</f>
        <v/>
      </c>
      <c r="AL185" s="18" t="str">
        <f>IF(COUNTIF($A$2:A184, A184) = 1, A184, "")</f>
        <v/>
      </c>
    </row>
    <row r="186" spans="6:38" x14ac:dyDescent="0.2">
      <c r="F186" t="str">
        <f t="shared" si="27"/>
        <v/>
      </c>
      <c r="L186" s="7" t="str">
        <f t="shared" si="28"/>
        <v/>
      </c>
      <c r="N186" s="7" t="str">
        <f t="shared" si="29"/>
        <v/>
      </c>
      <c r="O186" t="str">
        <f t="shared" si="30"/>
        <v/>
      </c>
      <c r="P186" t="str">
        <f t="shared" si="31"/>
        <v/>
      </c>
      <c r="Q186" t="str">
        <f t="shared" si="32"/>
        <v/>
      </c>
      <c r="S186" t="str">
        <f>""</f>
        <v/>
      </c>
      <c r="AL186" s="18" t="str">
        <f>IF(COUNTIF($A$2:A185, A185) = 1, A185, "")</f>
        <v/>
      </c>
    </row>
    <row r="187" spans="6:38" x14ac:dyDescent="0.2">
      <c r="F187" t="str">
        <f t="shared" si="27"/>
        <v/>
      </c>
      <c r="L187" s="7" t="str">
        <f t="shared" si="28"/>
        <v/>
      </c>
      <c r="N187" s="7" t="str">
        <f t="shared" si="29"/>
        <v/>
      </c>
      <c r="O187" t="str">
        <f t="shared" si="30"/>
        <v/>
      </c>
      <c r="P187" t="str">
        <f t="shared" si="31"/>
        <v/>
      </c>
      <c r="Q187" t="str">
        <f t="shared" si="32"/>
        <v/>
      </c>
      <c r="S187" t="str">
        <f>""</f>
        <v/>
      </c>
      <c r="AL187" s="18" t="str">
        <f>IF(COUNTIF($A$2:A186, A186) = 1, A186, "")</f>
        <v/>
      </c>
    </row>
    <row r="188" spans="6:38" x14ac:dyDescent="0.2">
      <c r="F188" t="str">
        <f t="shared" si="27"/>
        <v/>
      </c>
      <c r="L188" s="7" t="str">
        <f t="shared" si="28"/>
        <v/>
      </c>
      <c r="N188" s="7" t="str">
        <f t="shared" si="29"/>
        <v/>
      </c>
      <c r="O188" t="str">
        <f t="shared" si="30"/>
        <v/>
      </c>
      <c r="P188" t="str">
        <f t="shared" si="31"/>
        <v/>
      </c>
      <c r="Q188" t="str">
        <f t="shared" si="32"/>
        <v/>
      </c>
      <c r="S188" t="str">
        <f>""</f>
        <v/>
      </c>
      <c r="AL188" s="18" t="str">
        <f>IF(COUNTIF($A$2:A187, A187) = 1, A187, "")</f>
        <v/>
      </c>
    </row>
    <row r="189" spans="6:38" x14ac:dyDescent="0.2">
      <c r="F189" t="str">
        <f t="shared" si="27"/>
        <v/>
      </c>
      <c r="L189" s="7" t="str">
        <f t="shared" si="28"/>
        <v/>
      </c>
      <c r="N189" s="7" t="str">
        <f t="shared" si="29"/>
        <v/>
      </c>
      <c r="O189" t="str">
        <f t="shared" si="30"/>
        <v/>
      </c>
      <c r="P189" t="str">
        <f t="shared" si="31"/>
        <v/>
      </c>
      <c r="Q189" t="str">
        <f t="shared" si="32"/>
        <v/>
      </c>
      <c r="S189" t="str">
        <f>""</f>
        <v/>
      </c>
      <c r="AL189" s="18" t="str">
        <f>IF(COUNTIF($A$2:A188, A188) = 1, A188, "")</f>
        <v/>
      </c>
    </row>
    <row r="190" spans="6:38" x14ac:dyDescent="0.2">
      <c r="F190" t="str">
        <f t="shared" si="27"/>
        <v/>
      </c>
      <c r="L190" s="7" t="str">
        <f t="shared" si="28"/>
        <v/>
      </c>
      <c r="N190" s="7" t="str">
        <f t="shared" si="29"/>
        <v/>
      </c>
      <c r="O190" t="str">
        <f t="shared" si="30"/>
        <v/>
      </c>
      <c r="P190" t="str">
        <f t="shared" si="31"/>
        <v/>
      </c>
      <c r="Q190" t="str">
        <f t="shared" si="32"/>
        <v/>
      </c>
      <c r="S190" t="str">
        <f>""</f>
        <v/>
      </c>
      <c r="AL190" s="18" t="str">
        <f>IF(COUNTIF($A$2:A189, A189) = 1, A189, "")</f>
        <v/>
      </c>
    </row>
    <row r="191" spans="6:38" x14ac:dyDescent="0.2">
      <c r="F191" t="str">
        <f t="shared" si="27"/>
        <v/>
      </c>
      <c r="L191" s="7" t="str">
        <f t="shared" si="28"/>
        <v/>
      </c>
      <c r="N191" s="7" t="str">
        <f t="shared" si="29"/>
        <v/>
      </c>
      <c r="O191" t="str">
        <f t="shared" si="30"/>
        <v/>
      </c>
      <c r="P191" t="str">
        <f t="shared" si="31"/>
        <v/>
      </c>
      <c r="Q191" t="str">
        <f t="shared" si="32"/>
        <v/>
      </c>
      <c r="S191" t="str">
        <f>""</f>
        <v/>
      </c>
      <c r="AL191" s="18" t="str">
        <f>IF(COUNTIF($A$2:A190, A190) = 1, A190, "")</f>
        <v/>
      </c>
    </row>
    <row r="192" spans="6:38" x14ac:dyDescent="0.2">
      <c r="F192" t="str">
        <f t="shared" si="27"/>
        <v/>
      </c>
      <c r="L192" s="7" t="str">
        <f t="shared" si="28"/>
        <v/>
      </c>
      <c r="N192" s="7" t="str">
        <f t="shared" si="29"/>
        <v/>
      </c>
      <c r="O192" t="str">
        <f t="shared" si="30"/>
        <v/>
      </c>
      <c r="P192" t="str">
        <f t="shared" si="31"/>
        <v/>
      </c>
      <c r="Q192" t="str">
        <f t="shared" si="32"/>
        <v/>
      </c>
      <c r="S192" t="str">
        <f>""</f>
        <v/>
      </c>
      <c r="AL192" s="18" t="str">
        <f>IF(COUNTIF($A$2:A191, A191) = 1, A191, "")</f>
        <v/>
      </c>
    </row>
    <row r="193" spans="6:38" x14ac:dyDescent="0.2">
      <c r="F193" t="str">
        <f t="shared" si="27"/>
        <v/>
      </c>
      <c r="L193" s="7" t="str">
        <f t="shared" si="28"/>
        <v/>
      </c>
      <c r="N193" s="7" t="str">
        <f t="shared" si="29"/>
        <v/>
      </c>
      <c r="O193" t="str">
        <f t="shared" si="30"/>
        <v/>
      </c>
      <c r="P193" t="str">
        <f t="shared" si="31"/>
        <v/>
      </c>
      <c r="Q193" t="str">
        <f t="shared" si="32"/>
        <v/>
      </c>
      <c r="S193" t="str">
        <f>""</f>
        <v/>
      </c>
      <c r="AL193" s="18" t="str">
        <f>IF(COUNTIF($A$2:A192, A192) = 1, A192, "")</f>
        <v/>
      </c>
    </row>
    <row r="194" spans="6:38" x14ac:dyDescent="0.2">
      <c r="F194" t="str">
        <f t="shared" si="27"/>
        <v/>
      </c>
      <c r="L194" s="7" t="str">
        <f t="shared" si="28"/>
        <v/>
      </c>
      <c r="N194" s="7" t="str">
        <f t="shared" si="29"/>
        <v/>
      </c>
      <c r="O194" t="str">
        <f t="shared" si="30"/>
        <v/>
      </c>
      <c r="P194" t="str">
        <f t="shared" si="31"/>
        <v/>
      </c>
      <c r="Q194" t="str">
        <f t="shared" si="32"/>
        <v/>
      </c>
      <c r="S194" t="str">
        <f>""</f>
        <v/>
      </c>
      <c r="AL194" s="18" t="str">
        <f>IF(COUNTIF($A$2:A193, A193) = 1, A193, "")</f>
        <v/>
      </c>
    </row>
    <row r="195" spans="6:38" x14ac:dyDescent="0.2">
      <c r="F195" t="str">
        <f t="shared" si="27"/>
        <v/>
      </c>
      <c r="L195" s="7" t="str">
        <f t="shared" si="28"/>
        <v/>
      </c>
      <c r="N195" s="7" t="str">
        <f t="shared" si="29"/>
        <v/>
      </c>
      <c r="O195" t="str">
        <f t="shared" si="30"/>
        <v/>
      </c>
      <c r="P195" t="str">
        <f t="shared" si="31"/>
        <v/>
      </c>
      <c r="Q195" t="str">
        <f t="shared" si="32"/>
        <v/>
      </c>
      <c r="S195" t="str">
        <f>""</f>
        <v/>
      </c>
      <c r="AL195" s="18" t="str">
        <f>IF(COUNTIF($A$2:A194, A194) = 1, A194, "")</f>
        <v/>
      </c>
    </row>
    <row r="196" spans="6:38" x14ac:dyDescent="0.2">
      <c r="F196" t="str">
        <f t="shared" si="27"/>
        <v/>
      </c>
      <c r="L196" s="7" t="str">
        <f t="shared" si="28"/>
        <v/>
      </c>
      <c r="N196" s="7" t="str">
        <f t="shared" si="29"/>
        <v/>
      </c>
      <c r="O196" t="str">
        <f t="shared" si="30"/>
        <v/>
      </c>
      <c r="P196" t="str">
        <f t="shared" si="31"/>
        <v/>
      </c>
      <c r="Q196" t="str">
        <f t="shared" si="32"/>
        <v/>
      </c>
      <c r="S196" t="str">
        <f>""</f>
        <v/>
      </c>
      <c r="AL196" s="18" t="str">
        <f>IF(COUNTIF($A$2:A195, A195) = 1, A195, "")</f>
        <v/>
      </c>
    </row>
    <row r="197" spans="6:38" x14ac:dyDescent="0.2">
      <c r="F197" t="str">
        <f t="shared" si="27"/>
        <v/>
      </c>
      <c r="L197" s="7" t="str">
        <f t="shared" si="28"/>
        <v/>
      </c>
      <c r="N197" s="7" t="str">
        <f t="shared" si="29"/>
        <v/>
      </c>
      <c r="O197" t="str">
        <f t="shared" si="30"/>
        <v/>
      </c>
      <c r="P197" t="str">
        <f t="shared" si="31"/>
        <v/>
      </c>
      <c r="Q197" t="str">
        <f t="shared" si="32"/>
        <v/>
      </c>
      <c r="S197" t="str">
        <f>""</f>
        <v/>
      </c>
      <c r="AL197" s="18" t="str">
        <f>IF(COUNTIF($A$2:A196, A196) = 1, A196, "")</f>
        <v/>
      </c>
    </row>
    <row r="198" spans="6:38" x14ac:dyDescent="0.2">
      <c r="F198" t="str">
        <f t="shared" si="27"/>
        <v/>
      </c>
      <c r="L198" s="7" t="str">
        <f t="shared" si="28"/>
        <v/>
      </c>
      <c r="N198" s="7" t="str">
        <f t="shared" si="29"/>
        <v/>
      </c>
      <c r="O198" t="str">
        <f t="shared" si="30"/>
        <v/>
      </c>
      <c r="P198" t="str">
        <f t="shared" si="31"/>
        <v/>
      </c>
      <c r="Q198" t="str">
        <f t="shared" si="32"/>
        <v/>
      </c>
      <c r="S198" t="str">
        <f>""</f>
        <v/>
      </c>
      <c r="AL198" s="18" t="str">
        <f>IF(COUNTIF($A$2:A197, A197) = 1, A197, "")</f>
        <v/>
      </c>
    </row>
    <row r="199" spans="6:38" x14ac:dyDescent="0.2">
      <c r="F199" t="str">
        <f t="shared" si="27"/>
        <v/>
      </c>
      <c r="L199" s="7" t="str">
        <f t="shared" si="28"/>
        <v/>
      </c>
      <c r="N199" s="7" t="str">
        <f t="shared" si="29"/>
        <v/>
      </c>
      <c r="O199" t="str">
        <f t="shared" si="30"/>
        <v/>
      </c>
      <c r="P199" t="str">
        <f t="shared" si="31"/>
        <v/>
      </c>
      <c r="Q199" t="str">
        <f t="shared" si="32"/>
        <v/>
      </c>
      <c r="S199" t="str">
        <f>""</f>
        <v/>
      </c>
      <c r="AL199" s="18" t="str">
        <f>IF(COUNTIF($A$2:A198, A198) = 1, A198, "")</f>
        <v/>
      </c>
    </row>
    <row r="200" spans="6:38" x14ac:dyDescent="0.2">
      <c r="F200" t="str">
        <f t="shared" si="27"/>
        <v/>
      </c>
      <c r="L200" s="7" t="str">
        <f t="shared" si="28"/>
        <v/>
      </c>
      <c r="N200" s="7" t="str">
        <f t="shared" si="29"/>
        <v/>
      </c>
      <c r="O200" t="str">
        <f t="shared" si="30"/>
        <v/>
      </c>
      <c r="P200" t="str">
        <f t="shared" si="31"/>
        <v/>
      </c>
      <c r="Q200" t="str">
        <f t="shared" si="32"/>
        <v/>
      </c>
      <c r="S200" t="str">
        <f>""</f>
        <v/>
      </c>
      <c r="AL200" s="18" t="str">
        <f>IF(COUNTIF($A$2:A199, A199) = 1, A199, "")</f>
        <v/>
      </c>
    </row>
    <row r="201" spans="6:38" x14ac:dyDescent="0.2">
      <c r="F201" t="str">
        <f t="shared" si="27"/>
        <v/>
      </c>
      <c r="L201" s="7" t="str">
        <f t="shared" si="28"/>
        <v/>
      </c>
      <c r="N201" s="7" t="str">
        <f t="shared" si="29"/>
        <v/>
      </c>
      <c r="O201" t="str">
        <f t="shared" si="30"/>
        <v/>
      </c>
      <c r="P201" t="str">
        <f t="shared" si="31"/>
        <v/>
      </c>
      <c r="Q201" t="str">
        <f t="shared" si="32"/>
        <v/>
      </c>
      <c r="S201" t="str">
        <f>""</f>
        <v/>
      </c>
      <c r="AL201" s="18" t="str">
        <f>IF(COUNTIF($A$2:A200, A200) = 1, A200, "")</f>
        <v/>
      </c>
    </row>
    <row r="202" spans="6:38" x14ac:dyDescent="0.2">
      <c r="F202" t="str">
        <f t="shared" si="27"/>
        <v/>
      </c>
      <c r="L202" s="7" t="str">
        <f t="shared" si="28"/>
        <v/>
      </c>
      <c r="N202" s="7" t="str">
        <f t="shared" si="29"/>
        <v/>
      </c>
      <c r="O202" t="str">
        <f t="shared" si="30"/>
        <v/>
      </c>
      <c r="P202" t="str">
        <f t="shared" si="31"/>
        <v/>
      </c>
      <c r="Q202" t="str">
        <f t="shared" si="32"/>
        <v/>
      </c>
      <c r="S202" t="str">
        <f>""</f>
        <v/>
      </c>
      <c r="AL202" s="18" t="str">
        <f>IF(COUNTIF($A$2:A201, A201) = 1, A201, "")</f>
        <v/>
      </c>
    </row>
    <row r="203" spans="6:38" x14ac:dyDescent="0.2">
      <c r="F203" t="str">
        <f t="shared" si="27"/>
        <v/>
      </c>
      <c r="L203" s="7" t="str">
        <f t="shared" si="28"/>
        <v/>
      </c>
      <c r="N203" s="7" t="str">
        <f t="shared" si="29"/>
        <v/>
      </c>
      <c r="O203" t="str">
        <f t="shared" si="30"/>
        <v/>
      </c>
      <c r="P203" t="str">
        <f t="shared" si="31"/>
        <v/>
      </c>
      <c r="Q203" t="str">
        <f t="shared" si="32"/>
        <v/>
      </c>
      <c r="S203" t="str">
        <f>""</f>
        <v/>
      </c>
      <c r="AL203" s="18" t="str">
        <f>IF(COUNTIF($A$2:A202, A202) = 1, A202, "")</f>
        <v/>
      </c>
    </row>
    <row r="204" spans="6:38" x14ac:dyDescent="0.2">
      <c r="F204" t="str">
        <f t="shared" si="27"/>
        <v/>
      </c>
      <c r="L204" s="7" t="str">
        <f t="shared" si="28"/>
        <v/>
      </c>
      <c r="N204" s="7" t="str">
        <f t="shared" si="29"/>
        <v/>
      </c>
      <c r="O204" t="str">
        <f t="shared" si="30"/>
        <v/>
      </c>
      <c r="P204" t="str">
        <f t="shared" si="31"/>
        <v/>
      </c>
      <c r="Q204" t="str">
        <f t="shared" si="32"/>
        <v/>
      </c>
      <c r="S204" t="str">
        <f>""</f>
        <v/>
      </c>
      <c r="AL204" s="18" t="str">
        <f>IF(COUNTIF($A$2:A203, A203) = 1, A203, "")</f>
        <v/>
      </c>
    </row>
    <row r="205" spans="6:38" x14ac:dyDescent="0.2">
      <c r="F205" t="str">
        <f t="shared" si="27"/>
        <v/>
      </c>
      <c r="L205" s="7" t="str">
        <f t="shared" si="28"/>
        <v/>
      </c>
      <c r="N205" s="7" t="str">
        <f t="shared" si="29"/>
        <v/>
      </c>
      <c r="O205" t="str">
        <f t="shared" si="30"/>
        <v/>
      </c>
      <c r="P205" t="str">
        <f t="shared" si="31"/>
        <v/>
      </c>
      <c r="Q205" t="str">
        <f t="shared" si="32"/>
        <v/>
      </c>
      <c r="S205" t="str">
        <f>""</f>
        <v/>
      </c>
      <c r="AL205" s="18" t="str">
        <f>IF(COUNTIF($A$2:A204, A204) = 1, A204, "")</f>
        <v/>
      </c>
    </row>
    <row r="206" spans="6:38" x14ac:dyDescent="0.2">
      <c r="F206" t="str">
        <f t="shared" si="27"/>
        <v/>
      </c>
      <c r="L206" s="7" t="str">
        <f t="shared" si="28"/>
        <v/>
      </c>
      <c r="N206" s="7" t="str">
        <f t="shared" si="29"/>
        <v/>
      </c>
      <c r="O206" t="str">
        <f t="shared" si="30"/>
        <v/>
      </c>
      <c r="P206" t="str">
        <f t="shared" si="31"/>
        <v/>
      </c>
      <c r="Q206" t="str">
        <f t="shared" si="32"/>
        <v/>
      </c>
      <c r="S206" t="str">
        <f>""</f>
        <v/>
      </c>
      <c r="AL206" s="18" t="str">
        <f>IF(COUNTIF($A$2:A205, A205) = 1, A205, "")</f>
        <v/>
      </c>
    </row>
    <row r="207" spans="6:38" x14ac:dyDescent="0.2">
      <c r="F207" t="str">
        <f t="shared" si="27"/>
        <v/>
      </c>
      <c r="L207" s="7" t="str">
        <f t="shared" si="28"/>
        <v/>
      </c>
      <c r="N207" s="7" t="str">
        <f t="shared" si="29"/>
        <v/>
      </c>
      <c r="O207" t="str">
        <f t="shared" si="30"/>
        <v/>
      </c>
      <c r="P207" t="str">
        <f t="shared" si="31"/>
        <v/>
      </c>
      <c r="Q207" t="str">
        <f t="shared" si="32"/>
        <v/>
      </c>
      <c r="S207" t="str">
        <f>""</f>
        <v/>
      </c>
      <c r="AL207" s="18" t="str">
        <f>IF(COUNTIF($A$2:A206, A206) = 1, A206, "")</f>
        <v/>
      </c>
    </row>
    <row r="208" spans="6:38" x14ac:dyDescent="0.2">
      <c r="F208" t="str">
        <f t="shared" ref="F208:F271" si="33">IF(OR(O208="", P208=""), "", SUM(IF((O208&lt;&gt;"None")*(O208&lt;&gt;""),LEN(O208)-LEN(SUBSTITUTE(O208,",",""))+1,0)) + SUM(IF((P208&lt;&gt;"None")*(P208&lt;&gt;""),LEN(P208)-LEN(SUBSTITUTE(P208,",",""))+1,0)))</f>
        <v/>
      </c>
      <c r="L208" s="7" t="str">
        <f t="shared" ref="L208:L271" si="34">IF(LEN(E208)=0, "", IFERROR(IF(E208&gt;=0, K208 * (1 + E208/100) - K208, K208 / (ABS(E208)/100))+K208, ""))</f>
        <v/>
      </c>
      <c r="N208" s="7" t="str">
        <f t="shared" ref="N208:N271" si="35">IF(M208="Yes",L208-K208,IF(M208="No",-K208,""))</f>
        <v/>
      </c>
      <c r="O208" t="str">
        <f t="shared" ref="O208:O271" si="36">IF(AND(G208="No",H208="No"), "None", "")</f>
        <v/>
      </c>
      <c r="P208" t="str">
        <f t="shared" ref="P208:P271" si="37">IF(I208="No", "None", "")</f>
        <v/>
      </c>
      <c r="Q208" t="str">
        <f t="shared" ref="Q208:Q271" si="38">IF(AND(D208="Straight", M208 = "No"),IF(O208="None",P208,IF(P208="None",O208) ),"")</f>
        <v/>
      </c>
      <c r="S208" t="str">
        <f>""</f>
        <v/>
      </c>
      <c r="AL208" s="18" t="str">
        <f>IF(COUNTIF($A$2:A207, A207) = 1, A207, "")</f>
        <v/>
      </c>
    </row>
    <row r="209" spans="6:38" x14ac:dyDescent="0.2">
      <c r="F209" t="str">
        <f t="shared" si="33"/>
        <v/>
      </c>
      <c r="L209" s="7" t="str">
        <f t="shared" si="34"/>
        <v/>
      </c>
      <c r="N209" s="7" t="str">
        <f t="shared" si="35"/>
        <v/>
      </c>
      <c r="O209" t="str">
        <f t="shared" si="36"/>
        <v/>
      </c>
      <c r="P209" t="str">
        <f t="shared" si="37"/>
        <v/>
      </c>
      <c r="Q209" t="str">
        <f t="shared" si="38"/>
        <v/>
      </c>
      <c r="S209" t="str">
        <f>""</f>
        <v/>
      </c>
      <c r="AL209" s="18" t="str">
        <f>IF(COUNTIF($A$2:A208, A208) = 1, A208, "")</f>
        <v/>
      </c>
    </row>
    <row r="210" spans="6:38" x14ac:dyDescent="0.2">
      <c r="F210" t="str">
        <f t="shared" si="33"/>
        <v/>
      </c>
      <c r="L210" s="7" t="str">
        <f t="shared" si="34"/>
        <v/>
      </c>
      <c r="N210" s="7" t="str">
        <f t="shared" si="35"/>
        <v/>
      </c>
      <c r="O210" t="str">
        <f t="shared" si="36"/>
        <v/>
      </c>
      <c r="P210" t="str">
        <f t="shared" si="37"/>
        <v/>
      </c>
      <c r="Q210" t="str">
        <f t="shared" si="38"/>
        <v/>
      </c>
      <c r="S210" t="str">
        <f>""</f>
        <v/>
      </c>
      <c r="AL210" s="18" t="str">
        <f>IF(COUNTIF($A$2:A209, A209) = 1, A209, "")</f>
        <v/>
      </c>
    </row>
    <row r="211" spans="6:38" x14ac:dyDescent="0.2">
      <c r="F211" t="str">
        <f t="shared" si="33"/>
        <v/>
      </c>
      <c r="L211" s="7" t="str">
        <f t="shared" si="34"/>
        <v/>
      </c>
      <c r="N211" s="7" t="str">
        <f t="shared" si="35"/>
        <v/>
      </c>
      <c r="O211" t="str">
        <f t="shared" si="36"/>
        <v/>
      </c>
      <c r="P211" t="str">
        <f t="shared" si="37"/>
        <v/>
      </c>
      <c r="Q211" t="str">
        <f t="shared" si="38"/>
        <v/>
      </c>
      <c r="S211" t="str">
        <f>""</f>
        <v/>
      </c>
      <c r="AL211" s="18" t="str">
        <f>IF(COUNTIF($A$2:A210, A210) = 1, A210, "")</f>
        <v/>
      </c>
    </row>
    <row r="212" spans="6:38" x14ac:dyDescent="0.2">
      <c r="F212" t="str">
        <f t="shared" si="33"/>
        <v/>
      </c>
      <c r="L212" s="7" t="str">
        <f t="shared" si="34"/>
        <v/>
      </c>
      <c r="N212" s="7" t="str">
        <f t="shared" si="35"/>
        <v/>
      </c>
      <c r="O212" t="str">
        <f t="shared" si="36"/>
        <v/>
      </c>
      <c r="P212" t="str">
        <f t="shared" si="37"/>
        <v/>
      </c>
      <c r="Q212" t="str">
        <f t="shared" si="38"/>
        <v/>
      </c>
      <c r="S212" t="str">
        <f>""</f>
        <v/>
      </c>
      <c r="AL212" s="18" t="str">
        <f>IF(COUNTIF($A$2:A211, A211) = 1, A211, "")</f>
        <v/>
      </c>
    </row>
    <row r="213" spans="6:38" x14ac:dyDescent="0.2">
      <c r="F213" t="str">
        <f t="shared" si="33"/>
        <v/>
      </c>
      <c r="L213" s="7" t="str">
        <f t="shared" si="34"/>
        <v/>
      </c>
      <c r="N213" s="7" t="str">
        <f t="shared" si="35"/>
        <v/>
      </c>
      <c r="O213" t="str">
        <f t="shared" si="36"/>
        <v/>
      </c>
      <c r="P213" t="str">
        <f t="shared" si="37"/>
        <v/>
      </c>
      <c r="Q213" t="str">
        <f t="shared" si="38"/>
        <v/>
      </c>
      <c r="S213" t="str">
        <f>""</f>
        <v/>
      </c>
      <c r="AL213" s="18" t="str">
        <f>IF(COUNTIF($A$2:A212, A212) = 1, A212, "")</f>
        <v/>
      </c>
    </row>
    <row r="214" spans="6:38" x14ac:dyDescent="0.2">
      <c r="F214" t="str">
        <f t="shared" si="33"/>
        <v/>
      </c>
      <c r="L214" s="7" t="str">
        <f t="shared" si="34"/>
        <v/>
      </c>
      <c r="N214" s="7" t="str">
        <f t="shared" si="35"/>
        <v/>
      </c>
      <c r="O214" t="str">
        <f t="shared" si="36"/>
        <v/>
      </c>
      <c r="P214" t="str">
        <f t="shared" si="37"/>
        <v/>
      </c>
      <c r="Q214" t="str">
        <f t="shared" si="38"/>
        <v/>
      </c>
      <c r="S214" t="str">
        <f>""</f>
        <v/>
      </c>
      <c r="AL214" s="18" t="str">
        <f>IF(COUNTIF($A$2:A213, A213) = 1, A213, "")</f>
        <v/>
      </c>
    </row>
    <row r="215" spans="6:38" x14ac:dyDescent="0.2">
      <c r="F215" t="str">
        <f t="shared" si="33"/>
        <v/>
      </c>
      <c r="L215" s="7" t="str">
        <f t="shared" si="34"/>
        <v/>
      </c>
      <c r="N215" s="7" t="str">
        <f t="shared" si="35"/>
        <v/>
      </c>
      <c r="O215" t="str">
        <f t="shared" si="36"/>
        <v/>
      </c>
      <c r="P215" t="str">
        <f t="shared" si="37"/>
        <v/>
      </c>
      <c r="Q215" t="str">
        <f t="shared" si="38"/>
        <v/>
      </c>
      <c r="S215" t="str">
        <f>""</f>
        <v/>
      </c>
      <c r="AL215" s="18" t="str">
        <f>IF(COUNTIF($A$2:A214, A214) = 1, A214, "")</f>
        <v/>
      </c>
    </row>
    <row r="216" spans="6:38" x14ac:dyDescent="0.2">
      <c r="F216" t="str">
        <f t="shared" si="33"/>
        <v/>
      </c>
      <c r="L216" s="7" t="str">
        <f t="shared" si="34"/>
        <v/>
      </c>
      <c r="N216" s="7" t="str">
        <f t="shared" si="35"/>
        <v/>
      </c>
      <c r="O216" t="str">
        <f t="shared" si="36"/>
        <v/>
      </c>
      <c r="P216" t="str">
        <f t="shared" si="37"/>
        <v/>
      </c>
      <c r="Q216" t="str">
        <f t="shared" si="38"/>
        <v/>
      </c>
      <c r="S216" t="str">
        <f>""</f>
        <v/>
      </c>
      <c r="AL216" s="18" t="str">
        <f>IF(COUNTIF($A$2:A215, A215) = 1, A215, "")</f>
        <v/>
      </c>
    </row>
    <row r="217" spans="6:38" x14ac:dyDescent="0.2">
      <c r="F217" t="str">
        <f t="shared" si="33"/>
        <v/>
      </c>
      <c r="L217" s="7" t="str">
        <f t="shared" si="34"/>
        <v/>
      </c>
      <c r="N217" s="7" t="str">
        <f t="shared" si="35"/>
        <v/>
      </c>
      <c r="O217" t="str">
        <f t="shared" si="36"/>
        <v/>
      </c>
      <c r="P217" t="str">
        <f t="shared" si="37"/>
        <v/>
      </c>
      <c r="Q217" t="str">
        <f t="shared" si="38"/>
        <v/>
      </c>
      <c r="S217" t="str">
        <f>""</f>
        <v/>
      </c>
      <c r="AL217" s="18" t="str">
        <f>IF(COUNTIF($A$2:A216, A216) = 1, A216, "")</f>
        <v/>
      </c>
    </row>
    <row r="218" spans="6:38" x14ac:dyDescent="0.2">
      <c r="F218" t="str">
        <f t="shared" si="33"/>
        <v/>
      </c>
      <c r="L218" s="7" t="str">
        <f t="shared" si="34"/>
        <v/>
      </c>
      <c r="N218" s="7" t="str">
        <f t="shared" si="35"/>
        <v/>
      </c>
      <c r="O218" t="str">
        <f t="shared" si="36"/>
        <v/>
      </c>
      <c r="P218" t="str">
        <f t="shared" si="37"/>
        <v/>
      </c>
      <c r="Q218" t="str">
        <f t="shared" si="38"/>
        <v/>
      </c>
      <c r="S218" t="str">
        <f>""</f>
        <v/>
      </c>
      <c r="AL218" s="18" t="str">
        <f>IF(COUNTIF($A$2:A217, A217) = 1, A217, "")</f>
        <v/>
      </c>
    </row>
    <row r="219" spans="6:38" x14ac:dyDescent="0.2">
      <c r="F219" t="str">
        <f t="shared" si="33"/>
        <v/>
      </c>
      <c r="L219" s="7" t="str">
        <f t="shared" si="34"/>
        <v/>
      </c>
      <c r="N219" s="7" t="str">
        <f t="shared" si="35"/>
        <v/>
      </c>
      <c r="O219" t="str">
        <f t="shared" si="36"/>
        <v/>
      </c>
      <c r="P219" t="str">
        <f t="shared" si="37"/>
        <v/>
      </c>
      <c r="Q219" t="str">
        <f t="shared" si="38"/>
        <v/>
      </c>
      <c r="S219" t="str">
        <f>""</f>
        <v/>
      </c>
      <c r="AL219" s="18" t="str">
        <f>IF(COUNTIF($A$2:A218, A218) = 1, A218, "")</f>
        <v/>
      </c>
    </row>
    <row r="220" spans="6:38" x14ac:dyDescent="0.2">
      <c r="F220" t="str">
        <f t="shared" si="33"/>
        <v/>
      </c>
      <c r="L220" s="7" t="str">
        <f t="shared" si="34"/>
        <v/>
      </c>
      <c r="N220" s="7" t="str">
        <f t="shared" si="35"/>
        <v/>
      </c>
      <c r="O220" t="str">
        <f t="shared" si="36"/>
        <v/>
      </c>
      <c r="P220" t="str">
        <f t="shared" si="37"/>
        <v/>
      </c>
      <c r="Q220" t="str">
        <f t="shared" si="38"/>
        <v/>
      </c>
      <c r="S220" t="str">
        <f>""</f>
        <v/>
      </c>
      <c r="AL220" s="18" t="str">
        <f>IF(COUNTIF($A$2:A219, A219) = 1, A219, "")</f>
        <v/>
      </c>
    </row>
    <row r="221" spans="6:38" x14ac:dyDescent="0.2">
      <c r="F221" t="str">
        <f t="shared" si="33"/>
        <v/>
      </c>
      <c r="L221" s="7" t="str">
        <f t="shared" si="34"/>
        <v/>
      </c>
      <c r="N221" s="7" t="str">
        <f t="shared" si="35"/>
        <v/>
      </c>
      <c r="O221" t="str">
        <f t="shared" si="36"/>
        <v/>
      </c>
      <c r="P221" t="str">
        <f t="shared" si="37"/>
        <v/>
      </c>
      <c r="Q221" t="str">
        <f t="shared" si="38"/>
        <v/>
      </c>
      <c r="S221" t="str">
        <f>""</f>
        <v/>
      </c>
      <c r="AL221" s="18" t="str">
        <f>IF(COUNTIF($A$2:A220, A220) = 1, A220, "")</f>
        <v/>
      </c>
    </row>
    <row r="222" spans="6:38" x14ac:dyDescent="0.2">
      <c r="F222" t="str">
        <f t="shared" si="33"/>
        <v/>
      </c>
      <c r="L222" s="7" t="str">
        <f t="shared" si="34"/>
        <v/>
      </c>
      <c r="N222" s="7" t="str">
        <f t="shared" si="35"/>
        <v/>
      </c>
      <c r="O222" t="str">
        <f t="shared" si="36"/>
        <v/>
      </c>
      <c r="P222" t="str">
        <f t="shared" si="37"/>
        <v/>
      </c>
      <c r="Q222" t="str">
        <f t="shared" si="38"/>
        <v/>
      </c>
      <c r="S222" t="str">
        <f>""</f>
        <v/>
      </c>
      <c r="AL222" s="18" t="str">
        <f>IF(COUNTIF($A$2:A221, A221) = 1, A221, "")</f>
        <v/>
      </c>
    </row>
    <row r="223" spans="6:38" x14ac:dyDescent="0.2">
      <c r="F223" t="str">
        <f t="shared" si="33"/>
        <v/>
      </c>
      <c r="L223" s="7" t="str">
        <f t="shared" si="34"/>
        <v/>
      </c>
      <c r="N223" s="7" t="str">
        <f t="shared" si="35"/>
        <v/>
      </c>
      <c r="O223" t="str">
        <f t="shared" si="36"/>
        <v/>
      </c>
      <c r="P223" t="str">
        <f t="shared" si="37"/>
        <v/>
      </c>
      <c r="Q223" t="str">
        <f t="shared" si="38"/>
        <v/>
      </c>
      <c r="S223" t="str">
        <f>""</f>
        <v/>
      </c>
      <c r="AL223" s="18" t="str">
        <f>IF(COUNTIF($A$2:A222, A222) = 1, A222, "")</f>
        <v/>
      </c>
    </row>
    <row r="224" spans="6:38" x14ac:dyDescent="0.2">
      <c r="F224" t="str">
        <f t="shared" si="33"/>
        <v/>
      </c>
      <c r="L224" s="7" t="str">
        <f t="shared" si="34"/>
        <v/>
      </c>
      <c r="N224" s="7" t="str">
        <f t="shared" si="35"/>
        <v/>
      </c>
      <c r="O224" t="str">
        <f t="shared" si="36"/>
        <v/>
      </c>
      <c r="P224" t="str">
        <f t="shared" si="37"/>
        <v/>
      </c>
      <c r="Q224" t="str">
        <f t="shared" si="38"/>
        <v/>
      </c>
      <c r="S224" t="str">
        <f>""</f>
        <v/>
      </c>
      <c r="AL224" s="18" t="str">
        <f>IF(COUNTIF($A$2:A223, A223) = 1, A223, "")</f>
        <v/>
      </c>
    </row>
    <row r="225" spans="6:38" x14ac:dyDescent="0.2">
      <c r="F225" t="str">
        <f t="shared" si="33"/>
        <v/>
      </c>
      <c r="L225" s="7" t="str">
        <f t="shared" si="34"/>
        <v/>
      </c>
      <c r="N225" s="7" t="str">
        <f t="shared" si="35"/>
        <v/>
      </c>
      <c r="O225" t="str">
        <f t="shared" si="36"/>
        <v/>
      </c>
      <c r="P225" t="str">
        <f t="shared" si="37"/>
        <v/>
      </c>
      <c r="Q225" t="str">
        <f t="shared" si="38"/>
        <v/>
      </c>
      <c r="S225" t="str">
        <f>""</f>
        <v/>
      </c>
      <c r="AL225" s="18" t="str">
        <f>IF(COUNTIF($A$2:A224, A224) = 1, A224, "")</f>
        <v/>
      </c>
    </row>
    <row r="226" spans="6:38" x14ac:dyDescent="0.2">
      <c r="F226" t="str">
        <f t="shared" si="33"/>
        <v/>
      </c>
      <c r="L226" s="7" t="str">
        <f t="shared" si="34"/>
        <v/>
      </c>
      <c r="N226" s="7" t="str">
        <f t="shared" si="35"/>
        <v/>
      </c>
      <c r="O226" t="str">
        <f t="shared" si="36"/>
        <v/>
      </c>
      <c r="P226" t="str">
        <f t="shared" si="37"/>
        <v/>
      </c>
      <c r="Q226" t="str">
        <f t="shared" si="38"/>
        <v/>
      </c>
      <c r="S226" t="str">
        <f>""</f>
        <v/>
      </c>
      <c r="AL226" s="18" t="str">
        <f>IF(COUNTIF($A$2:A225, A225) = 1, A225, "")</f>
        <v/>
      </c>
    </row>
    <row r="227" spans="6:38" x14ac:dyDescent="0.2">
      <c r="F227" t="str">
        <f t="shared" si="33"/>
        <v/>
      </c>
      <c r="L227" s="7" t="str">
        <f t="shared" si="34"/>
        <v/>
      </c>
      <c r="N227" s="7" t="str">
        <f t="shared" si="35"/>
        <v/>
      </c>
      <c r="O227" t="str">
        <f t="shared" si="36"/>
        <v/>
      </c>
      <c r="P227" t="str">
        <f t="shared" si="37"/>
        <v/>
      </c>
      <c r="Q227" t="str">
        <f t="shared" si="38"/>
        <v/>
      </c>
      <c r="S227" t="str">
        <f>""</f>
        <v/>
      </c>
      <c r="AL227" s="18" t="str">
        <f>IF(COUNTIF($A$2:A226, A226) = 1, A226, "")</f>
        <v/>
      </c>
    </row>
    <row r="228" spans="6:38" x14ac:dyDescent="0.2">
      <c r="F228" t="str">
        <f t="shared" si="33"/>
        <v/>
      </c>
      <c r="L228" s="7" t="str">
        <f t="shared" si="34"/>
        <v/>
      </c>
      <c r="N228" s="7" t="str">
        <f t="shared" si="35"/>
        <v/>
      </c>
      <c r="O228" t="str">
        <f t="shared" si="36"/>
        <v/>
      </c>
      <c r="P228" t="str">
        <f t="shared" si="37"/>
        <v/>
      </c>
      <c r="Q228" t="str">
        <f t="shared" si="38"/>
        <v/>
      </c>
      <c r="S228" t="str">
        <f>""</f>
        <v/>
      </c>
      <c r="AL228" s="18" t="str">
        <f>IF(COUNTIF($A$2:A227, A227) = 1, A227, "")</f>
        <v/>
      </c>
    </row>
    <row r="229" spans="6:38" x14ac:dyDescent="0.2">
      <c r="F229" t="str">
        <f t="shared" si="33"/>
        <v/>
      </c>
      <c r="L229" s="7" t="str">
        <f t="shared" si="34"/>
        <v/>
      </c>
      <c r="N229" s="7" t="str">
        <f t="shared" si="35"/>
        <v/>
      </c>
      <c r="O229" t="str">
        <f t="shared" si="36"/>
        <v/>
      </c>
      <c r="P229" t="str">
        <f t="shared" si="37"/>
        <v/>
      </c>
      <c r="Q229" t="str">
        <f t="shared" si="38"/>
        <v/>
      </c>
      <c r="S229" t="str">
        <f>""</f>
        <v/>
      </c>
      <c r="AL229" s="18" t="str">
        <f>IF(COUNTIF($A$2:A228, A228) = 1, A228, "")</f>
        <v/>
      </c>
    </row>
    <row r="230" spans="6:38" x14ac:dyDescent="0.2">
      <c r="F230" t="str">
        <f t="shared" si="33"/>
        <v/>
      </c>
      <c r="L230" s="7" t="str">
        <f t="shared" si="34"/>
        <v/>
      </c>
      <c r="N230" s="7" t="str">
        <f t="shared" si="35"/>
        <v/>
      </c>
      <c r="O230" t="str">
        <f t="shared" si="36"/>
        <v/>
      </c>
      <c r="P230" t="str">
        <f t="shared" si="37"/>
        <v/>
      </c>
      <c r="Q230" t="str">
        <f t="shared" si="38"/>
        <v/>
      </c>
      <c r="S230" t="str">
        <f>""</f>
        <v/>
      </c>
      <c r="AL230" s="18" t="str">
        <f>IF(COUNTIF($A$2:A229, A229) = 1, A229, "")</f>
        <v/>
      </c>
    </row>
    <row r="231" spans="6:38" x14ac:dyDescent="0.2">
      <c r="F231" t="str">
        <f t="shared" si="33"/>
        <v/>
      </c>
      <c r="L231" s="7" t="str">
        <f t="shared" si="34"/>
        <v/>
      </c>
      <c r="N231" s="7" t="str">
        <f t="shared" si="35"/>
        <v/>
      </c>
      <c r="O231" t="str">
        <f t="shared" si="36"/>
        <v/>
      </c>
      <c r="P231" t="str">
        <f t="shared" si="37"/>
        <v/>
      </c>
      <c r="Q231" t="str">
        <f t="shared" si="38"/>
        <v/>
      </c>
      <c r="S231" t="str">
        <f>""</f>
        <v/>
      </c>
      <c r="AL231" s="18" t="str">
        <f>IF(COUNTIF($A$2:A230, A230) = 1, A230, "")</f>
        <v/>
      </c>
    </row>
    <row r="232" spans="6:38" x14ac:dyDescent="0.2">
      <c r="F232" t="str">
        <f t="shared" si="33"/>
        <v/>
      </c>
      <c r="L232" s="7" t="str">
        <f t="shared" si="34"/>
        <v/>
      </c>
      <c r="N232" s="7" t="str">
        <f t="shared" si="35"/>
        <v/>
      </c>
      <c r="O232" t="str">
        <f t="shared" si="36"/>
        <v/>
      </c>
      <c r="P232" t="str">
        <f t="shared" si="37"/>
        <v/>
      </c>
      <c r="Q232" t="str">
        <f t="shared" si="38"/>
        <v/>
      </c>
      <c r="S232" t="str">
        <f>""</f>
        <v/>
      </c>
      <c r="AL232" s="18" t="str">
        <f>IF(COUNTIF($A$2:A231, A231) = 1, A231, "")</f>
        <v/>
      </c>
    </row>
    <row r="233" spans="6:38" x14ac:dyDescent="0.2">
      <c r="F233" t="str">
        <f t="shared" si="33"/>
        <v/>
      </c>
      <c r="L233" s="7" t="str">
        <f t="shared" si="34"/>
        <v/>
      </c>
      <c r="N233" s="7" t="str">
        <f t="shared" si="35"/>
        <v/>
      </c>
      <c r="O233" t="str">
        <f t="shared" si="36"/>
        <v/>
      </c>
      <c r="P233" t="str">
        <f t="shared" si="37"/>
        <v/>
      </c>
      <c r="Q233" t="str">
        <f t="shared" si="38"/>
        <v/>
      </c>
      <c r="S233" t="str">
        <f>""</f>
        <v/>
      </c>
      <c r="AL233" s="18" t="str">
        <f>IF(COUNTIF($A$2:A232, A232) = 1, A232, "")</f>
        <v/>
      </c>
    </row>
    <row r="234" spans="6:38" x14ac:dyDescent="0.2">
      <c r="F234" t="str">
        <f t="shared" si="33"/>
        <v/>
      </c>
      <c r="L234" s="7" t="str">
        <f t="shared" si="34"/>
        <v/>
      </c>
      <c r="N234" s="7" t="str">
        <f t="shared" si="35"/>
        <v/>
      </c>
      <c r="O234" t="str">
        <f t="shared" si="36"/>
        <v/>
      </c>
      <c r="P234" t="str">
        <f t="shared" si="37"/>
        <v/>
      </c>
      <c r="Q234" t="str">
        <f t="shared" si="38"/>
        <v/>
      </c>
      <c r="S234" t="str">
        <f>""</f>
        <v/>
      </c>
      <c r="AL234" s="18" t="str">
        <f>IF(COUNTIF($A$2:A233, A233) = 1, A233, "")</f>
        <v/>
      </c>
    </row>
    <row r="235" spans="6:38" x14ac:dyDescent="0.2">
      <c r="F235" t="str">
        <f t="shared" si="33"/>
        <v/>
      </c>
      <c r="L235" s="7" t="str">
        <f t="shared" si="34"/>
        <v/>
      </c>
      <c r="N235" s="7" t="str">
        <f t="shared" si="35"/>
        <v/>
      </c>
      <c r="O235" t="str">
        <f t="shared" si="36"/>
        <v/>
      </c>
      <c r="P235" t="str">
        <f t="shared" si="37"/>
        <v/>
      </c>
      <c r="Q235" t="str">
        <f t="shared" si="38"/>
        <v/>
      </c>
      <c r="S235" t="str">
        <f>""</f>
        <v/>
      </c>
      <c r="AL235" s="18" t="str">
        <f>IF(COUNTIF($A$2:A234, A234) = 1, A234, "")</f>
        <v/>
      </c>
    </row>
    <row r="236" spans="6:38" x14ac:dyDescent="0.2">
      <c r="F236" t="str">
        <f t="shared" si="33"/>
        <v/>
      </c>
      <c r="L236" s="7" t="str">
        <f t="shared" si="34"/>
        <v/>
      </c>
      <c r="N236" s="7" t="str">
        <f t="shared" si="35"/>
        <v/>
      </c>
      <c r="O236" t="str">
        <f t="shared" si="36"/>
        <v/>
      </c>
      <c r="P236" t="str">
        <f t="shared" si="37"/>
        <v/>
      </c>
      <c r="Q236" t="str">
        <f t="shared" si="38"/>
        <v/>
      </c>
      <c r="S236" t="str">
        <f>""</f>
        <v/>
      </c>
      <c r="AL236" s="18" t="str">
        <f>IF(COUNTIF($A$2:A235, A235) = 1, A235, "")</f>
        <v/>
      </c>
    </row>
    <row r="237" spans="6:38" x14ac:dyDescent="0.2">
      <c r="F237" t="str">
        <f t="shared" si="33"/>
        <v/>
      </c>
      <c r="L237" s="7" t="str">
        <f t="shared" si="34"/>
        <v/>
      </c>
      <c r="N237" s="7" t="str">
        <f t="shared" si="35"/>
        <v/>
      </c>
      <c r="O237" t="str">
        <f t="shared" si="36"/>
        <v/>
      </c>
      <c r="P237" t="str">
        <f t="shared" si="37"/>
        <v/>
      </c>
      <c r="Q237" t="str">
        <f t="shared" si="38"/>
        <v/>
      </c>
      <c r="S237" t="str">
        <f>""</f>
        <v/>
      </c>
      <c r="AL237" s="18" t="str">
        <f>IF(COUNTIF($A$2:A236, A236) = 1, A236, "")</f>
        <v/>
      </c>
    </row>
    <row r="238" spans="6:38" x14ac:dyDescent="0.2">
      <c r="F238" t="str">
        <f t="shared" si="33"/>
        <v/>
      </c>
      <c r="L238" s="7" t="str">
        <f t="shared" si="34"/>
        <v/>
      </c>
      <c r="N238" s="7" t="str">
        <f t="shared" si="35"/>
        <v/>
      </c>
      <c r="O238" t="str">
        <f t="shared" si="36"/>
        <v/>
      </c>
      <c r="P238" t="str">
        <f t="shared" si="37"/>
        <v/>
      </c>
      <c r="Q238" t="str">
        <f t="shared" si="38"/>
        <v/>
      </c>
      <c r="S238" t="str">
        <f>""</f>
        <v/>
      </c>
      <c r="AL238" s="18" t="str">
        <f>IF(COUNTIF($A$2:A237, A237) = 1, A237, "")</f>
        <v/>
      </c>
    </row>
    <row r="239" spans="6:38" x14ac:dyDescent="0.2">
      <c r="F239" t="str">
        <f t="shared" si="33"/>
        <v/>
      </c>
      <c r="L239" s="7" t="str">
        <f t="shared" si="34"/>
        <v/>
      </c>
      <c r="N239" s="7" t="str">
        <f t="shared" si="35"/>
        <v/>
      </c>
      <c r="O239" t="str">
        <f t="shared" si="36"/>
        <v/>
      </c>
      <c r="P239" t="str">
        <f t="shared" si="37"/>
        <v/>
      </c>
      <c r="Q239" t="str">
        <f t="shared" si="38"/>
        <v/>
      </c>
      <c r="S239" t="str">
        <f>""</f>
        <v/>
      </c>
      <c r="AL239" s="18" t="str">
        <f>IF(COUNTIF($A$2:A238, A238) = 1, A238, "")</f>
        <v/>
      </c>
    </row>
    <row r="240" spans="6:38" x14ac:dyDescent="0.2">
      <c r="F240" t="str">
        <f t="shared" si="33"/>
        <v/>
      </c>
      <c r="L240" s="7" t="str">
        <f t="shared" si="34"/>
        <v/>
      </c>
      <c r="N240" s="7" t="str">
        <f t="shared" si="35"/>
        <v/>
      </c>
      <c r="O240" t="str">
        <f t="shared" si="36"/>
        <v/>
      </c>
      <c r="P240" t="str">
        <f t="shared" si="37"/>
        <v/>
      </c>
      <c r="Q240" t="str">
        <f t="shared" si="38"/>
        <v/>
      </c>
      <c r="S240" t="str">
        <f>""</f>
        <v/>
      </c>
      <c r="AL240" s="18" t="str">
        <f>IF(COUNTIF($A$2:A239, A239) = 1, A239, "")</f>
        <v/>
      </c>
    </row>
    <row r="241" spans="6:38" x14ac:dyDescent="0.2">
      <c r="F241" t="str">
        <f t="shared" si="33"/>
        <v/>
      </c>
      <c r="L241" s="7" t="str">
        <f t="shared" si="34"/>
        <v/>
      </c>
      <c r="N241" s="7" t="str">
        <f t="shared" si="35"/>
        <v/>
      </c>
      <c r="O241" t="str">
        <f t="shared" si="36"/>
        <v/>
      </c>
      <c r="P241" t="str">
        <f t="shared" si="37"/>
        <v/>
      </c>
      <c r="Q241" t="str">
        <f t="shared" si="38"/>
        <v/>
      </c>
      <c r="S241" t="str">
        <f>""</f>
        <v/>
      </c>
      <c r="AL241" s="18" t="str">
        <f>IF(COUNTIF($A$2:A240, A240) = 1, A240, "")</f>
        <v/>
      </c>
    </row>
    <row r="242" spans="6:38" x14ac:dyDescent="0.2">
      <c r="F242" t="str">
        <f t="shared" si="33"/>
        <v/>
      </c>
      <c r="L242" s="7" t="str">
        <f t="shared" si="34"/>
        <v/>
      </c>
      <c r="N242" s="7" t="str">
        <f t="shared" si="35"/>
        <v/>
      </c>
      <c r="O242" t="str">
        <f t="shared" si="36"/>
        <v/>
      </c>
      <c r="P242" t="str">
        <f t="shared" si="37"/>
        <v/>
      </c>
      <c r="Q242" t="str">
        <f t="shared" si="38"/>
        <v/>
      </c>
      <c r="S242" t="str">
        <f>""</f>
        <v/>
      </c>
      <c r="AL242" s="18" t="str">
        <f>IF(COUNTIF($A$2:A241, A241) = 1, A241, "")</f>
        <v/>
      </c>
    </row>
    <row r="243" spans="6:38" x14ac:dyDescent="0.2">
      <c r="F243" t="str">
        <f t="shared" si="33"/>
        <v/>
      </c>
      <c r="L243" s="7" t="str">
        <f t="shared" si="34"/>
        <v/>
      </c>
      <c r="N243" s="7" t="str">
        <f t="shared" si="35"/>
        <v/>
      </c>
      <c r="O243" t="str">
        <f t="shared" si="36"/>
        <v/>
      </c>
      <c r="P243" t="str">
        <f t="shared" si="37"/>
        <v/>
      </c>
      <c r="Q243" t="str">
        <f t="shared" si="38"/>
        <v/>
      </c>
      <c r="S243" t="str">
        <f>""</f>
        <v/>
      </c>
      <c r="AL243" s="18" t="str">
        <f>IF(COUNTIF($A$2:A242, A242) = 1, A242, "")</f>
        <v/>
      </c>
    </row>
    <row r="244" spans="6:38" x14ac:dyDescent="0.2">
      <c r="F244" t="str">
        <f t="shared" si="33"/>
        <v/>
      </c>
      <c r="L244" s="7" t="str">
        <f t="shared" si="34"/>
        <v/>
      </c>
      <c r="N244" s="7" t="str">
        <f t="shared" si="35"/>
        <v/>
      </c>
      <c r="O244" t="str">
        <f t="shared" si="36"/>
        <v/>
      </c>
      <c r="P244" t="str">
        <f t="shared" si="37"/>
        <v/>
      </c>
      <c r="Q244" t="str">
        <f t="shared" si="38"/>
        <v/>
      </c>
      <c r="S244" t="str">
        <f>""</f>
        <v/>
      </c>
      <c r="AL244" s="18" t="str">
        <f>IF(COUNTIF($A$2:A243, A243) = 1, A243, "")</f>
        <v/>
      </c>
    </row>
    <row r="245" spans="6:38" x14ac:dyDescent="0.2">
      <c r="F245" t="str">
        <f t="shared" si="33"/>
        <v/>
      </c>
      <c r="L245" s="7" t="str">
        <f t="shared" si="34"/>
        <v/>
      </c>
      <c r="N245" s="7" t="str">
        <f t="shared" si="35"/>
        <v/>
      </c>
      <c r="O245" t="str">
        <f t="shared" si="36"/>
        <v/>
      </c>
      <c r="P245" t="str">
        <f t="shared" si="37"/>
        <v/>
      </c>
      <c r="Q245" t="str">
        <f t="shared" si="38"/>
        <v/>
      </c>
      <c r="S245" t="str">
        <f>""</f>
        <v/>
      </c>
      <c r="AL245" s="18" t="str">
        <f>IF(COUNTIF($A$2:A244, A244) = 1, A244, "")</f>
        <v/>
      </c>
    </row>
    <row r="246" spans="6:38" x14ac:dyDescent="0.2">
      <c r="F246" t="str">
        <f t="shared" si="33"/>
        <v/>
      </c>
      <c r="L246" s="7" t="str">
        <f t="shared" si="34"/>
        <v/>
      </c>
      <c r="N246" s="7" t="str">
        <f t="shared" si="35"/>
        <v/>
      </c>
      <c r="O246" t="str">
        <f t="shared" si="36"/>
        <v/>
      </c>
      <c r="P246" t="str">
        <f t="shared" si="37"/>
        <v/>
      </c>
      <c r="Q246" t="str">
        <f t="shared" si="38"/>
        <v/>
      </c>
      <c r="S246" t="str">
        <f>""</f>
        <v/>
      </c>
      <c r="AL246" s="18" t="str">
        <f>IF(COUNTIF($A$2:A245, A245) = 1, A245, "")</f>
        <v/>
      </c>
    </row>
    <row r="247" spans="6:38" x14ac:dyDescent="0.2">
      <c r="F247" t="str">
        <f t="shared" si="33"/>
        <v/>
      </c>
      <c r="L247" s="7" t="str">
        <f t="shared" si="34"/>
        <v/>
      </c>
      <c r="N247" s="7" t="str">
        <f t="shared" si="35"/>
        <v/>
      </c>
      <c r="O247" t="str">
        <f t="shared" si="36"/>
        <v/>
      </c>
      <c r="P247" t="str">
        <f t="shared" si="37"/>
        <v/>
      </c>
      <c r="Q247" t="str">
        <f t="shared" si="38"/>
        <v/>
      </c>
      <c r="S247" t="str">
        <f>""</f>
        <v/>
      </c>
      <c r="AL247" s="18" t="str">
        <f>IF(COUNTIF($A$2:A246, A246) = 1, A246, "")</f>
        <v/>
      </c>
    </row>
    <row r="248" spans="6:38" x14ac:dyDescent="0.2">
      <c r="F248" t="str">
        <f t="shared" si="33"/>
        <v/>
      </c>
      <c r="L248" s="7" t="str">
        <f t="shared" si="34"/>
        <v/>
      </c>
      <c r="N248" s="7" t="str">
        <f t="shared" si="35"/>
        <v/>
      </c>
      <c r="O248" t="str">
        <f t="shared" si="36"/>
        <v/>
      </c>
      <c r="P248" t="str">
        <f t="shared" si="37"/>
        <v/>
      </c>
      <c r="Q248" t="str">
        <f t="shared" si="38"/>
        <v/>
      </c>
      <c r="S248" t="str">
        <f>""</f>
        <v/>
      </c>
      <c r="AL248" s="18" t="str">
        <f>IF(COUNTIF($A$2:A247, A247) = 1, A247, "")</f>
        <v/>
      </c>
    </row>
    <row r="249" spans="6:38" x14ac:dyDescent="0.2">
      <c r="F249" t="str">
        <f t="shared" si="33"/>
        <v/>
      </c>
      <c r="L249" s="7" t="str">
        <f t="shared" si="34"/>
        <v/>
      </c>
      <c r="N249" s="7" t="str">
        <f t="shared" si="35"/>
        <v/>
      </c>
      <c r="O249" t="str">
        <f t="shared" si="36"/>
        <v/>
      </c>
      <c r="P249" t="str">
        <f t="shared" si="37"/>
        <v/>
      </c>
      <c r="Q249" t="str">
        <f t="shared" si="38"/>
        <v/>
      </c>
      <c r="S249" t="str">
        <f>""</f>
        <v/>
      </c>
      <c r="AL249" s="18" t="str">
        <f>IF(COUNTIF($A$2:A248, A248) = 1, A248, "")</f>
        <v/>
      </c>
    </row>
    <row r="250" spans="6:38" x14ac:dyDescent="0.2">
      <c r="F250" t="str">
        <f t="shared" si="33"/>
        <v/>
      </c>
      <c r="L250" s="7" t="str">
        <f t="shared" si="34"/>
        <v/>
      </c>
      <c r="N250" s="7" t="str">
        <f t="shared" si="35"/>
        <v/>
      </c>
      <c r="O250" t="str">
        <f t="shared" si="36"/>
        <v/>
      </c>
      <c r="P250" t="str">
        <f t="shared" si="37"/>
        <v/>
      </c>
      <c r="Q250" t="str">
        <f t="shared" si="38"/>
        <v/>
      </c>
      <c r="S250" t="str">
        <f>""</f>
        <v/>
      </c>
      <c r="AL250" s="18" t="str">
        <f>IF(COUNTIF($A$2:A249, A249) = 1, A249, "")</f>
        <v/>
      </c>
    </row>
    <row r="251" spans="6:38" x14ac:dyDescent="0.2">
      <c r="F251" t="str">
        <f t="shared" si="33"/>
        <v/>
      </c>
      <c r="L251" s="7" t="str">
        <f t="shared" si="34"/>
        <v/>
      </c>
      <c r="N251" s="7" t="str">
        <f t="shared" si="35"/>
        <v/>
      </c>
      <c r="O251" t="str">
        <f t="shared" si="36"/>
        <v/>
      </c>
      <c r="P251" t="str">
        <f t="shared" si="37"/>
        <v/>
      </c>
      <c r="Q251" t="str">
        <f t="shared" si="38"/>
        <v/>
      </c>
      <c r="S251" t="str">
        <f>""</f>
        <v/>
      </c>
      <c r="AL251" s="18" t="str">
        <f>IF(COUNTIF($A$2:A250, A250) = 1, A250, "")</f>
        <v/>
      </c>
    </row>
    <row r="252" spans="6:38" x14ac:dyDescent="0.2">
      <c r="F252" t="str">
        <f t="shared" si="33"/>
        <v/>
      </c>
      <c r="L252" s="7" t="str">
        <f t="shared" si="34"/>
        <v/>
      </c>
      <c r="N252" s="7" t="str">
        <f t="shared" si="35"/>
        <v/>
      </c>
      <c r="O252" t="str">
        <f t="shared" si="36"/>
        <v/>
      </c>
      <c r="P252" t="str">
        <f t="shared" si="37"/>
        <v/>
      </c>
      <c r="Q252" t="str">
        <f t="shared" si="38"/>
        <v/>
      </c>
      <c r="S252" t="str">
        <f>""</f>
        <v/>
      </c>
      <c r="AL252" s="18" t="str">
        <f>IF(COUNTIF($A$2:A251, A251) = 1, A251, "")</f>
        <v/>
      </c>
    </row>
    <row r="253" spans="6:38" x14ac:dyDescent="0.2">
      <c r="F253" t="str">
        <f t="shared" si="33"/>
        <v/>
      </c>
      <c r="L253" s="7" t="str">
        <f t="shared" si="34"/>
        <v/>
      </c>
      <c r="N253" s="7" t="str">
        <f t="shared" si="35"/>
        <v/>
      </c>
      <c r="O253" t="str">
        <f t="shared" si="36"/>
        <v/>
      </c>
      <c r="P253" t="str">
        <f t="shared" si="37"/>
        <v/>
      </c>
      <c r="Q253" t="str">
        <f t="shared" si="38"/>
        <v/>
      </c>
      <c r="S253" t="str">
        <f>""</f>
        <v/>
      </c>
      <c r="AL253" s="18" t="str">
        <f>IF(COUNTIF($A$2:A252, A252) = 1, A252, "")</f>
        <v/>
      </c>
    </row>
    <row r="254" spans="6:38" x14ac:dyDescent="0.2">
      <c r="F254" t="str">
        <f t="shared" si="33"/>
        <v/>
      </c>
      <c r="L254" s="7" t="str">
        <f t="shared" si="34"/>
        <v/>
      </c>
      <c r="N254" s="7" t="str">
        <f t="shared" si="35"/>
        <v/>
      </c>
      <c r="O254" t="str">
        <f t="shared" si="36"/>
        <v/>
      </c>
      <c r="P254" t="str">
        <f t="shared" si="37"/>
        <v/>
      </c>
      <c r="Q254" t="str">
        <f t="shared" si="38"/>
        <v/>
      </c>
      <c r="S254" t="str">
        <f>""</f>
        <v/>
      </c>
      <c r="AL254" s="18" t="str">
        <f>IF(COUNTIF($A$2:A253, A253) = 1, A253, "")</f>
        <v/>
      </c>
    </row>
    <row r="255" spans="6:38" x14ac:dyDescent="0.2">
      <c r="F255" t="str">
        <f t="shared" si="33"/>
        <v/>
      </c>
      <c r="L255" s="7" t="str">
        <f t="shared" si="34"/>
        <v/>
      </c>
      <c r="N255" s="7" t="str">
        <f t="shared" si="35"/>
        <v/>
      </c>
      <c r="O255" t="str">
        <f t="shared" si="36"/>
        <v/>
      </c>
      <c r="P255" t="str">
        <f t="shared" si="37"/>
        <v/>
      </c>
      <c r="Q255" t="str">
        <f t="shared" si="38"/>
        <v/>
      </c>
      <c r="S255" t="str">
        <f>""</f>
        <v/>
      </c>
      <c r="AL255" s="18" t="str">
        <f>IF(COUNTIF($A$2:A254, A254) = 1, A254, "")</f>
        <v/>
      </c>
    </row>
    <row r="256" spans="6:38" x14ac:dyDescent="0.2">
      <c r="F256" t="str">
        <f t="shared" si="33"/>
        <v/>
      </c>
      <c r="L256" s="7" t="str">
        <f t="shared" si="34"/>
        <v/>
      </c>
      <c r="N256" s="7" t="str">
        <f t="shared" si="35"/>
        <v/>
      </c>
      <c r="O256" t="str">
        <f t="shared" si="36"/>
        <v/>
      </c>
      <c r="P256" t="str">
        <f t="shared" si="37"/>
        <v/>
      </c>
      <c r="Q256" t="str">
        <f t="shared" si="38"/>
        <v/>
      </c>
      <c r="S256" t="str">
        <f>""</f>
        <v/>
      </c>
      <c r="AL256" s="18" t="str">
        <f>IF(COUNTIF($A$2:A255, A255) = 1, A255, "")</f>
        <v/>
      </c>
    </row>
    <row r="257" spans="6:38" x14ac:dyDescent="0.2">
      <c r="F257" t="str">
        <f t="shared" si="33"/>
        <v/>
      </c>
      <c r="L257" s="7" t="str">
        <f t="shared" si="34"/>
        <v/>
      </c>
      <c r="N257" s="7" t="str">
        <f t="shared" si="35"/>
        <v/>
      </c>
      <c r="O257" t="str">
        <f t="shared" si="36"/>
        <v/>
      </c>
      <c r="P257" t="str">
        <f t="shared" si="37"/>
        <v/>
      </c>
      <c r="Q257" t="str">
        <f t="shared" si="38"/>
        <v/>
      </c>
      <c r="S257" t="str">
        <f>""</f>
        <v/>
      </c>
      <c r="AL257" s="18" t="str">
        <f>IF(COUNTIF($A$2:A256, A256) = 1, A256, "")</f>
        <v/>
      </c>
    </row>
    <row r="258" spans="6:38" x14ac:dyDescent="0.2">
      <c r="F258" t="str">
        <f t="shared" si="33"/>
        <v/>
      </c>
      <c r="L258" s="7" t="str">
        <f t="shared" si="34"/>
        <v/>
      </c>
      <c r="N258" s="7" t="str">
        <f t="shared" si="35"/>
        <v/>
      </c>
      <c r="O258" t="str">
        <f t="shared" si="36"/>
        <v/>
      </c>
      <c r="P258" t="str">
        <f t="shared" si="37"/>
        <v/>
      </c>
      <c r="Q258" t="str">
        <f t="shared" si="38"/>
        <v/>
      </c>
      <c r="S258" t="str">
        <f>""</f>
        <v/>
      </c>
      <c r="AL258" s="18" t="str">
        <f>IF(COUNTIF($A$2:A257, A257) = 1, A257, "")</f>
        <v/>
      </c>
    </row>
    <row r="259" spans="6:38" x14ac:dyDescent="0.2">
      <c r="F259" t="str">
        <f t="shared" si="33"/>
        <v/>
      </c>
      <c r="L259" s="7" t="str">
        <f t="shared" si="34"/>
        <v/>
      </c>
      <c r="N259" s="7" t="str">
        <f t="shared" si="35"/>
        <v/>
      </c>
      <c r="O259" t="str">
        <f t="shared" si="36"/>
        <v/>
      </c>
      <c r="P259" t="str">
        <f t="shared" si="37"/>
        <v/>
      </c>
      <c r="Q259" t="str">
        <f t="shared" si="38"/>
        <v/>
      </c>
      <c r="S259" t="str">
        <f>""</f>
        <v/>
      </c>
      <c r="AL259" s="18" t="str">
        <f>IF(COUNTIF($A$2:A258, A258) = 1, A258, "")</f>
        <v/>
      </c>
    </row>
    <row r="260" spans="6:38" x14ac:dyDescent="0.2">
      <c r="F260" t="str">
        <f t="shared" si="33"/>
        <v/>
      </c>
      <c r="L260" s="7" t="str">
        <f t="shared" si="34"/>
        <v/>
      </c>
      <c r="N260" s="7" t="str">
        <f t="shared" si="35"/>
        <v/>
      </c>
      <c r="O260" t="str">
        <f t="shared" si="36"/>
        <v/>
      </c>
      <c r="P260" t="str">
        <f t="shared" si="37"/>
        <v/>
      </c>
      <c r="Q260" t="str">
        <f t="shared" si="38"/>
        <v/>
      </c>
      <c r="S260" t="str">
        <f>""</f>
        <v/>
      </c>
      <c r="AL260" s="18" t="str">
        <f>IF(COUNTIF($A$2:A259, A259) = 1, A259, "")</f>
        <v/>
      </c>
    </row>
    <row r="261" spans="6:38" x14ac:dyDescent="0.2">
      <c r="F261" t="str">
        <f t="shared" si="33"/>
        <v/>
      </c>
      <c r="L261" s="7" t="str">
        <f t="shared" si="34"/>
        <v/>
      </c>
      <c r="N261" s="7" t="str">
        <f t="shared" si="35"/>
        <v/>
      </c>
      <c r="O261" t="str">
        <f t="shared" si="36"/>
        <v/>
      </c>
      <c r="P261" t="str">
        <f t="shared" si="37"/>
        <v/>
      </c>
      <c r="Q261" t="str">
        <f t="shared" si="38"/>
        <v/>
      </c>
      <c r="S261" t="str">
        <f>""</f>
        <v/>
      </c>
      <c r="AL261" s="18" t="str">
        <f>IF(COUNTIF($A$2:A260, A260) = 1, A260, "")</f>
        <v/>
      </c>
    </row>
    <row r="262" spans="6:38" x14ac:dyDescent="0.2">
      <c r="F262" t="str">
        <f t="shared" si="33"/>
        <v/>
      </c>
      <c r="L262" s="7" t="str">
        <f t="shared" si="34"/>
        <v/>
      </c>
      <c r="N262" s="7" t="str">
        <f t="shared" si="35"/>
        <v/>
      </c>
      <c r="O262" t="str">
        <f t="shared" si="36"/>
        <v/>
      </c>
      <c r="P262" t="str">
        <f t="shared" si="37"/>
        <v/>
      </c>
      <c r="Q262" t="str">
        <f t="shared" si="38"/>
        <v/>
      </c>
      <c r="S262" t="str">
        <f>""</f>
        <v/>
      </c>
      <c r="AL262" s="18" t="str">
        <f>IF(COUNTIF($A$2:A261, A261) = 1, A261, "")</f>
        <v/>
      </c>
    </row>
    <row r="263" spans="6:38" x14ac:dyDescent="0.2">
      <c r="F263" t="str">
        <f t="shared" si="33"/>
        <v/>
      </c>
      <c r="L263" s="7" t="str">
        <f t="shared" si="34"/>
        <v/>
      </c>
      <c r="N263" s="7" t="str">
        <f t="shared" si="35"/>
        <v/>
      </c>
      <c r="O263" t="str">
        <f t="shared" si="36"/>
        <v/>
      </c>
      <c r="P263" t="str">
        <f t="shared" si="37"/>
        <v/>
      </c>
      <c r="Q263" t="str">
        <f t="shared" si="38"/>
        <v/>
      </c>
      <c r="S263" t="str">
        <f>""</f>
        <v/>
      </c>
      <c r="AL263" s="18" t="str">
        <f>IF(COUNTIF($A$2:A262, A262) = 1, A262, "")</f>
        <v/>
      </c>
    </row>
    <row r="264" spans="6:38" x14ac:dyDescent="0.2">
      <c r="F264" t="str">
        <f t="shared" si="33"/>
        <v/>
      </c>
      <c r="L264" s="7" t="str">
        <f t="shared" si="34"/>
        <v/>
      </c>
      <c r="N264" s="7" t="str">
        <f t="shared" si="35"/>
        <v/>
      </c>
      <c r="O264" t="str">
        <f t="shared" si="36"/>
        <v/>
      </c>
      <c r="P264" t="str">
        <f t="shared" si="37"/>
        <v/>
      </c>
      <c r="Q264" t="str">
        <f t="shared" si="38"/>
        <v/>
      </c>
      <c r="S264" t="str">
        <f>""</f>
        <v/>
      </c>
      <c r="AL264" s="18" t="str">
        <f>IF(COUNTIF($A$2:A263, A263) = 1, A263, "")</f>
        <v/>
      </c>
    </row>
    <row r="265" spans="6:38" x14ac:dyDescent="0.2">
      <c r="F265" t="str">
        <f t="shared" si="33"/>
        <v/>
      </c>
      <c r="L265" s="7" t="str">
        <f t="shared" si="34"/>
        <v/>
      </c>
      <c r="N265" s="7" t="str">
        <f t="shared" si="35"/>
        <v/>
      </c>
      <c r="O265" t="str">
        <f t="shared" si="36"/>
        <v/>
      </c>
      <c r="P265" t="str">
        <f t="shared" si="37"/>
        <v/>
      </c>
      <c r="Q265" t="str">
        <f t="shared" si="38"/>
        <v/>
      </c>
      <c r="S265" t="str">
        <f>""</f>
        <v/>
      </c>
      <c r="AL265" s="18" t="str">
        <f>IF(COUNTIF($A$2:A264, A264) = 1, A264, "")</f>
        <v/>
      </c>
    </row>
    <row r="266" spans="6:38" x14ac:dyDescent="0.2">
      <c r="F266" t="str">
        <f t="shared" si="33"/>
        <v/>
      </c>
      <c r="L266" s="7" t="str">
        <f t="shared" si="34"/>
        <v/>
      </c>
      <c r="N266" s="7" t="str">
        <f t="shared" si="35"/>
        <v/>
      </c>
      <c r="O266" t="str">
        <f t="shared" si="36"/>
        <v/>
      </c>
      <c r="P266" t="str">
        <f t="shared" si="37"/>
        <v/>
      </c>
      <c r="Q266" t="str">
        <f t="shared" si="38"/>
        <v/>
      </c>
      <c r="S266" t="str">
        <f>""</f>
        <v/>
      </c>
      <c r="AL266" s="18" t="str">
        <f>IF(COUNTIF($A$2:A265, A265) = 1, A265, "")</f>
        <v/>
      </c>
    </row>
    <row r="267" spans="6:38" x14ac:dyDescent="0.2">
      <c r="F267" t="str">
        <f t="shared" si="33"/>
        <v/>
      </c>
      <c r="L267" s="7" t="str">
        <f t="shared" si="34"/>
        <v/>
      </c>
      <c r="N267" s="7" t="str">
        <f t="shared" si="35"/>
        <v/>
      </c>
      <c r="O267" t="str">
        <f t="shared" si="36"/>
        <v/>
      </c>
      <c r="P267" t="str">
        <f t="shared" si="37"/>
        <v/>
      </c>
      <c r="Q267" t="str">
        <f t="shared" si="38"/>
        <v/>
      </c>
      <c r="S267" t="str">
        <f>""</f>
        <v/>
      </c>
      <c r="AL267" s="18" t="str">
        <f>IF(COUNTIF($A$2:A266, A266) = 1, A266, "")</f>
        <v/>
      </c>
    </row>
    <row r="268" spans="6:38" x14ac:dyDescent="0.2">
      <c r="F268" t="str">
        <f t="shared" si="33"/>
        <v/>
      </c>
      <c r="L268" s="7" t="str">
        <f t="shared" si="34"/>
        <v/>
      </c>
      <c r="N268" s="7" t="str">
        <f t="shared" si="35"/>
        <v/>
      </c>
      <c r="O268" t="str">
        <f t="shared" si="36"/>
        <v/>
      </c>
      <c r="P268" t="str">
        <f t="shared" si="37"/>
        <v/>
      </c>
      <c r="Q268" t="str">
        <f t="shared" si="38"/>
        <v/>
      </c>
      <c r="S268" t="str">
        <f>""</f>
        <v/>
      </c>
      <c r="AL268" s="18" t="str">
        <f>IF(COUNTIF($A$2:A267, A267) = 1, A267, "")</f>
        <v/>
      </c>
    </row>
    <row r="269" spans="6:38" x14ac:dyDescent="0.2">
      <c r="F269" t="str">
        <f t="shared" si="33"/>
        <v/>
      </c>
      <c r="L269" s="7" t="str">
        <f t="shared" si="34"/>
        <v/>
      </c>
      <c r="N269" s="7" t="str">
        <f t="shared" si="35"/>
        <v/>
      </c>
      <c r="O269" t="str">
        <f t="shared" si="36"/>
        <v/>
      </c>
      <c r="P269" t="str">
        <f t="shared" si="37"/>
        <v/>
      </c>
      <c r="Q269" t="str">
        <f t="shared" si="38"/>
        <v/>
      </c>
      <c r="S269" t="str">
        <f>""</f>
        <v/>
      </c>
      <c r="AL269" s="18" t="str">
        <f>IF(COUNTIF($A$2:A268, A268) = 1, A268, "")</f>
        <v/>
      </c>
    </row>
    <row r="270" spans="6:38" x14ac:dyDescent="0.2">
      <c r="F270" t="str">
        <f t="shared" si="33"/>
        <v/>
      </c>
      <c r="L270" s="7" t="str">
        <f t="shared" si="34"/>
        <v/>
      </c>
      <c r="N270" s="7" t="str">
        <f t="shared" si="35"/>
        <v/>
      </c>
      <c r="O270" t="str">
        <f t="shared" si="36"/>
        <v/>
      </c>
      <c r="P270" t="str">
        <f t="shared" si="37"/>
        <v/>
      </c>
      <c r="Q270" t="str">
        <f t="shared" si="38"/>
        <v/>
      </c>
      <c r="S270" t="str">
        <f>""</f>
        <v/>
      </c>
      <c r="AL270" s="18" t="str">
        <f>IF(COUNTIF($A$2:A269, A269) = 1, A269, "")</f>
        <v/>
      </c>
    </row>
    <row r="271" spans="6:38" x14ac:dyDescent="0.2">
      <c r="F271" t="str">
        <f t="shared" si="33"/>
        <v/>
      </c>
      <c r="L271" s="7" t="str">
        <f t="shared" si="34"/>
        <v/>
      </c>
      <c r="N271" s="7" t="str">
        <f t="shared" si="35"/>
        <v/>
      </c>
      <c r="O271" t="str">
        <f t="shared" si="36"/>
        <v/>
      </c>
      <c r="P271" t="str">
        <f t="shared" si="37"/>
        <v/>
      </c>
      <c r="Q271" t="str">
        <f t="shared" si="38"/>
        <v/>
      </c>
      <c r="S271" t="str">
        <f>""</f>
        <v/>
      </c>
      <c r="AL271" s="18" t="str">
        <f>IF(COUNTIF($A$2:A270, A270) = 1, A270, "")</f>
        <v/>
      </c>
    </row>
    <row r="272" spans="6:38" x14ac:dyDescent="0.2">
      <c r="F272" t="str">
        <f t="shared" ref="F272:F335" si="39">IF(OR(O272="", P272=""), "", SUM(IF((O272&lt;&gt;"None")*(O272&lt;&gt;""),LEN(O272)-LEN(SUBSTITUTE(O272,",",""))+1,0)) + SUM(IF((P272&lt;&gt;"None")*(P272&lt;&gt;""),LEN(P272)-LEN(SUBSTITUTE(P272,",",""))+1,0)))</f>
        <v/>
      </c>
      <c r="L272" s="7" t="str">
        <f t="shared" ref="L272:L335" si="40">IF(LEN(E272)=0, "", IFERROR(IF(E272&gt;=0, K272 * (1 + E272/100) - K272, K272 / (ABS(E272)/100))+K272, ""))</f>
        <v/>
      </c>
      <c r="N272" s="7" t="str">
        <f t="shared" ref="N272:N335" si="41">IF(M272="Yes",L272-K272,IF(M272="No",-K272,""))</f>
        <v/>
      </c>
      <c r="O272" t="str">
        <f t="shared" ref="O272:O335" si="42">IF(AND(G272="No",H272="No"), "None", "")</f>
        <v/>
      </c>
      <c r="P272" t="str">
        <f t="shared" ref="P272:P335" si="43">IF(I272="No", "None", "")</f>
        <v/>
      </c>
      <c r="Q272" t="str">
        <f t="shared" ref="Q272:Q335" si="44">IF(AND(D272="Straight", M272 = "No"),IF(O272="None",P272,IF(P272="None",O272) ),"")</f>
        <v/>
      </c>
      <c r="S272" t="str">
        <f>""</f>
        <v/>
      </c>
      <c r="AL272" s="18" t="str">
        <f>IF(COUNTIF($A$2:A271, A271) = 1, A271, "")</f>
        <v/>
      </c>
    </row>
    <row r="273" spans="6:38" x14ac:dyDescent="0.2">
      <c r="F273" t="str">
        <f t="shared" si="39"/>
        <v/>
      </c>
      <c r="L273" s="7" t="str">
        <f t="shared" si="40"/>
        <v/>
      </c>
      <c r="N273" s="7" t="str">
        <f t="shared" si="41"/>
        <v/>
      </c>
      <c r="O273" t="str">
        <f t="shared" si="42"/>
        <v/>
      </c>
      <c r="P273" t="str">
        <f t="shared" si="43"/>
        <v/>
      </c>
      <c r="Q273" t="str">
        <f t="shared" si="44"/>
        <v/>
      </c>
      <c r="S273" t="str">
        <f>""</f>
        <v/>
      </c>
      <c r="AL273" s="18" t="str">
        <f>IF(COUNTIF($A$2:A272, A272) = 1, A272, "")</f>
        <v/>
      </c>
    </row>
    <row r="274" spans="6:38" x14ac:dyDescent="0.2">
      <c r="F274" t="str">
        <f t="shared" si="39"/>
        <v/>
      </c>
      <c r="L274" s="7" t="str">
        <f t="shared" si="40"/>
        <v/>
      </c>
      <c r="N274" s="7" t="str">
        <f t="shared" si="41"/>
        <v/>
      </c>
      <c r="O274" t="str">
        <f t="shared" si="42"/>
        <v/>
      </c>
      <c r="P274" t="str">
        <f t="shared" si="43"/>
        <v/>
      </c>
      <c r="Q274" t="str">
        <f t="shared" si="44"/>
        <v/>
      </c>
      <c r="S274" t="str">
        <f>""</f>
        <v/>
      </c>
      <c r="AL274" s="18" t="str">
        <f>IF(COUNTIF($A$2:A273, A273) = 1, A273, "")</f>
        <v/>
      </c>
    </row>
    <row r="275" spans="6:38" x14ac:dyDescent="0.2">
      <c r="F275" t="str">
        <f t="shared" si="39"/>
        <v/>
      </c>
      <c r="L275" s="7" t="str">
        <f t="shared" si="40"/>
        <v/>
      </c>
      <c r="N275" s="7" t="str">
        <f t="shared" si="41"/>
        <v/>
      </c>
      <c r="O275" t="str">
        <f t="shared" si="42"/>
        <v/>
      </c>
      <c r="P275" t="str">
        <f t="shared" si="43"/>
        <v/>
      </c>
      <c r="Q275" t="str">
        <f t="shared" si="44"/>
        <v/>
      </c>
      <c r="S275" t="str">
        <f>""</f>
        <v/>
      </c>
      <c r="AL275" s="18" t="str">
        <f>IF(COUNTIF($A$2:A274, A274) = 1, A274, "")</f>
        <v/>
      </c>
    </row>
    <row r="276" spans="6:38" x14ac:dyDescent="0.2">
      <c r="F276" t="str">
        <f t="shared" si="39"/>
        <v/>
      </c>
      <c r="L276" s="7" t="str">
        <f t="shared" si="40"/>
        <v/>
      </c>
      <c r="N276" s="7" t="str">
        <f t="shared" si="41"/>
        <v/>
      </c>
      <c r="O276" t="str">
        <f t="shared" si="42"/>
        <v/>
      </c>
      <c r="P276" t="str">
        <f t="shared" si="43"/>
        <v/>
      </c>
      <c r="Q276" t="str">
        <f t="shared" si="44"/>
        <v/>
      </c>
      <c r="S276" t="str">
        <f>""</f>
        <v/>
      </c>
      <c r="AL276" s="18" t="str">
        <f>IF(COUNTIF($A$2:A275, A275) = 1, A275, "")</f>
        <v/>
      </c>
    </row>
    <row r="277" spans="6:38" x14ac:dyDescent="0.2">
      <c r="F277" t="str">
        <f t="shared" si="39"/>
        <v/>
      </c>
      <c r="L277" s="7" t="str">
        <f t="shared" si="40"/>
        <v/>
      </c>
      <c r="N277" s="7" t="str">
        <f t="shared" si="41"/>
        <v/>
      </c>
      <c r="O277" t="str">
        <f t="shared" si="42"/>
        <v/>
      </c>
      <c r="P277" t="str">
        <f t="shared" si="43"/>
        <v/>
      </c>
      <c r="Q277" t="str">
        <f t="shared" si="44"/>
        <v/>
      </c>
      <c r="S277" t="str">
        <f>""</f>
        <v/>
      </c>
      <c r="AL277" s="18" t="str">
        <f>IF(COUNTIF($A$2:A276, A276) = 1, A276, "")</f>
        <v/>
      </c>
    </row>
    <row r="278" spans="6:38" x14ac:dyDescent="0.2">
      <c r="F278" t="str">
        <f t="shared" si="39"/>
        <v/>
      </c>
      <c r="L278" s="7" t="str">
        <f t="shared" si="40"/>
        <v/>
      </c>
      <c r="N278" s="7" t="str">
        <f t="shared" si="41"/>
        <v/>
      </c>
      <c r="O278" t="str">
        <f t="shared" si="42"/>
        <v/>
      </c>
      <c r="P278" t="str">
        <f t="shared" si="43"/>
        <v/>
      </c>
      <c r="Q278" t="str">
        <f t="shared" si="44"/>
        <v/>
      </c>
      <c r="S278" t="str">
        <f>""</f>
        <v/>
      </c>
      <c r="AL278" s="18" t="str">
        <f>IF(COUNTIF($A$2:A277, A277) = 1, A277, "")</f>
        <v/>
      </c>
    </row>
    <row r="279" spans="6:38" x14ac:dyDescent="0.2">
      <c r="F279" t="str">
        <f t="shared" si="39"/>
        <v/>
      </c>
      <c r="L279" s="7" t="str">
        <f t="shared" si="40"/>
        <v/>
      </c>
      <c r="N279" s="7" t="str">
        <f t="shared" si="41"/>
        <v/>
      </c>
      <c r="O279" t="str">
        <f t="shared" si="42"/>
        <v/>
      </c>
      <c r="P279" t="str">
        <f t="shared" si="43"/>
        <v/>
      </c>
      <c r="Q279" t="str">
        <f t="shared" si="44"/>
        <v/>
      </c>
      <c r="S279" t="str">
        <f>""</f>
        <v/>
      </c>
      <c r="AL279" s="18" t="str">
        <f>IF(COUNTIF($A$2:A278, A278) = 1, A278, "")</f>
        <v/>
      </c>
    </row>
    <row r="280" spans="6:38" x14ac:dyDescent="0.2">
      <c r="F280" t="str">
        <f t="shared" si="39"/>
        <v/>
      </c>
      <c r="L280" s="7" t="str">
        <f t="shared" si="40"/>
        <v/>
      </c>
      <c r="N280" s="7" t="str">
        <f t="shared" si="41"/>
        <v/>
      </c>
      <c r="O280" t="str">
        <f t="shared" si="42"/>
        <v/>
      </c>
      <c r="P280" t="str">
        <f t="shared" si="43"/>
        <v/>
      </c>
      <c r="Q280" t="str">
        <f t="shared" si="44"/>
        <v/>
      </c>
      <c r="S280" t="str">
        <f>""</f>
        <v/>
      </c>
      <c r="AL280" s="18" t="str">
        <f>IF(COUNTIF($A$2:A279, A279) = 1, A279, "")</f>
        <v/>
      </c>
    </row>
    <row r="281" spans="6:38" x14ac:dyDescent="0.2">
      <c r="F281" t="str">
        <f t="shared" si="39"/>
        <v/>
      </c>
      <c r="L281" s="7" t="str">
        <f t="shared" si="40"/>
        <v/>
      </c>
      <c r="N281" s="7" t="str">
        <f t="shared" si="41"/>
        <v/>
      </c>
      <c r="O281" t="str">
        <f t="shared" si="42"/>
        <v/>
      </c>
      <c r="P281" t="str">
        <f t="shared" si="43"/>
        <v/>
      </c>
      <c r="Q281" t="str">
        <f t="shared" si="44"/>
        <v/>
      </c>
      <c r="S281" t="str">
        <f>""</f>
        <v/>
      </c>
      <c r="AL281" s="18" t="str">
        <f>IF(COUNTIF($A$2:A280, A280) = 1, A280, "")</f>
        <v/>
      </c>
    </row>
    <row r="282" spans="6:38" x14ac:dyDescent="0.2">
      <c r="F282" t="str">
        <f t="shared" si="39"/>
        <v/>
      </c>
      <c r="L282" s="7" t="str">
        <f t="shared" si="40"/>
        <v/>
      </c>
      <c r="N282" s="7" t="str">
        <f t="shared" si="41"/>
        <v/>
      </c>
      <c r="O282" t="str">
        <f t="shared" si="42"/>
        <v/>
      </c>
      <c r="P282" t="str">
        <f t="shared" si="43"/>
        <v/>
      </c>
      <c r="Q282" t="str">
        <f t="shared" si="44"/>
        <v/>
      </c>
      <c r="S282" t="str">
        <f>""</f>
        <v/>
      </c>
      <c r="AL282" s="18" t="str">
        <f>IF(COUNTIF($A$2:A281, A281) = 1, A281, "")</f>
        <v/>
      </c>
    </row>
    <row r="283" spans="6:38" x14ac:dyDescent="0.2">
      <c r="F283" t="str">
        <f t="shared" si="39"/>
        <v/>
      </c>
      <c r="L283" s="7" t="str">
        <f t="shared" si="40"/>
        <v/>
      </c>
      <c r="N283" s="7" t="str">
        <f t="shared" si="41"/>
        <v/>
      </c>
      <c r="O283" t="str">
        <f t="shared" si="42"/>
        <v/>
      </c>
      <c r="P283" t="str">
        <f t="shared" si="43"/>
        <v/>
      </c>
      <c r="Q283" t="str">
        <f t="shared" si="44"/>
        <v/>
      </c>
      <c r="S283" t="str">
        <f>""</f>
        <v/>
      </c>
      <c r="AL283" s="18" t="str">
        <f>IF(COUNTIF($A$2:A282, A282) = 1, A282, "")</f>
        <v/>
      </c>
    </row>
    <row r="284" spans="6:38" x14ac:dyDescent="0.2">
      <c r="F284" t="str">
        <f t="shared" si="39"/>
        <v/>
      </c>
      <c r="L284" s="7" t="str">
        <f t="shared" si="40"/>
        <v/>
      </c>
      <c r="N284" s="7" t="str">
        <f t="shared" si="41"/>
        <v/>
      </c>
      <c r="O284" t="str">
        <f t="shared" si="42"/>
        <v/>
      </c>
      <c r="P284" t="str">
        <f t="shared" si="43"/>
        <v/>
      </c>
      <c r="Q284" t="str">
        <f t="shared" si="44"/>
        <v/>
      </c>
      <c r="S284" t="str">
        <f>""</f>
        <v/>
      </c>
      <c r="AL284" s="18" t="str">
        <f>IF(COUNTIF($A$2:A283, A283) = 1, A283, "")</f>
        <v/>
      </c>
    </row>
    <row r="285" spans="6:38" x14ac:dyDescent="0.2">
      <c r="F285" t="str">
        <f t="shared" si="39"/>
        <v/>
      </c>
      <c r="L285" s="7" t="str">
        <f t="shared" si="40"/>
        <v/>
      </c>
      <c r="N285" s="7" t="str">
        <f t="shared" si="41"/>
        <v/>
      </c>
      <c r="O285" t="str">
        <f t="shared" si="42"/>
        <v/>
      </c>
      <c r="P285" t="str">
        <f t="shared" si="43"/>
        <v/>
      </c>
      <c r="Q285" t="str">
        <f t="shared" si="44"/>
        <v/>
      </c>
      <c r="S285" t="str">
        <f>""</f>
        <v/>
      </c>
      <c r="AL285" s="18" t="str">
        <f>IF(COUNTIF($A$2:A284, A284) = 1, A284, "")</f>
        <v/>
      </c>
    </row>
    <row r="286" spans="6:38" x14ac:dyDescent="0.2">
      <c r="F286" t="str">
        <f t="shared" si="39"/>
        <v/>
      </c>
      <c r="L286" s="7" t="str">
        <f t="shared" si="40"/>
        <v/>
      </c>
      <c r="N286" s="7" t="str">
        <f t="shared" si="41"/>
        <v/>
      </c>
      <c r="O286" t="str">
        <f t="shared" si="42"/>
        <v/>
      </c>
      <c r="P286" t="str">
        <f t="shared" si="43"/>
        <v/>
      </c>
      <c r="Q286" t="str">
        <f t="shared" si="44"/>
        <v/>
      </c>
      <c r="S286" t="str">
        <f>""</f>
        <v/>
      </c>
      <c r="AL286" s="18" t="str">
        <f>IF(COUNTIF($A$2:A285, A285) = 1, A285, "")</f>
        <v/>
      </c>
    </row>
    <row r="287" spans="6:38" x14ac:dyDescent="0.2">
      <c r="F287" t="str">
        <f t="shared" si="39"/>
        <v/>
      </c>
      <c r="L287" s="7" t="str">
        <f t="shared" si="40"/>
        <v/>
      </c>
      <c r="N287" s="7" t="str">
        <f t="shared" si="41"/>
        <v/>
      </c>
      <c r="O287" t="str">
        <f t="shared" si="42"/>
        <v/>
      </c>
      <c r="P287" t="str">
        <f t="shared" si="43"/>
        <v/>
      </c>
      <c r="Q287" t="str">
        <f t="shared" si="44"/>
        <v/>
      </c>
      <c r="S287" t="str">
        <f>""</f>
        <v/>
      </c>
      <c r="AL287" s="18" t="str">
        <f>IF(COUNTIF($A$2:A286, A286) = 1, A286, "")</f>
        <v/>
      </c>
    </row>
    <row r="288" spans="6:38" x14ac:dyDescent="0.2">
      <c r="F288" t="str">
        <f t="shared" si="39"/>
        <v/>
      </c>
      <c r="L288" s="7" t="str">
        <f t="shared" si="40"/>
        <v/>
      </c>
      <c r="N288" s="7" t="str">
        <f t="shared" si="41"/>
        <v/>
      </c>
      <c r="O288" t="str">
        <f t="shared" si="42"/>
        <v/>
      </c>
      <c r="P288" t="str">
        <f t="shared" si="43"/>
        <v/>
      </c>
      <c r="Q288" t="str">
        <f t="shared" si="44"/>
        <v/>
      </c>
      <c r="S288" t="str">
        <f>""</f>
        <v/>
      </c>
      <c r="AL288" s="18" t="str">
        <f>IF(COUNTIF($A$2:A287, A287) = 1, A287, "")</f>
        <v/>
      </c>
    </row>
    <row r="289" spans="6:38" x14ac:dyDescent="0.2">
      <c r="F289" t="str">
        <f t="shared" si="39"/>
        <v/>
      </c>
      <c r="L289" s="7" t="str">
        <f t="shared" si="40"/>
        <v/>
      </c>
      <c r="N289" s="7" t="str">
        <f t="shared" si="41"/>
        <v/>
      </c>
      <c r="O289" t="str">
        <f t="shared" si="42"/>
        <v/>
      </c>
      <c r="P289" t="str">
        <f t="shared" si="43"/>
        <v/>
      </c>
      <c r="Q289" t="str">
        <f t="shared" si="44"/>
        <v/>
      </c>
      <c r="S289" t="str">
        <f>""</f>
        <v/>
      </c>
      <c r="AL289" s="18" t="str">
        <f>IF(COUNTIF($A$2:A288, A288) = 1, A288, "")</f>
        <v/>
      </c>
    </row>
    <row r="290" spans="6:38" x14ac:dyDescent="0.2">
      <c r="F290" t="str">
        <f t="shared" si="39"/>
        <v/>
      </c>
      <c r="L290" s="7" t="str">
        <f t="shared" si="40"/>
        <v/>
      </c>
      <c r="N290" s="7" t="str">
        <f t="shared" si="41"/>
        <v/>
      </c>
      <c r="O290" t="str">
        <f t="shared" si="42"/>
        <v/>
      </c>
      <c r="P290" t="str">
        <f t="shared" si="43"/>
        <v/>
      </c>
      <c r="Q290" t="str">
        <f t="shared" si="44"/>
        <v/>
      </c>
      <c r="S290" t="str">
        <f>""</f>
        <v/>
      </c>
      <c r="AL290" s="18" t="str">
        <f>IF(COUNTIF($A$2:A289, A289) = 1, A289, "")</f>
        <v/>
      </c>
    </row>
    <row r="291" spans="6:38" x14ac:dyDescent="0.2">
      <c r="F291" t="str">
        <f t="shared" si="39"/>
        <v/>
      </c>
      <c r="L291" s="7" t="str">
        <f t="shared" si="40"/>
        <v/>
      </c>
      <c r="N291" s="7" t="str">
        <f t="shared" si="41"/>
        <v/>
      </c>
      <c r="O291" t="str">
        <f t="shared" si="42"/>
        <v/>
      </c>
      <c r="P291" t="str">
        <f t="shared" si="43"/>
        <v/>
      </c>
      <c r="Q291" t="str">
        <f t="shared" si="44"/>
        <v/>
      </c>
      <c r="S291" t="str">
        <f>""</f>
        <v/>
      </c>
      <c r="AL291" s="18" t="str">
        <f>IF(COUNTIF($A$2:A290, A290) = 1, A290, "")</f>
        <v/>
      </c>
    </row>
    <row r="292" spans="6:38" x14ac:dyDescent="0.2">
      <c r="F292" t="str">
        <f t="shared" si="39"/>
        <v/>
      </c>
      <c r="L292" s="7" t="str">
        <f t="shared" si="40"/>
        <v/>
      </c>
      <c r="N292" s="7" t="str">
        <f t="shared" si="41"/>
        <v/>
      </c>
      <c r="O292" t="str">
        <f t="shared" si="42"/>
        <v/>
      </c>
      <c r="P292" t="str">
        <f t="shared" si="43"/>
        <v/>
      </c>
      <c r="Q292" t="str">
        <f t="shared" si="44"/>
        <v/>
      </c>
      <c r="S292" t="str">
        <f>""</f>
        <v/>
      </c>
      <c r="AL292" s="18" t="str">
        <f>IF(COUNTIF($A$2:A291, A291) = 1, A291, "")</f>
        <v/>
      </c>
    </row>
    <row r="293" spans="6:38" x14ac:dyDescent="0.2">
      <c r="F293" t="str">
        <f t="shared" si="39"/>
        <v/>
      </c>
      <c r="L293" s="7" t="str">
        <f t="shared" si="40"/>
        <v/>
      </c>
      <c r="N293" s="7" t="str">
        <f t="shared" si="41"/>
        <v/>
      </c>
      <c r="O293" t="str">
        <f t="shared" si="42"/>
        <v/>
      </c>
      <c r="P293" t="str">
        <f t="shared" si="43"/>
        <v/>
      </c>
      <c r="Q293" t="str">
        <f t="shared" si="44"/>
        <v/>
      </c>
      <c r="S293" t="str">
        <f>""</f>
        <v/>
      </c>
      <c r="AL293" s="18" t="str">
        <f>IF(COUNTIF($A$2:A292, A292) = 1, A292, "")</f>
        <v/>
      </c>
    </row>
    <row r="294" spans="6:38" x14ac:dyDescent="0.2">
      <c r="F294" t="str">
        <f t="shared" si="39"/>
        <v/>
      </c>
      <c r="L294" s="7" t="str">
        <f t="shared" si="40"/>
        <v/>
      </c>
      <c r="N294" s="7" t="str">
        <f t="shared" si="41"/>
        <v/>
      </c>
      <c r="O294" t="str">
        <f t="shared" si="42"/>
        <v/>
      </c>
      <c r="P294" t="str">
        <f t="shared" si="43"/>
        <v/>
      </c>
      <c r="Q294" t="str">
        <f t="shared" si="44"/>
        <v/>
      </c>
      <c r="S294" t="str">
        <f>""</f>
        <v/>
      </c>
      <c r="AL294" s="18" t="str">
        <f>IF(COUNTIF($A$2:A293, A293) = 1, A293, "")</f>
        <v/>
      </c>
    </row>
    <row r="295" spans="6:38" x14ac:dyDescent="0.2">
      <c r="F295" t="str">
        <f t="shared" si="39"/>
        <v/>
      </c>
      <c r="L295" s="7" t="str">
        <f t="shared" si="40"/>
        <v/>
      </c>
      <c r="N295" s="7" t="str">
        <f t="shared" si="41"/>
        <v/>
      </c>
      <c r="O295" t="str">
        <f t="shared" si="42"/>
        <v/>
      </c>
      <c r="P295" t="str">
        <f t="shared" si="43"/>
        <v/>
      </c>
      <c r="Q295" t="str">
        <f t="shared" si="44"/>
        <v/>
      </c>
      <c r="S295" t="str">
        <f>""</f>
        <v/>
      </c>
      <c r="AL295" s="18" t="str">
        <f>IF(COUNTIF($A$2:A294, A294) = 1, A294, "")</f>
        <v/>
      </c>
    </row>
    <row r="296" spans="6:38" x14ac:dyDescent="0.2">
      <c r="F296" t="str">
        <f t="shared" si="39"/>
        <v/>
      </c>
      <c r="L296" s="7" t="str">
        <f t="shared" si="40"/>
        <v/>
      </c>
      <c r="N296" s="7" t="str">
        <f t="shared" si="41"/>
        <v/>
      </c>
      <c r="O296" t="str">
        <f t="shared" si="42"/>
        <v/>
      </c>
      <c r="P296" t="str">
        <f t="shared" si="43"/>
        <v/>
      </c>
      <c r="Q296" t="str">
        <f t="shared" si="44"/>
        <v/>
      </c>
      <c r="S296" t="str">
        <f>""</f>
        <v/>
      </c>
      <c r="AL296" s="18" t="str">
        <f>IF(COUNTIF($A$2:A295, A295) = 1, A295, "")</f>
        <v/>
      </c>
    </row>
    <row r="297" spans="6:38" x14ac:dyDescent="0.2">
      <c r="F297" t="str">
        <f t="shared" si="39"/>
        <v/>
      </c>
      <c r="L297" s="7" t="str">
        <f t="shared" si="40"/>
        <v/>
      </c>
      <c r="N297" s="7" t="str">
        <f t="shared" si="41"/>
        <v/>
      </c>
      <c r="O297" t="str">
        <f t="shared" si="42"/>
        <v/>
      </c>
      <c r="P297" t="str">
        <f t="shared" si="43"/>
        <v/>
      </c>
      <c r="Q297" t="str">
        <f t="shared" si="44"/>
        <v/>
      </c>
      <c r="S297" t="str">
        <f>""</f>
        <v/>
      </c>
      <c r="AL297" s="18" t="str">
        <f>IF(COUNTIF($A$2:A296, A296) = 1, A296, "")</f>
        <v/>
      </c>
    </row>
    <row r="298" spans="6:38" x14ac:dyDescent="0.2">
      <c r="F298" t="str">
        <f t="shared" si="39"/>
        <v/>
      </c>
      <c r="L298" s="7" t="str">
        <f t="shared" si="40"/>
        <v/>
      </c>
      <c r="N298" s="7" t="str">
        <f t="shared" si="41"/>
        <v/>
      </c>
      <c r="O298" t="str">
        <f t="shared" si="42"/>
        <v/>
      </c>
      <c r="P298" t="str">
        <f t="shared" si="43"/>
        <v/>
      </c>
      <c r="Q298" t="str">
        <f t="shared" si="44"/>
        <v/>
      </c>
      <c r="S298" t="str">
        <f>""</f>
        <v/>
      </c>
      <c r="AL298" s="18" t="str">
        <f>IF(COUNTIF($A$2:A297, A297) = 1, A297, "")</f>
        <v/>
      </c>
    </row>
    <row r="299" spans="6:38" x14ac:dyDescent="0.2">
      <c r="F299" t="str">
        <f t="shared" si="39"/>
        <v/>
      </c>
      <c r="L299" s="7" t="str">
        <f t="shared" si="40"/>
        <v/>
      </c>
      <c r="N299" s="7" t="str">
        <f t="shared" si="41"/>
        <v/>
      </c>
      <c r="O299" t="str">
        <f t="shared" si="42"/>
        <v/>
      </c>
      <c r="P299" t="str">
        <f t="shared" si="43"/>
        <v/>
      </c>
      <c r="Q299" t="str">
        <f t="shared" si="44"/>
        <v/>
      </c>
      <c r="S299" t="str">
        <f>""</f>
        <v/>
      </c>
      <c r="AL299" s="18" t="str">
        <f>IF(COUNTIF($A$2:A298, A298) = 1, A298, "")</f>
        <v/>
      </c>
    </row>
    <row r="300" spans="6:38" x14ac:dyDescent="0.2">
      <c r="F300" t="str">
        <f t="shared" si="39"/>
        <v/>
      </c>
      <c r="L300" s="7" t="str">
        <f t="shared" si="40"/>
        <v/>
      </c>
      <c r="N300" s="7" t="str">
        <f t="shared" si="41"/>
        <v/>
      </c>
      <c r="O300" t="str">
        <f t="shared" si="42"/>
        <v/>
      </c>
      <c r="P300" t="str">
        <f t="shared" si="43"/>
        <v/>
      </c>
      <c r="Q300" t="str">
        <f t="shared" si="44"/>
        <v/>
      </c>
      <c r="S300" t="str">
        <f>""</f>
        <v/>
      </c>
      <c r="AL300" s="18" t="str">
        <f>IF(COUNTIF($A$2:A299, A299) = 1, A299, "")</f>
        <v/>
      </c>
    </row>
    <row r="301" spans="6:38" x14ac:dyDescent="0.2">
      <c r="F301" t="str">
        <f t="shared" si="39"/>
        <v/>
      </c>
      <c r="L301" s="7" t="str">
        <f t="shared" si="40"/>
        <v/>
      </c>
      <c r="N301" s="7" t="str">
        <f t="shared" si="41"/>
        <v/>
      </c>
      <c r="O301" t="str">
        <f t="shared" si="42"/>
        <v/>
      </c>
      <c r="P301" t="str">
        <f t="shared" si="43"/>
        <v/>
      </c>
      <c r="Q301" t="str">
        <f t="shared" si="44"/>
        <v/>
      </c>
      <c r="S301" t="str">
        <f>""</f>
        <v/>
      </c>
      <c r="AL301" s="18" t="str">
        <f>IF(COUNTIF($A$2:A300, A300) = 1, A300, "")</f>
        <v/>
      </c>
    </row>
    <row r="302" spans="6:38" x14ac:dyDescent="0.2">
      <c r="F302" t="str">
        <f t="shared" si="39"/>
        <v/>
      </c>
      <c r="L302" s="7" t="str">
        <f t="shared" si="40"/>
        <v/>
      </c>
      <c r="N302" s="7" t="str">
        <f t="shared" si="41"/>
        <v/>
      </c>
      <c r="O302" t="str">
        <f t="shared" si="42"/>
        <v/>
      </c>
      <c r="P302" t="str">
        <f t="shared" si="43"/>
        <v/>
      </c>
      <c r="Q302" t="str">
        <f t="shared" si="44"/>
        <v/>
      </c>
      <c r="S302" t="str">
        <f>""</f>
        <v/>
      </c>
      <c r="AL302" s="18" t="str">
        <f>IF(COUNTIF($A$2:A301, A301) = 1, A301, "")</f>
        <v/>
      </c>
    </row>
    <row r="303" spans="6:38" x14ac:dyDescent="0.2">
      <c r="F303" t="str">
        <f t="shared" si="39"/>
        <v/>
      </c>
      <c r="L303" s="7" t="str">
        <f t="shared" si="40"/>
        <v/>
      </c>
      <c r="N303" s="7" t="str">
        <f t="shared" si="41"/>
        <v/>
      </c>
      <c r="O303" t="str">
        <f t="shared" si="42"/>
        <v/>
      </c>
      <c r="P303" t="str">
        <f t="shared" si="43"/>
        <v/>
      </c>
      <c r="Q303" t="str">
        <f t="shared" si="44"/>
        <v/>
      </c>
      <c r="S303" t="str">
        <f>""</f>
        <v/>
      </c>
      <c r="AL303" s="18" t="str">
        <f>IF(COUNTIF($A$2:A302, A302) = 1, A302, "")</f>
        <v/>
      </c>
    </row>
    <row r="304" spans="6:38" x14ac:dyDescent="0.2">
      <c r="F304" t="str">
        <f t="shared" si="39"/>
        <v/>
      </c>
      <c r="L304" s="7" t="str">
        <f t="shared" si="40"/>
        <v/>
      </c>
      <c r="N304" s="7" t="str">
        <f t="shared" si="41"/>
        <v/>
      </c>
      <c r="O304" t="str">
        <f t="shared" si="42"/>
        <v/>
      </c>
      <c r="P304" t="str">
        <f t="shared" si="43"/>
        <v/>
      </c>
      <c r="Q304" t="str">
        <f t="shared" si="44"/>
        <v/>
      </c>
      <c r="S304" t="str">
        <f>""</f>
        <v/>
      </c>
      <c r="AL304" s="18" t="str">
        <f>IF(COUNTIF($A$2:A303, A303) = 1, A303, "")</f>
        <v/>
      </c>
    </row>
    <row r="305" spans="6:38" x14ac:dyDescent="0.2">
      <c r="F305" t="str">
        <f t="shared" si="39"/>
        <v/>
      </c>
      <c r="L305" s="7" t="str">
        <f t="shared" si="40"/>
        <v/>
      </c>
      <c r="N305" s="7" t="str">
        <f t="shared" si="41"/>
        <v/>
      </c>
      <c r="O305" t="str">
        <f t="shared" si="42"/>
        <v/>
      </c>
      <c r="P305" t="str">
        <f t="shared" si="43"/>
        <v/>
      </c>
      <c r="Q305" t="str">
        <f t="shared" si="44"/>
        <v/>
      </c>
      <c r="S305" t="str">
        <f>""</f>
        <v/>
      </c>
      <c r="AL305" s="18" t="str">
        <f>IF(COUNTIF($A$2:A304, A304) = 1, A304, "")</f>
        <v/>
      </c>
    </row>
    <row r="306" spans="6:38" x14ac:dyDescent="0.2">
      <c r="F306" t="str">
        <f t="shared" si="39"/>
        <v/>
      </c>
      <c r="L306" s="7" t="str">
        <f t="shared" si="40"/>
        <v/>
      </c>
      <c r="N306" s="7" t="str">
        <f t="shared" si="41"/>
        <v/>
      </c>
      <c r="O306" t="str">
        <f t="shared" si="42"/>
        <v/>
      </c>
      <c r="P306" t="str">
        <f t="shared" si="43"/>
        <v/>
      </c>
      <c r="Q306" t="str">
        <f t="shared" si="44"/>
        <v/>
      </c>
      <c r="S306" t="str">
        <f>""</f>
        <v/>
      </c>
      <c r="AL306" s="18" t="str">
        <f>IF(COUNTIF($A$2:A305, A305) = 1, A305, "")</f>
        <v/>
      </c>
    </row>
    <row r="307" spans="6:38" x14ac:dyDescent="0.2">
      <c r="F307" t="str">
        <f t="shared" si="39"/>
        <v/>
      </c>
      <c r="L307" s="7" t="str">
        <f t="shared" si="40"/>
        <v/>
      </c>
      <c r="N307" s="7" t="str">
        <f t="shared" si="41"/>
        <v/>
      </c>
      <c r="O307" t="str">
        <f t="shared" si="42"/>
        <v/>
      </c>
      <c r="P307" t="str">
        <f t="shared" si="43"/>
        <v/>
      </c>
      <c r="Q307" t="str">
        <f t="shared" si="44"/>
        <v/>
      </c>
      <c r="S307" t="str">
        <f>""</f>
        <v/>
      </c>
      <c r="AL307" s="18" t="str">
        <f>IF(COUNTIF($A$2:A306, A306) = 1, A306, "")</f>
        <v/>
      </c>
    </row>
    <row r="308" spans="6:38" x14ac:dyDescent="0.2">
      <c r="F308" t="str">
        <f t="shared" si="39"/>
        <v/>
      </c>
      <c r="L308" s="7" t="str">
        <f t="shared" si="40"/>
        <v/>
      </c>
      <c r="N308" s="7" t="str">
        <f t="shared" si="41"/>
        <v/>
      </c>
      <c r="O308" t="str">
        <f t="shared" si="42"/>
        <v/>
      </c>
      <c r="P308" t="str">
        <f t="shared" si="43"/>
        <v/>
      </c>
      <c r="Q308" t="str">
        <f t="shared" si="44"/>
        <v/>
      </c>
      <c r="S308" t="str">
        <f>""</f>
        <v/>
      </c>
      <c r="AL308" s="18" t="str">
        <f>IF(COUNTIF($A$2:A307, A307) = 1, A307, "")</f>
        <v/>
      </c>
    </row>
    <row r="309" spans="6:38" x14ac:dyDescent="0.2">
      <c r="F309" t="str">
        <f t="shared" si="39"/>
        <v/>
      </c>
      <c r="L309" s="7" t="str">
        <f t="shared" si="40"/>
        <v/>
      </c>
      <c r="N309" s="7" t="str">
        <f t="shared" si="41"/>
        <v/>
      </c>
      <c r="O309" t="str">
        <f t="shared" si="42"/>
        <v/>
      </c>
      <c r="P309" t="str">
        <f t="shared" si="43"/>
        <v/>
      </c>
      <c r="Q309" t="str">
        <f t="shared" si="44"/>
        <v/>
      </c>
      <c r="S309" t="str">
        <f>""</f>
        <v/>
      </c>
      <c r="AL309" s="18" t="str">
        <f>IF(COUNTIF($A$2:A308, A308) = 1, A308, "")</f>
        <v/>
      </c>
    </row>
    <row r="310" spans="6:38" x14ac:dyDescent="0.2">
      <c r="F310" t="str">
        <f t="shared" si="39"/>
        <v/>
      </c>
      <c r="L310" s="7" t="str">
        <f t="shared" si="40"/>
        <v/>
      </c>
      <c r="N310" s="7" t="str">
        <f t="shared" si="41"/>
        <v/>
      </c>
      <c r="O310" t="str">
        <f t="shared" si="42"/>
        <v/>
      </c>
      <c r="P310" t="str">
        <f t="shared" si="43"/>
        <v/>
      </c>
      <c r="Q310" t="str">
        <f t="shared" si="44"/>
        <v/>
      </c>
      <c r="S310" t="str">
        <f>""</f>
        <v/>
      </c>
      <c r="AL310" s="18" t="str">
        <f>IF(COUNTIF($A$2:A309, A309) = 1, A309, "")</f>
        <v/>
      </c>
    </row>
    <row r="311" spans="6:38" x14ac:dyDescent="0.2">
      <c r="F311" t="str">
        <f t="shared" si="39"/>
        <v/>
      </c>
      <c r="L311" s="7" t="str">
        <f t="shared" si="40"/>
        <v/>
      </c>
      <c r="N311" s="7" t="str">
        <f t="shared" si="41"/>
        <v/>
      </c>
      <c r="O311" t="str">
        <f t="shared" si="42"/>
        <v/>
      </c>
      <c r="P311" t="str">
        <f t="shared" si="43"/>
        <v/>
      </c>
      <c r="Q311" t="str">
        <f t="shared" si="44"/>
        <v/>
      </c>
      <c r="S311" t="str">
        <f>""</f>
        <v/>
      </c>
      <c r="AL311" s="18" t="str">
        <f>IF(COUNTIF($A$2:A310, A310) = 1, A310, "")</f>
        <v/>
      </c>
    </row>
    <row r="312" spans="6:38" x14ac:dyDescent="0.2">
      <c r="F312" t="str">
        <f t="shared" si="39"/>
        <v/>
      </c>
      <c r="L312" s="7" t="str">
        <f t="shared" si="40"/>
        <v/>
      </c>
      <c r="N312" s="7" t="str">
        <f t="shared" si="41"/>
        <v/>
      </c>
      <c r="O312" t="str">
        <f t="shared" si="42"/>
        <v/>
      </c>
      <c r="P312" t="str">
        <f t="shared" si="43"/>
        <v/>
      </c>
      <c r="Q312" t="str">
        <f t="shared" si="44"/>
        <v/>
      </c>
      <c r="S312" t="str">
        <f>""</f>
        <v/>
      </c>
      <c r="AL312" s="18" t="str">
        <f>IF(COUNTIF($A$2:A311, A311) = 1, A311, "")</f>
        <v/>
      </c>
    </row>
    <row r="313" spans="6:38" x14ac:dyDescent="0.2">
      <c r="F313" t="str">
        <f t="shared" si="39"/>
        <v/>
      </c>
      <c r="L313" s="7" t="str">
        <f t="shared" si="40"/>
        <v/>
      </c>
      <c r="N313" s="7" t="str">
        <f t="shared" si="41"/>
        <v/>
      </c>
      <c r="O313" t="str">
        <f t="shared" si="42"/>
        <v/>
      </c>
      <c r="P313" t="str">
        <f t="shared" si="43"/>
        <v/>
      </c>
      <c r="Q313" t="str">
        <f t="shared" si="44"/>
        <v/>
      </c>
      <c r="S313" t="str">
        <f>""</f>
        <v/>
      </c>
      <c r="AL313" s="18" t="str">
        <f>IF(COUNTIF($A$2:A312, A312) = 1, A312, "")</f>
        <v/>
      </c>
    </row>
    <row r="314" spans="6:38" x14ac:dyDescent="0.2">
      <c r="F314" t="str">
        <f t="shared" si="39"/>
        <v/>
      </c>
      <c r="L314" s="7" t="str">
        <f t="shared" si="40"/>
        <v/>
      </c>
      <c r="N314" s="7" t="str">
        <f t="shared" si="41"/>
        <v/>
      </c>
      <c r="O314" t="str">
        <f t="shared" si="42"/>
        <v/>
      </c>
      <c r="P314" t="str">
        <f t="shared" si="43"/>
        <v/>
      </c>
      <c r="Q314" t="str">
        <f t="shared" si="44"/>
        <v/>
      </c>
      <c r="S314" t="str">
        <f>""</f>
        <v/>
      </c>
      <c r="AL314" s="18" t="str">
        <f>IF(COUNTIF($A$2:A313, A313) = 1, A313, "")</f>
        <v/>
      </c>
    </row>
    <row r="315" spans="6:38" x14ac:dyDescent="0.2">
      <c r="F315" t="str">
        <f t="shared" si="39"/>
        <v/>
      </c>
      <c r="L315" s="7" t="str">
        <f t="shared" si="40"/>
        <v/>
      </c>
      <c r="N315" s="7" t="str">
        <f t="shared" si="41"/>
        <v/>
      </c>
      <c r="O315" t="str">
        <f t="shared" si="42"/>
        <v/>
      </c>
      <c r="P315" t="str">
        <f t="shared" si="43"/>
        <v/>
      </c>
      <c r="Q315" t="str">
        <f t="shared" si="44"/>
        <v/>
      </c>
      <c r="S315" t="str">
        <f>""</f>
        <v/>
      </c>
      <c r="AL315" s="18" t="str">
        <f>IF(COUNTIF($A$2:A314, A314) = 1, A314, "")</f>
        <v/>
      </c>
    </row>
    <row r="316" spans="6:38" x14ac:dyDescent="0.2">
      <c r="F316" t="str">
        <f t="shared" si="39"/>
        <v/>
      </c>
      <c r="L316" s="7" t="str">
        <f t="shared" si="40"/>
        <v/>
      </c>
      <c r="N316" s="7" t="str">
        <f t="shared" si="41"/>
        <v/>
      </c>
      <c r="O316" t="str">
        <f t="shared" si="42"/>
        <v/>
      </c>
      <c r="P316" t="str">
        <f t="shared" si="43"/>
        <v/>
      </c>
      <c r="Q316" t="str">
        <f t="shared" si="44"/>
        <v/>
      </c>
      <c r="S316" t="str">
        <f>""</f>
        <v/>
      </c>
      <c r="AL316" s="18" t="str">
        <f>IF(COUNTIF($A$2:A315, A315) = 1, A315, "")</f>
        <v/>
      </c>
    </row>
    <row r="317" spans="6:38" x14ac:dyDescent="0.2">
      <c r="F317" t="str">
        <f t="shared" si="39"/>
        <v/>
      </c>
      <c r="L317" s="7" t="str">
        <f t="shared" si="40"/>
        <v/>
      </c>
      <c r="N317" s="7" t="str">
        <f t="shared" si="41"/>
        <v/>
      </c>
      <c r="O317" t="str">
        <f t="shared" si="42"/>
        <v/>
      </c>
      <c r="P317" t="str">
        <f t="shared" si="43"/>
        <v/>
      </c>
      <c r="Q317" t="str">
        <f t="shared" si="44"/>
        <v/>
      </c>
      <c r="S317" t="str">
        <f>""</f>
        <v/>
      </c>
      <c r="AL317" s="18" t="str">
        <f>IF(COUNTIF($A$2:A316, A316) = 1, A316, "")</f>
        <v/>
      </c>
    </row>
    <row r="318" spans="6:38" x14ac:dyDescent="0.2">
      <c r="F318" t="str">
        <f t="shared" si="39"/>
        <v/>
      </c>
      <c r="L318" s="7" t="str">
        <f t="shared" si="40"/>
        <v/>
      </c>
      <c r="N318" s="7" t="str">
        <f t="shared" si="41"/>
        <v/>
      </c>
      <c r="O318" t="str">
        <f t="shared" si="42"/>
        <v/>
      </c>
      <c r="P318" t="str">
        <f t="shared" si="43"/>
        <v/>
      </c>
      <c r="Q318" t="str">
        <f t="shared" si="44"/>
        <v/>
      </c>
      <c r="S318" t="str">
        <f>""</f>
        <v/>
      </c>
      <c r="AL318" s="18" t="str">
        <f>IF(COUNTIF($A$2:A317, A317) = 1, A317, "")</f>
        <v/>
      </c>
    </row>
    <row r="319" spans="6:38" x14ac:dyDescent="0.2">
      <c r="F319" t="str">
        <f t="shared" si="39"/>
        <v/>
      </c>
      <c r="L319" s="7" t="str">
        <f t="shared" si="40"/>
        <v/>
      </c>
      <c r="N319" s="7" t="str">
        <f t="shared" si="41"/>
        <v/>
      </c>
      <c r="O319" t="str">
        <f t="shared" si="42"/>
        <v/>
      </c>
      <c r="P319" t="str">
        <f t="shared" si="43"/>
        <v/>
      </c>
      <c r="Q319" t="str">
        <f t="shared" si="44"/>
        <v/>
      </c>
      <c r="S319" t="str">
        <f>""</f>
        <v/>
      </c>
      <c r="AL319" s="18" t="str">
        <f>IF(COUNTIF($A$2:A318, A318) = 1, A318, "")</f>
        <v/>
      </c>
    </row>
    <row r="320" spans="6:38" x14ac:dyDescent="0.2">
      <c r="F320" t="str">
        <f t="shared" si="39"/>
        <v/>
      </c>
      <c r="L320" s="7" t="str">
        <f t="shared" si="40"/>
        <v/>
      </c>
      <c r="N320" s="7" t="str">
        <f t="shared" si="41"/>
        <v/>
      </c>
      <c r="O320" t="str">
        <f t="shared" si="42"/>
        <v/>
      </c>
      <c r="P320" t="str">
        <f t="shared" si="43"/>
        <v/>
      </c>
      <c r="Q320" t="str">
        <f t="shared" si="44"/>
        <v/>
      </c>
      <c r="S320" t="str">
        <f>""</f>
        <v/>
      </c>
      <c r="AL320" s="18" t="str">
        <f>IF(COUNTIF($A$2:A319, A319) = 1, A319, "")</f>
        <v/>
      </c>
    </row>
    <row r="321" spans="6:38" x14ac:dyDescent="0.2">
      <c r="F321" t="str">
        <f t="shared" si="39"/>
        <v/>
      </c>
      <c r="L321" s="7" t="str">
        <f t="shared" si="40"/>
        <v/>
      </c>
      <c r="N321" s="7" t="str">
        <f t="shared" si="41"/>
        <v/>
      </c>
      <c r="O321" t="str">
        <f t="shared" si="42"/>
        <v/>
      </c>
      <c r="P321" t="str">
        <f t="shared" si="43"/>
        <v/>
      </c>
      <c r="Q321" t="str">
        <f t="shared" si="44"/>
        <v/>
      </c>
      <c r="S321" t="str">
        <f>""</f>
        <v/>
      </c>
      <c r="AL321" s="18" t="str">
        <f>IF(COUNTIF($A$2:A320, A320) = 1, A320, "")</f>
        <v/>
      </c>
    </row>
    <row r="322" spans="6:38" x14ac:dyDescent="0.2">
      <c r="F322" t="str">
        <f t="shared" si="39"/>
        <v/>
      </c>
      <c r="L322" s="7" t="str">
        <f t="shared" si="40"/>
        <v/>
      </c>
      <c r="N322" s="7" t="str">
        <f t="shared" si="41"/>
        <v/>
      </c>
      <c r="O322" t="str">
        <f t="shared" si="42"/>
        <v/>
      </c>
      <c r="P322" t="str">
        <f t="shared" si="43"/>
        <v/>
      </c>
      <c r="Q322" t="str">
        <f t="shared" si="44"/>
        <v/>
      </c>
      <c r="S322" t="str">
        <f>""</f>
        <v/>
      </c>
      <c r="AL322" s="18" t="str">
        <f>IF(COUNTIF($A$2:A321, A321) = 1, A321, "")</f>
        <v/>
      </c>
    </row>
    <row r="323" spans="6:38" x14ac:dyDescent="0.2">
      <c r="F323" t="str">
        <f t="shared" si="39"/>
        <v/>
      </c>
      <c r="L323" s="7" t="str">
        <f t="shared" si="40"/>
        <v/>
      </c>
      <c r="N323" s="7" t="str">
        <f t="shared" si="41"/>
        <v/>
      </c>
      <c r="O323" t="str">
        <f t="shared" si="42"/>
        <v/>
      </c>
      <c r="P323" t="str">
        <f t="shared" si="43"/>
        <v/>
      </c>
      <c r="Q323" t="str">
        <f t="shared" si="44"/>
        <v/>
      </c>
      <c r="S323" t="str">
        <f>""</f>
        <v/>
      </c>
      <c r="AL323" s="18" t="str">
        <f>IF(COUNTIF($A$2:A322, A322) = 1, A322, "")</f>
        <v/>
      </c>
    </row>
    <row r="324" spans="6:38" x14ac:dyDescent="0.2">
      <c r="F324" t="str">
        <f t="shared" si="39"/>
        <v/>
      </c>
      <c r="L324" s="7" t="str">
        <f t="shared" si="40"/>
        <v/>
      </c>
      <c r="N324" s="7" t="str">
        <f t="shared" si="41"/>
        <v/>
      </c>
      <c r="O324" t="str">
        <f t="shared" si="42"/>
        <v/>
      </c>
      <c r="P324" t="str">
        <f t="shared" si="43"/>
        <v/>
      </c>
      <c r="Q324" t="str">
        <f t="shared" si="44"/>
        <v/>
      </c>
      <c r="S324" t="str">
        <f>""</f>
        <v/>
      </c>
      <c r="AL324" s="18" t="str">
        <f>IF(COUNTIF($A$2:A323, A323) = 1, A323, "")</f>
        <v/>
      </c>
    </row>
    <row r="325" spans="6:38" x14ac:dyDescent="0.2">
      <c r="F325" t="str">
        <f t="shared" si="39"/>
        <v/>
      </c>
      <c r="L325" s="7" t="str">
        <f t="shared" si="40"/>
        <v/>
      </c>
      <c r="N325" s="7" t="str">
        <f t="shared" si="41"/>
        <v/>
      </c>
      <c r="O325" t="str">
        <f t="shared" si="42"/>
        <v/>
      </c>
      <c r="P325" t="str">
        <f t="shared" si="43"/>
        <v/>
      </c>
      <c r="Q325" t="str">
        <f t="shared" si="44"/>
        <v/>
      </c>
      <c r="S325" t="str">
        <f>""</f>
        <v/>
      </c>
      <c r="AL325" s="18" t="str">
        <f>IF(COUNTIF($A$2:A324, A324) = 1, A324, "")</f>
        <v/>
      </c>
    </row>
    <row r="326" spans="6:38" x14ac:dyDescent="0.2">
      <c r="F326" t="str">
        <f t="shared" si="39"/>
        <v/>
      </c>
      <c r="L326" s="7" t="str">
        <f t="shared" si="40"/>
        <v/>
      </c>
      <c r="N326" s="7" t="str">
        <f t="shared" si="41"/>
        <v/>
      </c>
      <c r="O326" t="str">
        <f t="shared" si="42"/>
        <v/>
      </c>
      <c r="P326" t="str">
        <f t="shared" si="43"/>
        <v/>
      </c>
      <c r="Q326" t="str">
        <f t="shared" si="44"/>
        <v/>
      </c>
      <c r="S326" t="str">
        <f>""</f>
        <v/>
      </c>
      <c r="AL326" s="18" t="str">
        <f>IF(COUNTIF($A$2:A325, A325) = 1, A325, "")</f>
        <v/>
      </c>
    </row>
    <row r="327" spans="6:38" x14ac:dyDescent="0.2">
      <c r="F327" t="str">
        <f t="shared" si="39"/>
        <v/>
      </c>
      <c r="L327" s="7" t="str">
        <f t="shared" si="40"/>
        <v/>
      </c>
      <c r="N327" s="7" t="str">
        <f t="shared" si="41"/>
        <v/>
      </c>
      <c r="O327" t="str">
        <f t="shared" si="42"/>
        <v/>
      </c>
      <c r="P327" t="str">
        <f t="shared" si="43"/>
        <v/>
      </c>
      <c r="Q327" t="str">
        <f t="shared" si="44"/>
        <v/>
      </c>
      <c r="S327" t="str">
        <f>""</f>
        <v/>
      </c>
      <c r="AL327" s="18" t="str">
        <f>IF(COUNTIF($A$2:A326, A326) = 1, A326, "")</f>
        <v/>
      </c>
    </row>
    <row r="328" spans="6:38" x14ac:dyDescent="0.2">
      <c r="F328" t="str">
        <f t="shared" si="39"/>
        <v/>
      </c>
      <c r="L328" s="7" t="str">
        <f t="shared" si="40"/>
        <v/>
      </c>
      <c r="N328" s="7" t="str">
        <f t="shared" si="41"/>
        <v/>
      </c>
      <c r="O328" t="str">
        <f t="shared" si="42"/>
        <v/>
      </c>
      <c r="P328" t="str">
        <f t="shared" si="43"/>
        <v/>
      </c>
      <c r="Q328" t="str">
        <f t="shared" si="44"/>
        <v/>
      </c>
      <c r="S328" t="str">
        <f>""</f>
        <v/>
      </c>
      <c r="AL328" s="18" t="str">
        <f>IF(COUNTIF($A$2:A327, A327) = 1, A327, "")</f>
        <v/>
      </c>
    </row>
    <row r="329" spans="6:38" x14ac:dyDescent="0.2">
      <c r="F329" t="str">
        <f t="shared" si="39"/>
        <v/>
      </c>
      <c r="L329" s="7" t="str">
        <f t="shared" si="40"/>
        <v/>
      </c>
      <c r="N329" s="7" t="str">
        <f t="shared" si="41"/>
        <v/>
      </c>
      <c r="O329" t="str">
        <f t="shared" si="42"/>
        <v/>
      </c>
      <c r="P329" t="str">
        <f t="shared" si="43"/>
        <v/>
      </c>
      <c r="Q329" t="str">
        <f t="shared" si="44"/>
        <v/>
      </c>
      <c r="S329" t="str">
        <f>""</f>
        <v/>
      </c>
      <c r="AL329" s="18" t="str">
        <f>IF(COUNTIF($A$2:A328, A328) = 1, A328, "")</f>
        <v/>
      </c>
    </row>
    <row r="330" spans="6:38" x14ac:dyDescent="0.2">
      <c r="F330" t="str">
        <f t="shared" si="39"/>
        <v/>
      </c>
      <c r="L330" s="7" t="str">
        <f t="shared" si="40"/>
        <v/>
      </c>
      <c r="N330" s="7" t="str">
        <f t="shared" si="41"/>
        <v/>
      </c>
      <c r="O330" t="str">
        <f t="shared" si="42"/>
        <v/>
      </c>
      <c r="P330" t="str">
        <f t="shared" si="43"/>
        <v/>
      </c>
      <c r="Q330" t="str">
        <f t="shared" si="44"/>
        <v/>
      </c>
      <c r="S330" t="str">
        <f>""</f>
        <v/>
      </c>
      <c r="AL330" s="18" t="str">
        <f>IF(COUNTIF($A$2:A329, A329) = 1, A329, "")</f>
        <v/>
      </c>
    </row>
    <row r="331" spans="6:38" x14ac:dyDescent="0.2">
      <c r="F331" t="str">
        <f t="shared" si="39"/>
        <v/>
      </c>
      <c r="L331" s="7" t="str">
        <f t="shared" si="40"/>
        <v/>
      </c>
      <c r="N331" s="7" t="str">
        <f t="shared" si="41"/>
        <v/>
      </c>
      <c r="O331" t="str">
        <f t="shared" si="42"/>
        <v/>
      </c>
      <c r="P331" t="str">
        <f t="shared" si="43"/>
        <v/>
      </c>
      <c r="Q331" t="str">
        <f t="shared" si="44"/>
        <v/>
      </c>
      <c r="S331" t="str">
        <f>""</f>
        <v/>
      </c>
      <c r="AL331" s="18" t="str">
        <f>IF(COUNTIF($A$2:A330, A330) = 1, A330, "")</f>
        <v/>
      </c>
    </row>
    <row r="332" spans="6:38" x14ac:dyDescent="0.2">
      <c r="F332" t="str">
        <f t="shared" si="39"/>
        <v/>
      </c>
      <c r="L332" s="7" t="str">
        <f t="shared" si="40"/>
        <v/>
      </c>
      <c r="N332" s="7" t="str">
        <f t="shared" si="41"/>
        <v/>
      </c>
      <c r="O332" t="str">
        <f t="shared" si="42"/>
        <v/>
      </c>
      <c r="P332" t="str">
        <f t="shared" si="43"/>
        <v/>
      </c>
      <c r="Q332" t="str">
        <f t="shared" si="44"/>
        <v/>
      </c>
      <c r="S332" t="str">
        <f>""</f>
        <v/>
      </c>
      <c r="AL332" s="18" t="str">
        <f>IF(COUNTIF($A$2:A331, A331) = 1, A331, "")</f>
        <v/>
      </c>
    </row>
    <row r="333" spans="6:38" x14ac:dyDescent="0.2">
      <c r="F333" t="str">
        <f t="shared" si="39"/>
        <v/>
      </c>
      <c r="L333" s="7" t="str">
        <f t="shared" si="40"/>
        <v/>
      </c>
      <c r="N333" s="7" t="str">
        <f t="shared" si="41"/>
        <v/>
      </c>
      <c r="O333" t="str">
        <f t="shared" si="42"/>
        <v/>
      </c>
      <c r="P333" t="str">
        <f t="shared" si="43"/>
        <v/>
      </c>
      <c r="Q333" t="str">
        <f t="shared" si="44"/>
        <v/>
      </c>
      <c r="S333" t="str">
        <f>""</f>
        <v/>
      </c>
      <c r="AL333" s="18" t="str">
        <f>IF(COUNTIF($A$2:A332, A332) = 1, A332, "")</f>
        <v/>
      </c>
    </row>
    <row r="334" spans="6:38" x14ac:dyDescent="0.2">
      <c r="F334" t="str">
        <f t="shared" si="39"/>
        <v/>
      </c>
      <c r="L334" s="7" t="str">
        <f t="shared" si="40"/>
        <v/>
      </c>
      <c r="N334" s="7" t="str">
        <f t="shared" si="41"/>
        <v/>
      </c>
      <c r="O334" t="str">
        <f t="shared" si="42"/>
        <v/>
      </c>
      <c r="P334" t="str">
        <f t="shared" si="43"/>
        <v/>
      </c>
      <c r="Q334" t="str">
        <f t="shared" si="44"/>
        <v/>
      </c>
      <c r="S334" t="str">
        <f>""</f>
        <v/>
      </c>
      <c r="AL334" s="18" t="str">
        <f>IF(COUNTIF($A$2:A333, A333) = 1, A333, "")</f>
        <v/>
      </c>
    </row>
    <row r="335" spans="6:38" x14ac:dyDescent="0.2">
      <c r="F335" t="str">
        <f t="shared" si="39"/>
        <v/>
      </c>
      <c r="L335" s="7" t="str">
        <f t="shared" si="40"/>
        <v/>
      </c>
      <c r="N335" s="7" t="str">
        <f t="shared" si="41"/>
        <v/>
      </c>
      <c r="O335" t="str">
        <f t="shared" si="42"/>
        <v/>
      </c>
      <c r="P335" t="str">
        <f t="shared" si="43"/>
        <v/>
      </c>
      <c r="Q335" t="str">
        <f t="shared" si="44"/>
        <v/>
      </c>
      <c r="S335" t="str">
        <f>""</f>
        <v/>
      </c>
      <c r="AL335" s="18" t="str">
        <f>IF(COUNTIF($A$2:A334, A334) = 1, A334, "")</f>
        <v/>
      </c>
    </row>
    <row r="336" spans="6:38" x14ac:dyDescent="0.2">
      <c r="F336" t="str">
        <f t="shared" ref="F336:F399" si="45">IF(OR(O336="", P336=""), "", SUM(IF((O336&lt;&gt;"None")*(O336&lt;&gt;""),LEN(O336)-LEN(SUBSTITUTE(O336,",",""))+1,0)) + SUM(IF((P336&lt;&gt;"None")*(P336&lt;&gt;""),LEN(P336)-LEN(SUBSTITUTE(P336,",",""))+1,0)))</f>
        <v/>
      </c>
      <c r="L336" s="7" t="str">
        <f t="shared" ref="L336:L399" si="46">IF(LEN(E336)=0, "", IFERROR(IF(E336&gt;=0, K336 * (1 + E336/100) - K336, K336 / (ABS(E336)/100))+K336, ""))</f>
        <v/>
      </c>
      <c r="N336" s="7" t="str">
        <f t="shared" ref="N336:N399" si="47">IF(M336="Yes",L336-K336,IF(M336="No",-K336,""))</f>
        <v/>
      </c>
      <c r="O336" t="str">
        <f t="shared" ref="O336:O399" si="48">IF(AND(G336="No",H336="No"), "None", "")</f>
        <v/>
      </c>
      <c r="P336" t="str">
        <f t="shared" ref="P336:P399" si="49">IF(I336="No", "None", "")</f>
        <v/>
      </c>
      <c r="Q336" t="str">
        <f t="shared" ref="Q336:Q399" si="50">IF(AND(D336="Straight", M336 = "No"),IF(O336="None",P336,IF(P336="None",O336) ),"")</f>
        <v/>
      </c>
      <c r="S336" t="str">
        <f>""</f>
        <v/>
      </c>
      <c r="AL336" s="18" t="str">
        <f>IF(COUNTIF($A$2:A335, A335) = 1, A335, "")</f>
        <v/>
      </c>
    </row>
    <row r="337" spans="6:38" x14ac:dyDescent="0.2">
      <c r="F337" t="str">
        <f t="shared" si="45"/>
        <v/>
      </c>
      <c r="L337" s="7" t="str">
        <f t="shared" si="46"/>
        <v/>
      </c>
      <c r="N337" s="7" t="str">
        <f t="shared" si="47"/>
        <v/>
      </c>
      <c r="O337" t="str">
        <f t="shared" si="48"/>
        <v/>
      </c>
      <c r="P337" t="str">
        <f t="shared" si="49"/>
        <v/>
      </c>
      <c r="Q337" t="str">
        <f t="shared" si="50"/>
        <v/>
      </c>
      <c r="S337" t="str">
        <f>""</f>
        <v/>
      </c>
      <c r="AL337" s="18" t="str">
        <f>IF(COUNTIF($A$2:A336, A336) = 1, A336, "")</f>
        <v/>
      </c>
    </row>
    <row r="338" spans="6:38" x14ac:dyDescent="0.2">
      <c r="F338" t="str">
        <f t="shared" si="45"/>
        <v/>
      </c>
      <c r="L338" s="7" t="str">
        <f t="shared" si="46"/>
        <v/>
      </c>
      <c r="N338" s="7" t="str">
        <f t="shared" si="47"/>
        <v/>
      </c>
      <c r="O338" t="str">
        <f t="shared" si="48"/>
        <v/>
      </c>
      <c r="P338" t="str">
        <f t="shared" si="49"/>
        <v/>
      </c>
      <c r="Q338" t="str">
        <f t="shared" si="50"/>
        <v/>
      </c>
      <c r="S338" t="str">
        <f>""</f>
        <v/>
      </c>
      <c r="AL338" s="18" t="str">
        <f>IF(COUNTIF($A$2:A337, A337) = 1, A337, "")</f>
        <v/>
      </c>
    </row>
    <row r="339" spans="6:38" x14ac:dyDescent="0.2">
      <c r="F339" t="str">
        <f t="shared" si="45"/>
        <v/>
      </c>
      <c r="L339" s="7" t="str">
        <f t="shared" si="46"/>
        <v/>
      </c>
      <c r="N339" s="7" t="str">
        <f t="shared" si="47"/>
        <v/>
      </c>
      <c r="O339" t="str">
        <f t="shared" si="48"/>
        <v/>
      </c>
      <c r="P339" t="str">
        <f t="shared" si="49"/>
        <v/>
      </c>
      <c r="Q339" t="str">
        <f t="shared" si="50"/>
        <v/>
      </c>
      <c r="S339" t="str">
        <f>""</f>
        <v/>
      </c>
      <c r="AL339" s="18" t="str">
        <f>IF(COUNTIF($A$2:A338, A338) = 1, A338, "")</f>
        <v/>
      </c>
    </row>
    <row r="340" spans="6:38" x14ac:dyDescent="0.2">
      <c r="F340" t="str">
        <f t="shared" si="45"/>
        <v/>
      </c>
      <c r="L340" s="7" t="str">
        <f t="shared" si="46"/>
        <v/>
      </c>
      <c r="N340" s="7" t="str">
        <f t="shared" si="47"/>
        <v/>
      </c>
      <c r="O340" t="str">
        <f t="shared" si="48"/>
        <v/>
      </c>
      <c r="P340" t="str">
        <f t="shared" si="49"/>
        <v/>
      </c>
      <c r="Q340" t="str">
        <f t="shared" si="50"/>
        <v/>
      </c>
      <c r="S340" t="str">
        <f>""</f>
        <v/>
      </c>
      <c r="AL340" s="18" t="str">
        <f>IF(COUNTIF($A$2:A339, A339) = 1, A339, "")</f>
        <v/>
      </c>
    </row>
    <row r="341" spans="6:38" x14ac:dyDescent="0.2">
      <c r="F341" t="str">
        <f t="shared" si="45"/>
        <v/>
      </c>
      <c r="L341" s="7" t="str">
        <f t="shared" si="46"/>
        <v/>
      </c>
      <c r="N341" s="7" t="str">
        <f t="shared" si="47"/>
        <v/>
      </c>
      <c r="O341" t="str">
        <f t="shared" si="48"/>
        <v/>
      </c>
      <c r="P341" t="str">
        <f t="shared" si="49"/>
        <v/>
      </c>
      <c r="Q341" t="str">
        <f t="shared" si="50"/>
        <v/>
      </c>
      <c r="S341" t="str">
        <f>""</f>
        <v/>
      </c>
      <c r="AL341" s="18" t="str">
        <f>IF(COUNTIF($A$2:A340, A340) = 1, A340, "")</f>
        <v/>
      </c>
    </row>
    <row r="342" spans="6:38" x14ac:dyDescent="0.2">
      <c r="F342" t="str">
        <f t="shared" si="45"/>
        <v/>
      </c>
      <c r="L342" s="7" t="str">
        <f t="shared" si="46"/>
        <v/>
      </c>
      <c r="N342" s="7" t="str">
        <f t="shared" si="47"/>
        <v/>
      </c>
      <c r="O342" t="str">
        <f t="shared" si="48"/>
        <v/>
      </c>
      <c r="P342" t="str">
        <f t="shared" si="49"/>
        <v/>
      </c>
      <c r="Q342" t="str">
        <f t="shared" si="50"/>
        <v/>
      </c>
      <c r="S342" t="str">
        <f>""</f>
        <v/>
      </c>
      <c r="AL342" s="18" t="str">
        <f>IF(COUNTIF($A$2:A341, A341) = 1, A341, "")</f>
        <v/>
      </c>
    </row>
    <row r="343" spans="6:38" x14ac:dyDescent="0.2">
      <c r="F343" t="str">
        <f t="shared" si="45"/>
        <v/>
      </c>
      <c r="L343" s="7" t="str">
        <f t="shared" si="46"/>
        <v/>
      </c>
      <c r="N343" s="7" t="str">
        <f t="shared" si="47"/>
        <v/>
      </c>
      <c r="O343" t="str">
        <f t="shared" si="48"/>
        <v/>
      </c>
      <c r="P343" t="str">
        <f t="shared" si="49"/>
        <v/>
      </c>
      <c r="Q343" t="str">
        <f t="shared" si="50"/>
        <v/>
      </c>
      <c r="S343" t="str">
        <f>""</f>
        <v/>
      </c>
      <c r="AL343" s="18" t="str">
        <f>IF(COUNTIF($A$2:A342, A342) = 1, A342, "")</f>
        <v/>
      </c>
    </row>
    <row r="344" spans="6:38" x14ac:dyDescent="0.2">
      <c r="F344" t="str">
        <f t="shared" si="45"/>
        <v/>
      </c>
      <c r="L344" s="7" t="str">
        <f t="shared" si="46"/>
        <v/>
      </c>
      <c r="N344" s="7" t="str">
        <f t="shared" si="47"/>
        <v/>
      </c>
      <c r="O344" t="str">
        <f t="shared" si="48"/>
        <v/>
      </c>
      <c r="P344" t="str">
        <f t="shared" si="49"/>
        <v/>
      </c>
      <c r="Q344" t="str">
        <f t="shared" si="50"/>
        <v/>
      </c>
      <c r="S344" t="str">
        <f>""</f>
        <v/>
      </c>
      <c r="AL344" s="18" t="str">
        <f>IF(COUNTIF($A$2:A343, A343) = 1, A343, "")</f>
        <v/>
      </c>
    </row>
    <row r="345" spans="6:38" x14ac:dyDescent="0.2">
      <c r="F345" t="str">
        <f t="shared" si="45"/>
        <v/>
      </c>
      <c r="L345" s="7" t="str">
        <f t="shared" si="46"/>
        <v/>
      </c>
      <c r="N345" s="7" t="str">
        <f t="shared" si="47"/>
        <v/>
      </c>
      <c r="O345" t="str">
        <f t="shared" si="48"/>
        <v/>
      </c>
      <c r="P345" t="str">
        <f t="shared" si="49"/>
        <v/>
      </c>
      <c r="Q345" t="str">
        <f t="shared" si="50"/>
        <v/>
      </c>
      <c r="S345" t="str">
        <f>""</f>
        <v/>
      </c>
      <c r="AL345" s="18" t="str">
        <f>IF(COUNTIF($A$2:A344, A344) = 1, A344, "")</f>
        <v/>
      </c>
    </row>
    <row r="346" spans="6:38" x14ac:dyDescent="0.2">
      <c r="F346" t="str">
        <f t="shared" si="45"/>
        <v/>
      </c>
      <c r="L346" s="7" t="str">
        <f t="shared" si="46"/>
        <v/>
      </c>
      <c r="N346" s="7" t="str">
        <f t="shared" si="47"/>
        <v/>
      </c>
      <c r="O346" t="str">
        <f t="shared" si="48"/>
        <v/>
      </c>
      <c r="P346" t="str">
        <f t="shared" si="49"/>
        <v/>
      </c>
      <c r="Q346" t="str">
        <f t="shared" si="50"/>
        <v/>
      </c>
      <c r="S346" t="str">
        <f>""</f>
        <v/>
      </c>
      <c r="AL346" s="18" t="str">
        <f>IF(COUNTIF($A$2:A345, A345) = 1, A345, "")</f>
        <v/>
      </c>
    </row>
    <row r="347" spans="6:38" x14ac:dyDescent="0.2">
      <c r="F347" t="str">
        <f t="shared" si="45"/>
        <v/>
      </c>
      <c r="L347" s="7" t="str">
        <f t="shared" si="46"/>
        <v/>
      </c>
      <c r="N347" s="7" t="str">
        <f t="shared" si="47"/>
        <v/>
      </c>
      <c r="O347" t="str">
        <f t="shared" si="48"/>
        <v/>
      </c>
      <c r="P347" t="str">
        <f t="shared" si="49"/>
        <v/>
      </c>
      <c r="Q347" t="str">
        <f t="shared" si="50"/>
        <v/>
      </c>
      <c r="S347" t="str">
        <f>""</f>
        <v/>
      </c>
      <c r="AL347" s="18" t="str">
        <f>IF(COUNTIF($A$2:A346, A346) = 1, A346, "")</f>
        <v/>
      </c>
    </row>
    <row r="348" spans="6:38" x14ac:dyDescent="0.2">
      <c r="F348" t="str">
        <f t="shared" si="45"/>
        <v/>
      </c>
      <c r="L348" s="7" t="str">
        <f t="shared" si="46"/>
        <v/>
      </c>
      <c r="N348" s="7" t="str">
        <f t="shared" si="47"/>
        <v/>
      </c>
      <c r="O348" t="str">
        <f t="shared" si="48"/>
        <v/>
      </c>
      <c r="P348" t="str">
        <f t="shared" si="49"/>
        <v/>
      </c>
      <c r="Q348" t="str">
        <f t="shared" si="50"/>
        <v/>
      </c>
      <c r="S348" t="str">
        <f>""</f>
        <v/>
      </c>
      <c r="AL348" s="18" t="str">
        <f>IF(COUNTIF($A$2:A347, A347) = 1, A347, "")</f>
        <v/>
      </c>
    </row>
    <row r="349" spans="6:38" x14ac:dyDescent="0.2">
      <c r="F349" t="str">
        <f t="shared" si="45"/>
        <v/>
      </c>
      <c r="L349" s="7" t="str">
        <f t="shared" si="46"/>
        <v/>
      </c>
      <c r="N349" s="7" t="str">
        <f t="shared" si="47"/>
        <v/>
      </c>
      <c r="O349" t="str">
        <f t="shared" si="48"/>
        <v/>
      </c>
      <c r="P349" t="str">
        <f t="shared" si="49"/>
        <v/>
      </c>
      <c r="Q349" t="str">
        <f t="shared" si="50"/>
        <v/>
      </c>
      <c r="S349" t="str">
        <f>""</f>
        <v/>
      </c>
      <c r="AL349" s="18" t="str">
        <f>IF(COUNTIF($A$2:A348, A348) = 1, A348, "")</f>
        <v/>
      </c>
    </row>
    <row r="350" spans="6:38" x14ac:dyDescent="0.2">
      <c r="F350" t="str">
        <f t="shared" si="45"/>
        <v/>
      </c>
      <c r="L350" s="7" t="str">
        <f t="shared" si="46"/>
        <v/>
      </c>
      <c r="N350" s="7" t="str">
        <f t="shared" si="47"/>
        <v/>
      </c>
      <c r="O350" t="str">
        <f t="shared" si="48"/>
        <v/>
      </c>
      <c r="P350" t="str">
        <f t="shared" si="49"/>
        <v/>
      </c>
      <c r="Q350" t="str">
        <f t="shared" si="50"/>
        <v/>
      </c>
      <c r="S350" t="str">
        <f>""</f>
        <v/>
      </c>
      <c r="AL350" s="18" t="str">
        <f>IF(COUNTIF($A$2:A349, A349) = 1, A349, "")</f>
        <v/>
      </c>
    </row>
    <row r="351" spans="6:38" x14ac:dyDescent="0.2">
      <c r="F351" t="str">
        <f t="shared" si="45"/>
        <v/>
      </c>
      <c r="L351" s="7" t="str">
        <f t="shared" si="46"/>
        <v/>
      </c>
      <c r="N351" s="7" t="str">
        <f t="shared" si="47"/>
        <v/>
      </c>
      <c r="O351" t="str">
        <f t="shared" si="48"/>
        <v/>
      </c>
      <c r="P351" t="str">
        <f t="shared" si="49"/>
        <v/>
      </c>
      <c r="Q351" t="str">
        <f t="shared" si="50"/>
        <v/>
      </c>
      <c r="S351" t="str">
        <f>""</f>
        <v/>
      </c>
      <c r="AL351" s="18" t="str">
        <f>IF(COUNTIF($A$2:A350, A350) = 1, A350, "")</f>
        <v/>
      </c>
    </row>
    <row r="352" spans="6:38" x14ac:dyDescent="0.2">
      <c r="F352" t="str">
        <f t="shared" si="45"/>
        <v/>
      </c>
      <c r="L352" s="7" t="str">
        <f t="shared" si="46"/>
        <v/>
      </c>
      <c r="N352" s="7" t="str">
        <f t="shared" si="47"/>
        <v/>
      </c>
      <c r="O352" t="str">
        <f t="shared" si="48"/>
        <v/>
      </c>
      <c r="P352" t="str">
        <f t="shared" si="49"/>
        <v/>
      </c>
      <c r="Q352" t="str">
        <f t="shared" si="50"/>
        <v/>
      </c>
      <c r="S352" t="str">
        <f>""</f>
        <v/>
      </c>
      <c r="AL352" s="18" t="str">
        <f>IF(COUNTIF($A$2:A351, A351) = 1, A351, "")</f>
        <v/>
      </c>
    </row>
    <row r="353" spans="6:38" x14ac:dyDescent="0.2">
      <c r="F353" t="str">
        <f t="shared" si="45"/>
        <v/>
      </c>
      <c r="L353" s="7" t="str">
        <f t="shared" si="46"/>
        <v/>
      </c>
      <c r="N353" s="7" t="str">
        <f t="shared" si="47"/>
        <v/>
      </c>
      <c r="O353" t="str">
        <f t="shared" si="48"/>
        <v/>
      </c>
      <c r="P353" t="str">
        <f t="shared" si="49"/>
        <v/>
      </c>
      <c r="Q353" t="str">
        <f t="shared" si="50"/>
        <v/>
      </c>
      <c r="S353" t="str">
        <f>""</f>
        <v/>
      </c>
      <c r="AL353" s="18" t="str">
        <f>IF(COUNTIF($A$2:A352, A352) = 1, A352, "")</f>
        <v/>
      </c>
    </row>
    <row r="354" spans="6:38" x14ac:dyDescent="0.2">
      <c r="F354" t="str">
        <f t="shared" si="45"/>
        <v/>
      </c>
      <c r="L354" s="7" t="str">
        <f t="shared" si="46"/>
        <v/>
      </c>
      <c r="N354" s="7" t="str">
        <f t="shared" si="47"/>
        <v/>
      </c>
      <c r="O354" t="str">
        <f t="shared" si="48"/>
        <v/>
      </c>
      <c r="P354" t="str">
        <f t="shared" si="49"/>
        <v/>
      </c>
      <c r="Q354" t="str">
        <f t="shared" si="50"/>
        <v/>
      </c>
      <c r="S354" t="str">
        <f>""</f>
        <v/>
      </c>
      <c r="AL354" s="18" t="str">
        <f>IF(COUNTIF($A$2:A353, A353) = 1, A353, "")</f>
        <v/>
      </c>
    </row>
    <row r="355" spans="6:38" x14ac:dyDescent="0.2">
      <c r="F355" t="str">
        <f t="shared" si="45"/>
        <v/>
      </c>
      <c r="L355" s="7" t="str">
        <f t="shared" si="46"/>
        <v/>
      </c>
      <c r="N355" s="7" t="str">
        <f t="shared" si="47"/>
        <v/>
      </c>
      <c r="O355" t="str">
        <f t="shared" si="48"/>
        <v/>
      </c>
      <c r="P355" t="str">
        <f t="shared" si="49"/>
        <v/>
      </c>
      <c r="Q355" t="str">
        <f t="shared" si="50"/>
        <v/>
      </c>
      <c r="S355" t="str">
        <f>""</f>
        <v/>
      </c>
      <c r="AL355" s="18" t="str">
        <f>IF(COUNTIF($A$2:A354, A354) = 1, A354, "")</f>
        <v/>
      </c>
    </row>
    <row r="356" spans="6:38" x14ac:dyDescent="0.2">
      <c r="F356" t="str">
        <f t="shared" si="45"/>
        <v/>
      </c>
      <c r="L356" s="7" t="str">
        <f t="shared" si="46"/>
        <v/>
      </c>
      <c r="N356" s="7" t="str">
        <f t="shared" si="47"/>
        <v/>
      </c>
      <c r="O356" t="str">
        <f t="shared" si="48"/>
        <v/>
      </c>
      <c r="P356" t="str">
        <f t="shared" si="49"/>
        <v/>
      </c>
      <c r="Q356" t="str">
        <f t="shared" si="50"/>
        <v/>
      </c>
      <c r="S356" t="str">
        <f>""</f>
        <v/>
      </c>
      <c r="AL356" s="18" t="str">
        <f>IF(COUNTIF($A$2:A355, A355) = 1, A355, "")</f>
        <v/>
      </c>
    </row>
    <row r="357" spans="6:38" x14ac:dyDescent="0.2">
      <c r="F357" t="str">
        <f t="shared" si="45"/>
        <v/>
      </c>
      <c r="L357" s="7" t="str">
        <f t="shared" si="46"/>
        <v/>
      </c>
      <c r="N357" s="7" t="str">
        <f t="shared" si="47"/>
        <v/>
      </c>
      <c r="O357" t="str">
        <f t="shared" si="48"/>
        <v/>
      </c>
      <c r="P357" t="str">
        <f t="shared" si="49"/>
        <v/>
      </c>
      <c r="Q357" t="str">
        <f t="shared" si="50"/>
        <v/>
      </c>
      <c r="S357" t="str">
        <f>""</f>
        <v/>
      </c>
      <c r="AL357" s="18" t="str">
        <f>IF(COUNTIF($A$2:A356, A356) = 1, A356, "")</f>
        <v/>
      </c>
    </row>
    <row r="358" spans="6:38" x14ac:dyDescent="0.2">
      <c r="F358" t="str">
        <f t="shared" si="45"/>
        <v/>
      </c>
      <c r="L358" s="7" t="str">
        <f t="shared" si="46"/>
        <v/>
      </c>
      <c r="N358" s="7" t="str">
        <f t="shared" si="47"/>
        <v/>
      </c>
      <c r="O358" t="str">
        <f t="shared" si="48"/>
        <v/>
      </c>
      <c r="P358" t="str">
        <f t="shared" si="49"/>
        <v/>
      </c>
      <c r="Q358" t="str">
        <f t="shared" si="50"/>
        <v/>
      </c>
      <c r="S358" t="str">
        <f>""</f>
        <v/>
      </c>
      <c r="AL358" s="18" t="str">
        <f>IF(COUNTIF($A$2:A357, A357) = 1, A357, "")</f>
        <v/>
      </c>
    </row>
    <row r="359" spans="6:38" x14ac:dyDescent="0.2">
      <c r="F359" t="str">
        <f t="shared" si="45"/>
        <v/>
      </c>
      <c r="L359" s="7" t="str">
        <f t="shared" si="46"/>
        <v/>
      </c>
      <c r="N359" s="7" t="str">
        <f t="shared" si="47"/>
        <v/>
      </c>
      <c r="O359" t="str">
        <f t="shared" si="48"/>
        <v/>
      </c>
      <c r="P359" t="str">
        <f t="shared" si="49"/>
        <v/>
      </c>
      <c r="Q359" t="str">
        <f t="shared" si="50"/>
        <v/>
      </c>
      <c r="S359" t="str">
        <f>""</f>
        <v/>
      </c>
      <c r="AL359" s="18" t="str">
        <f>IF(COUNTIF($A$2:A358, A358) = 1, A358, "")</f>
        <v/>
      </c>
    </row>
    <row r="360" spans="6:38" x14ac:dyDescent="0.2">
      <c r="F360" t="str">
        <f t="shared" si="45"/>
        <v/>
      </c>
      <c r="L360" s="7" t="str">
        <f t="shared" si="46"/>
        <v/>
      </c>
      <c r="N360" s="7" t="str">
        <f t="shared" si="47"/>
        <v/>
      </c>
      <c r="O360" t="str">
        <f t="shared" si="48"/>
        <v/>
      </c>
      <c r="P360" t="str">
        <f t="shared" si="49"/>
        <v/>
      </c>
      <c r="Q360" t="str">
        <f t="shared" si="50"/>
        <v/>
      </c>
      <c r="S360" t="str">
        <f>""</f>
        <v/>
      </c>
      <c r="AL360" s="18" t="str">
        <f>IF(COUNTIF($A$2:A359, A359) = 1, A359, "")</f>
        <v/>
      </c>
    </row>
    <row r="361" spans="6:38" x14ac:dyDescent="0.2">
      <c r="F361" t="str">
        <f t="shared" si="45"/>
        <v/>
      </c>
      <c r="L361" s="7" t="str">
        <f t="shared" si="46"/>
        <v/>
      </c>
      <c r="N361" s="7" t="str">
        <f t="shared" si="47"/>
        <v/>
      </c>
      <c r="O361" t="str">
        <f t="shared" si="48"/>
        <v/>
      </c>
      <c r="P361" t="str">
        <f t="shared" si="49"/>
        <v/>
      </c>
      <c r="Q361" t="str">
        <f t="shared" si="50"/>
        <v/>
      </c>
      <c r="S361" t="str">
        <f>""</f>
        <v/>
      </c>
      <c r="AL361" s="18" t="str">
        <f>IF(COUNTIF($A$2:A360, A360) = 1, A360, "")</f>
        <v/>
      </c>
    </row>
    <row r="362" spans="6:38" x14ac:dyDescent="0.2">
      <c r="F362" t="str">
        <f t="shared" si="45"/>
        <v/>
      </c>
      <c r="L362" s="7" t="str">
        <f t="shared" si="46"/>
        <v/>
      </c>
      <c r="N362" s="7" t="str">
        <f t="shared" si="47"/>
        <v/>
      </c>
      <c r="O362" t="str">
        <f t="shared" si="48"/>
        <v/>
      </c>
      <c r="P362" t="str">
        <f t="shared" si="49"/>
        <v/>
      </c>
      <c r="Q362" t="str">
        <f t="shared" si="50"/>
        <v/>
      </c>
      <c r="S362" t="str">
        <f>""</f>
        <v/>
      </c>
      <c r="AL362" s="18" t="str">
        <f>IF(COUNTIF($A$2:A361, A361) = 1, A361, "")</f>
        <v/>
      </c>
    </row>
    <row r="363" spans="6:38" x14ac:dyDescent="0.2">
      <c r="F363" t="str">
        <f t="shared" si="45"/>
        <v/>
      </c>
      <c r="L363" s="7" t="str">
        <f t="shared" si="46"/>
        <v/>
      </c>
      <c r="N363" s="7" t="str">
        <f t="shared" si="47"/>
        <v/>
      </c>
      <c r="O363" t="str">
        <f t="shared" si="48"/>
        <v/>
      </c>
      <c r="P363" t="str">
        <f t="shared" si="49"/>
        <v/>
      </c>
      <c r="Q363" t="str">
        <f t="shared" si="50"/>
        <v/>
      </c>
      <c r="S363" t="str">
        <f>""</f>
        <v/>
      </c>
      <c r="AL363" s="18" t="str">
        <f>IF(COUNTIF($A$2:A362, A362) = 1, A362, "")</f>
        <v/>
      </c>
    </row>
    <row r="364" spans="6:38" x14ac:dyDescent="0.2">
      <c r="F364" t="str">
        <f t="shared" si="45"/>
        <v/>
      </c>
      <c r="L364" s="7" t="str">
        <f t="shared" si="46"/>
        <v/>
      </c>
      <c r="N364" s="7" t="str">
        <f t="shared" si="47"/>
        <v/>
      </c>
      <c r="O364" t="str">
        <f t="shared" si="48"/>
        <v/>
      </c>
      <c r="P364" t="str">
        <f t="shared" si="49"/>
        <v/>
      </c>
      <c r="Q364" t="str">
        <f t="shared" si="50"/>
        <v/>
      </c>
      <c r="S364" t="str">
        <f>""</f>
        <v/>
      </c>
      <c r="AL364" s="18" t="str">
        <f>IF(COUNTIF($A$2:A363, A363) = 1, A363, "")</f>
        <v/>
      </c>
    </row>
    <row r="365" spans="6:38" x14ac:dyDescent="0.2">
      <c r="F365" t="str">
        <f t="shared" si="45"/>
        <v/>
      </c>
      <c r="L365" s="7" t="str">
        <f t="shared" si="46"/>
        <v/>
      </c>
      <c r="N365" s="7" t="str">
        <f t="shared" si="47"/>
        <v/>
      </c>
      <c r="O365" t="str">
        <f t="shared" si="48"/>
        <v/>
      </c>
      <c r="P365" t="str">
        <f t="shared" si="49"/>
        <v/>
      </c>
      <c r="Q365" t="str">
        <f t="shared" si="50"/>
        <v/>
      </c>
      <c r="S365" t="str">
        <f>""</f>
        <v/>
      </c>
      <c r="AL365" s="18" t="str">
        <f>IF(COUNTIF($A$2:A364, A364) = 1, A364, "")</f>
        <v/>
      </c>
    </row>
    <row r="366" spans="6:38" x14ac:dyDescent="0.2">
      <c r="F366" t="str">
        <f t="shared" si="45"/>
        <v/>
      </c>
      <c r="L366" s="7" t="str">
        <f t="shared" si="46"/>
        <v/>
      </c>
      <c r="N366" s="7" t="str">
        <f t="shared" si="47"/>
        <v/>
      </c>
      <c r="O366" t="str">
        <f t="shared" si="48"/>
        <v/>
      </c>
      <c r="P366" t="str">
        <f t="shared" si="49"/>
        <v/>
      </c>
      <c r="Q366" t="str">
        <f t="shared" si="50"/>
        <v/>
      </c>
      <c r="S366" t="str">
        <f>""</f>
        <v/>
      </c>
      <c r="AL366" s="18" t="str">
        <f>IF(COUNTIF($A$2:A365, A365) = 1, A365, "")</f>
        <v/>
      </c>
    </row>
    <row r="367" spans="6:38" x14ac:dyDescent="0.2">
      <c r="F367" t="str">
        <f t="shared" si="45"/>
        <v/>
      </c>
      <c r="L367" s="7" t="str">
        <f t="shared" si="46"/>
        <v/>
      </c>
      <c r="N367" s="7" t="str">
        <f t="shared" si="47"/>
        <v/>
      </c>
      <c r="O367" t="str">
        <f t="shared" si="48"/>
        <v/>
      </c>
      <c r="P367" t="str">
        <f t="shared" si="49"/>
        <v/>
      </c>
      <c r="Q367" t="str">
        <f t="shared" si="50"/>
        <v/>
      </c>
      <c r="S367" t="str">
        <f>""</f>
        <v/>
      </c>
      <c r="AL367" s="18" t="str">
        <f>IF(COUNTIF($A$2:A366, A366) = 1, A366, "")</f>
        <v/>
      </c>
    </row>
    <row r="368" spans="6:38" x14ac:dyDescent="0.2">
      <c r="F368" t="str">
        <f t="shared" si="45"/>
        <v/>
      </c>
      <c r="L368" s="7" t="str">
        <f t="shared" si="46"/>
        <v/>
      </c>
      <c r="N368" s="7" t="str">
        <f t="shared" si="47"/>
        <v/>
      </c>
      <c r="O368" t="str">
        <f t="shared" si="48"/>
        <v/>
      </c>
      <c r="P368" t="str">
        <f t="shared" si="49"/>
        <v/>
      </c>
      <c r="Q368" t="str">
        <f t="shared" si="50"/>
        <v/>
      </c>
      <c r="S368" t="str">
        <f>""</f>
        <v/>
      </c>
      <c r="AL368" s="18" t="str">
        <f>IF(COUNTIF($A$2:A367, A367) = 1, A367, "")</f>
        <v/>
      </c>
    </row>
    <row r="369" spans="6:38" x14ac:dyDescent="0.2">
      <c r="F369" t="str">
        <f t="shared" si="45"/>
        <v/>
      </c>
      <c r="L369" s="7" t="str">
        <f t="shared" si="46"/>
        <v/>
      </c>
      <c r="N369" s="7" t="str">
        <f t="shared" si="47"/>
        <v/>
      </c>
      <c r="O369" t="str">
        <f t="shared" si="48"/>
        <v/>
      </c>
      <c r="P369" t="str">
        <f t="shared" si="49"/>
        <v/>
      </c>
      <c r="Q369" t="str">
        <f t="shared" si="50"/>
        <v/>
      </c>
      <c r="S369" t="str">
        <f>""</f>
        <v/>
      </c>
      <c r="AL369" s="18" t="str">
        <f>IF(COUNTIF($A$2:A368, A368) = 1, A368, "")</f>
        <v/>
      </c>
    </row>
    <row r="370" spans="6:38" x14ac:dyDescent="0.2">
      <c r="F370" t="str">
        <f t="shared" si="45"/>
        <v/>
      </c>
      <c r="L370" s="7" t="str">
        <f t="shared" si="46"/>
        <v/>
      </c>
      <c r="N370" s="7" t="str">
        <f t="shared" si="47"/>
        <v/>
      </c>
      <c r="O370" t="str">
        <f t="shared" si="48"/>
        <v/>
      </c>
      <c r="P370" t="str">
        <f t="shared" si="49"/>
        <v/>
      </c>
      <c r="Q370" t="str">
        <f t="shared" si="50"/>
        <v/>
      </c>
      <c r="S370" t="str">
        <f>""</f>
        <v/>
      </c>
      <c r="AL370" s="18" t="str">
        <f>IF(COUNTIF($A$2:A369, A369) = 1, A369, "")</f>
        <v/>
      </c>
    </row>
    <row r="371" spans="6:38" x14ac:dyDescent="0.2">
      <c r="F371" t="str">
        <f t="shared" si="45"/>
        <v/>
      </c>
      <c r="L371" s="7" t="str">
        <f t="shared" si="46"/>
        <v/>
      </c>
      <c r="N371" s="7" t="str">
        <f t="shared" si="47"/>
        <v/>
      </c>
      <c r="O371" t="str">
        <f t="shared" si="48"/>
        <v/>
      </c>
      <c r="P371" t="str">
        <f t="shared" si="49"/>
        <v/>
      </c>
      <c r="Q371" t="str">
        <f t="shared" si="50"/>
        <v/>
      </c>
      <c r="S371" t="str">
        <f>""</f>
        <v/>
      </c>
      <c r="AL371" s="18" t="str">
        <f>IF(COUNTIF($A$2:A370, A370) = 1, A370, "")</f>
        <v/>
      </c>
    </row>
    <row r="372" spans="6:38" x14ac:dyDescent="0.2">
      <c r="F372" t="str">
        <f t="shared" si="45"/>
        <v/>
      </c>
      <c r="L372" s="7" t="str">
        <f t="shared" si="46"/>
        <v/>
      </c>
      <c r="N372" s="7" t="str">
        <f t="shared" si="47"/>
        <v/>
      </c>
      <c r="O372" t="str">
        <f t="shared" si="48"/>
        <v/>
      </c>
      <c r="P372" t="str">
        <f t="shared" si="49"/>
        <v/>
      </c>
      <c r="Q372" t="str">
        <f t="shared" si="50"/>
        <v/>
      </c>
      <c r="S372" t="str">
        <f>""</f>
        <v/>
      </c>
      <c r="AL372" s="18" t="str">
        <f>IF(COUNTIF($A$2:A371, A371) = 1, A371, "")</f>
        <v/>
      </c>
    </row>
    <row r="373" spans="6:38" x14ac:dyDescent="0.2">
      <c r="F373" t="str">
        <f t="shared" si="45"/>
        <v/>
      </c>
      <c r="L373" s="7" t="str">
        <f t="shared" si="46"/>
        <v/>
      </c>
      <c r="N373" s="7" t="str">
        <f t="shared" si="47"/>
        <v/>
      </c>
      <c r="O373" t="str">
        <f t="shared" si="48"/>
        <v/>
      </c>
      <c r="P373" t="str">
        <f t="shared" si="49"/>
        <v/>
      </c>
      <c r="Q373" t="str">
        <f t="shared" si="50"/>
        <v/>
      </c>
      <c r="S373" t="str">
        <f>""</f>
        <v/>
      </c>
      <c r="AL373" s="18" t="str">
        <f>IF(COUNTIF($A$2:A372, A372) = 1, A372, "")</f>
        <v/>
      </c>
    </row>
    <row r="374" spans="6:38" x14ac:dyDescent="0.2">
      <c r="F374" t="str">
        <f t="shared" si="45"/>
        <v/>
      </c>
      <c r="L374" s="7" t="str">
        <f t="shared" si="46"/>
        <v/>
      </c>
      <c r="N374" s="7" t="str">
        <f t="shared" si="47"/>
        <v/>
      </c>
      <c r="O374" t="str">
        <f t="shared" si="48"/>
        <v/>
      </c>
      <c r="P374" t="str">
        <f t="shared" si="49"/>
        <v/>
      </c>
      <c r="Q374" t="str">
        <f t="shared" si="50"/>
        <v/>
      </c>
      <c r="S374" t="str">
        <f>""</f>
        <v/>
      </c>
      <c r="AL374" s="18" t="str">
        <f>IF(COUNTIF($A$2:A373, A373) = 1, A373, "")</f>
        <v/>
      </c>
    </row>
    <row r="375" spans="6:38" x14ac:dyDescent="0.2">
      <c r="F375" t="str">
        <f t="shared" si="45"/>
        <v/>
      </c>
      <c r="L375" s="7" t="str">
        <f t="shared" si="46"/>
        <v/>
      </c>
      <c r="N375" s="7" t="str">
        <f t="shared" si="47"/>
        <v/>
      </c>
      <c r="O375" t="str">
        <f t="shared" si="48"/>
        <v/>
      </c>
      <c r="P375" t="str">
        <f t="shared" si="49"/>
        <v/>
      </c>
      <c r="Q375" t="str">
        <f t="shared" si="50"/>
        <v/>
      </c>
      <c r="S375" t="str">
        <f>""</f>
        <v/>
      </c>
      <c r="AL375" s="18" t="str">
        <f>IF(COUNTIF($A$2:A374, A374) = 1, A374, "")</f>
        <v/>
      </c>
    </row>
    <row r="376" spans="6:38" x14ac:dyDescent="0.2">
      <c r="F376" t="str">
        <f t="shared" si="45"/>
        <v/>
      </c>
      <c r="L376" s="7" t="str">
        <f t="shared" si="46"/>
        <v/>
      </c>
      <c r="N376" s="7" t="str">
        <f t="shared" si="47"/>
        <v/>
      </c>
      <c r="O376" t="str">
        <f t="shared" si="48"/>
        <v/>
      </c>
      <c r="P376" t="str">
        <f t="shared" si="49"/>
        <v/>
      </c>
      <c r="Q376" t="str">
        <f t="shared" si="50"/>
        <v/>
      </c>
      <c r="S376" t="str">
        <f>""</f>
        <v/>
      </c>
      <c r="AL376" s="18" t="str">
        <f>IF(COUNTIF($A$2:A375, A375) = 1, A375, "")</f>
        <v/>
      </c>
    </row>
    <row r="377" spans="6:38" x14ac:dyDescent="0.2">
      <c r="F377" t="str">
        <f t="shared" si="45"/>
        <v/>
      </c>
      <c r="L377" s="7" t="str">
        <f t="shared" si="46"/>
        <v/>
      </c>
      <c r="N377" s="7" t="str">
        <f t="shared" si="47"/>
        <v/>
      </c>
      <c r="O377" t="str">
        <f t="shared" si="48"/>
        <v/>
      </c>
      <c r="P377" t="str">
        <f t="shared" si="49"/>
        <v/>
      </c>
      <c r="Q377" t="str">
        <f t="shared" si="50"/>
        <v/>
      </c>
      <c r="S377" t="str">
        <f>""</f>
        <v/>
      </c>
      <c r="AL377" s="18" t="str">
        <f>IF(COUNTIF($A$2:A376, A376) = 1, A376, "")</f>
        <v/>
      </c>
    </row>
    <row r="378" spans="6:38" x14ac:dyDescent="0.2">
      <c r="F378" t="str">
        <f t="shared" si="45"/>
        <v/>
      </c>
      <c r="L378" s="7" t="str">
        <f t="shared" si="46"/>
        <v/>
      </c>
      <c r="N378" s="7" t="str">
        <f t="shared" si="47"/>
        <v/>
      </c>
      <c r="O378" t="str">
        <f t="shared" si="48"/>
        <v/>
      </c>
      <c r="P378" t="str">
        <f t="shared" si="49"/>
        <v/>
      </c>
      <c r="Q378" t="str">
        <f t="shared" si="50"/>
        <v/>
      </c>
      <c r="S378" t="str">
        <f>""</f>
        <v/>
      </c>
      <c r="AL378" s="18" t="str">
        <f>IF(COUNTIF($A$2:A377, A377) = 1, A377, "")</f>
        <v/>
      </c>
    </row>
    <row r="379" spans="6:38" x14ac:dyDescent="0.2">
      <c r="F379" t="str">
        <f t="shared" si="45"/>
        <v/>
      </c>
      <c r="L379" s="7" t="str">
        <f t="shared" si="46"/>
        <v/>
      </c>
      <c r="N379" s="7" t="str">
        <f t="shared" si="47"/>
        <v/>
      </c>
      <c r="O379" t="str">
        <f t="shared" si="48"/>
        <v/>
      </c>
      <c r="P379" t="str">
        <f t="shared" si="49"/>
        <v/>
      </c>
      <c r="Q379" t="str">
        <f t="shared" si="50"/>
        <v/>
      </c>
      <c r="S379" t="str">
        <f>""</f>
        <v/>
      </c>
      <c r="AL379" s="18" t="str">
        <f>IF(COUNTIF($A$2:A378, A378) = 1, A378, "")</f>
        <v/>
      </c>
    </row>
    <row r="380" spans="6:38" x14ac:dyDescent="0.2">
      <c r="F380" t="str">
        <f t="shared" si="45"/>
        <v/>
      </c>
      <c r="L380" s="7" t="str">
        <f t="shared" si="46"/>
        <v/>
      </c>
      <c r="N380" s="7" t="str">
        <f t="shared" si="47"/>
        <v/>
      </c>
      <c r="O380" t="str">
        <f t="shared" si="48"/>
        <v/>
      </c>
      <c r="P380" t="str">
        <f t="shared" si="49"/>
        <v/>
      </c>
      <c r="Q380" t="str">
        <f t="shared" si="50"/>
        <v/>
      </c>
      <c r="S380" t="str">
        <f>""</f>
        <v/>
      </c>
      <c r="AL380" s="18" t="str">
        <f>IF(COUNTIF($A$2:A379, A379) = 1, A379, "")</f>
        <v/>
      </c>
    </row>
    <row r="381" spans="6:38" x14ac:dyDescent="0.2">
      <c r="F381" t="str">
        <f t="shared" si="45"/>
        <v/>
      </c>
      <c r="L381" s="7" t="str">
        <f t="shared" si="46"/>
        <v/>
      </c>
      <c r="N381" s="7" t="str">
        <f t="shared" si="47"/>
        <v/>
      </c>
      <c r="O381" t="str">
        <f t="shared" si="48"/>
        <v/>
      </c>
      <c r="P381" t="str">
        <f t="shared" si="49"/>
        <v/>
      </c>
      <c r="Q381" t="str">
        <f t="shared" si="50"/>
        <v/>
      </c>
      <c r="S381" t="str">
        <f>""</f>
        <v/>
      </c>
      <c r="AL381" s="18" t="str">
        <f>IF(COUNTIF($A$2:A380, A380) = 1, A380, "")</f>
        <v/>
      </c>
    </row>
    <row r="382" spans="6:38" x14ac:dyDescent="0.2">
      <c r="F382" t="str">
        <f t="shared" si="45"/>
        <v/>
      </c>
      <c r="L382" s="7" t="str">
        <f t="shared" si="46"/>
        <v/>
      </c>
      <c r="N382" s="7" t="str">
        <f t="shared" si="47"/>
        <v/>
      </c>
      <c r="O382" t="str">
        <f t="shared" si="48"/>
        <v/>
      </c>
      <c r="P382" t="str">
        <f t="shared" si="49"/>
        <v/>
      </c>
      <c r="Q382" t="str">
        <f t="shared" si="50"/>
        <v/>
      </c>
      <c r="S382" t="str">
        <f>""</f>
        <v/>
      </c>
      <c r="AL382" s="18" t="str">
        <f>IF(COUNTIF($A$2:A381, A381) = 1, A381, "")</f>
        <v/>
      </c>
    </row>
    <row r="383" spans="6:38" x14ac:dyDescent="0.2">
      <c r="F383" t="str">
        <f t="shared" si="45"/>
        <v/>
      </c>
      <c r="L383" s="7" t="str">
        <f t="shared" si="46"/>
        <v/>
      </c>
      <c r="N383" s="7" t="str">
        <f t="shared" si="47"/>
        <v/>
      </c>
      <c r="O383" t="str">
        <f t="shared" si="48"/>
        <v/>
      </c>
      <c r="P383" t="str">
        <f t="shared" si="49"/>
        <v/>
      </c>
      <c r="Q383" t="str">
        <f t="shared" si="50"/>
        <v/>
      </c>
      <c r="S383" t="str">
        <f>""</f>
        <v/>
      </c>
      <c r="AL383" s="18" t="str">
        <f>IF(COUNTIF($A$2:A382, A382) = 1, A382, "")</f>
        <v/>
      </c>
    </row>
    <row r="384" spans="6:38" x14ac:dyDescent="0.2">
      <c r="F384" t="str">
        <f t="shared" si="45"/>
        <v/>
      </c>
      <c r="L384" s="7" t="str">
        <f t="shared" si="46"/>
        <v/>
      </c>
      <c r="N384" s="7" t="str">
        <f t="shared" si="47"/>
        <v/>
      </c>
      <c r="O384" t="str">
        <f t="shared" si="48"/>
        <v/>
      </c>
      <c r="P384" t="str">
        <f t="shared" si="49"/>
        <v/>
      </c>
      <c r="Q384" t="str">
        <f t="shared" si="50"/>
        <v/>
      </c>
      <c r="S384" t="str">
        <f>""</f>
        <v/>
      </c>
      <c r="AL384" s="18" t="str">
        <f>IF(COUNTIF($A$2:A383, A383) = 1, A383, "")</f>
        <v/>
      </c>
    </row>
    <row r="385" spans="6:38" x14ac:dyDescent="0.2">
      <c r="F385" t="str">
        <f t="shared" si="45"/>
        <v/>
      </c>
      <c r="L385" s="7" t="str">
        <f t="shared" si="46"/>
        <v/>
      </c>
      <c r="N385" s="7" t="str">
        <f t="shared" si="47"/>
        <v/>
      </c>
      <c r="O385" t="str">
        <f t="shared" si="48"/>
        <v/>
      </c>
      <c r="P385" t="str">
        <f t="shared" si="49"/>
        <v/>
      </c>
      <c r="Q385" t="str">
        <f t="shared" si="50"/>
        <v/>
      </c>
      <c r="S385" t="str">
        <f>""</f>
        <v/>
      </c>
      <c r="AL385" s="18" t="str">
        <f>IF(COUNTIF($A$2:A384, A384) = 1, A384, "")</f>
        <v/>
      </c>
    </row>
    <row r="386" spans="6:38" x14ac:dyDescent="0.2">
      <c r="F386" t="str">
        <f t="shared" si="45"/>
        <v/>
      </c>
      <c r="L386" s="7" t="str">
        <f t="shared" si="46"/>
        <v/>
      </c>
      <c r="N386" s="7" t="str">
        <f t="shared" si="47"/>
        <v/>
      </c>
      <c r="O386" t="str">
        <f t="shared" si="48"/>
        <v/>
      </c>
      <c r="P386" t="str">
        <f t="shared" si="49"/>
        <v/>
      </c>
      <c r="Q386" t="str">
        <f t="shared" si="50"/>
        <v/>
      </c>
      <c r="S386" t="str">
        <f>""</f>
        <v/>
      </c>
      <c r="AL386" s="18" t="str">
        <f>IF(COUNTIF($A$2:A385, A385) = 1, A385, "")</f>
        <v/>
      </c>
    </row>
    <row r="387" spans="6:38" x14ac:dyDescent="0.2">
      <c r="F387" t="str">
        <f t="shared" si="45"/>
        <v/>
      </c>
      <c r="L387" s="7" t="str">
        <f t="shared" si="46"/>
        <v/>
      </c>
      <c r="N387" s="7" t="str">
        <f t="shared" si="47"/>
        <v/>
      </c>
      <c r="O387" t="str">
        <f t="shared" si="48"/>
        <v/>
      </c>
      <c r="P387" t="str">
        <f t="shared" si="49"/>
        <v/>
      </c>
      <c r="Q387" t="str">
        <f t="shared" si="50"/>
        <v/>
      </c>
      <c r="S387" t="str">
        <f>""</f>
        <v/>
      </c>
      <c r="AL387" s="18" t="str">
        <f>IF(COUNTIF($A$2:A386, A386) = 1, A386, "")</f>
        <v/>
      </c>
    </row>
    <row r="388" spans="6:38" x14ac:dyDescent="0.2">
      <c r="F388" t="str">
        <f t="shared" si="45"/>
        <v/>
      </c>
      <c r="L388" s="7" t="str">
        <f t="shared" si="46"/>
        <v/>
      </c>
      <c r="N388" s="7" t="str">
        <f t="shared" si="47"/>
        <v/>
      </c>
      <c r="O388" t="str">
        <f t="shared" si="48"/>
        <v/>
      </c>
      <c r="P388" t="str">
        <f t="shared" si="49"/>
        <v/>
      </c>
      <c r="Q388" t="str">
        <f t="shared" si="50"/>
        <v/>
      </c>
      <c r="S388" t="str">
        <f>""</f>
        <v/>
      </c>
      <c r="AL388" s="18" t="str">
        <f>IF(COUNTIF($A$2:A387, A387) = 1, A387, "")</f>
        <v/>
      </c>
    </row>
    <row r="389" spans="6:38" x14ac:dyDescent="0.2">
      <c r="F389" t="str">
        <f t="shared" si="45"/>
        <v/>
      </c>
      <c r="L389" s="7" t="str">
        <f t="shared" si="46"/>
        <v/>
      </c>
      <c r="N389" s="7" t="str">
        <f t="shared" si="47"/>
        <v/>
      </c>
      <c r="O389" t="str">
        <f t="shared" si="48"/>
        <v/>
      </c>
      <c r="P389" t="str">
        <f t="shared" si="49"/>
        <v/>
      </c>
      <c r="Q389" t="str">
        <f t="shared" si="50"/>
        <v/>
      </c>
      <c r="S389" t="str">
        <f>""</f>
        <v/>
      </c>
      <c r="AL389" s="18" t="str">
        <f>IF(COUNTIF($A$2:A388, A388) = 1, A388, "")</f>
        <v/>
      </c>
    </row>
    <row r="390" spans="6:38" x14ac:dyDescent="0.2">
      <c r="F390" t="str">
        <f t="shared" si="45"/>
        <v/>
      </c>
      <c r="L390" s="7" t="str">
        <f t="shared" si="46"/>
        <v/>
      </c>
      <c r="N390" s="7" t="str">
        <f t="shared" si="47"/>
        <v/>
      </c>
      <c r="O390" t="str">
        <f t="shared" si="48"/>
        <v/>
      </c>
      <c r="P390" t="str">
        <f t="shared" si="49"/>
        <v/>
      </c>
      <c r="Q390" t="str">
        <f t="shared" si="50"/>
        <v/>
      </c>
      <c r="S390" t="str">
        <f>""</f>
        <v/>
      </c>
      <c r="AL390" s="18" t="str">
        <f>IF(COUNTIF($A$2:A389, A389) = 1, A389, "")</f>
        <v/>
      </c>
    </row>
    <row r="391" spans="6:38" x14ac:dyDescent="0.2">
      <c r="F391" t="str">
        <f t="shared" si="45"/>
        <v/>
      </c>
      <c r="L391" s="7" t="str">
        <f t="shared" si="46"/>
        <v/>
      </c>
      <c r="N391" s="7" t="str">
        <f t="shared" si="47"/>
        <v/>
      </c>
      <c r="O391" t="str">
        <f t="shared" si="48"/>
        <v/>
      </c>
      <c r="P391" t="str">
        <f t="shared" si="49"/>
        <v/>
      </c>
      <c r="Q391" t="str">
        <f t="shared" si="50"/>
        <v/>
      </c>
      <c r="S391" t="str">
        <f>""</f>
        <v/>
      </c>
      <c r="AL391" s="18" t="str">
        <f>IF(COUNTIF($A$2:A390, A390) = 1, A390, "")</f>
        <v/>
      </c>
    </row>
    <row r="392" spans="6:38" x14ac:dyDescent="0.2">
      <c r="F392" t="str">
        <f t="shared" si="45"/>
        <v/>
      </c>
      <c r="L392" s="7" t="str">
        <f t="shared" si="46"/>
        <v/>
      </c>
      <c r="N392" s="7" t="str">
        <f t="shared" si="47"/>
        <v/>
      </c>
      <c r="O392" t="str">
        <f t="shared" si="48"/>
        <v/>
      </c>
      <c r="P392" t="str">
        <f t="shared" si="49"/>
        <v/>
      </c>
      <c r="Q392" t="str">
        <f t="shared" si="50"/>
        <v/>
      </c>
      <c r="S392" t="str">
        <f>""</f>
        <v/>
      </c>
      <c r="AL392" s="18" t="str">
        <f>IF(COUNTIF($A$2:A391, A391) = 1, A391, "")</f>
        <v/>
      </c>
    </row>
    <row r="393" spans="6:38" x14ac:dyDescent="0.2">
      <c r="F393" t="str">
        <f t="shared" si="45"/>
        <v/>
      </c>
      <c r="L393" s="7" t="str">
        <f t="shared" si="46"/>
        <v/>
      </c>
      <c r="N393" s="7" t="str">
        <f t="shared" si="47"/>
        <v/>
      </c>
      <c r="O393" t="str">
        <f t="shared" si="48"/>
        <v/>
      </c>
      <c r="P393" t="str">
        <f t="shared" si="49"/>
        <v/>
      </c>
      <c r="Q393" t="str">
        <f t="shared" si="50"/>
        <v/>
      </c>
      <c r="S393" t="str">
        <f>""</f>
        <v/>
      </c>
      <c r="AL393" s="18" t="str">
        <f>IF(COUNTIF($A$2:A392, A392) = 1, A392, "")</f>
        <v/>
      </c>
    </row>
    <row r="394" spans="6:38" x14ac:dyDescent="0.2">
      <c r="F394" t="str">
        <f t="shared" si="45"/>
        <v/>
      </c>
      <c r="L394" s="7" t="str">
        <f t="shared" si="46"/>
        <v/>
      </c>
      <c r="N394" s="7" t="str">
        <f t="shared" si="47"/>
        <v/>
      </c>
      <c r="O394" t="str">
        <f t="shared" si="48"/>
        <v/>
      </c>
      <c r="P394" t="str">
        <f t="shared" si="49"/>
        <v/>
      </c>
      <c r="Q394" t="str">
        <f t="shared" si="50"/>
        <v/>
      </c>
      <c r="S394" t="str">
        <f>""</f>
        <v/>
      </c>
      <c r="AL394" s="18" t="str">
        <f>IF(COUNTIF($A$2:A393, A393) = 1, A393, "")</f>
        <v/>
      </c>
    </row>
    <row r="395" spans="6:38" x14ac:dyDescent="0.2">
      <c r="F395" t="str">
        <f t="shared" si="45"/>
        <v/>
      </c>
      <c r="L395" s="7" t="str">
        <f t="shared" si="46"/>
        <v/>
      </c>
      <c r="N395" s="7" t="str">
        <f t="shared" si="47"/>
        <v/>
      </c>
      <c r="O395" t="str">
        <f t="shared" si="48"/>
        <v/>
      </c>
      <c r="P395" t="str">
        <f t="shared" si="49"/>
        <v/>
      </c>
      <c r="Q395" t="str">
        <f t="shared" si="50"/>
        <v/>
      </c>
      <c r="S395" t="str">
        <f>""</f>
        <v/>
      </c>
      <c r="AL395" s="18" t="str">
        <f>IF(COUNTIF($A$2:A394, A394) = 1, A394, "")</f>
        <v/>
      </c>
    </row>
    <row r="396" spans="6:38" x14ac:dyDescent="0.2">
      <c r="F396" t="str">
        <f t="shared" si="45"/>
        <v/>
      </c>
      <c r="L396" s="7" t="str">
        <f t="shared" si="46"/>
        <v/>
      </c>
      <c r="N396" s="7" t="str">
        <f t="shared" si="47"/>
        <v/>
      </c>
      <c r="O396" t="str">
        <f t="shared" si="48"/>
        <v/>
      </c>
      <c r="P396" t="str">
        <f t="shared" si="49"/>
        <v/>
      </c>
      <c r="Q396" t="str">
        <f t="shared" si="50"/>
        <v/>
      </c>
      <c r="S396" t="str">
        <f>""</f>
        <v/>
      </c>
      <c r="AL396" s="18" t="str">
        <f>IF(COUNTIF($A$2:A395, A395) = 1, A395, "")</f>
        <v/>
      </c>
    </row>
    <row r="397" spans="6:38" x14ac:dyDescent="0.2">
      <c r="F397" t="str">
        <f t="shared" si="45"/>
        <v/>
      </c>
      <c r="L397" s="7" t="str">
        <f t="shared" si="46"/>
        <v/>
      </c>
      <c r="N397" s="7" t="str">
        <f t="shared" si="47"/>
        <v/>
      </c>
      <c r="O397" t="str">
        <f t="shared" si="48"/>
        <v/>
      </c>
      <c r="P397" t="str">
        <f t="shared" si="49"/>
        <v/>
      </c>
      <c r="Q397" t="str">
        <f t="shared" si="50"/>
        <v/>
      </c>
      <c r="S397" t="str">
        <f>""</f>
        <v/>
      </c>
      <c r="AL397" s="18" t="str">
        <f>IF(COUNTIF($A$2:A396, A396) = 1, A396, "")</f>
        <v/>
      </c>
    </row>
    <row r="398" spans="6:38" x14ac:dyDescent="0.2">
      <c r="F398" t="str">
        <f t="shared" si="45"/>
        <v/>
      </c>
      <c r="L398" s="7" t="str">
        <f t="shared" si="46"/>
        <v/>
      </c>
      <c r="N398" s="7" t="str">
        <f t="shared" si="47"/>
        <v/>
      </c>
      <c r="O398" t="str">
        <f t="shared" si="48"/>
        <v/>
      </c>
      <c r="P398" t="str">
        <f t="shared" si="49"/>
        <v/>
      </c>
      <c r="Q398" t="str">
        <f t="shared" si="50"/>
        <v/>
      </c>
      <c r="S398" t="str">
        <f>""</f>
        <v/>
      </c>
      <c r="AL398" s="18" t="str">
        <f>IF(COUNTIF($A$2:A397, A397) = 1, A397, "")</f>
        <v/>
      </c>
    </row>
    <row r="399" spans="6:38" x14ac:dyDescent="0.2">
      <c r="F399" t="str">
        <f t="shared" si="45"/>
        <v/>
      </c>
      <c r="L399" s="7" t="str">
        <f t="shared" si="46"/>
        <v/>
      </c>
      <c r="N399" s="7" t="str">
        <f t="shared" si="47"/>
        <v/>
      </c>
      <c r="O399" t="str">
        <f t="shared" si="48"/>
        <v/>
      </c>
      <c r="P399" t="str">
        <f t="shared" si="49"/>
        <v/>
      </c>
      <c r="Q399" t="str">
        <f t="shared" si="50"/>
        <v/>
      </c>
      <c r="S399" t="str">
        <f>""</f>
        <v/>
      </c>
      <c r="AL399" s="18" t="str">
        <f>IF(COUNTIF($A$2:A398, A398) = 1, A398, "")</f>
        <v/>
      </c>
    </row>
    <row r="400" spans="6:38" x14ac:dyDescent="0.2">
      <c r="F400" t="str">
        <f t="shared" ref="F400:F463" si="51">IF(OR(O400="", P400=""), "", SUM(IF((O400&lt;&gt;"None")*(O400&lt;&gt;""),LEN(O400)-LEN(SUBSTITUTE(O400,",",""))+1,0)) + SUM(IF((P400&lt;&gt;"None")*(P400&lt;&gt;""),LEN(P400)-LEN(SUBSTITUTE(P400,",",""))+1,0)))</f>
        <v/>
      </c>
      <c r="L400" s="7" t="str">
        <f t="shared" ref="L400:L463" si="52">IF(LEN(E400)=0, "", IFERROR(IF(E400&gt;=0, K400 * (1 + E400/100) - K400, K400 / (ABS(E400)/100))+K400, ""))</f>
        <v/>
      </c>
      <c r="N400" s="7" t="str">
        <f t="shared" ref="N400:N463" si="53">IF(M400="Yes",L400-K400,IF(M400="No",-K400,""))</f>
        <v/>
      </c>
      <c r="O400" t="str">
        <f t="shared" ref="O400:O463" si="54">IF(AND(G400="No",H400="No"), "None", "")</f>
        <v/>
      </c>
      <c r="P400" t="str">
        <f t="shared" ref="P400:P463" si="55">IF(I400="No", "None", "")</f>
        <v/>
      </c>
      <c r="Q400" t="str">
        <f t="shared" ref="Q400:Q463" si="56">IF(AND(D400="Straight", M400 = "No"),IF(O400="None",P400,IF(P400="None",O400) ),"")</f>
        <v/>
      </c>
      <c r="S400" t="str">
        <f>""</f>
        <v/>
      </c>
      <c r="AL400" s="18" t="str">
        <f>IF(COUNTIF($A$2:A399, A399) = 1, A399, "")</f>
        <v/>
      </c>
    </row>
    <row r="401" spans="6:38" x14ac:dyDescent="0.2">
      <c r="F401" t="str">
        <f t="shared" si="51"/>
        <v/>
      </c>
      <c r="L401" s="7" t="str">
        <f t="shared" si="52"/>
        <v/>
      </c>
      <c r="N401" s="7" t="str">
        <f t="shared" si="53"/>
        <v/>
      </c>
      <c r="O401" t="str">
        <f t="shared" si="54"/>
        <v/>
      </c>
      <c r="P401" t="str">
        <f t="shared" si="55"/>
        <v/>
      </c>
      <c r="Q401" t="str">
        <f t="shared" si="56"/>
        <v/>
      </c>
      <c r="S401" t="str">
        <f>""</f>
        <v/>
      </c>
      <c r="AL401" s="18" t="str">
        <f>IF(COUNTIF($A$2:A400, A400) = 1, A400, "")</f>
        <v/>
      </c>
    </row>
    <row r="402" spans="6:38" x14ac:dyDescent="0.2">
      <c r="F402" t="str">
        <f t="shared" si="51"/>
        <v/>
      </c>
      <c r="L402" s="7" t="str">
        <f t="shared" si="52"/>
        <v/>
      </c>
      <c r="N402" s="7" t="str">
        <f t="shared" si="53"/>
        <v/>
      </c>
      <c r="O402" t="str">
        <f t="shared" si="54"/>
        <v/>
      </c>
      <c r="P402" t="str">
        <f t="shared" si="55"/>
        <v/>
      </c>
      <c r="Q402" t="str">
        <f t="shared" si="56"/>
        <v/>
      </c>
      <c r="S402" t="str">
        <f>""</f>
        <v/>
      </c>
      <c r="AL402" s="18" t="str">
        <f>IF(COUNTIF($A$2:A401, A401) = 1, A401, "")</f>
        <v/>
      </c>
    </row>
    <row r="403" spans="6:38" x14ac:dyDescent="0.2">
      <c r="F403" t="str">
        <f t="shared" si="51"/>
        <v/>
      </c>
      <c r="L403" s="7" t="str">
        <f t="shared" si="52"/>
        <v/>
      </c>
      <c r="N403" s="7" t="str">
        <f t="shared" si="53"/>
        <v/>
      </c>
      <c r="O403" t="str">
        <f t="shared" si="54"/>
        <v/>
      </c>
      <c r="P403" t="str">
        <f t="shared" si="55"/>
        <v/>
      </c>
      <c r="Q403" t="str">
        <f t="shared" si="56"/>
        <v/>
      </c>
      <c r="S403" t="str">
        <f>""</f>
        <v/>
      </c>
      <c r="AL403" s="18" t="str">
        <f>IF(COUNTIF($A$2:A402, A402) = 1, A402, "")</f>
        <v/>
      </c>
    </row>
    <row r="404" spans="6:38" x14ac:dyDescent="0.2">
      <c r="F404" t="str">
        <f t="shared" si="51"/>
        <v/>
      </c>
      <c r="L404" s="7" t="str">
        <f t="shared" si="52"/>
        <v/>
      </c>
      <c r="N404" s="7" t="str">
        <f t="shared" si="53"/>
        <v/>
      </c>
      <c r="O404" t="str">
        <f t="shared" si="54"/>
        <v/>
      </c>
      <c r="P404" t="str">
        <f t="shared" si="55"/>
        <v/>
      </c>
      <c r="Q404" t="str">
        <f t="shared" si="56"/>
        <v/>
      </c>
      <c r="S404" t="str">
        <f>""</f>
        <v/>
      </c>
      <c r="AL404" s="18" t="str">
        <f>IF(COUNTIF($A$2:A403, A403) = 1, A403, "")</f>
        <v/>
      </c>
    </row>
    <row r="405" spans="6:38" x14ac:dyDescent="0.2">
      <c r="F405" t="str">
        <f t="shared" si="51"/>
        <v/>
      </c>
      <c r="L405" s="7" t="str">
        <f t="shared" si="52"/>
        <v/>
      </c>
      <c r="N405" s="7" t="str">
        <f t="shared" si="53"/>
        <v/>
      </c>
      <c r="O405" t="str">
        <f t="shared" si="54"/>
        <v/>
      </c>
      <c r="P405" t="str">
        <f t="shared" si="55"/>
        <v/>
      </c>
      <c r="Q405" t="str">
        <f t="shared" si="56"/>
        <v/>
      </c>
      <c r="S405" t="str">
        <f>""</f>
        <v/>
      </c>
      <c r="AL405" s="18" t="str">
        <f>IF(COUNTIF($A$2:A404, A404) = 1, A404, "")</f>
        <v/>
      </c>
    </row>
    <row r="406" spans="6:38" x14ac:dyDescent="0.2">
      <c r="F406" t="str">
        <f t="shared" si="51"/>
        <v/>
      </c>
      <c r="L406" s="7" t="str">
        <f t="shared" si="52"/>
        <v/>
      </c>
      <c r="N406" s="7" t="str">
        <f t="shared" si="53"/>
        <v/>
      </c>
      <c r="O406" t="str">
        <f t="shared" si="54"/>
        <v/>
      </c>
      <c r="P406" t="str">
        <f t="shared" si="55"/>
        <v/>
      </c>
      <c r="Q406" t="str">
        <f t="shared" si="56"/>
        <v/>
      </c>
      <c r="S406" t="str">
        <f>""</f>
        <v/>
      </c>
      <c r="AL406" s="18" t="str">
        <f>IF(COUNTIF($A$2:A405, A405) = 1, A405, "")</f>
        <v/>
      </c>
    </row>
    <row r="407" spans="6:38" x14ac:dyDescent="0.2">
      <c r="F407" t="str">
        <f t="shared" si="51"/>
        <v/>
      </c>
      <c r="L407" s="7" t="str">
        <f t="shared" si="52"/>
        <v/>
      </c>
      <c r="N407" s="7" t="str">
        <f t="shared" si="53"/>
        <v/>
      </c>
      <c r="O407" t="str">
        <f t="shared" si="54"/>
        <v/>
      </c>
      <c r="P407" t="str">
        <f t="shared" si="55"/>
        <v/>
      </c>
      <c r="Q407" t="str">
        <f t="shared" si="56"/>
        <v/>
      </c>
      <c r="S407" t="str">
        <f>""</f>
        <v/>
      </c>
      <c r="AL407" s="18" t="str">
        <f>IF(COUNTIF($A$2:A406, A406) = 1, A406, "")</f>
        <v/>
      </c>
    </row>
    <row r="408" spans="6:38" x14ac:dyDescent="0.2">
      <c r="F408" t="str">
        <f t="shared" si="51"/>
        <v/>
      </c>
      <c r="L408" s="7" t="str">
        <f t="shared" si="52"/>
        <v/>
      </c>
      <c r="N408" s="7" t="str">
        <f t="shared" si="53"/>
        <v/>
      </c>
      <c r="O408" t="str">
        <f t="shared" si="54"/>
        <v/>
      </c>
      <c r="P408" t="str">
        <f t="shared" si="55"/>
        <v/>
      </c>
      <c r="Q408" t="str">
        <f t="shared" si="56"/>
        <v/>
      </c>
      <c r="S408" t="str">
        <f>""</f>
        <v/>
      </c>
      <c r="AL408" s="18" t="str">
        <f>IF(COUNTIF($A$2:A407, A407) = 1, A407, "")</f>
        <v/>
      </c>
    </row>
    <row r="409" spans="6:38" x14ac:dyDescent="0.2">
      <c r="F409" t="str">
        <f t="shared" si="51"/>
        <v/>
      </c>
      <c r="L409" s="7" t="str">
        <f t="shared" si="52"/>
        <v/>
      </c>
      <c r="N409" s="7" t="str">
        <f t="shared" si="53"/>
        <v/>
      </c>
      <c r="O409" t="str">
        <f t="shared" si="54"/>
        <v/>
      </c>
      <c r="P409" t="str">
        <f t="shared" si="55"/>
        <v/>
      </c>
      <c r="Q409" t="str">
        <f t="shared" si="56"/>
        <v/>
      </c>
      <c r="S409" t="str">
        <f>""</f>
        <v/>
      </c>
      <c r="AL409" s="18" t="str">
        <f>IF(COUNTIF($A$2:A408, A408) = 1, A408, "")</f>
        <v/>
      </c>
    </row>
    <row r="410" spans="6:38" x14ac:dyDescent="0.2">
      <c r="F410" t="str">
        <f t="shared" si="51"/>
        <v/>
      </c>
      <c r="L410" s="7" t="str">
        <f t="shared" si="52"/>
        <v/>
      </c>
      <c r="N410" s="7" t="str">
        <f t="shared" si="53"/>
        <v/>
      </c>
      <c r="O410" t="str">
        <f t="shared" si="54"/>
        <v/>
      </c>
      <c r="P410" t="str">
        <f t="shared" si="55"/>
        <v/>
      </c>
      <c r="Q410" t="str">
        <f t="shared" si="56"/>
        <v/>
      </c>
      <c r="S410" t="str">
        <f>""</f>
        <v/>
      </c>
      <c r="AL410" s="18" t="str">
        <f>IF(COUNTIF($A$2:A409, A409) = 1, A409, "")</f>
        <v/>
      </c>
    </row>
    <row r="411" spans="6:38" x14ac:dyDescent="0.2">
      <c r="F411" t="str">
        <f t="shared" si="51"/>
        <v/>
      </c>
      <c r="L411" s="7" t="str">
        <f t="shared" si="52"/>
        <v/>
      </c>
      <c r="N411" s="7" t="str">
        <f t="shared" si="53"/>
        <v/>
      </c>
      <c r="O411" t="str">
        <f t="shared" si="54"/>
        <v/>
      </c>
      <c r="P411" t="str">
        <f t="shared" si="55"/>
        <v/>
      </c>
      <c r="Q411" t="str">
        <f t="shared" si="56"/>
        <v/>
      </c>
      <c r="S411" t="str">
        <f>""</f>
        <v/>
      </c>
      <c r="AL411" s="18" t="str">
        <f>IF(COUNTIF($A$2:A410, A410) = 1, A410, "")</f>
        <v/>
      </c>
    </row>
    <row r="412" spans="6:38" x14ac:dyDescent="0.2">
      <c r="F412" t="str">
        <f t="shared" si="51"/>
        <v/>
      </c>
      <c r="L412" s="7" t="str">
        <f t="shared" si="52"/>
        <v/>
      </c>
      <c r="N412" s="7" t="str">
        <f t="shared" si="53"/>
        <v/>
      </c>
      <c r="O412" t="str">
        <f t="shared" si="54"/>
        <v/>
      </c>
      <c r="P412" t="str">
        <f t="shared" si="55"/>
        <v/>
      </c>
      <c r="Q412" t="str">
        <f t="shared" si="56"/>
        <v/>
      </c>
      <c r="S412" t="str">
        <f>""</f>
        <v/>
      </c>
      <c r="AL412" s="18" t="str">
        <f>IF(COUNTIF($A$2:A411, A411) = 1, A411, "")</f>
        <v/>
      </c>
    </row>
    <row r="413" spans="6:38" x14ac:dyDescent="0.2">
      <c r="F413" t="str">
        <f t="shared" si="51"/>
        <v/>
      </c>
      <c r="L413" s="7" t="str">
        <f t="shared" si="52"/>
        <v/>
      </c>
      <c r="N413" s="7" t="str">
        <f t="shared" si="53"/>
        <v/>
      </c>
      <c r="O413" t="str">
        <f t="shared" si="54"/>
        <v/>
      </c>
      <c r="P413" t="str">
        <f t="shared" si="55"/>
        <v/>
      </c>
      <c r="Q413" t="str">
        <f t="shared" si="56"/>
        <v/>
      </c>
      <c r="S413" t="str">
        <f>""</f>
        <v/>
      </c>
      <c r="AL413" s="18" t="str">
        <f>IF(COUNTIF($A$2:A412, A412) = 1, A412, "")</f>
        <v/>
      </c>
    </row>
    <row r="414" spans="6:38" x14ac:dyDescent="0.2">
      <c r="F414" t="str">
        <f t="shared" si="51"/>
        <v/>
      </c>
      <c r="L414" s="7" t="str">
        <f t="shared" si="52"/>
        <v/>
      </c>
      <c r="N414" s="7" t="str">
        <f t="shared" si="53"/>
        <v/>
      </c>
      <c r="O414" t="str">
        <f t="shared" si="54"/>
        <v/>
      </c>
      <c r="P414" t="str">
        <f t="shared" si="55"/>
        <v/>
      </c>
      <c r="Q414" t="str">
        <f t="shared" si="56"/>
        <v/>
      </c>
      <c r="S414" t="str">
        <f>""</f>
        <v/>
      </c>
      <c r="AL414" s="18" t="str">
        <f>IF(COUNTIF($A$2:A413, A413) = 1, A413, "")</f>
        <v/>
      </c>
    </row>
    <row r="415" spans="6:38" x14ac:dyDescent="0.2">
      <c r="F415" t="str">
        <f t="shared" si="51"/>
        <v/>
      </c>
      <c r="L415" s="7" t="str">
        <f t="shared" si="52"/>
        <v/>
      </c>
      <c r="N415" s="7" t="str">
        <f t="shared" si="53"/>
        <v/>
      </c>
      <c r="O415" t="str">
        <f t="shared" si="54"/>
        <v/>
      </c>
      <c r="P415" t="str">
        <f t="shared" si="55"/>
        <v/>
      </c>
      <c r="Q415" t="str">
        <f t="shared" si="56"/>
        <v/>
      </c>
      <c r="S415" t="str">
        <f>""</f>
        <v/>
      </c>
      <c r="AL415" s="18" t="str">
        <f>IF(COUNTIF($A$2:A414, A414) = 1, A414, "")</f>
        <v/>
      </c>
    </row>
    <row r="416" spans="6:38" x14ac:dyDescent="0.2">
      <c r="F416" t="str">
        <f t="shared" si="51"/>
        <v/>
      </c>
      <c r="L416" s="7" t="str">
        <f t="shared" si="52"/>
        <v/>
      </c>
      <c r="N416" s="7" t="str">
        <f t="shared" si="53"/>
        <v/>
      </c>
      <c r="O416" t="str">
        <f t="shared" si="54"/>
        <v/>
      </c>
      <c r="P416" t="str">
        <f t="shared" si="55"/>
        <v/>
      </c>
      <c r="Q416" t="str">
        <f t="shared" si="56"/>
        <v/>
      </c>
      <c r="S416" t="str">
        <f>""</f>
        <v/>
      </c>
      <c r="AL416" s="18" t="str">
        <f>IF(COUNTIF($A$2:A415, A415) = 1, A415, "")</f>
        <v/>
      </c>
    </row>
    <row r="417" spans="6:38" x14ac:dyDescent="0.2">
      <c r="F417" t="str">
        <f t="shared" si="51"/>
        <v/>
      </c>
      <c r="L417" s="7" t="str">
        <f t="shared" si="52"/>
        <v/>
      </c>
      <c r="N417" s="7" t="str">
        <f t="shared" si="53"/>
        <v/>
      </c>
      <c r="O417" t="str">
        <f t="shared" si="54"/>
        <v/>
      </c>
      <c r="P417" t="str">
        <f t="shared" si="55"/>
        <v/>
      </c>
      <c r="Q417" t="str">
        <f t="shared" si="56"/>
        <v/>
      </c>
      <c r="S417" t="str">
        <f>""</f>
        <v/>
      </c>
      <c r="AL417" s="18" t="str">
        <f>IF(COUNTIF($A$2:A416, A416) = 1, A416, "")</f>
        <v/>
      </c>
    </row>
    <row r="418" spans="6:38" x14ac:dyDescent="0.2">
      <c r="F418" t="str">
        <f t="shared" si="51"/>
        <v/>
      </c>
      <c r="L418" s="7" t="str">
        <f t="shared" si="52"/>
        <v/>
      </c>
      <c r="N418" s="7" t="str">
        <f t="shared" si="53"/>
        <v/>
      </c>
      <c r="O418" t="str">
        <f t="shared" si="54"/>
        <v/>
      </c>
      <c r="P418" t="str">
        <f t="shared" si="55"/>
        <v/>
      </c>
      <c r="Q418" t="str">
        <f t="shared" si="56"/>
        <v/>
      </c>
      <c r="S418" t="str">
        <f>""</f>
        <v/>
      </c>
      <c r="AL418" s="18" t="str">
        <f>IF(COUNTIF($A$2:A417, A417) = 1, A417, "")</f>
        <v/>
      </c>
    </row>
    <row r="419" spans="6:38" x14ac:dyDescent="0.2">
      <c r="F419" t="str">
        <f t="shared" si="51"/>
        <v/>
      </c>
      <c r="L419" s="7" t="str">
        <f t="shared" si="52"/>
        <v/>
      </c>
      <c r="N419" s="7" t="str">
        <f t="shared" si="53"/>
        <v/>
      </c>
      <c r="O419" t="str">
        <f t="shared" si="54"/>
        <v/>
      </c>
      <c r="P419" t="str">
        <f t="shared" si="55"/>
        <v/>
      </c>
      <c r="Q419" t="str">
        <f t="shared" si="56"/>
        <v/>
      </c>
      <c r="S419" t="str">
        <f>""</f>
        <v/>
      </c>
      <c r="AL419" s="18" t="str">
        <f>IF(COUNTIF($A$2:A418, A418) = 1, A418, "")</f>
        <v/>
      </c>
    </row>
    <row r="420" spans="6:38" x14ac:dyDescent="0.2">
      <c r="F420" t="str">
        <f t="shared" si="51"/>
        <v/>
      </c>
      <c r="L420" s="7" t="str">
        <f t="shared" si="52"/>
        <v/>
      </c>
      <c r="N420" s="7" t="str">
        <f t="shared" si="53"/>
        <v/>
      </c>
      <c r="O420" t="str">
        <f t="shared" si="54"/>
        <v/>
      </c>
      <c r="P420" t="str">
        <f t="shared" si="55"/>
        <v/>
      </c>
      <c r="Q420" t="str">
        <f t="shared" si="56"/>
        <v/>
      </c>
      <c r="S420" t="str">
        <f>""</f>
        <v/>
      </c>
      <c r="AL420" s="18" t="str">
        <f>IF(COUNTIF($A$2:A419, A419) = 1, A419, "")</f>
        <v/>
      </c>
    </row>
    <row r="421" spans="6:38" x14ac:dyDescent="0.2">
      <c r="F421" t="str">
        <f t="shared" si="51"/>
        <v/>
      </c>
      <c r="L421" s="7" t="str">
        <f t="shared" si="52"/>
        <v/>
      </c>
      <c r="N421" s="7" t="str">
        <f t="shared" si="53"/>
        <v/>
      </c>
      <c r="O421" t="str">
        <f t="shared" si="54"/>
        <v/>
      </c>
      <c r="P421" t="str">
        <f t="shared" si="55"/>
        <v/>
      </c>
      <c r="Q421" t="str">
        <f t="shared" si="56"/>
        <v/>
      </c>
      <c r="S421" t="str">
        <f>""</f>
        <v/>
      </c>
      <c r="AL421" s="18" t="str">
        <f>IF(COUNTIF($A$2:A420, A420) = 1, A420, "")</f>
        <v/>
      </c>
    </row>
    <row r="422" spans="6:38" x14ac:dyDescent="0.2">
      <c r="F422" t="str">
        <f t="shared" si="51"/>
        <v/>
      </c>
      <c r="L422" s="7" t="str">
        <f t="shared" si="52"/>
        <v/>
      </c>
      <c r="N422" s="7" t="str">
        <f t="shared" si="53"/>
        <v/>
      </c>
      <c r="O422" t="str">
        <f t="shared" si="54"/>
        <v/>
      </c>
      <c r="P422" t="str">
        <f t="shared" si="55"/>
        <v/>
      </c>
      <c r="Q422" t="str">
        <f t="shared" si="56"/>
        <v/>
      </c>
      <c r="S422" t="str">
        <f>""</f>
        <v/>
      </c>
      <c r="AL422" s="18" t="str">
        <f>IF(COUNTIF($A$2:A421, A421) = 1, A421, "")</f>
        <v/>
      </c>
    </row>
    <row r="423" spans="6:38" x14ac:dyDescent="0.2">
      <c r="F423" t="str">
        <f t="shared" si="51"/>
        <v/>
      </c>
      <c r="L423" s="7" t="str">
        <f t="shared" si="52"/>
        <v/>
      </c>
      <c r="N423" s="7" t="str">
        <f t="shared" si="53"/>
        <v/>
      </c>
      <c r="O423" t="str">
        <f t="shared" si="54"/>
        <v/>
      </c>
      <c r="P423" t="str">
        <f t="shared" si="55"/>
        <v/>
      </c>
      <c r="Q423" t="str">
        <f t="shared" si="56"/>
        <v/>
      </c>
      <c r="S423" t="str">
        <f>""</f>
        <v/>
      </c>
      <c r="AL423" s="18" t="str">
        <f>IF(COUNTIF($A$2:A422, A422) = 1, A422, "")</f>
        <v/>
      </c>
    </row>
    <row r="424" spans="6:38" x14ac:dyDescent="0.2">
      <c r="F424" t="str">
        <f t="shared" si="51"/>
        <v/>
      </c>
      <c r="L424" s="7" t="str">
        <f t="shared" si="52"/>
        <v/>
      </c>
      <c r="N424" s="7" t="str">
        <f t="shared" si="53"/>
        <v/>
      </c>
      <c r="O424" t="str">
        <f t="shared" si="54"/>
        <v/>
      </c>
      <c r="P424" t="str">
        <f t="shared" si="55"/>
        <v/>
      </c>
      <c r="Q424" t="str">
        <f t="shared" si="56"/>
        <v/>
      </c>
      <c r="S424" t="str">
        <f>""</f>
        <v/>
      </c>
      <c r="AL424" s="18" t="str">
        <f>IF(COUNTIF($A$2:A423, A423) = 1, A423, "")</f>
        <v/>
      </c>
    </row>
    <row r="425" spans="6:38" x14ac:dyDescent="0.2">
      <c r="F425" t="str">
        <f t="shared" si="51"/>
        <v/>
      </c>
      <c r="L425" s="7" t="str">
        <f t="shared" si="52"/>
        <v/>
      </c>
      <c r="N425" s="7" t="str">
        <f t="shared" si="53"/>
        <v/>
      </c>
      <c r="O425" t="str">
        <f t="shared" si="54"/>
        <v/>
      </c>
      <c r="P425" t="str">
        <f t="shared" si="55"/>
        <v/>
      </c>
      <c r="Q425" t="str">
        <f t="shared" si="56"/>
        <v/>
      </c>
      <c r="S425" t="str">
        <f>""</f>
        <v/>
      </c>
      <c r="AL425" s="18" t="str">
        <f>IF(COUNTIF($A$2:A424, A424) = 1, A424, "")</f>
        <v/>
      </c>
    </row>
    <row r="426" spans="6:38" x14ac:dyDescent="0.2">
      <c r="F426" t="str">
        <f t="shared" si="51"/>
        <v/>
      </c>
      <c r="L426" s="7" t="str">
        <f t="shared" si="52"/>
        <v/>
      </c>
      <c r="N426" s="7" t="str">
        <f t="shared" si="53"/>
        <v/>
      </c>
      <c r="O426" t="str">
        <f t="shared" si="54"/>
        <v/>
      </c>
      <c r="P426" t="str">
        <f t="shared" si="55"/>
        <v/>
      </c>
      <c r="Q426" t="str">
        <f t="shared" si="56"/>
        <v/>
      </c>
      <c r="S426" t="str">
        <f>""</f>
        <v/>
      </c>
      <c r="AL426" s="18" t="str">
        <f>IF(COUNTIF($A$2:A425, A425) = 1, A425, "")</f>
        <v/>
      </c>
    </row>
    <row r="427" spans="6:38" x14ac:dyDescent="0.2">
      <c r="F427" t="str">
        <f t="shared" si="51"/>
        <v/>
      </c>
      <c r="L427" s="7" t="str">
        <f t="shared" si="52"/>
        <v/>
      </c>
      <c r="N427" s="7" t="str">
        <f t="shared" si="53"/>
        <v/>
      </c>
      <c r="O427" t="str">
        <f t="shared" si="54"/>
        <v/>
      </c>
      <c r="P427" t="str">
        <f t="shared" si="55"/>
        <v/>
      </c>
      <c r="Q427" t="str">
        <f t="shared" si="56"/>
        <v/>
      </c>
      <c r="S427" t="str">
        <f>""</f>
        <v/>
      </c>
      <c r="AL427" s="18" t="str">
        <f>IF(COUNTIF($A$2:A426, A426) = 1, A426, "")</f>
        <v/>
      </c>
    </row>
    <row r="428" spans="6:38" x14ac:dyDescent="0.2">
      <c r="F428" t="str">
        <f t="shared" si="51"/>
        <v/>
      </c>
      <c r="L428" s="7" t="str">
        <f t="shared" si="52"/>
        <v/>
      </c>
      <c r="N428" s="7" t="str">
        <f t="shared" si="53"/>
        <v/>
      </c>
      <c r="O428" t="str">
        <f t="shared" si="54"/>
        <v/>
      </c>
      <c r="P428" t="str">
        <f t="shared" si="55"/>
        <v/>
      </c>
      <c r="Q428" t="str">
        <f t="shared" si="56"/>
        <v/>
      </c>
      <c r="S428" t="str">
        <f>""</f>
        <v/>
      </c>
      <c r="AL428" s="18" t="str">
        <f>IF(COUNTIF($A$2:A427, A427) = 1, A427, "")</f>
        <v/>
      </c>
    </row>
    <row r="429" spans="6:38" x14ac:dyDescent="0.2">
      <c r="F429" t="str">
        <f t="shared" si="51"/>
        <v/>
      </c>
      <c r="L429" s="7" t="str">
        <f t="shared" si="52"/>
        <v/>
      </c>
      <c r="N429" s="7" t="str">
        <f t="shared" si="53"/>
        <v/>
      </c>
      <c r="O429" t="str">
        <f t="shared" si="54"/>
        <v/>
      </c>
      <c r="P429" t="str">
        <f t="shared" si="55"/>
        <v/>
      </c>
      <c r="Q429" t="str">
        <f t="shared" si="56"/>
        <v/>
      </c>
      <c r="S429" t="str">
        <f>""</f>
        <v/>
      </c>
      <c r="AL429" s="18" t="str">
        <f>IF(COUNTIF($A$2:A428, A428) = 1, A428, "")</f>
        <v/>
      </c>
    </row>
    <row r="430" spans="6:38" x14ac:dyDescent="0.2">
      <c r="F430" t="str">
        <f t="shared" si="51"/>
        <v/>
      </c>
      <c r="L430" s="7" t="str">
        <f t="shared" si="52"/>
        <v/>
      </c>
      <c r="N430" s="7" t="str">
        <f t="shared" si="53"/>
        <v/>
      </c>
      <c r="O430" t="str">
        <f t="shared" si="54"/>
        <v/>
      </c>
      <c r="P430" t="str">
        <f t="shared" si="55"/>
        <v/>
      </c>
      <c r="Q430" t="str">
        <f t="shared" si="56"/>
        <v/>
      </c>
      <c r="S430" t="str">
        <f>""</f>
        <v/>
      </c>
      <c r="AL430" s="18" t="str">
        <f>IF(COUNTIF($A$2:A429, A429) = 1, A429, "")</f>
        <v/>
      </c>
    </row>
    <row r="431" spans="6:38" x14ac:dyDescent="0.2">
      <c r="F431" t="str">
        <f t="shared" si="51"/>
        <v/>
      </c>
      <c r="L431" s="7" t="str">
        <f t="shared" si="52"/>
        <v/>
      </c>
      <c r="N431" s="7" t="str">
        <f t="shared" si="53"/>
        <v/>
      </c>
      <c r="O431" t="str">
        <f t="shared" si="54"/>
        <v/>
      </c>
      <c r="P431" t="str">
        <f t="shared" si="55"/>
        <v/>
      </c>
      <c r="Q431" t="str">
        <f t="shared" si="56"/>
        <v/>
      </c>
      <c r="S431" t="str">
        <f>""</f>
        <v/>
      </c>
      <c r="AL431" s="18" t="str">
        <f>IF(COUNTIF($A$2:A430, A430) = 1, A430, "")</f>
        <v/>
      </c>
    </row>
    <row r="432" spans="6:38" x14ac:dyDescent="0.2">
      <c r="F432" t="str">
        <f t="shared" si="51"/>
        <v/>
      </c>
      <c r="L432" s="7" t="str">
        <f t="shared" si="52"/>
        <v/>
      </c>
      <c r="N432" s="7" t="str">
        <f t="shared" si="53"/>
        <v/>
      </c>
      <c r="O432" t="str">
        <f t="shared" si="54"/>
        <v/>
      </c>
      <c r="P432" t="str">
        <f t="shared" si="55"/>
        <v/>
      </c>
      <c r="Q432" t="str">
        <f t="shared" si="56"/>
        <v/>
      </c>
      <c r="S432" t="str">
        <f>""</f>
        <v/>
      </c>
      <c r="AL432" s="18" t="str">
        <f>IF(COUNTIF($A$2:A431, A431) = 1, A431, "")</f>
        <v/>
      </c>
    </row>
    <row r="433" spans="6:38" x14ac:dyDescent="0.2">
      <c r="F433" t="str">
        <f t="shared" si="51"/>
        <v/>
      </c>
      <c r="L433" s="7" t="str">
        <f t="shared" si="52"/>
        <v/>
      </c>
      <c r="N433" s="7" t="str">
        <f t="shared" si="53"/>
        <v/>
      </c>
      <c r="O433" t="str">
        <f t="shared" si="54"/>
        <v/>
      </c>
      <c r="P433" t="str">
        <f t="shared" si="55"/>
        <v/>
      </c>
      <c r="Q433" t="str">
        <f t="shared" si="56"/>
        <v/>
      </c>
      <c r="S433" t="str">
        <f>""</f>
        <v/>
      </c>
      <c r="AL433" s="18" t="str">
        <f>IF(COUNTIF($A$2:A432, A432) = 1, A432, "")</f>
        <v/>
      </c>
    </row>
    <row r="434" spans="6:38" x14ac:dyDescent="0.2">
      <c r="F434" t="str">
        <f t="shared" si="51"/>
        <v/>
      </c>
      <c r="L434" s="7" t="str">
        <f t="shared" si="52"/>
        <v/>
      </c>
      <c r="N434" s="7" t="str">
        <f t="shared" si="53"/>
        <v/>
      </c>
      <c r="O434" t="str">
        <f t="shared" si="54"/>
        <v/>
      </c>
      <c r="P434" t="str">
        <f t="shared" si="55"/>
        <v/>
      </c>
      <c r="Q434" t="str">
        <f t="shared" si="56"/>
        <v/>
      </c>
      <c r="S434" t="str">
        <f>""</f>
        <v/>
      </c>
      <c r="AL434" s="18" t="str">
        <f>IF(COUNTIF($A$2:A433, A433) = 1, A433, "")</f>
        <v/>
      </c>
    </row>
    <row r="435" spans="6:38" x14ac:dyDescent="0.2">
      <c r="F435" t="str">
        <f t="shared" si="51"/>
        <v/>
      </c>
      <c r="L435" s="7" t="str">
        <f t="shared" si="52"/>
        <v/>
      </c>
      <c r="N435" s="7" t="str">
        <f t="shared" si="53"/>
        <v/>
      </c>
      <c r="O435" t="str">
        <f t="shared" si="54"/>
        <v/>
      </c>
      <c r="P435" t="str">
        <f t="shared" si="55"/>
        <v/>
      </c>
      <c r="Q435" t="str">
        <f t="shared" si="56"/>
        <v/>
      </c>
      <c r="S435" t="str">
        <f>""</f>
        <v/>
      </c>
      <c r="AL435" s="18" t="str">
        <f>IF(COUNTIF($A$2:A434, A434) = 1, A434, "")</f>
        <v/>
      </c>
    </row>
    <row r="436" spans="6:38" x14ac:dyDescent="0.2">
      <c r="F436" t="str">
        <f t="shared" si="51"/>
        <v/>
      </c>
      <c r="L436" s="7" t="str">
        <f t="shared" si="52"/>
        <v/>
      </c>
      <c r="N436" s="7" t="str">
        <f t="shared" si="53"/>
        <v/>
      </c>
      <c r="O436" t="str">
        <f t="shared" si="54"/>
        <v/>
      </c>
      <c r="P436" t="str">
        <f t="shared" si="55"/>
        <v/>
      </c>
      <c r="Q436" t="str">
        <f t="shared" si="56"/>
        <v/>
      </c>
      <c r="S436" t="str">
        <f>""</f>
        <v/>
      </c>
      <c r="AL436" s="18" t="str">
        <f>IF(COUNTIF($A$2:A435, A435) = 1, A435, "")</f>
        <v/>
      </c>
    </row>
    <row r="437" spans="6:38" x14ac:dyDescent="0.2">
      <c r="F437" t="str">
        <f t="shared" si="51"/>
        <v/>
      </c>
      <c r="L437" s="7" t="str">
        <f t="shared" si="52"/>
        <v/>
      </c>
      <c r="N437" s="7" t="str">
        <f t="shared" si="53"/>
        <v/>
      </c>
      <c r="O437" t="str">
        <f t="shared" si="54"/>
        <v/>
      </c>
      <c r="P437" t="str">
        <f t="shared" si="55"/>
        <v/>
      </c>
      <c r="Q437" t="str">
        <f t="shared" si="56"/>
        <v/>
      </c>
      <c r="S437" t="str">
        <f>""</f>
        <v/>
      </c>
      <c r="AL437" s="18" t="str">
        <f>IF(COUNTIF($A$2:A436, A436) = 1, A436, "")</f>
        <v/>
      </c>
    </row>
    <row r="438" spans="6:38" x14ac:dyDescent="0.2">
      <c r="F438" t="str">
        <f t="shared" si="51"/>
        <v/>
      </c>
      <c r="L438" s="7" t="str">
        <f t="shared" si="52"/>
        <v/>
      </c>
      <c r="N438" s="7" t="str">
        <f t="shared" si="53"/>
        <v/>
      </c>
      <c r="O438" t="str">
        <f t="shared" si="54"/>
        <v/>
      </c>
      <c r="P438" t="str">
        <f t="shared" si="55"/>
        <v/>
      </c>
      <c r="Q438" t="str">
        <f t="shared" si="56"/>
        <v/>
      </c>
      <c r="S438" t="str">
        <f>""</f>
        <v/>
      </c>
      <c r="AL438" s="18" t="str">
        <f>IF(COUNTIF($A$2:A437, A437) = 1, A437, "")</f>
        <v/>
      </c>
    </row>
    <row r="439" spans="6:38" x14ac:dyDescent="0.2">
      <c r="F439" t="str">
        <f t="shared" si="51"/>
        <v/>
      </c>
      <c r="L439" s="7" t="str">
        <f t="shared" si="52"/>
        <v/>
      </c>
      <c r="N439" s="7" t="str">
        <f t="shared" si="53"/>
        <v/>
      </c>
      <c r="O439" t="str">
        <f t="shared" si="54"/>
        <v/>
      </c>
      <c r="P439" t="str">
        <f t="shared" si="55"/>
        <v/>
      </c>
      <c r="Q439" t="str">
        <f t="shared" si="56"/>
        <v/>
      </c>
      <c r="S439" t="str">
        <f>""</f>
        <v/>
      </c>
      <c r="AL439" s="18" t="str">
        <f>IF(COUNTIF($A$2:A438, A438) = 1, A438, "")</f>
        <v/>
      </c>
    </row>
    <row r="440" spans="6:38" x14ac:dyDescent="0.2">
      <c r="F440" t="str">
        <f t="shared" si="51"/>
        <v/>
      </c>
      <c r="L440" s="7" t="str">
        <f t="shared" si="52"/>
        <v/>
      </c>
      <c r="N440" s="7" t="str">
        <f t="shared" si="53"/>
        <v/>
      </c>
      <c r="O440" t="str">
        <f t="shared" si="54"/>
        <v/>
      </c>
      <c r="P440" t="str">
        <f t="shared" si="55"/>
        <v/>
      </c>
      <c r="Q440" t="str">
        <f t="shared" si="56"/>
        <v/>
      </c>
      <c r="S440" t="str">
        <f>""</f>
        <v/>
      </c>
      <c r="AL440" s="18" t="str">
        <f>IF(COUNTIF($A$2:A439, A439) = 1, A439, "")</f>
        <v/>
      </c>
    </row>
    <row r="441" spans="6:38" x14ac:dyDescent="0.2">
      <c r="F441" t="str">
        <f t="shared" si="51"/>
        <v/>
      </c>
      <c r="L441" s="7" t="str">
        <f t="shared" si="52"/>
        <v/>
      </c>
      <c r="N441" s="7" t="str">
        <f t="shared" si="53"/>
        <v/>
      </c>
      <c r="O441" t="str">
        <f t="shared" si="54"/>
        <v/>
      </c>
      <c r="P441" t="str">
        <f t="shared" si="55"/>
        <v/>
      </c>
      <c r="Q441" t="str">
        <f t="shared" si="56"/>
        <v/>
      </c>
      <c r="S441" t="str">
        <f>""</f>
        <v/>
      </c>
      <c r="AL441" s="18" t="str">
        <f>IF(COUNTIF($A$2:A440, A440) = 1, A440, "")</f>
        <v/>
      </c>
    </row>
    <row r="442" spans="6:38" x14ac:dyDescent="0.2">
      <c r="F442" t="str">
        <f t="shared" si="51"/>
        <v/>
      </c>
      <c r="L442" s="7" t="str">
        <f t="shared" si="52"/>
        <v/>
      </c>
      <c r="N442" s="7" t="str">
        <f t="shared" si="53"/>
        <v/>
      </c>
      <c r="O442" t="str">
        <f t="shared" si="54"/>
        <v/>
      </c>
      <c r="P442" t="str">
        <f t="shared" si="55"/>
        <v/>
      </c>
      <c r="Q442" t="str">
        <f t="shared" si="56"/>
        <v/>
      </c>
      <c r="S442" t="str">
        <f>""</f>
        <v/>
      </c>
      <c r="AL442" s="18" t="str">
        <f>IF(COUNTIF($A$2:A441, A441) = 1, A441, "")</f>
        <v/>
      </c>
    </row>
    <row r="443" spans="6:38" x14ac:dyDescent="0.2">
      <c r="F443" t="str">
        <f t="shared" si="51"/>
        <v/>
      </c>
      <c r="L443" s="7" t="str">
        <f t="shared" si="52"/>
        <v/>
      </c>
      <c r="N443" s="7" t="str">
        <f t="shared" si="53"/>
        <v/>
      </c>
      <c r="O443" t="str">
        <f t="shared" si="54"/>
        <v/>
      </c>
      <c r="P443" t="str">
        <f t="shared" si="55"/>
        <v/>
      </c>
      <c r="Q443" t="str">
        <f t="shared" si="56"/>
        <v/>
      </c>
      <c r="S443" t="str">
        <f>""</f>
        <v/>
      </c>
      <c r="AL443" s="18" t="str">
        <f>IF(COUNTIF($A$2:A442, A442) = 1, A442, "")</f>
        <v/>
      </c>
    </row>
    <row r="444" spans="6:38" x14ac:dyDescent="0.2">
      <c r="F444" t="str">
        <f t="shared" si="51"/>
        <v/>
      </c>
      <c r="L444" s="7" t="str">
        <f t="shared" si="52"/>
        <v/>
      </c>
      <c r="N444" s="7" t="str">
        <f t="shared" si="53"/>
        <v/>
      </c>
      <c r="O444" t="str">
        <f t="shared" si="54"/>
        <v/>
      </c>
      <c r="P444" t="str">
        <f t="shared" si="55"/>
        <v/>
      </c>
      <c r="Q444" t="str">
        <f t="shared" si="56"/>
        <v/>
      </c>
      <c r="S444" t="str">
        <f>""</f>
        <v/>
      </c>
      <c r="AL444" s="18" t="str">
        <f>IF(COUNTIF($A$2:A443, A443) = 1, A443, "")</f>
        <v/>
      </c>
    </row>
    <row r="445" spans="6:38" x14ac:dyDescent="0.2">
      <c r="F445" t="str">
        <f t="shared" si="51"/>
        <v/>
      </c>
      <c r="L445" s="7" t="str">
        <f t="shared" si="52"/>
        <v/>
      </c>
      <c r="N445" s="7" t="str">
        <f t="shared" si="53"/>
        <v/>
      </c>
      <c r="O445" t="str">
        <f t="shared" si="54"/>
        <v/>
      </c>
      <c r="P445" t="str">
        <f t="shared" si="55"/>
        <v/>
      </c>
      <c r="Q445" t="str">
        <f t="shared" si="56"/>
        <v/>
      </c>
      <c r="S445" t="str">
        <f>""</f>
        <v/>
      </c>
      <c r="AL445" s="18" t="str">
        <f>IF(COUNTIF($A$2:A444, A444) = 1, A444, "")</f>
        <v/>
      </c>
    </row>
    <row r="446" spans="6:38" x14ac:dyDescent="0.2">
      <c r="F446" t="str">
        <f t="shared" si="51"/>
        <v/>
      </c>
      <c r="L446" s="7" t="str">
        <f t="shared" si="52"/>
        <v/>
      </c>
      <c r="N446" s="7" t="str">
        <f t="shared" si="53"/>
        <v/>
      </c>
      <c r="O446" t="str">
        <f t="shared" si="54"/>
        <v/>
      </c>
      <c r="P446" t="str">
        <f t="shared" si="55"/>
        <v/>
      </c>
      <c r="Q446" t="str">
        <f t="shared" si="56"/>
        <v/>
      </c>
      <c r="S446" t="str">
        <f>""</f>
        <v/>
      </c>
      <c r="AL446" s="18" t="str">
        <f>IF(COUNTIF($A$2:A445, A445) = 1, A445, "")</f>
        <v/>
      </c>
    </row>
    <row r="447" spans="6:38" x14ac:dyDescent="0.2">
      <c r="F447" t="str">
        <f t="shared" si="51"/>
        <v/>
      </c>
      <c r="L447" s="7" t="str">
        <f t="shared" si="52"/>
        <v/>
      </c>
      <c r="N447" s="7" t="str">
        <f t="shared" si="53"/>
        <v/>
      </c>
      <c r="O447" t="str">
        <f t="shared" si="54"/>
        <v/>
      </c>
      <c r="P447" t="str">
        <f t="shared" si="55"/>
        <v/>
      </c>
      <c r="Q447" t="str">
        <f t="shared" si="56"/>
        <v/>
      </c>
      <c r="S447" t="str">
        <f>""</f>
        <v/>
      </c>
      <c r="AL447" s="18" t="str">
        <f>IF(COUNTIF($A$2:A446, A446) = 1, A446, "")</f>
        <v/>
      </c>
    </row>
    <row r="448" spans="6:38" x14ac:dyDescent="0.2">
      <c r="F448" t="str">
        <f t="shared" si="51"/>
        <v/>
      </c>
      <c r="L448" s="7" t="str">
        <f t="shared" si="52"/>
        <v/>
      </c>
      <c r="N448" s="7" t="str">
        <f t="shared" si="53"/>
        <v/>
      </c>
      <c r="O448" t="str">
        <f t="shared" si="54"/>
        <v/>
      </c>
      <c r="P448" t="str">
        <f t="shared" si="55"/>
        <v/>
      </c>
      <c r="Q448" t="str">
        <f t="shared" si="56"/>
        <v/>
      </c>
      <c r="S448" t="str">
        <f>""</f>
        <v/>
      </c>
      <c r="AL448" s="18" t="str">
        <f>IF(COUNTIF($A$2:A447, A447) = 1, A447, "")</f>
        <v/>
      </c>
    </row>
    <row r="449" spans="6:38" x14ac:dyDescent="0.2">
      <c r="F449" t="str">
        <f t="shared" si="51"/>
        <v/>
      </c>
      <c r="L449" s="7" t="str">
        <f t="shared" si="52"/>
        <v/>
      </c>
      <c r="N449" s="7" t="str">
        <f t="shared" si="53"/>
        <v/>
      </c>
      <c r="O449" t="str">
        <f t="shared" si="54"/>
        <v/>
      </c>
      <c r="P449" t="str">
        <f t="shared" si="55"/>
        <v/>
      </c>
      <c r="Q449" t="str">
        <f t="shared" si="56"/>
        <v/>
      </c>
      <c r="S449" t="str">
        <f>""</f>
        <v/>
      </c>
      <c r="AL449" s="18" t="str">
        <f>IF(COUNTIF($A$2:A448, A448) = 1, A448, "")</f>
        <v/>
      </c>
    </row>
    <row r="450" spans="6:38" x14ac:dyDescent="0.2">
      <c r="F450" t="str">
        <f t="shared" si="51"/>
        <v/>
      </c>
      <c r="L450" s="7" t="str">
        <f t="shared" si="52"/>
        <v/>
      </c>
      <c r="N450" s="7" t="str">
        <f t="shared" si="53"/>
        <v/>
      </c>
      <c r="O450" t="str">
        <f t="shared" si="54"/>
        <v/>
      </c>
      <c r="P450" t="str">
        <f t="shared" si="55"/>
        <v/>
      </c>
      <c r="Q450" t="str">
        <f t="shared" si="56"/>
        <v/>
      </c>
      <c r="S450" t="str">
        <f>""</f>
        <v/>
      </c>
      <c r="AL450" s="18" t="str">
        <f>IF(COUNTIF($A$2:A449, A449) = 1, A449, "")</f>
        <v/>
      </c>
    </row>
    <row r="451" spans="6:38" x14ac:dyDescent="0.2">
      <c r="F451" t="str">
        <f t="shared" si="51"/>
        <v/>
      </c>
      <c r="L451" s="7" t="str">
        <f t="shared" si="52"/>
        <v/>
      </c>
      <c r="N451" s="7" t="str">
        <f t="shared" si="53"/>
        <v/>
      </c>
      <c r="O451" t="str">
        <f t="shared" si="54"/>
        <v/>
      </c>
      <c r="P451" t="str">
        <f t="shared" si="55"/>
        <v/>
      </c>
      <c r="Q451" t="str">
        <f t="shared" si="56"/>
        <v/>
      </c>
      <c r="S451" t="str">
        <f>""</f>
        <v/>
      </c>
      <c r="AL451" s="18" t="str">
        <f>IF(COUNTIF($A$2:A450, A450) = 1, A450, "")</f>
        <v/>
      </c>
    </row>
    <row r="452" spans="6:38" x14ac:dyDescent="0.2">
      <c r="F452" t="str">
        <f t="shared" si="51"/>
        <v/>
      </c>
      <c r="L452" s="7" t="str">
        <f t="shared" si="52"/>
        <v/>
      </c>
      <c r="N452" s="7" t="str">
        <f t="shared" si="53"/>
        <v/>
      </c>
      <c r="O452" t="str">
        <f t="shared" si="54"/>
        <v/>
      </c>
      <c r="P452" t="str">
        <f t="shared" si="55"/>
        <v/>
      </c>
      <c r="Q452" t="str">
        <f t="shared" si="56"/>
        <v/>
      </c>
      <c r="S452" t="str">
        <f>""</f>
        <v/>
      </c>
      <c r="AL452" s="18" t="str">
        <f>IF(COUNTIF($A$2:A451, A451) = 1, A451, "")</f>
        <v/>
      </c>
    </row>
    <row r="453" spans="6:38" x14ac:dyDescent="0.2">
      <c r="F453" t="str">
        <f t="shared" si="51"/>
        <v/>
      </c>
      <c r="L453" s="7" t="str">
        <f t="shared" si="52"/>
        <v/>
      </c>
      <c r="N453" s="7" t="str">
        <f t="shared" si="53"/>
        <v/>
      </c>
      <c r="O453" t="str">
        <f t="shared" si="54"/>
        <v/>
      </c>
      <c r="P453" t="str">
        <f t="shared" si="55"/>
        <v/>
      </c>
      <c r="Q453" t="str">
        <f t="shared" si="56"/>
        <v/>
      </c>
      <c r="S453" t="str">
        <f>""</f>
        <v/>
      </c>
      <c r="AL453" s="18" t="str">
        <f>IF(COUNTIF($A$2:A452, A452) = 1, A452, "")</f>
        <v/>
      </c>
    </row>
    <row r="454" spans="6:38" x14ac:dyDescent="0.2">
      <c r="F454" t="str">
        <f t="shared" si="51"/>
        <v/>
      </c>
      <c r="L454" s="7" t="str">
        <f t="shared" si="52"/>
        <v/>
      </c>
      <c r="N454" s="7" t="str">
        <f t="shared" si="53"/>
        <v/>
      </c>
      <c r="O454" t="str">
        <f t="shared" si="54"/>
        <v/>
      </c>
      <c r="P454" t="str">
        <f t="shared" si="55"/>
        <v/>
      </c>
      <c r="Q454" t="str">
        <f t="shared" si="56"/>
        <v/>
      </c>
      <c r="S454" t="str">
        <f>""</f>
        <v/>
      </c>
      <c r="AL454" s="18" t="str">
        <f>IF(COUNTIF($A$2:A453, A453) = 1, A453, "")</f>
        <v/>
      </c>
    </row>
    <row r="455" spans="6:38" x14ac:dyDescent="0.2">
      <c r="F455" t="str">
        <f t="shared" si="51"/>
        <v/>
      </c>
      <c r="L455" s="7" t="str">
        <f t="shared" si="52"/>
        <v/>
      </c>
      <c r="N455" s="7" t="str">
        <f t="shared" si="53"/>
        <v/>
      </c>
      <c r="O455" t="str">
        <f t="shared" si="54"/>
        <v/>
      </c>
      <c r="P455" t="str">
        <f t="shared" si="55"/>
        <v/>
      </c>
      <c r="Q455" t="str">
        <f t="shared" si="56"/>
        <v/>
      </c>
      <c r="S455" t="str">
        <f>""</f>
        <v/>
      </c>
      <c r="AL455" s="18" t="str">
        <f>IF(COUNTIF($A$2:A454, A454) = 1, A454, "")</f>
        <v/>
      </c>
    </row>
    <row r="456" spans="6:38" x14ac:dyDescent="0.2">
      <c r="F456" t="str">
        <f t="shared" si="51"/>
        <v/>
      </c>
      <c r="L456" s="7" t="str">
        <f t="shared" si="52"/>
        <v/>
      </c>
      <c r="N456" s="7" t="str">
        <f t="shared" si="53"/>
        <v/>
      </c>
      <c r="O456" t="str">
        <f t="shared" si="54"/>
        <v/>
      </c>
      <c r="P456" t="str">
        <f t="shared" si="55"/>
        <v/>
      </c>
      <c r="Q456" t="str">
        <f t="shared" si="56"/>
        <v/>
      </c>
      <c r="S456" t="str">
        <f>""</f>
        <v/>
      </c>
      <c r="AL456" s="18" t="str">
        <f>IF(COUNTIF($A$2:A455, A455) = 1, A455, "")</f>
        <v/>
      </c>
    </row>
    <row r="457" spans="6:38" x14ac:dyDescent="0.2">
      <c r="F457" t="str">
        <f t="shared" si="51"/>
        <v/>
      </c>
      <c r="L457" s="7" t="str">
        <f t="shared" si="52"/>
        <v/>
      </c>
      <c r="N457" s="7" t="str">
        <f t="shared" si="53"/>
        <v/>
      </c>
      <c r="O457" t="str">
        <f t="shared" si="54"/>
        <v/>
      </c>
      <c r="P457" t="str">
        <f t="shared" si="55"/>
        <v/>
      </c>
      <c r="Q457" t="str">
        <f t="shared" si="56"/>
        <v/>
      </c>
      <c r="S457" t="str">
        <f>""</f>
        <v/>
      </c>
      <c r="AL457" s="18" t="str">
        <f>IF(COUNTIF($A$2:A456, A456) = 1, A456, "")</f>
        <v/>
      </c>
    </row>
    <row r="458" spans="6:38" x14ac:dyDescent="0.2">
      <c r="F458" t="str">
        <f t="shared" si="51"/>
        <v/>
      </c>
      <c r="L458" s="7" t="str">
        <f t="shared" si="52"/>
        <v/>
      </c>
      <c r="N458" s="7" t="str">
        <f t="shared" si="53"/>
        <v/>
      </c>
      <c r="O458" t="str">
        <f t="shared" si="54"/>
        <v/>
      </c>
      <c r="P458" t="str">
        <f t="shared" si="55"/>
        <v/>
      </c>
      <c r="Q458" t="str">
        <f t="shared" si="56"/>
        <v/>
      </c>
      <c r="S458" t="str">
        <f>""</f>
        <v/>
      </c>
      <c r="AL458" s="18" t="str">
        <f>IF(COUNTIF($A$2:A457, A457) = 1, A457, "")</f>
        <v/>
      </c>
    </row>
    <row r="459" spans="6:38" x14ac:dyDescent="0.2">
      <c r="F459" t="str">
        <f t="shared" si="51"/>
        <v/>
      </c>
      <c r="L459" s="7" t="str">
        <f t="shared" si="52"/>
        <v/>
      </c>
      <c r="N459" s="7" t="str">
        <f t="shared" si="53"/>
        <v/>
      </c>
      <c r="O459" t="str">
        <f t="shared" si="54"/>
        <v/>
      </c>
      <c r="P459" t="str">
        <f t="shared" si="55"/>
        <v/>
      </c>
      <c r="Q459" t="str">
        <f t="shared" si="56"/>
        <v/>
      </c>
      <c r="S459" t="str">
        <f>""</f>
        <v/>
      </c>
      <c r="AL459" s="18" t="str">
        <f>IF(COUNTIF($A$2:A458, A458) = 1, A458, "")</f>
        <v/>
      </c>
    </row>
    <row r="460" spans="6:38" x14ac:dyDescent="0.2">
      <c r="F460" t="str">
        <f t="shared" si="51"/>
        <v/>
      </c>
      <c r="L460" s="7" t="str">
        <f t="shared" si="52"/>
        <v/>
      </c>
      <c r="N460" s="7" t="str">
        <f t="shared" si="53"/>
        <v/>
      </c>
      <c r="O460" t="str">
        <f t="shared" si="54"/>
        <v/>
      </c>
      <c r="P460" t="str">
        <f t="shared" si="55"/>
        <v/>
      </c>
      <c r="Q460" t="str">
        <f t="shared" si="56"/>
        <v/>
      </c>
      <c r="S460" t="str">
        <f>""</f>
        <v/>
      </c>
      <c r="AL460" s="18" t="str">
        <f>IF(COUNTIF($A$2:A459, A459) = 1, A459, "")</f>
        <v/>
      </c>
    </row>
    <row r="461" spans="6:38" x14ac:dyDescent="0.2">
      <c r="F461" t="str">
        <f t="shared" si="51"/>
        <v/>
      </c>
      <c r="L461" s="7" t="str">
        <f t="shared" si="52"/>
        <v/>
      </c>
      <c r="N461" s="7" t="str">
        <f t="shared" si="53"/>
        <v/>
      </c>
      <c r="O461" t="str">
        <f t="shared" si="54"/>
        <v/>
      </c>
      <c r="P461" t="str">
        <f t="shared" si="55"/>
        <v/>
      </c>
      <c r="Q461" t="str">
        <f t="shared" si="56"/>
        <v/>
      </c>
      <c r="S461" t="str">
        <f>""</f>
        <v/>
      </c>
      <c r="AL461" s="18" t="str">
        <f>IF(COUNTIF($A$2:A460, A460) = 1, A460, "")</f>
        <v/>
      </c>
    </row>
    <row r="462" spans="6:38" x14ac:dyDescent="0.2">
      <c r="F462" t="str">
        <f t="shared" si="51"/>
        <v/>
      </c>
      <c r="L462" s="7" t="str">
        <f t="shared" si="52"/>
        <v/>
      </c>
      <c r="N462" s="7" t="str">
        <f t="shared" si="53"/>
        <v/>
      </c>
      <c r="O462" t="str">
        <f t="shared" si="54"/>
        <v/>
      </c>
      <c r="P462" t="str">
        <f t="shared" si="55"/>
        <v/>
      </c>
      <c r="Q462" t="str">
        <f t="shared" si="56"/>
        <v/>
      </c>
      <c r="S462" t="str">
        <f>""</f>
        <v/>
      </c>
      <c r="AL462" s="18" t="str">
        <f>IF(COUNTIF($A$2:A461, A461) = 1, A461, "")</f>
        <v/>
      </c>
    </row>
    <row r="463" spans="6:38" x14ac:dyDescent="0.2">
      <c r="F463" t="str">
        <f t="shared" si="51"/>
        <v/>
      </c>
      <c r="L463" s="7" t="str">
        <f t="shared" si="52"/>
        <v/>
      </c>
      <c r="N463" s="7" t="str">
        <f t="shared" si="53"/>
        <v/>
      </c>
      <c r="O463" t="str">
        <f t="shared" si="54"/>
        <v/>
      </c>
      <c r="P463" t="str">
        <f t="shared" si="55"/>
        <v/>
      </c>
      <c r="Q463" t="str">
        <f t="shared" si="56"/>
        <v/>
      </c>
      <c r="S463" t="str">
        <f>""</f>
        <v/>
      </c>
      <c r="AL463" s="18" t="str">
        <f>IF(COUNTIF($A$2:A462, A462) = 1, A462, "")</f>
        <v/>
      </c>
    </row>
    <row r="464" spans="6:38" x14ac:dyDescent="0.2">
      <c r="F464" t="str">
        <f t="shared" ref="F464:F499" si="57">IF(OR(O464="", P464=""), "", SUM(IF((O464&lt;&gt;"None")*(O464&lt;&gt;""),LEN(O464)-LEN(SUBSTITUTE(O464,",",""))+1,0)) + SUM(IF((P464&lt;&gt;"None")*(P464&lt;&gt;""),LEN(P464)-LEN(SUBSTITUTE(P464,",",""))+1,0)))</f>
        <v/>
      </c>
      <c r="L464" s="7" t="str">
        <f t="shared" ref="L464:L499" si="58">IF(LEN(E464)=0, "", IFERROR(IF(E464&gt;=0, K464 * (1 + E464/100) - K464, K464 / (ABS(E464)/100))+K464, ""))</f>
        <v/>
      </c>
      <c r="N464" s="7" t="str">
        <f t="shared" ref="N464:N499" si="59">IF(M464="Yes",L464-K464,IF(M464="No",-K464,""))</f>
        <v/>
      </c>
      <c r="O464" t="str">
        <f t="shared" ref="O464:O499" si="60">IF(AND(G464="No",H464="No"), "None", "")</f>
        <v/>
      </c>
      <c r="P464" t="str">
        <f t="shared" ref="P464:P499" si="61">IF(I464="No", "None", "")</f>
        <v/>
      </c>
      <c r="Q464" t="str">
        <f t="shared" ref="Q464:Q499" si="62">IF(AND(D464="Straight", M464 = "No"),IF(O464="None",P464,IF(P464="None",O464) ),"")</f>
        <v/>
      </c>
      <c r="S464" t="str">
        <f>""</f>
        <v/>
      </c>
      <c r="AL464" s="18" t="str">
        <f>IF(COUNTIF($A$2:A463, A463) = 1, A463, "")</f>
        <v/>
      </c>
    </row>
    <row r="465" spans="6:38" x14ac:dyDescent="0.2">
      <c r="F465" t="str">
        <f t="shared" si="57"/>
        <v/>
      </c>
      <c r="L465" s="7" t="str">
        <f t="shared" si="58"/>
        <v/>
      </c>
      <c r="N465" s="7" t="str">
        <f t="shared" si="59"/>
        <v/>
      </c>
      <c r="O465" t="str">
        <f t="shared" si="60"/>
        <v/>
      </c>
      <c r="P465" t="str">
        <f t="shared" si="61"/>
        <v/>
      </c>
      <c r="Q465" t="str">
        <f t="shared" si="62"/>
        <v/>
      </c>
      <c r="S465" t="str">
        <f>""</f>
        <v/>
      </c>
      <c r="AL465" s="18" t="str">
        <f>IF(COUNTIF($A$2:A464, A464) = 1, A464, "")</f>
        <v/>
      </c>
    </row>
    <row r="466" spans="6:38" x14ac:dyDescent="0.2">
      <c r="F466" t="str">
        <f t="shared" si="57"/>
        <v/>
      </c>
      <c r="L466" s="7" t="str">
        <f t="shared" si="58"/>
        <v/>
      </c>
      <c r="N466" s="7" t="str">
        <f t="shared" si="59"/>
        <v/>
      </c>
      <c r="O466" t="str">
        <f t="shared" si="60"/>
        <v/>
      </c>
      <c r="P466" t="str">
        <f t="shared" si="61"/>
        <v/>
      </c>
      <c r="Q466" t="str">
        <f t="shared" si="62"/>
        <v/>
      </c>
      <c r="S466" t="str">
        <f>""</f>
        <v/>
      </c>
      <c r="AL466" s="18" t="str">
        <f>IF(COUNTIF($A$2:A465, A465) = 1, A465, "")</f>
        <v/>
      </c>
    </row>
    <row r="467" spans="6:38" x14ac:dyDescent="0.2">
      <c r="F467" t="str">
        <f t="shared" si="57"/>
        <v/>
      </c>
      <c r="L467" s="7" t="str">
        <f t="shared" si="58"/>
        <v/>
      </c>
      <c r="N467" s="7" t="str">
        <f t="shared" si="59"/>
        <v/>
      </c>
      <c r="O467" t="str">
        <f t="shared" si="60"/>
        <v/>
      </c>
      <c r="P467" t="str">
        <f t="shared" si="61"/>
        <v/>
      </c>
      <c r="Q467" t="str">
        <f t="shared" si="62"/>
        <v/>
      </c>
      <c r="S467" t="str">
        <f>""</f>
        <v/>
      </c>
      <c r="AL467" s="18" t="str">
        <f>IF(COUNTIF($A$2:A466, A466) = 1, A466, "")</f>
        <v/>
      </c>
    </row>
    <row r="468" spans="6:38" x14ac:dyDescent="0.2">
      <c r="F468" t="str">
        <f t="shared" si="57"/>
        <v/>
      </c>
      <c r="L468" s="7" t="str">
        <f t="shared" si="58"/>
        <v/>
      </c>
      <c r="N468" s="7" t="str">
        <f t="shared" si="59"/>
        <v/>
      </c>
      <c r="O468" t="str">
        <f t="shared" si="60"/>
        <v/>
      </c>
      <c r="P468" t="str">
        <f t="shared" si="61"/>
        <v/>
      </c>
      <c r="Q468" t="str">
        <f t="shared" si="62"/>
        <v/>
      </c>
      <c r="S468" t="str">
        <f>""</f>
        <v/>
      </c>
      <c r="AL468" s="18" t="str">
        <f>IF(COUNTIF($A$2:A467, A467) = 1, A467, "")</f>
        <v/>
      </c>
    </row>
    <row r="469" spans="6:38" x14ac:dyDescent="0.2">
      <c r="F469" t="str">
        <f t="shared" si="57"/>
        <v/>
      </c>
      <c r="L469" s="7" t="str">
        <f t="shared" si="58"/>
        <v/>
      </c>
      <c r="N469" s="7" t="str">
        <f t="shared" si="59"/>
        <v/>
      </c>
      <c r="O469" t="str">
        <f t="shared" si="60"/>
        <v/>
      </c>
      <c r="P469" t="str">
        <f t="shared" si="61"/>
        <v/>
      </c>
      <c r="Q469" t="str">
        <f t="shared" si="62"/>
        <v/>
      </c>
      <c r="S469" t="str">
        <f>""</f>
        <v/>
      </c>
      <c r="AL469" s="18" t="str">
        <f>IF(COUNTIF($A$2:A468, A468) = 1, A468, "")</f>
        <v/>
      </c>
    </row>
    <row r="470" spans="6:38" x14ac:dyDescent="0.2">
      <c r="F470" t="str">
        <f t="shared" si="57"/>
        <v/>
      </c>
      <c r="L470" s="7" t="str">
        <f t="shared" si="58"/>
        <v/>
      </c>
      <c r="N470" s="7" t="str">
        <f t="shared" si="59"/>
        <v/>
      </c>
      <c r="O470" t="str">
        <f t="shared" si="60"/>
        <v/>
      </c>
      <c r="P470" t="str">
        <f t="shared" si="61"/>
        <v/>
      </c>
      <c r="Q470" t="str">
        <f t="shared" si="62"/>
        <v/>
      </c>
      <c r="S470" t="str">
        <f>""</f>
        <v/>
      </c>
      <c r="AL470" s="18" t="str">
        <f>IF(COUNTIF($A$2:A469, A469) = 1, A469, "")</f>
        <v/>
      </c>
    </row>
    <row r="471" spans="6:38" x14ac:dyDescent="0.2">
      <c r="F471" t="str">
        <f t="shared" si="57"/>
        <v/>
      </c>
      <c r="L471" s="7" t="str">
        <f t="shared" si="58"/>
        <v/>
      </c>
      <c r="N471" s="7" t="str">
        <f t="shared" si="59"/>
        <v/>
      </c>
      <c r="O471" t="str">
        <f t="shared" si="60"/>
        <v/>
      </c>
      <c r="P471" t="str">
        <f t="shared" si="61"/>
        <v/>
      </c>
      <c r="Q471" t="str">
        <f t="shared" si="62"/>
        <v/>
      </c>
      <c r="S471" t="str">
        <f>""</f>
        <v/>
      </c>
      <c r="AL471" s="18" t="str">
        <f>IF(COUNTIF($A$2:A470, A470) = 1, A470, "")</f>
        <v/>
      </c>
    </row>
    <row r="472" spans="6:38" x14ac:dyDescent="0.2">
      <c r="F472" t="str">
        <f t="shared" si="57"/>
        <v/>
      </c>
      <c r="L472" s="7" t="str">
        <f t="shared" si="58"/>
        <v/>
      </c>
      <c r="N472" s="7" t="str">
        <f t="shared" si="59"/>
        <v/>
      </c>
      <c r="O472" t="str">
        <f t="shared" si="60"/>
        <v/>
      </c>
      <c r="P472" t="str">
        <f t="shared" si="61"/>
        <v/>
      </c>
      <c r="Q472" t="str">
        <f t="shared" si="62"/>
        <v/>
      </c>
      <c r="S472" t="str">
        <f>""</f>
        <v/>
      </c>
      <c r="AL472" s="18" t="str">
        <f>IF(COUNTIF($A$2:A471, A471) = 1, A471, "")</f>
        <v/>
      </c>
    </row>
    <row r="473" spans="6:38" x14ac:dyDescent="0.2">
      <c r="F473" t="str">
        <f t="shared" si="57"/>
        <v/>
      </c>
      <c r="L473" s="7" t="str">
        <f t="shared" si="58"/>
        <v/>
      </c>
      <c r="N473" s="7" t="str">
        <f t="shared" si="59"/>
        <v/>
      </c>
      <c r="O473" t="str">
        <f t="shared" si="60"/>
        <v/>
      </c>
      <c r="P473" t="str">
        <f t="shared" si="61"/>
        <v/>
      </c>
      <c r="Q473" t="str">
        <f t="shared" si="62"/>
        <v/>
      </c>
      <c r="S473" t="str">
        <f>""</f>
        <v/>
      </c>
      <c r="AL473" s="18" t="str">
        <f>IF(COUNTIF($A$2:A472, A472) = 1, A472, "")</f>
        <v/>
      </c>
    </row>
    <row r="474" spans="6:38" x14ac:dyDescent="0.2">
      <c r="F474" t="str">
        <f t="shared" si="57"/>
        <v/>
      </c>
      <c r="L474" s="7" t="str">
        <f t="shared" si="58"/>
        <v/>
      </c>
      <c r="N474" s="7" t="str">
        <f t="shared" si="59"/>
        <v/>
      </c>
      <c r="O474" t="str">
        <f t="shared" si="60"/>
        <v/>
      </c>
      <c r="P474" t="str">
        <f t="shared" si="61"/>
        <v/>
      </c>
      <c r="Q474" t="str">
        <f t="shared" si="62"/>
        <v/>
      </c>
      <c r="S474" t="str">
        <f>""</f>
        <v/>
      </c>
      <c r="AL474" s="18" t="str">
        <f>IF(COUNTIF($A$2:A473, A473) = 1, A473, "")</f>
        <v/>
      </c>
    </row>
    <row r="475" spans="6:38" x14ac:dyDescent="0.2">
      <c r="F475" t="str">
        <f t="shared" si="57"/>
        <v/>
      </c>
      <c r="L475" s="7" t="str">
        <f t="shared" si="58"/>
        <v/>
      </c>
      <c r="N475" s="7" t="str">
        <f t="shared" si="59"/>
        <v/>
      </c>
      <c r="O475" t="str">
        <f t="shared" si="60"/>
        <v/>
      </c>
      <c r="P475" t="str">
        <f t="shared" si="61"/>
        <v/>
      </c>
      <c r="Q475" t="str">
        <f t="shared" si="62"/>
        <v/>
      </c>
      <c r="S475" t="str">
        <f>""</f>
        <v/>
      </c>
      <c r="AL475" s="18" t="str">
        <f>IF(COUNTIF($A$2:A474, A474) = 1, A474, "")</f>
        <v/>
      </c>
    </row>
    <row r="476" spans="6:38" x14ac:dyDescent="0.2">
      <c r="F476" t="str">
        <f t="shared" si="57"/>
        <v/>
      </c>
      <c r="L476" s="7" t="str">
        <f t="shared" si="58"/>
        <v/>
      </c>
      <c r="N476" s="7" t="str">
        <f t="shared" si="59"/>
        <v/>
      </c>
      <c r="O476" t="str">
        <f t="shared" si="60"/>
        <v/>
      </c>
      <c r="P476" t="str">
        <f t="shared" si="61"/>
        <v/>
      </c>
      <c r="Q476" t="str">
        <f t="shared" si="62"/>
        <v/>
      </c>
      <c r="S476" t="str">
        <f>""</f>
        <v/>
      </c>
      <c r="AL476" s="18" t="str">
        <f>IF(COUNTIF($A$2:A475, A475) = 1, A475, "")</f>
        <v/>
      </c>
    </row>
    <row r="477" spans="6:38" x14ac:dyDescent="0.2">
      <c r="F477" t="str">
        <f t="shared" si="57"/>
        <v/>
      </c>
      <c r="L477" s="7" t="str">
        <f t="shared" si="58"/>
        <v/>
      </c>
      <c r="N477" s="7" t="str">
        <f t="shared" si="59"/>
        <v/>
      </c>
      <c r="O477" t="str">
        <f t="shared" si="60"/>
        <v/>
      </c>
      <c r="P477" t="str">
        <f t="shared" si="61"/>
        <v/>
      </c>
      <c r="Q477" t="str">
        <f t="shared" si="62"/>
        <v/>
      </c>
      <c r="S477" t="str">
        <f>""</f>
        <v/>
      </c>
      <c r="AL477" s="18" t="str">
        <f>IF(COUNTIF($A$2:A476, A476) = 1, A476, "")</f>
        <v/>
      </c>
    </row>
    <row r="478" spans="6:38" x14ac:dyDescent="0.2">
      <c r="F478" t="str">
        <f t="shared" si="57"/>
        <v/>
      </c>
      <c r="L478" s="7" t="str">
        <f t="shared" si="58"/>
        <v/>
      </c>
      <c r="N478" s="7" t="str">
        <f t="shared" si="59"/>
        <v/>
      </c>
      <c r="O478" t="str">
        <f t="shared" si="60"/>
        <v/>
      </c>
      <c r="P478" t="str">
        <f t="shared" si="61"/>
        <v/>
      </c>
      <c r="Q478" t="str">
        <f t="shared" si="62"/>
        <v/>
      </c>
      <c r="S478" t="str">
        <f>""</f>
        <v/>
      </c>
      <c r="AL478" s="18" t="str">
        <f>IF(COUNTIF($A$2:A477, A477) = 1, A477, "")</f>
        <v/>
      </c>
    </row>
    <row r="479" spans="6:38" x14ac:dyDescent="0.2">
      <c r="F479" t="str">
        <f t="shared" si="57"/>
        <v/>
      </c>
      <c r="L479" s="7" t="str">
        <f t="shared" si="58"/>
        <v/>
      </c>
      <c r="N479" s="7" t="str">
        <f t="shared" si="59"/>
        <v/>
      </c>
      <c r="O479" t="str">
        <f t="shared" si="60"/>
        <v/>
      </c>
      <c r="P479" t="str">
        <f t="shared" si="61"/>
        <v/>
      </c>
      <c r="Q479" t="str">
        <f t="shared" si="62"/>
        <v/>
      </c>
      <c r="S479" t="str">
        <f>""</f>
        <v/>
      </c>
      <c r="AL479" s="18" t="str">
        <f>IF(COUNTIF($A$2:A478, A478) = 1, A478, "")</f>
        <v/>
      </c>
    </row>
    <row r="480" spans="6:38" x14ac:dyDescent="0.2">
      <c r="F480" t="str">
        <f t="shared" si="57"/>
        <v/>
      </c>
      <c r="L480" s="7" t="str">
        <f t="shared" si="58"/>
        <v/>
      </c>
      <c r="N480" s="7" t="str">
        <f t="shared" si="59"/>
        <v/>
      </c>
      <c r="O480" t="str">
        <f t="shared" si="60"/>
        <v/>
      </c>
      <c r="P480" t="str">
        <f t="shared" si="61"/>
        <v/>
      </c>
      <c r="Q480" t="str">
        <f t="shared" si="62"/>
        <v/>
      </c>
      <c r="S480" t="str">
        <f>""</f>
        <v/>
      </c>
      <c r="AL480" s="18" t="str">
        <f>IF(COUNTIF($A$2:A479, A479) = 1, A479, "")</f>
        <v/>
      </c>
    </row>
    <row r="481" spans="6:38" x14ac:dyDescent="0.2">
      <c r="F481" t="str">
        <f t="shared" si="57"/>
        <v/>
      </c>
      <c r="L481" s="7" t="str">
        <f t="shared" si="58"/>
        <v/>
      </c>
      <c r="N481" s="7" t="str">
        <f t="shared" si="59"/>
        <v/>
      </c>
      <c r="O481" t="str">
        <f t="shared" si="60"/>
        <v/>
      </c>
      <c r="P481" t="str">
        <f t="shared" si="61"/>
        <v/>
      </c>
      <c r="Q481" t="str">
        <f t="shared" si="62"/>
        <v/>
      </c>
      <c r="S481" t="str">
        <f>""</f>
        <v/>
      </c>
      <c r="AL481" s="18" t="str">
        <f>IF(COUNTIF($A$2:A480, A480) = 1, A480, "")</f>
        <v/>
      </c>
    </row>
    <row r="482" spans="6:38" x14ac:dyDescent="0.2">
      <c r="F482" t="str">
        <f t="shared" si="57"/>
        <v/>
      </c>
      <c r="L482" s="7" t="str">
        <f t="shared" si="58"/>
        <v/>
      </c>
      <c r="N482" s="7" t="str">
        <f t="shared" si="59"/>
        <v/>
      </c>
      <c r="O482" t="str">
        <f t="shared" si="60"/>
        <v/>
      </c>
      <c r="P482" t="str">
        <f t="shared" si="61"/>
        <v/>
      </c>
      <c r="Q482" t="str">
        <f t="shared" si="62"/>
        <v/>
      </c>
      <c r="S482" t="str">
        <f>""</f>
        <v/>
      </c>
      <c r="AL482" s="18" t="str">
        <f>IF(COUNTIF($A$2:A481, A481) = 1, A481, "")</f>
        <v/>
      </c>
    </row>
    <row r="483" spans="6:38" x14ac:dyDescent="0.2">
      <c r="F483" t="str">
        <f t="shared" si="57"/>
        <v/>
      </c>
      <c r="L483" s="7" t="str">
        <f t="shared" si="58"/>
        <v/>
      </c>
      <c r="N483" s="7" t="str">
        <f t="shared" si="59"/>
        <v/>
      </c>
      <c r="O483" t="str">
        <f t="shared" si="60"/>
        <v/>
      </c>
      <c r="P483" t="str">
        <f t="shared" si="61"/>
        <v/>
      </c>
      <c r="Q483" t="str">
        <f t="shared" si="62"/>
        <v/>
      </c>
      <c r="S483" t="str">
        <f>""</f>
        <v/>
      </c>
      <c r="AL483" s="18" t="str">
        <f>IF(COUNTIF($A$2:A482, A482) = 1, A482, "")</f>
        <v/>
      </c>
    </row>
    <row r="484" spans="6:38" x14ac:dyDescent="0.2">
      <c r="F484" t="str">
        <f t="shared" si="57"/>
        <v/>
      </c>
      <c r="L484" s="7" t="str">
        <f t="shared" si="58"/>
        <v/>
      </c>
      <c r="N484" s="7" t="str">
        <f t="shared" si="59"/>
        <v/>
      </c>
      <c r="O484" t="str">
        <f t="shared" si="60"/>
        <v/>
      </c>
      <c r="P484" t="str">
        <f t="shared" si="61"/>
        <v/>
      </c>
      <c r="Q484" t="str">
        <f t="shared" si="62"/>
        <v/>
      </c>
      <c r="S484" t="str">
        <f>""</f>
        <v/>
      </c>
      <c r="AL484" s="18" t="str">
        <f>IF(COUNTIF($A$2:A483, A483) = 1, A483, "")</f>
        <v/>
      </c>
    </row>
    <row r="485" spans="6:38" x14ac:dyDescent="0.2">
      <c r="F485" t="str">
        <f t="shared" si="57"/>
        <v/>
      </c>
      <c r="L485" s="7" t="str">
        <f t="shared" si="58"/>
        <v/>
      </c>
      <c r="N485" s="7" t="str">
        <f t="shared" si="59"/>
        <v/>
      </c>
      <c r="O485" t="str">
        <f t="shared" si="60"/>
        <v/>
      </c>
      <c r="P485" t="str">
        <f t="shared" si="61"/>
        <v/>
      </c>
      <c r="Q485" t="str">
        <f t="shared" si="62"/>
        <v/>
      </c>
      <c r="S485" t="str">
        <f>""</f>
        <v/>
      </c>
      <c r="AL485" s="18" t="str">
        <f>IF(COUNTIF($A$2:A484, A484) = 1, A484, "")</f>
        <v/>
      </c>
    </row>
    <row r="486" spans="6:38" x14ac:dyDescent="0.2">
      <c r="F486" t="str">
        <f t="shared" si="57"/>
        <v/>
      </c>
      <c r="L486" s="7" t="str">
        <f t="shared" si="58"/>
        <v/>
      </c>
      <c r="N486" s="7" t="str">
        <f t="shared" si="59"/>
        <v/>
      </c>
      <c r="O486" t="str">
        <f t="shared" si="60"/>
        <v/>
      </c>
      <c r="P486" t="str">
        <f t="shared" si="61"/>
        <v/>
      </c>
      <c r="Q486" t="str">
        <f t="shared" si="62"/>
        <v/>
      </c>
      <c r="S486" t="str">
        <f>""</f>
        <v/>
      </c>
      <c r="AL486" s="18" t="str">
        <f>IF(COUNTIF($A$2:A485, A485) = 1, A485, "")</f>
        <v/>
      </c>
    </row>
    <row r="487" spans="6:38" x14ac:dyDescent="0.2">
      <c r="F487" t="str">
        <f t="shared" si="57"/>
        <v/>
      </c>
      <c r="L487" s="7" t="str">
        <f t="shared" si="58"/>
        <v/>
      </c>
      <c r="N487" s="7" t="str">
        <f t="shared" si="59"/>
        <v/>
      </c>
      <c r="O487" t="str">
        <f t="shared" si="60"/>
        <v/>
      </c>
      <c r="P487" t="str">
        <f t="shared" si="61"/>
        <v/>
      </c>
      <c r="Q487" t="str">
        <f t="shared" si="62"/>
        <v/>
      </c>
      <c r="S487" t="str">
        <f>""</f>
        <v/>
      </c>
      <c r="AL487" s="18" t="str">
        <f>IF(COUNTIF($A$2:A486, A486) = 1, A486, "")</f>
        <v/>
      </c>
    </row>
    <row r="488" spans="6:38" x14ac:dyDescent="0.2">
      <c r="F488" t="str">
        <f t="shared" si="57"/>
        <v/>
      </c>
      <c r="L488" s="7" t="str">
        <f t="shared" si="58"/>
        <v/>
      </c>
      <c r="N488" s="7" t="str">
        <f t="shared" si="59"/>
        <v/>
      </c>
      <c r="O488" t="str">
        <f t="shared" si="60"/>
        <v/>
      </c>
      <c r="P488" t="str">
        <f t="shared" si="61"/>
        <v/>
      </c>
      <c r="Q488" t="str">
        <f t="shared" si="62"/>
        <v/>
      </c>
      <c r="S488" t="str">
        <f>""</f>
        <v/>
      </c>
      <c r="AL488" s="18" t="str">
        <f>IF(COUNTIF($A$2:A487, A487) = 1, A487, "")</f>
        <v/>
      </c>
    </row>
    <row r="489" spans="6:38" x14ac:dyDescent="0.2">
      <c r="F489" t="str">
        <f t="shared" si="57"/>
        <v/>
      </c>
      <c r="L489" s="7" t="str">
        <f t="shared" si="58"/>
        <v/>
      </c>
      <c r="N489" s="7" t="str">
        <f t="shared" si="59"/>
        <v/>
      </c>
      <c r="O489" t="str">
        <f t="shared" si="60"/>
        <v/>
      </c>
      <c r="P489" t="str">
        <f t="shared" si="61"/>
        <v/>
      </c>
      <c r="Q489" t="str">
        <f t="shared" si="62"/>
        <v/>
      </c>
      <c r="S489" t="str">
        <f>""</f>
        <v/>
      </c>
      <c r="AL489" s="18" t="str">
        <f>IF(COUNTIF($A$2:A488, A488) = 1, A488, "")</f>
        <v/>
      </c>
    </row>
    <row r="490" spans="6:38" x14ac:dyDescent="0.2">
      <c r="F490" t="str">
        <f t="shared" si="57"/>
        <v/>
      </c>
      <c r="L490" s="7" t="str">
        <f t="shared" si="58"/>
        <v/>
      </c>
      <c r="N490" s="7" t="str">
        <f t="shared" si="59"/>
        <v/>
      </c>
      <c r="O490" t="str">
        <f t="shared" si="60"/>
        <v/>
      </c>
      <c r="P490" t="str">
        <f t="shared" si="61"/>
        <v/>
      </c>
      <c r="Q490" t="str">
        <f t="shared" si="62"/>
        <v/>
      </c>
      <c r="S490" t="str">
        <f>""</f>
        <v/>
      </c>
      <c r="AL490" s="18" t="str">
        <f>IF(COUNTIF($A$2:A489, A489) = 1, A489, "")</f>
        <v/>
      </c>
    </row>
    <row r="491" spans="6:38" x14ac:dyDescent="0.2">
      <c r="F491" t="str">
        <f t="shared" si="57"/>
        <v/>
      </c>
      <c r="L491" s="7" t="str">
        <f t="shared" si="58"/>
        <v/>
      </c>
      <c r="N491" s="7" t="str">
        <f t="shared" si="59"/>
        <v/>
      </c>
      <c r="O491" t="str">
        <f t="shared" si="60"/>
        <v/>
      </c>
      <c r="P491" t="str">
        <f t="shared" si="61"/>
        <v/>
      </c>
      <c r="Q491" t="str">
        <f t="shared" si="62"/>
        <v/>
      </c>
      <c r="S491" t="str">
        <f>""</f>
        <v/>
      </c>
      <c r="AL491" s="18" t="str">
        <f>IF(COUNTIF($A$2:A490, A490) = 1, A490, "")</f>
        <v/>
      </c>
    </row>
    <row r="492" spans="6:38" x14ac:dyDescent="0.2">
      <c r="F492" t="str">
        <f t="shared" si="57"/>
        <v/>
      </c>
      <c r="L492" s="7" t="str">
        <f t="shared" si="58"/>
        <v/>
      </c>
      <c r="N492" s="7" t="str">
        <f t="shared" si="59"/>
        <v/>
      </c>
      <c r="O492" t="str">
        <f t="shared" si="60"/>
        <v/>
      </c>
      <c r="P492" t="str">
        <f t="shared" si="61"/>
        <v/>
      </c>
      <c r="Q492" t="str">
        <f t="shared" si="62"/>
        <v/>
      </c>
      <c r="S492" t="str">
        <f>""</f>
        <v/>
      </c>
      <c r="AL492" s="18" t="str">
        <f>IF(COUNTIF($A$2:A491, A491) = 1, A491, "")</f>
        <v/>
      </c>
    </row>
    <row r="493" spans="6:38" x14ac:dyDescent="0.2">
      <c r="F493" t="str">
        <f t="shared" si="57"/>
        <v/>
      </c>
      <c r="L493" s="7" t="str">
        <f t="shared" si="58"/>
        <v/>
      </c>
      <c r="N493" s="7" t="str">
        <f t="shared" si="59"/>
        <v/>
      </c>
      <c r="O493" t="str">
        <f t="shared" si="60"/>
        <v/>
      </c>
      <c r="P493" t="str">
        <f t="shared" si="61"/>
        <v/>
      </c>
      <c r="Q493" t="str">
        <f t="shared" si="62"/>
        <v/>
      </c>
      <c r="S493" t="str">
        <f>""</f>
        <v/>
      </c>
      <c r="AL493" s="18" t="str">
        <f>IF(COUNTIF($A$2:A492, A492) = 1, A492, "")</f>
        <v/>
      </c>
    </row>
    <row r="494" spans="6:38" x14ac:dyDescent="0.2">
      <c r="F494" t="str">
        <f t="shared" si="57"/>
        <v/>
      </c>
      <c r="L494" s="7" t="str">
        <f t="shared" si="58"/>
        <v/>
      </c>
      <c r="N494" s="7" t="str">
        <f t="shared" si="59"/>
        <v/>
      </c>
      <c r="O494" t="str">
        <f t="shared" si="60"/>
        <v/>
      </c>
      <c r="P494" t="str">
        <f t="shared" si="61"/>
        <v/>
      </c>
      <c r="Q494" t="str">
        <f t="shared" si="62"/>
        <v/>
      </c>
      <c r="S494" t="str">
        <f>""</f>
        <v/>
      </c>
      <c r="AL494" s="18" t="str">
        <f>IF(COUNTIF($A$2:A493, A493) = 1, A493, "")</f>
        <v/>
      </c>
    </row>
    <row r="495" spans="6:38" x14ac:dyDescent="0.2">
      <c r="F495" t="str">
        <f t="shared" si="57"/>
        <v/>
      </c>
      <c r="L495" s="7" t="str">
        <f t="shared" si="58"/>
        <v/>
      </c>
      <c r="N495" s="7" t="str">
        <f t="shared" si="59"/>
        <v/>
      </c>
      <c r="O495" t="str">
        <f t="shared" si="60"/>
        <v/>
      </c>
      <c r="P495" t="str">
        <f t="shared" si="61"/>
        <v/>
      </c>
      <c r="Q495" t="str">
        <f t="shared" si="62"/>
        <v/>
      </c>
      <c r="S495" t="str">
        <f>""</f>
        <v/>
      </c>
      <c r="AL495" s="18" t="str">
        <f>IF(COUNTIF($A$2:A494, A494) = 1, A494, "")</f>
        <v/>
      </c>
    </row>
    <row r="496" spans="6:38" x14ac:dyDescent="0.2">
      <c r="F496" t="str">
        <f t="shared" si="57"/>
        <v/>
      </c>
      <c r="L496" s="7" t="str">
        <f t="shared" si="58"/>
        <v/>
      </c>
      <c r="N496" s="7" t="str">
        <f t="shared" si="59"/>
        <v/>
      </c>
      <c r="O496" t="str">
        <f t="shared" si="60"/>
        <v/>
      </c>
      <c r="P496" t="str">
        <f t="shared" si="61"/>
        <v/>
      </c>
      <c r="Q496" t="str">
        <f t="shared" si="62"/>
        <v/>
      </c>
      <c r="S496" t="str">
        <f>""</f>
        <v/>
      </c>
      <c r="AL496" s="18" t="str">
        <f>IF(COUNTIF($A$2:A495, A495) = 1, A495, "")</f>
        <v/>
      </c>
    </row>
    <row r="497" spans="6:38" x14ac:dyDescent="0.2">
      <c r="F497" t="str">
        <f t="shared" si="57"/>
        <v/>
      </c>
      <c r="L497" s="7" t="str">
        <f t="shared" si="58"/>
        <v/>
      </c>
      <c r="N497" s="7" t="str">
        <f t="shared" si="59"/>
        <v/>
      </c>
      <c r="O497" t="str">
        <f t="shared" si="60"/>
        <v/>
      </c>
      <c r="P497" t="str">
        <f t="shared" si="61"/>
        <v/>
      </c>
      <c r="Q497" t="str">
        <f t="shared" si="62"/>
        <v/>
      </c>
      <c r="S497" t="str">
        <f>""</f>
        <v/>
      </c>
      <c r="AL497" s="18" t="str">
        <f>IF(COUNTIF($A$2:A496, A496) = 1, A496, "")</f>
        <v/>
      </c>
    </row>
    <row r="498" spans="6:38" x14ac:dyDescent="0.2">
      <c r="F498" t="str">
        <f t="shared" si="57"/>
        <v/>
      </c>
      <c r="L498" s="7" t="str">
        <f t="shared" si="58"/>
        <v/>
      </c>
      <c r="N498" s="7" t="str">
        <f t="shared" si="59"/>
        <v/>
      </c>
      <c r="O498" t="str">
        <f t="shared" si="60"/>
        <v/>
      </c>
      <c r="P498" t="str">
        <f t="shared" si="61"/>
        <v/>
      </c>
      <c r="Q498" t="str">
        <f t="shared" si="62"/>
        <v/>
      </c>
      <c r="S498" t="str">
        <f>""</f>
        <v/>
      </c>
      <c r="AL498" s="18" t="str">
        <f>IF(COUNTIF($A$2:A497, A497) = 1, A497, "")</f>
        <v/>
      </c>
    </row>
    <row r="499" spans="6:38" x14ac:dyDescent="0.2">
      <c r="F499" t="str">
        <f t="shared" si="57"/>
        <v/>
      </c>
      <c r="L499" s="7" t="str">
        <f t="shared" si="58"/>
        <v/>
      </c>
      <c r="N499" s="7" t="str">
        <f t="shared" si="59"/>
        <v/>
      </c>
      <c r="O499" t="str">
        <f t="shared" si="60"/>
        <v/>
      </c>
      <c r="P499" t="str">
        <f t="shared" si="61"/>
        <v/>
      </c>
      <c r="Q499" t="str">
        <f t="shared" si="62"/>
        <v/>
      </c>
      <c r="S499" t="str">
        <f>""</f>
        <v/>
      </c>
      <c r="AL499" s="18" t="str">
        <f>IF(COUNTIF($A$2:A498, A498) = 1, A498, "")</f>
        <v/>
      </c>
    </row>
    <row r="500" spans="6:38" x14ac:dyDescent="0.2">
      <c r="AL500" s="18" t="str">
        <f>IF(COUNTIF($A$2:A499, A499) = 1, A499, "")</f>
        <v/>
      </c>
    </row>
    <row r="501" spans="6:38" x14ac:dyDescent="0.2">
      <c r="AL501" s="18" t="str">
        <f>IF(COUNTIF($A$2:A500, A500) = 1, A500, "")</f>
        <v/>
      </c>
    </row>
    <row r="502" spans="6:38" x14ac:dyDescent="0.2">
      <c r="AL502" s="18" t="str">
        <f>IF(COUNTIF($A$2:A501, A501) = 1, A501, "")</f>
        <v/>
      </c>
    </row>
    <row r="503" spans="6:38" x14ac:dyDescent="0.2">
      <c r="AL503" s="18" t="str">
        <f>IF(COUNTIF($A$2:A502, A502) = 1, A502, "")</f>
        <v/>
      </c>
    </row>
    <row r="504" spans="6:38" x14ac:dyDescent="0.2">
      <c r="AL504" s="18" t="str">
        <f>IF(COUNTIF($A$2:A503, A503) = 1, A503, "")</f>
        <v/>
      </c>
    </row>
    <row r="505" spans="6:38" x14ac:dyDescent="0.2">
      <c r="AL505" s="18" t="str">
        <f>IF(COUNTIF($A$2:A504, A504) = 1, A504, "")</f>
        <v/>
      </c>
    </row>
    <row r="506" spans="6:38" x14ac:dyDescent="0.2">
      <c r="AL506" s="18" t="str">
        <f>IF(COUNTIF($A$2:A505, A505) = 1, A505, "")</f>
        <v/>
      </c>
    </row>
    <row r="507" spans="6:38" x14ac:dyDescent="0.2">
      <c r="AL507" s="18" t="str">
        <f>IF(COUNTIF($A$2:A506, A506) = 1, A506, "")</f>
        <v/>
      </c>
    </row>
    <row r="508" spans="6:38" x14ac:dyDescent="0.2">
      <c r="AL508" s="18" t="str">
        <f>IF(COUNTIF($A$2:A507, A507) = 1, A507, "")</f>
        <v/>
      </c>
    </row>
    <row r="509" spans="6:38" x14ac:dyDescent="0.2">
      <c r="AL509" s="18" t="str">
        <f>IF(COUNTIF($A$2:A508, A508) = 1, A508, "")</f>
        <v/>
      </c>
    </row>
    <row r="510" spans="6:38" x14ac:dyDescent="0.2">
      <c r="AL510" s="18" t="str">
        <f>IF(COUNTIF($A$2:A509, A509) = 1, A509, "")</f>
        <v/>
      </c>
    </row>
    <row r="511" spans="6:38" x14ac:dyDescent="0.2">
      <c r="AL511" s="18" t="str">
        <f>IF(COUNTIF($A$2:A510, A510) = 1, A510, "")</f>
        <v/>
      </c>
    </row>
    <row r="512" spans="6:38" x14ac:dyDescent="0.2">
      <c r="AL512" s="18" t="str">
        <f>IF(COUNTIF($A$2:A511, A511) = 1, A511, "")</f>
        <v/>
      </c>
    </row>
    <row r="513" spans="38:38" x14ac:dyDescent="0.2">
      <c r="AL513" s="18" t="str">
        <f>IF(COUNTIF($A$2:A512, A512) = 1, A512, "")</f>
        <v/>
      </c>
    </row>
    <row r="514" spans="38:38" x14ac:dyDescent="0.2">
      <c r="AL514" s="18" t="str">
        <f>IF(COUNTIF($A$2:A513, A513) = 1, A513, "")</f>
        <v/>
      </c>
    </row>
    <row r="515" spans="38:38" x14ac:dyDescent="0.2">
      <c r="AL515" s="18" t="str">
        <f>IF(COUNTIF($A$2:A514, A514) = 1, A514, "")</f>
        <v/>
      </c>
    </row>
    <row r="516" spans="38:38" x14ac:dyDescent="0.2">
      <c r="AL516" s="18" t="str">
        <f>IF(COUNTIF($A$2:A515, A515) = 1, A515, "")</f>
        <v/>
      </c>
    </row>
    <row r="517" spans="38:38" x14ac:dyDescent="0.2">
      <c r="AL517" s="18" t="str">
        <f>IF(COUNTIF($A$2:A516, A516) = 1, A516, "")</f>
        <v/>
      </c>
    </row>
    <row r="518" spans="38:38" x14ac:dyDescent="0.2">
      <c r="AL518" s="18" t="str">
        <f>IF(COUNTIF($A$2:A517, A517) = 1, A517, "")</f>
        <v/>
      </c>
    </row>
    <row r="519" spans="38:38" x14ac:dyDescent="0.2">
      <c r="AL519" s="18" t="str">
        <f>IF(COUNTIF($A$2:A518, A518) = 1, A518, "")</f>
        <v/>
      </c>
    </row>
    <row r="520" spans="38:38" x14ac:dyDescent="0.2">
      <c r="AL520" s="18" t="str">
        <f>IF(COUNTIF($A$2:A519, A519) = 1, A519, "")</f>
        <v/>
      </c>
    </row>
    <row r="521" spans="38:38" x14ac:dyDescent="0.2">
      <c r="AL521" s="18" t="str">
        <f>IF(COUNTIF($A$2:A520, A520) = 1, A520, "")</f>
        <v/>
      </c>
    </row>
    <row r="522" spans="38:38" x14ac:dyDescent="0.2">
      <c r="AL522" s="18" t="str">
        <f>IF(COUNTIF($A$2:A521, A521) = 1, A521, "")</f>
        <v/>
      </c>
    </row>
    <row r="523" spans="38:38" x14ac:dyDescent="0.2">
      <c r="AL523" s="18" t="str">
        <f>IF(COUNTIF($A$2:A522, A522) = 1, A522, "")</f>
        <v/>
      </c>
    </row>
    <row r="524" spans="38:38" x14ac:dyDescent="0.2">
      <c r="AL524" s="18" t="str">
        <f>IF(COUNTIF($A$2:A523, A523) = 1, A523, "")</f>
        <v/>
      </c>
    </row>
    <row r="525" spans="38:38" x14ac:dyDescent="0.2">
      <c r="AL525" s="18" t="str">
        <f>IF(COUNTIF($A$2:A524, A524) = 1, A524, "")</f>
        <v/>
      </c>
    </row>
    <row r="526" spans="38:38" x14ac:dyDescent="0.2">
      <c r="AL526" s="18" t="str">
        <f>IF(COUNTIF($A$2:A525, A525) = 1, A525, "")</f>
        <v/>
      </c>
    </row>
    <row r="527" spans="38:38" x14ac:dyDescent="0.2">
      <c r="AL527" s="18" t="str">
        <f>IF(COUNTIF($A$2:A526, A526) = 1, A526, "")</f>
        <v/>
      </c>
    </row>
    <row r="528" spans="38:38" x14ac:dyDescent="0.2">
      <c r="AL528" s="18" t="str">
        <f>IF(COUNTIF($A$2:A527, A527) = 1, A527, "")</f>
        <v/>
      </c>
    </row>
    <row r="529" spans="38:38" x14ac:dyDescent="0.2">
      <c r="AL529" s="18" t="str">
        <f>IF(COUNTIF($A$2:A528, A528) = 1, A528, "")</f>
        <v/>
      </c>
    </row>
    <row r="530" spans="38:38" x14ac:dyDescent="0.2">
      <c r="AL530" s="18" t="str">
        <f>IF(COUNTIF($A$2:A529, A529) = 1, A529, "")</f>
        <v/>
      </c>
    </row>
    <row r="531" spans="38:38" x14ac:dyDescent="0.2">
      <c r="AL531" s="18" t="str">
        <f>IF(COUNTIF($A$2:A530, A530) = 1, A530, "")</f>
        <v/>
      </c>
    </row>
    <row r="532" spans="38:38" x14ac:dyDescent="0.2">
      <c r="AL532" s="18" t="str">
        <f>IF(COUNTIF($A$2:A531, A531) = 1, A531, "")</f>
        <v/>
      </c>
    </row>
    <row r="533" spans="38:38" x14ac:dyDescent="0.2">
      <c r="AL533" s="18" t="str">
        <f>IF(COUNTIF($A$2:A532, A532) = 1, A532, "")</f>
        <v/>
      </c>
    </row>
    <row r="534" spans="38:38" x14ac:dyDescent="0.2">
      <c r="AL534" s="18" t="str">
        <f>IF(COUNTIF($A$2:A533, A533) = 1, A533, "")</f>
        <v/>
      </c>
    </row>
    <row r="535" spans="38:38" x14ac:dyDescent="0.2">
      <c r="AL535" s="18" t="str">
        <f>IF(COUNTIF($A$2:A534, A534) = 1, A534, "")</f>
        <v/>
      </c>
    </row>
    <row r="536" spans="38:38" x14ac:dyDescent="0.2">
      <c r="AL536" s="18" t="str">
        <f>IF(COUNTIF($A$2:A535, A535) = 1, A535, "")</f>
        <v/>
      </c>
    </row>
    <row r="537" spans="38:38" x14ac:dyDescent="0.2">
      <c r="AL537" s="18" t="str">
        <f>IF(COUNTIF($A$2:A536, A536) = 1, A536, "")</f>
        <v/>
      </c>
    </row>
    <row r="538" spans="38:38" x14ac:dyDescent="0.2">
      <c r="AL538" s="18" t="str">
        <f>IF(COUNTIF($A$2:A537, A537) = 1, A537, "")</f>
        <v/>
      </c>
    </row>
    <row r="539" spans="38:38" x14ac:dyDescent="0.2">
      <c r="AL539" s="18" t="str">
        <f>IF(COUNTIF($A$2:A538, A538) = 1, A538, "")</f>
        <v/>
      </c>
    </row>
    <row r="540" spans="38:38" x14ac:dyDescent="0.2">
      <c r="AL540" s="18" t="str">
        <f>IF(COUNTIF($A$2:A539, A539) = 1, A539, "")</f>
        <v/>
      </c>
    </row>
    <row r="541" spans="38:38" x14ac:dyDescent="0.2">
      <c r="AL541" s="18" t="str">
        <f>IF(COUNTIF($A$2:A540, A540) = 1, A540, "")</f>
        <v/>
      </c>
    </row>
    <row r="542" spans="38:38" x14ac:dyDescent="0.2">
      <c r="AL542" s="18" t="str">
        <f>IF(COUNTIF($A$2:A541, A541) = 1, A541, "")</f>
        <v/>
      </c>
    </row>
    <row r="543" spans="38:38" x14ac:dyDescent="0.2">
      <c r="AL543" s="18" t="str">
        <f>IF(COUNTIF($A$2:A542, A542) = 1, A542, "")</f>
        <v/>
      </c>
    </row>
    <row r="544" spans="38:38" x14ac:dyDescent="0.2">
      <c r="AL544" s="18" t="str">
        <f>IF(COUNTIF($A$2:A543, A543) = 1, A543, "")</f>
        <v/>
      </c>
    </row>
    <row r="545" spans="38:38" x14ac:dyDescent="0.2">
      <c r="AL545" s="18" t="str">
        <f>IF(COUNTIF($A$2:A544, A544) = 1, A544, "")</f>
        <v/>
      </c>
    </row>
    <row r="546" spans="38:38" x14ac:dyDescent="0.2">
      <c r="AL546" s="18" t="str">
        <f>IF(COUNTIF($A$2:A545, A545) = 1, A545, "")</f>
        <v/>
      </c>
    </row>
    <row r="547" spans="38:38" x14ac:dyDescent="0.2">
      <c r="AL547" s="18" t="str">
        <f>IF(COUNTIF($A$2:A546, A546) = 1, A546, "")</f>
        <v/>
      </c>
    </row>
    <row r="548" spans="38:38" x14ac:dyDescent="0.2">
      <c r="AL548" s="18" t="str">
        <f>IF(COUNTIF($A$2:A547, A547) = 1, A547, "")</f>
        <v/>
      </c>
    </row>
    <row r="549" spans="38:38" x14ac:dyDescent="0.2">
      <c r="AL549" s="18" t="str">
        <f>IF(COUNTIF($A$2:A548, A548) = 1, A548, "")</f>
        <v/>
      </c>
    </row>
    <row r="550" spans="38:38" x14ac:dyDescent="0.2">
      <c r="AL550" s="18" t="str">
        <f>IF(COUNTIF($A$2:A549, A549) = 1, A549, "")</f>
        <v/>
      </c>
    </row>
    <row r="551" spans="38:38" x14ac:dyDescent="0.2">
      <c r="AL551" s="18" t="str">
        <f>IF(COUNTIF($A$2:A550, A550) = 1, A550, "")</f>
        <v/>
      </c>
    </row>
    <row r="552" spans="38:38" x14ac:dyDescent="0.2">
      <c r="AL552" s="18" t="str">
        <f>IF(COUNTIF($A$2:A551, A551) = 1, A551, "")</f>
        <v/>
      </c>
    </row>
    <row r="553" spans="38:38" x14ac:dyDescent="0.2">
      <c r="AL553" s="18" t="str">
        <f>IF(COUNTIF($A$2:A552, A552) = 1, A552, "")</f>
        <v/>
      </c>
    </row>
    <row r="554" spans="38:38" x14ac:dyDescent="0.2">
      <c r="AL554" s="18" t="str">
        <f>IF(COUNTIF($A$2:A553, A553) = 1, A553, "")</f>
        <v/>
      </c>
    </row>
    <row r="555" spans="38:38" x14ac:dyDescent="0.2">
      <c r="AL555" s="18" t="str">
        <f>IF(COUNTIF($A$2:A554, A554) = 1, A554, "")</f>
        <v/>
      </c>
    </row>
    <row r="556" spans="38:38" x14ac:dyDescent="0.2">
      <c r="AL556" s="18" t="str">
        <f>IF(COUNTIF($A$2:A555, A555) = 1, A555, "")</f>
        <v/>
      </c>
    </row>
    <row r="557" spans="38:38" x14ac:dyDescent="0.2">
      <c r="AL557" s="18" t="str">
        <f>IF(COUNTIF($A$2:A556, A556) = 1, A556, "")</f>
        <v/>
      </c>
    </row>
    <row r="558" spans="38:38" x14ac:dyDescent="0.2">
      <c r="AL558" s="18" t="str">
        <f>IF(COUNTIF($A$2:A557, A557) = 1, A557, "")</f>
        <v/>
      </c>
    </row>
    <row r="559" spans="38:38" x14ac:dyDescent="0.2">
      <c r="AL559" s="18" t="str">
        <f>IF(COUNTIF($A$2:A558, A558) = 1, A558, "")</f>
        <v/>
      </c>
    </row>
    <row r="560" spans="38:38" x14ac:dyDescent="0.2">
      <c r="AL560" s="18" t="str">
        <f>IF(COUNTIF($A$2:A559, A559) = 1, A559, "")</f>
        <v/>
      </c>
    </row>
    <row r="561" spans="38:38" x14ac:dyDescent="0.2">
      <c r="AL561" s="18" t="str">
        <f>IF(COUNTIF($A$2:A560, A560) = 1, A560, "")</f>
        <v/>
      </c>
    </row>
    <row r="562" spans="38:38" x14ac:dyDescent="0.2">
      <c r="AL562" s="18" t="str">
        <f>IF(COUNTIF($A$2:A561, A561) = 1, A561, "")</f>
        <v/>
      </c>
    </row>
    <row r="563" spans="38:38" x14ac:dyDescent="0.2">
      <c r="AL563" s="18" t="str">
        <f>IF(COUNTIF($A$2:A562, A562) = 1, A562, "")</f>
        <v/>
      </c>
    </row>
    <row r="564" spans="38:38" x14ac:dyDescent="0.2">
      <c r="AL564" s="18" t="str">
        <f>IF(COUNTIF($A$2:A563, A563) = 1, A563, "")</f>
        <v/>
      </c>
    </row>
    <row r="565" spans="38:38" x14ac:dyDescent="0.2">
      <c r="AL565" s="18" t="str">
        <f>IF(COUNTIF($A$2:A564, A564) = 1, A564, "")</f>
        <v/>
      </c>
    </row>
    <row r="566" spans="38:38" x14ac:dyDescent="0.2">
      <c r="AL566" s="18" t="str">
        <f>IF(COUNTIF($A$2:A565, A565) = 1, A565, "")</f>
        <v/>
      </c>
    </row>
    <row r="567" spans="38:38" x14ac:dyDescent="0.2">
      <c r="AL567" s="18" t="str">
        <f>IF(COUNTIF($A$2:A566, A566) = 1, A566, "")</f>
        <v/>
      </c>
    </row>
    <row r="568" spans="38:38" x14ac:dyDescent="0.2">
      <c r="AL568" s="18" t="str">
        <f>IF(COUNTIF($A$2:A567, A567) = 1, A567, "")</f>
        <v/>
      </c>
    </row>
    <row r="569" spans="38:38" x14ac:dyDescent="0.2">
      <c r="AL569" s="18" t="str">
        <f>IF(COUNTIF($A$2:A568, A568) = 1, A568, "")</f>
        <v/>
      </c>
    </row>
    <row r="570" spans="38:38" x14ac:dyDescent="0.2">
      <c r="AL570" s="18" t="str">
        <f>IF(COUNTIF($A$2:A569, A569) = 1, A569, "")</f>
        <v/>
      </c>
    </row>
    <row r="571" spans="38:38" x14ac:dyDescent="0.2">
      <c r="AL571" s="18" t="str">
        <f>IF(COUNTIF($A$2:A570, A570) = 1, A570, "")</f>
        <v/>
      </c>
    </row>
    <row r="572" spans="38:38" x14ac:dyDescent="0.2">
      <c r="AL572" s="18" t="str">
        <f>IF(COUNTIF($A$2:A571, A571) = 1, A571, "")</f>
        <v/>
      </c>
    </row>
    <row r="573" spans="38:38" x14ac:dyDescent="0.2">
      <c r="AL573" s="18" t="str">
        <f>IF(COUNTIF($A$2:A572, A572) = 1, A572, "")</f>
        <v/>
      </c>
    </row>
    <row r="574" spans="38:38" x14ac:dyDescent="0.2">
      <c r="AL574" s="18" t="str">
        <f>IF(COUNTIF($A$2:A573, A573) = 1, A573, "")</f>
        <v/>
      </c>
    </row>
    <row r="575" spans="38:38" x14ac:dyDescent="0.2">
      <c r="AL575" s="18" t="str">
        <f>IF(COUNTIF($A$2:A574, A574) = 1, A574, "")</f>
        <v/>
      </c>
    </row>
    <row r="576" spans="38:38" x14ac:dyDescent="0.2">
      <c r="AL576" s="18" t="str">
        <f>IF(COUNTIF($A$2:A575, A575) = 1, A575, "")</f>
        <v/>
      </c>
    </row>
    <row r="577" spans="38:38" x14ac:dyDescent="0.2">
      <c r="AL577" s="18" t="str">
        <f>IF(COUNTIF($A$2:A576, A576) = 1, A576, "")</f>
        <v/>
      </c>
    </row>
    <row r="578" spans="38:38" x14ac:dyDescent="0.2">
      <c r="AL578" s="18" t="str">
        <f>IF(COUNTIF($A$2:A577, A577) = 1, A577, "")</f>
        <v/>
      </c>
    </row>
    <row r="579" spans="38:38" x14ac:dyDescent="0.2">
      <c r="AL579" s="18" t="str">
        <f>IF(COUNTIF($A$2:A578, A578) = 1, A578, "")</f>
        <v/>
      </c>
    </row>
    <row r="580" spans="38:38" x14ac:dyDescent="0.2">
      <c r="AL580" s="18" t="str">
        <f>IF(COUNTIF($A$2:A579, A579) = 1, A579, "")</f>
        <v/>
      </c>
    </row>
    <row r="581" spans="38:38" x14ac:dyDescent="0.2">
      <c r="AL581" s="18" t="str">
        <f>IF(COUNTIF($A$2:A580, A580) = 1, A580, "")</f>
        <v/>
      </c>
    </row>
  </sheetData>
  <mergeCells count="19">
    <mergeCell ref="T2:U2"/>
    <mergeCell ref="T3:U3"/>
    <mergeCell ref="T4:U4"/>
    <mergeCell ref="T6:U6"/>
    <mergeCell ref="T19:U19"/>
    <mergeCell ref="T20:U20"/>
    <mergeCell ref="T21:U21"/>
    <mergeCell ref="T22:U22"/>
    <mergeCell ref="T7:U7"/>
    <mergeCell ref="T8:U8"/>
    <mergeCell ref="T9:U9"/>
    <mergeCell ref="T10:U10"/>
    <mergeCell ref="T11:V11"/>
    <mergeCell ref="T12:U12"/>
    <mergeCell ref="T14:U14"/>
    <mergeCell ref="T15:U15"/>
    <mergeCell ref="T16:U16"/>
    <mergeCell ref="T17:V17"/>
    <mergeCell ref="T13:U13"/>
  </mergeCells>
  <conditionalFormatting sqref="N1:N1048576">
    <cfRule type="dataBar" priority="77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{61441282-D223-304C-AB9F-6F0AC28592CA}</x14:id>
        </ext>
      </extLst>
    </cfRule>
  </conditionalFormatting>
  <conditionalFormatting sqref="V4">
    <cfRule type="colorScale" priority="70">
      <colorScale>
        <cfvo type="num" val="-50"/>
        <cfvo type="num" val="0"/>
        <cfvo type="num" val="50"/>
        <color rgb="FFC00000"/>
        <color theme="0"/>
        <color rgb="FF00B050"/>
      </colorScale>
    </cfRule>
  </conditionalFormatting>
  <conditionalFormatting sqref="V9">
    <cfRule type="dataBar" priority="69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{9CA4A29D-6C2E-3A4A-BF4F-E1EB461B65B4}</x14:id>
        </ext>
      </extLst>
    </cfRule>
  </conditionalFormatting>
  <conditionalFormatting sqref="V15">
    <cfRule type="dataBar" priority="68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{DF5C531C-3D96-CE4E-85FC-9F0A4607C2AA}</x14:id>
        </ext>
      </extLst>
    </cfRule>
  </conditionalFormatting>
  <conditionalFormatting sqref="V10">
    <cfRule type="dataBar" priority="52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{CFDE1430-908A-A247-A270-2D5D85DC123C}</x14:id>
        </ext>
      </extLst>
    </cfRule>
    <cfRule type="colorScale" priority="53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V16">
    <cfRule type="dataBar" priority="50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{C3383AD9-E912-EB4B-A729-EEA1865B3D57}</x14:id>
        </ext>
      </extLst>
    </cfRule>
    <cfRule type="colorScale" priority="51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12:Y18">
    <cfRule type="dataBar" priority="16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{F70DD7FE-DD18-5944-8FC7-7E00041408DF}</x14:id>
        </ext>
      </extLst>
    </cfRule>
    <cfRule type="colorScale" priority="17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A41:AA43 AA26:AA31 AA3:AA9 AA34:AA38 AA12:AA18 AA21:AA23">
    <cfRule type="dataBar" priority="11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{41336D46-4AD2-DC48-A0A8-3D2D7AEA62AB}</x14:id>
        </ext>
      </extLst>
    </cfRule>
  </conditionalFormatting>
  <conditionalFormatting sqref="AA46:AA47">
    <cfRule type="dataBar" priority="10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{EE22812D-C346-5E48-AB1A-0EC579B1A172}</x14:id>
        </ext>
      </extLst>
    </cfRule>
  </conditionalFormatting>
  <conditionalFormatting sqref="Z2:Z47">
    <cfRule type="dataBar" priority="9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{EC0E3F5D-30DE-184E-A2AB-343C0525F868}</x14:id>
        </ext>
      </extLst>
    </cfRule>
  </conditionalFormatting>
  <conditionalFormatting sqref="AE3:AE50">
    <cfRule type="dataBar" priority="12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{5B382586-8C79-EF48-A018-7801C0A843F4}</x14:id>
        </ext>
      </extLst>
    </cfRule>
    <cfRule type="colorScale" priority="13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D3:AD50">
    <cfRule type="dataBar" priority="14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{36B6483B-571F-A24B-A734-06EBD27F5C6A}</x14:id>
        </ext>
      </extLst>
    </cfRule>
    <cfRule type="colorScale" priority="15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3:Y9">
    <cfRule type="dataBar" priority="7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{1529AB89-B430-084C-BE90-1014F38C97E3}</x14:id>
        </ext>
      </extLst>
    </cfRule>
    <cfRule type="colorScale" priority="8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21:Y47">
    <cfRule type="dataBar" priority="5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{3758D3D9-5B2A-7646-9494-348DEA7FAE0B}</x14:id>
        </ext>
      </extLst>
    </cfRule>
    <cfRule type="colorScale" priority="6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A50:AA58">
    <cfRule type="dataBar" priority="4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{F561FBF6-AA56-644F-982F-D00CB25A676B}</x14:id>
        </ext>
      </extLst>
    </cfRule>
  </conditionalFormatting>
  <conditionalFormatting sqref="Z49:Z58">
    <cfRule type="dataBar" priority="3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{44630A0E-E069-4C45-94C1-895E551BC302}</x14:id>
        </ext>
      </extLst>
    </cfRule>
  </conditionalFormatting>
  <conditionalFormatting sqref="Y49:Y58">
    <cfRule type="dataBar" priority="1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{56F0748E-029E-994D-90F9-66639ADA6835}</x14:id>
        </ext>
      </extLst>
    </cfRule>
    <cfRule type="colorScale" priority="2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dataValidations count="3">
    <dataValidation type="list" allowBlank="1" showInputMessage="1" showErrorMessage="1" sqref="G2:J499 M2:M499" xr:uid="{9A7CD95A-D8B8-C144-B98E-84AC4DBA6B13}">
      <formula1>"Yes, No"</formula1>
    </dataValidation>
    <dataValidation type="list" allowBlank="1" showInputMessage="1" showErrorMessage="1" sqref="D2:D499" xr:uid="{B0E53AA6-6D3A-1841-B11E-98A213240760}">
      <formula1>"Straight, Parlay, Boost"</formula1>
    </dataValidation>
    <dataValidation type="list" allowBlank="1" showInputMessage="1" showErrorMessage="1" sqref="R2:R1048576" xr:uid="{26AD478C-FF64-4A45-BAF8-59E5D7AC92DC}">
      <formula1>$X$50:$X$58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1441282-D223-304C-AB9F-6F0AC28592C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N1:N1048576</xm:sqref>
        </x14:conditionalFormatting>
        <x14:conditionalFormatting xmlns:xm="http://schemas.microsoft.com/office/excel/2006/main">
          <x14:cfRule type="dataBar" id="{9CA4A29D-6C2E-3A4A-BF4F-E1EB461B65B4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DF5C531C-3D96-CE4E-85FC-9F0A4607C2AA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CFDE1430-908A-A247-A270-2D5D85DC123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C3383AD9-E912-EB4B-A729-EEA1865B3D5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F70DD7FE-DD18-5944-8FC7-7E00041408D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Y12:Y18</xm:sqref>
        </x14:conditionalFormatting>
        <x14:conditionalFormatting xmlns:xm="http://schemas.microsoft.com/office/excel/2006/main">
          <x14:cfRule type="dataBar" id="{41336D46-4AD2-DC48-A0A8-3D2D7AEA62AB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AA41:AA43 AA26:AA31 AA3:AA9 AA34:AA38 AA12:AA18 AA21:AA23</xm:sqref>
        </x14:conditionalFormatting>
        <x14:conditionalFormatting xmlns:xm="http://schemas.microsoft.com/office/excel/2006/main">
          <x14:cfRule type="dataBar" id="{EE22812D-C346-5E48-AB1A-0EC579B1A172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AA46:AA47</xm:sqref>
        </x14:conditionalFormatting>
        <x14:conditionalFormatting xmlns:xm="http://schemas.microsoft.com/office/excel/2006/main">
          <x14:cfRule type="dataBar" id="{EC0E3F5D-30DE-184E-A2AB-343C0525F86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Z2:Z47</xm:sqref>
        </x14:conditionalFormatting>
        <x14:conditionalFormatting xmlns:xm="http://schemas.microsoft.com/office/excel/2006/main">
          <x14:cfRule type="dataBar" id="{5B382586-8C79-EF48-A018-7801C0A843F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AE3:AE50</xm:sqref>
        </x14:conditionalFormatting>
        <x14:conditionalFormatting xmlns:xm="http://schemas.microsoft.com/office/excel/2006/main">
          <x14:cfRule type="dataBar" id="{36B6483B-571F-A24B-A734-06EBD27F5C6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AD3:AD50</xm:sqref>
        </x14:conditionalFormatting>
        <x14:conditionalFormatting xmlns:xm="http://schemas.microsoft.com/office/excel/2006/main">
          <x14:cfRule type="dataBar" id="{1529AB89-B430-084C-BE90-1014F38C97E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Y3:Y9</xm:sqref>
        </x14:conditionalFormatting>
        <x14:conditionalFormatting xmlns:xm="http://schemas.microsoft.com/office/excel/2006/main">
          <x14:cfRule type="dataBar" id="{3758D3D9-5B2A-7646-9494-348DEA7FAE0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Y21:Y47</xm:sqref>
        </x14:conditionalFormatting>
        <x14:conditionalFormatting xmlns:xm="http://schemas.microsoft.com/office/excel/2006/main">
          <x14:cfRule type="dataBar" id="{F561FBF6-AA56-644F-982F-D00CB25A676B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AA50:AA58</xm:sqref>
        </x14:conditionalFormatting>
        <x14:conditionalFormatting xmlns:xm="http://schemas.microsoft.com/office/excel/2006/main">
          <x14:cfRule type="dataBar" id="{44630A0E-E069-4C45-94C1-895E551BC30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Z49:Z58</xm:sqref>
        </x14:conditionalFormatting>
        <x14:conditionalFormatting xmlns:xm="http://schemas.microsoft.com/office/excel/2006/main">
          <x14:cfRule type="dataBar" id="{56F0748E-029E-994D-90F9-66639ADA683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Y49:Y58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04412-6885-834D-AE8C-1866E6BDEC9D}">
  <sheetPr codeName="Sheet10"/>
  <dimension ref="A1:AL581"/>
  <sheetViews>
    <sheetView topLeftCell="D1" zoomScale="80" zoomScaleNormal="80" workbookViewId="0">
      <pane ySplit="1" topLeftCell="A3" activePane="bottomLeft" state="frozen"/>
      <selection pane="bottomLeft" activeCell="B2" sqref="B2:B1048576"/>
    </sheetView>
  </sheetViews>
  <sheetFormatPr baseColWidth="10" defaultRowHeight="16" x14ac:dyDescent="0.2"/>
  <cols>
    <col min="1" max="1" width="11.5" style="18" bestFit="1" customWidth="1"/>
    <col min="4" max="4" width="11.5" bestFit="1" customWidth="1"/>
    <col min="6" max="6" width="14.83203125" bestFit="1" customWidth="1"/>
    <col min="8" max="8" width="12.5" bestFit="1" customWidth="1"/>
    <col min="11" max="11" width="10.83203125" style="7"/>
    <col min="14" max="14" width="13.5" bestFit="1" customWidth="1"/>
    <col min="15" max="15" width="21.1640625" bestFit="1" customWidth="1"/>
    <col min="16" max="16" width="31.33203125" customWidth="1"/>
    <col min="17" max="17" width="30.5" customWidth="1"/>
    <col min="18" max="18" width="11.5" customWidth="1"/>
    <col min="19" max="19" width="19.33203125" customWidth="1"/>
    <col min="20" max="20" width="11.6640625" bestFit="1" customWidth="1"/>
    <col min="22" max="22" width="12.6640625" bestFit="1" customWidth="1"/>
    <col min="24" max="24" width="14.83203125" style="32" bestFit="1" customWidth="1"/>
    <col min="26" max="26" width="10.83203125" hidden="1" customWidth="1"/>
    <col min="29" max="29" width="10.83203125" style="18"/>
    <col min="30" max="30" width="11" customWidth="1"/>
    <col min="31" max="31" width="10.1640625" bestFit="1" customWidth="1"/>
    <col min="38" max="38" width="0" hidden="1" customWidth="1"/>
  </cols>
  <sheetData>
    <row r="1" spans="1:38" ht="17" thickBot="1" x14ac:dyDescent="0.25">
      <c r="A1" s="56" t="s">
        <v>15</v>
      </c>
      <c r="B1" s="57" t="s">
        <v>10</v>
      </c>
      <c r="C1" s="57" t="s">
        <v>11</v>
      </c>
      <c r="D1" s="57" t="s">
        <v>50</v>
      </c>
      <c r="E1" s="57" t="s">
        <v>12</v>
      </c>
      <c r="F1" s="57" t="s">
        <v>3</v>
      </c>
      <c r="G1" s="57" t="s">
        <v>4</v>
      </c>
      <c r="H1" s="57" t="s">
        <v>60</v>
      </c>
      <c r="I1" s="57" t="s">
        <v>6</v>
      </c>
      <c r="J1" s="57" t="s">
        <v>69</v>
      </c>
      <c r="K1" s="57" t="s">
        <v>7</v>
      </c>
      <c r="L1" s="57" t="s">
        <v>8</v>
      </c>
      <c r="M1" s="57" t="s">
        <v>21</v>
      </c>
      <c r="N1" s="57" t="s">
        <v>9</v>
      </c>
      <c r="O1" s="57" t="s">
        <v>51</v>
      </c>
      <c r="P1" s="57" t="s">
        <v>13</v>
      </c>
      <c r="Q1" s="57" t="s">
        <v>14</v>
      </c>
      <c r="R1" s="57" t="s">
        <v>89</v>
      </c>
      <c r="S1" s="57" t="s">
        <v>61</v>
      </c>
    </row>
    <row r="2" spans="1:38" ht="17" thickBot="1" x14ac:dyDescent="0.25">
      <c r="A2" s="55" t="s">
        <v>86</v>
      </c>
      <c r="F2" t="str">
        <f t="shared" ref="F2:F65" si="0">IF(OR(O2="", P2=""), "", SUM(IF((O2&lt;&gt;"None")*(O2&lt;&gt;""),LEN(O2)-LEN(SUBSTITUTE(O2,",",""))+1,0)) + SUM(IF((P2&lt;&gt;"None")*(P2&lt;&gt;""),LEN(P2)-LEN(SUBSTITUTE(P2,",",""))+1,0)))</f>
        <v/>
      </c>
      <c r="L2" s="7" t="str">
        <f t="shared" ref="L2:L65" si="1">IF(LEN(E2)=0, "", IFERROR(IF(E2&gt;=0, K2 * (1 + E2/100) - K2, K2 / (ABS(E2)/100))+K2, ""))</f>
        <v/>
      </c>
      <c r="N2" s="7" t="str">
        <f t="shared" ref="N2:N65" si="2">IF(M2="Yes",L2-K2,IF(M2="No",-K2,""))</f>
        <v/>
      </c>
      <c r="O2" t="str">
        <f t="shared" ref="O2:O65" si="3">IF(AND(G2="No",H2="No"), "None", "")</f>
        <v/>
      </c>
      <c r="P2" t="str">
        <f t="shared" ref="P2:P17" si="4">IF(I2="No", "None", "")</f>
        <v/>
      </c>
      <c r="Q2" t="str">
        <f t="shared" ref="Q2:Q65" si="5">IF(AND(D2="Straight", M2 = "No"),IF(O2="None",P2,IF(P2="None",O2) ),"")</f>
        <v/>
      </c>
      <c r="S2" t="str">
        <f>""</f>
        <v/>
      </c>
      <c r="T2" s="109" t="s">
        <v>0</v>
      </c>
      <c r="U2" s="110"/>
      <c r="V2" s="4">
        <f>'July 2025'!V3</f>
        <v>0</v>
      </c>
      <c r="X2" s="79" t="s">
        <v>10</v>
      </c>
      <c r="Y2" s="80" t="s">
        <v>9</v>
      </c>
      <c r="Z2" s="81" t="s">
        <v>84</v>
      </c>
      <c r="AA2" s="82" t="s">
        <v>39</v>
      </c>
      <c r="AC2" s="86" t="s">
        <v>70</v>
      </c>
      <c r="AD2" s="87" t="s">
        <v>9</v>
      </c>
      <c r="AE2" s="88" t="s">
        <v>71</v>
      </c>
    </row>
    <row r="3" spans="1:38" x14ac:dyDescent="0.2">
      <c r="F3" t="str">
        <f t="shared" si="0"/>
        <v/>
      </c>
      <c r="L3" s="7" t="str">
        <f t="shared" si="1"/>
        <v/>
      </c>
      <c r="N3" s="7" t="str">
        <f t="shared" si="2"/>
        <v/>
      </c>
      <c r="O3" t="str">
        <f t="shared" si="3"/>
        <v/>
      </c>
      <c r="P3" t="str">
        <f t="shared" si="4"/>
        <v/>
      </c>
      <c r="Q3" t="str">
        <f t="shared" si="5"/>
        <v/>
      </c>
      <c r="S3" t="str">
        <f>""</f>
        <v/>
      </c>
      <c r="T3" s="101" t="s">
        <v>1</v>
      </c>
      <c r="U3" s="102"/>
      <c r="V3" s="5">
        <f>V2+V4</f>
        <v>0</v>
      </c>
      <c r="X3" s="47" t="s">
        <v>16</v>
      </c>
      <c r="Y3" s="45">
        <f>SUMIF($B:B,X3,N:N)</f>
        <v>0</v>
      </c>
      <c r="Z3" s="40">
        <f t="shared" ref="Z3:Z9" si="6">COUNTIF(B:B,X3)</f>
        <v>0</v>
      </c>
      <c r="AA3" s="41">
        <f t="shared" ref="AA3:AA9" si="7">IFERROR(COUNTIFS(B:B, X3)/COUNTA($B$2:$B$994),0)</f>
        <v>0</v>
      </c>
      <c r="AC3" s="17" t="str" cm="1">
        <f t="array" ref="AC3">IFERROR(INDEX($AL$2:$AL$300, MATCH(0, COUNTIF($AC$2:AC2, $AL$2:$AL$300) + IF($AL$2:$AL$300="", 1, 0), 0)), "")</f>
        <v/>
      </c>
      <c r="AD3" s="9">
        <f t="shared" ref="AD3:AD25" si="8">IF(ISBLANK(AC3),"",SUMIF(A:A,AC3,N:N))</f>
        <v>0</v>
      </c>
      <c r="AE3" s="19">
        <f>SUM(AD$3:AD3)</f>
        <v>0</v>
      </c>
      <c r="AL3" s="18" t="str">
        <f>IF(COUNTIF($A$2:A2, A2) = 1, A2, "")</f>
        <v/>
      </c>
    </row>
    <row r="4" spans="1:38" ht="17" thickBot="1" x14ac:dyDescent="0.25">
      <c r="F4" t="str">
        <f t="shared" si="0"/>
        <v/>
      </c>
      <c r="L4" s="7" t="str">
        <f t="shared" si="1"/>
        <v/>
      </c>
      <c r="N4" s="7" t="str">
        <f t="shared" si="2"/>
        <v/>
      </c>
      <c r="O4" t="str">
        <f t="shared" si="3"/>
        <v/>
      </c>
      <c r="P4" t="str">
        <f t="shared" si="4"/>
        <v/>
      </c>
      <c r="Q4" t="str">
        <f t="shared" si="5"/>
        <v/>
      </c>
      <c r="S4" t="str">
        <f>""</f>
        <v/>
      </c>
      <c r="T4" s="96" t="s">
        <v>2</v>
      </c>
      <c r="U4" s="97"/>
      <c r="V4" s="10">
        <f>SUM(N2:N1048576)</f>
        <v>0</v>
      </c>
      <c r="X4" s="48" t="s">
        <v>23</v>
      </c>
      <c r="Y4" s="45">
        <f>SUMIF($B:B,X4,N:N)</f>
        <v>0</v>
      </c>
      <c r="Z4" s="34">
        <f t="shared" si="6"/>
        <v>0</v>
      </c>
      <c r="AA4" s="38">
        <f t="shared" si="7"/>
        <v>0</v>
      </c>
      <c r="AC4" s="17" t="str" cm="1">
        <f t="array" ref="AC4">IFERROR(INDEX($AL$2:$AL$300, MATCH(0, COUNTIF($AC$2:AC3, $AL$2:$AL$300) + IF($AL$2:$AL$300="", 1, 0), 0)), "")</f>
        <v/>
      </c>
      <c r="AD4" s="9">
        <f t="shared" si="8"/>
        <v>0</v>
      </c>
      <c r="AE4" s="19">
        <f>SUM(AD$3:AD4)</f>
        <v>0</v>
      </c>
      <c r="AL4" s="18" t="str">
        <f>IF(COUNTIF($A$2:A3, A3) = 1, A3, "")</f>
        <v/>
      </c>
    </row>
    <row r="5" spans="1:38" ht="17" thickBot="1" x14ac:dyDescent="0.25">
      <c r="F5" t="str">
        <f t="shared" si="0"/>
        <v/>
      </c>
      <c r="L5" s="7" t="str">
        <f t="shared" si="1"/>
        <v/>
      </c>
      <c r="N5" s="7" t="str">
        <f t="shared" si="2"/>
        <v/>
      </c>
      <c r="O5" t="str">
        <f t="shared" si="3"/>
        <v/>
      </c>
      <c r="P5" t="str">
        <f t="shared" si="4"/>
        <v/>
      </c>
      <c r="Q5" t="str">
        <f t="shared" si="5"/>
        <v/>
      </c>
      <c r="S5" t="str">
        <f>""</f>
        <v/>
      </c>
      <c r="X5" s="48" t="s">
        <v>24</v>
      </c>
      <c r="Y5" s="45">
        <f>SUMIF($B:B,X5,N:N)</f>
        <v>0</v>
      </c>
      <c r="Z5" s="34">
        <f t="shared" si="6"/>
        <v>0</v>
      </c>
      <c r="AA5" s="38">
        <f t="shared" si="7"/>
        <v>0</v>
      </c>
      <c r="AC5" s="17" t="str" cm="1">
        <f t="array" ref="AC5">IFERROR(INDEX($AL$2:$AL$300, MATCH(0, COUNTIF($AC$2:AC4, $AL$2:$AL$300) + IF($AL$2:$AL$300="", 1, 0), 0)), "")</f>
        <v/>
      </c>
      <c r="AD5" s="9">
        <f t="shared" si="8"/>
        <v>0</v>
      </c>
      <c r="AE5" s="19">
        <f>SUM(AD$3:AD5)</f>
        <v>0</v>
      </c>
      <c r="AL5" s="18" t="str">
        <f>IF(COUNTIF($A$2:A4, A4) = 1, A4, "")</f>
        <v/>
      </c>
    </row>
    <row r="6" spans="1:38" x14ac:dyDescent="0.2">
      <c r="F6" t="str">
        <f t="shared" si="0"/>
        <v/>
      </c>
      <c r="L6" s="7" t="str">
        <f t="shared" si="1"/>
        <v/>
      </c>
      <c r="N6" s="7" t="str">
        <f t="shared" si="2"/>
        <v/>
      </c>
      <c r="O6" t="str">
        <f t="shared" si="3"/>
        <v/>
      </c>
      <c r="P6" t="str">
        <f t="shared" si="4"/>
        <v/>
      </c>
      <c r="Q6" t="str">
        <f t="shared" si="5"/>
        <v/>
      </c>
      <c r="S6" t="str">
        <f>""</f>
        <v/>
      </c>
      <c r="T6" s="109" t="s">
        <v>27</v>
      </c>
      <c r="U6" s="110"/>
      <c r="V6" s="58" t="str">
        <f>Master!D6</f>
        <v>Lions</v>
      </c>
      <c r="X6" s="48" t="s">
        <v>52</v>
      </c>
      <c r="Y6" s="45">
        <f>SUMIF($B:B,X6,N:N)</f>
        <v>0</v>
      </c>
      <c r="Z6" s="34">
        <f t="shared" si="6"/>
        <v>0</v>
      </c>
      <c r="AA6" s="38">
        <f t="shared" si="7"/>
        <v>0</v>
      </c>
      <c r="AC6" s="17" t="str" cm="1">
        <f t="array" ref="AC6">IFERROR(INDEX($AL$2:$AL$300, MATCH(0, COUNTIF($AC$2:AC5, $AL$2:$AL$300) + IF($AL$2:$AL$300="", 1, 0), 0)), "")</f>
        <v/>
      </c>
      <c r="AD6" s="9">
        <f t="shared" si="8"/>
        <v>0</v>
      </c>
      <c r="AE6" s="19">
        <f>SUM(AD$3:AD6)</f>
        <v>0</v>
      </c>
      <c r="AL6" s="18" t="str">
        <f>IF(COUNTIF($A$2:A5, A5) = 1, A5, "")</f>
        <v/>
      </c>
    </row>
    <row r="7" spans="1:38" x14ac:dyDescent="0.2">
      <c r="F7" t="str">
        <f t="shared" si="0"/>
        <v/>
      </c>
      <c r="L7" s="7" t="str">
        <f t="shared" si="1"/>
        <v/>
      </c>
      <c r="N7" s="7" t="str">
        <f t="shared" si="2"/>
        <v/>
      </c>
      <c r="O7" t="str">
        <f t="shared" si="3"/>
        <v/>
      </c>
      <c r="P7" t="str">
        <f t="shared" si="4"/>
        <v/>
      </c>
      <c r="Q7" t="str">
        <f t="shared" si="5"/>
        <v/>
      </c>
      <c r="S7" t="str">
        <f>""</f>
        <v/>
      </c>
      <c r="T7" s="101" t="s">
        <v>99</v>
      </c>
      <c r="U7" s="102"/>
      <c r="V7" s="8" cm="1">
        <f t="array" ref="V7">SUM(IF(ISNUMBER(SEARCH(V6, SUBSTITUTE($O$2:$O$998, ",", ""))), 1, 0))</f>
        <v>0</v>
      </c>
      <c r="X7" s="48" t="s">
        <v>87</v>
      </c>
      <c r="Y7" s="45">
        <f>SUMIF($B:B,X7,N:N)</f>
        <v>0</v>
      </c>
      <c r="Z7" s="34">
        <f t="shared" si="6"/>
        <v>0</v>
      </c>
      <c r="AA7" s="38">
        <f t="shared" si="7"/>
        <v>0</v>
      </c>
      <c r="AC7" s="17" t="str" cm="1">
        <f t="array" ref="AC7">IFERROR(INDEX($AL$2:$AL$300, MATCH(0, COUNTIF($AC$2:AC6, $AL$2:$AL$300) + IF($AL$2:$AL$300="", 1, 0), 0)), "")</f>
        <v/>
      </c>
      <c r="AD7" s="9">
        <f t="shared" si="8"/>
        <v>0</v>
      </c>
      <c r="AE7" s="20">
        <f>SUM(AD$3:AD7)</f>
        <v>0</v>
      </c>
      <c r="AL7" s="18" t="str">
        <f>IF(COUNTIF($A$2:A6, A6) = 1, A6, "")</f>
        <v/>
      </c>
    </row>
    <row r="8" spans="1:38" x14ac:dyDescent="0.2">
      <c r="F8" t="str">
        <f t="shared" si="0"/>
        <v/>
      </c>
      <c r="L8" s="7" t="str">
        <f t="shared" si="1"/>
        <v/>
      </c>
      <c r="N8" s="7" t="str">
        <f t="shared" si="2"/>
        <v/>
      </c>
      <c r="O8" t="str">
        <f t="shared" si="3"/>
        <v/>
      </c>
      <c r="P8" t="str">
        <f t="shared" si="4"/>
        <v/>
      </c>
      <c r="Q8" t="str">
        <f t="shared" si="5"/>
        <v/>
      </c>
      <c r="S8" t="str">
        <f>""</f>
        <v/>
      </c>
      <c r="T8" s="101" t="s">
        <v>100</v>
      </c>
      <c r="U8" s="102"/>
      <c r="V8" s="8" cm="1">
        <f t="array" ref="V8">SUM(IF(ISNUMBER(SEARCH(V6, SUBSTITUTE($Q$2:$Q$998, ",", ""))), 1, 0))</f>
        <v>0</v>
      </c>
      <c r="X8" s="48" t="s">
        <v>85</v>
      </c>
      <c r="Y8" s="45">
        <f>SUMIF($B:B,X8,N:N)</f>
        <v>0</v>
      </c>
      <c r="Z8" s="34">
        <f t="shared" si="6"/>
        <v>0</v>
      </c>
      <c r="AA8" s="38">
        <f t="shared" si="7"/>
        <v>0</v>
      </c>
      <c r="AC8" s="17" t="str" cm="1">
        <f t="array" ref="AC8">IFERROR(INDEX($AL$2:$AL$300, MATCH(0, COUNTIF($AC$2:AC7, $AL$2:$AL$300) + IF($AL$2:$AL$300="", 1, 0), 0)), "")</f>
        <v/>
      </c>
      <c r="AD8" s="9">
        <f t="shared" si="8"/>
        <v>0</v>
      </c>
      <c r="AE8" s="19">
        <f>SUM(AD$3:AD8)</f>
        <v>0</v>
      </c>
      <c r="AL8" s="18" t="str">
        <f>IF(COUNTIF($A$2:A7, A7) = 1, A7, "")</f>
        <v/>
      </c>
    </row>
    <row r="9" spans="1:38" ht="17" thickBot="1" x14ac:dyDescent="0.25">
      <c r="F9" t="str">
        <f t="shared" si="0"/>
        <v/>
      </c>
      <c r="L9" s="7" t="str">
        <f t="shared" si="1"/>
        <v/>
      </c>
      <c r="N9" s="7" t="str">
        <f t="shared" si="2"/>
        <v/>
      </c>
      <c r="O9" t="str">
        <f t="shared" si="3"/>
        <v/>
      </c>
      <c r="P9" t="str">
        <f t="shared" si="4"/>
        <v/>
      </c>
      <c r="Q9" t="str">
        <f t="shared" si="5"/>
        <v/>
      </c>
      <c r="S9" t="str">
        <f>""</f>
        <v/>
      </c>
      <c r="T9" s="101" t="s">
        <v>28</v>
      </c>
      <c r="U9" s="102"/>
      <c r="V9" s="51" t="e">
        <f>1-(V8/V7)</f>
        <v>#DIV/0!</v>
      </c>
      <c r="X9" s="50" t="s">
        <v>53</v>
      </c>
      <c r="Y9" s="44">
        <f>SUMIF($B:B,X9,N:N)</f>
        <v>0</v>
      </c>
      <c r="Z9" s="35">
        <f t="shared" si="6"/>
        <v>0</v>
      </c>
      <c r="AA9" s="39">
        <f t="shared" si="7"/>
        <v>0</v>
      </c>
      <c r="AC9" s="17" t="str" cm="1">
        <f t="array" ref="AC9">IFERROR(INDEX($AL$2:$AL$300, MATCH(0, COUNTIF($AC$2:AC8, $AL$2:$AL$300) + IF($AL$2:$AL$300="", 1, 0), 0)), "")</f>
        <v/>
      </c>
      <c r="AD9" s="9">
        <f t="shared" si="8"/>
        <v>0</v>
      </c>
      <c r="AE9" s="19">
        <f>SUM(AD$3:AD9)</f>
        <v>0</v>
      </c>
      <c r="AL9" s="18" t="str">
        <f>IF(COUNTIF($A$2:A8, A8) = 1, A8, "")</f>
        <v/>
      </c>
    </row>
    <row r="10" spans="1:38" ht="17" thickBot="1" x14ac:dyDescent="0.25">
      <c r="F10" t="str">
        <f t="shared" si="0"/>
        <v/>
      </c>
      <c r="L10" s="7" t="str">
        <f t="shared" si="1"/>
        <v/>
      </c>
      <c r="N10" s="7" t="str">
        <f t="shared" si="2"/>
        <v/>
      </c>
      <c r="O10" t="str">
        <f t="shared" si="3"/>
        <v/>
      </c>
      <c r="P10" t="str">
        <f t="shared" si="4"/>
        <v/>
      </c>
      <c r="Q10" t="str">
        <f t="shared" si="5"/>
        <v/>
      </c>
      <c r="S10" t="str">
        <f>""</f>
        <v/>
      </c>
      <c r="T10" s="115" t="s">
        <v>9</v>
      </c>
      <c r="U10" s="116"/>
      <c r="V10" s="45" cm="1">
        <f t="array" ref="V10">SUMPRODUCT(--($D$2:$D$998="Straight"), --ISNUMBER(SEARCH(V6, SUBSTITUTE($O$2:$O$998, ",", ""))), $N$2:$N$998)</f>
        <v>0</v>
      </c>
      <c r="Y10" s="7"/>
      <c r="AC10" s="17" t="str" cm="1">
        <f t="array" ref="AC10">IFERROR(INDEX($AL$2:$AL$300, MATCH(0, COUNTIF($AC$2:AC9, $AL$2:$AL$300) + IF($AL$2:$AL$300="", 1, 0), 0)), "")</f>
        <v/>
      </c>
      <c r="AD10" s="9">
        <f t="shared" si="8"/>
        <v>0</v>
      </c>
      <c r="AE10" s="19">
        <f>SUM(AD$3:AD10)</f>
        <v>0</v>
      </c>
      <c r="AL10" s="18" t="str">
        <f>IF(COUNTIF($A$2:A9, A9) = 1, A9, "")</f>
        <v/>
      </c>
    </row>
    <row r="11" spans="1:38" ht="17" thickBot="1" x14ac:dyDescent="0.25">
      <c r="F11" t="str">
        <f t="shared" si="0"/>
        <v/>
      </c>
      <c r="L11" s="7" t="str">
        <f t="shared" si="1"/>
        <v/>
      </c>
      <c r="N11" s="7" t="str">
        <f t="shared" si="2"/>
        <v/>
      </c>
      <c r="O11" t="str">
        <f t="shared" si="3"/>
        <v/>
      </c>
      <c r="P11" t="str">
        <f t="shared" si="4"/>
        <v/>
      </c>
      <c r="Q11" t="str">
        <f t="shared" si="5"/>
        <v/>
      </c>
      <c r="S11" t="str">
        <f>""</f>
        <v/>
      </c>
      <c r="T11" s="117" t="s">
        <v>57</v>
      </c>
      <c r="U11" s="118"/>
      <c r="V11" s="119"/>
      <c r="X11" s="79" t="s">
        <v>11</v>
      </c>
      <c r="Y11" s="83" t="s">
        <v>9</v>
      </c>
      <c r="Z11" s="81" t="s">
        <v>84</v>
      </c>
      <c r="AA11" s="82" t="s">
        <v>39</v>
      </c>
      <c r="AC11" s="17" t="str" cm="1">
        <f t="array" ref="AC11">IFERROR(INDEX($AL$2:$AL$300, MATCH(0, COUNTIF($AC$2:AC10, $AL$2:$AL$300) + IF($AL$2:$AL$300="", 1, 0), 0)), "")</f>
        <v/>
      </c>
      <c r="AD11" s="9">
        <f t="shared" si="8"/>
        <v>0</v>
      </c>
      <c r="AE11" s="20">
        <f>SUM(AD$3:AD11)</f>
        <v>0</v>
      </c>
      <c r="AL11" s="18" t="str">
        <f>IF(COUNTIF($A$2:A10, A10) = 1, A10, "")</f>
        <v/>
      </c>
    </row>
    <row r="12" spans="1:38" x14ac:dyDescent="0.2">
      <c r="F12" t="str">
        <f t="shared" si="0"/>
        <v/>
      </c>
      <c r="L12" s="7" t="str">
        <f t="shared" si="1"/>
        <v/>
      </c>
      <c r="N12" s="7" t="str">
        <f t="shared" si="2"/>
        <v/>
      </c>
      <c r="O12" t="str">
        <f t="shared" si="3"/>
        <v/>
      </c>
      <c r="P12" t="str">
        <f t="shared" si="4"/>
        <v/>
      </c>
      <c r="Q12" t="str">
        <f t="shared" si="5"/>
        <v/>
      </c>
      <c r="S12" t="str">
        <f>""</f>
        <v/>
      </c>
      <c r="T12" s="109" t="s">
        <v>22</v>
      </c>
      <c r="U12" s="110"/>
      <c r="V12" s="58" t="str">
        <f>Master!D12</f>
        <v>Josh Allen</v>
      </c>
      <c r="X12" s="47" t="s">
        <v>17</v>
      </c>
      <c r="Y12" s="45">
        <f t="shared" ref="Y12:Y18" si="9">SUMIF(C:C,X12,N:N)</f>
        <v>0</v>
      </c>
      <c r="Z12" s="40">
        <f t="shared" ref="Z12:Z18" si="10">COUNTIF(C:C,X12)</f>
        <v>0</v>
      </c>
      <c r="AA12" s="41">
        <f t="shared" ref="AA12:AA18" si="11">IFERROR(COUNTIFS(C:C, X12)/COUNTA($C$2:$C$994),0)</f>
        <v>0</v>
      </c>
      <c r="AC12" s="17" t="str" cm="1">
        <f t="array" ref="AC12">IFERROR(INDEX($AL$2:$AL$300, MATCH(0, COUNTIF($AC$2:AC11, $AL$2:$AL$300) + IF($AL$2:$AL$300="", 1, 0), 0)), "")</f>
        <v/>
      </c>
      <c r="AD12" s="9">
        <f t="shared" si="8"/>
        <v>0</v>
      </c>
      <c r="AE12" s="19">
        <f>SUM(AD$3:AD12)</f>
        <v>0</v>
      </c>
      <c r="AL12" s="18" t="str">
        <f>IF(COUNTIF($A$2:A11, A11) = 1, A11, "")</f>
        <v/>
      </c>
    </row>
    <row r="13" spans="1:38" x14ac:dyDescent="0.2">
      <c r="F13" t="str">
        <f t="shared" si="0"/>
        <v/>
      </c>
      <c r="L13" s="7" t="str">
        <f t="shared" si="1"/>
        <v/>
      </c>
      <c r="N13" s="7" t="str">
        <f t="shared" si="2"/>
        <v/>
      </c>
      <c r="O13" t="str">
        <f t="shared" si="3"/>
        <v/>
      </c>
      <c r="P13" t="str">
        <f t="shared" si="4"/>
        <v/>
      </c>
      <c r="Q13" t="str">
        <f t="shared" si="5"/>
        <v/>
      </c>
      <c r="S13" t="str">
        <f>""</f>
        <v/>
      </c>
      <c r="T13" s="101" t="s">
        <v>99</v>
      </c>
      <c r="U13" s="102"/>
      <c r="V13" s="8" cm="1">
        <f t="array" ref="V13">SUM(IF(ISNUMBER(SEARCH(V12, SUBSTITUTE($P$2:$P$998, ",", ""))), 1, 0))</f>
        <v>0</v>
      </c>
      <c r="X13" s="48" t="s">
        <v>19</v>
      </c>
      <c r="Y13" s="43">
        <f t="shared" si="9"/>
        <v>0</v>
      </c>
      <c r="Z13" s="34">
        <f t="shared" si="10"/>
        <v>0</v>
      </c>
      <c r="AA13" s="41">
        <f t="shared" si="11"/>
        <v>0</v>
      </c>
      <c r="AC13" s="17" t="str" cm="1">
        <f t="array" ref="AC13">IFERROR(INDEX($AL$2:$AL$300, MATCH(0, COUNTIF($AC$2:AC12, $AL$2:$AL$300) + IF($AL$2:$AL$300="", 1, 0), 0)), "")</f>
        <v/>
      </c>
      <c r="AD13" s="9">
        <f t="shared" si="8"/>
        <v>0</v>
      </c>
      <c r="AE13" s="19">
        <f>SUM(AD$3:AD13)</f>
        <v>0</v>
      </c>
      <c r="AL13" s="18" t="str">
        <f>IF(COUNTIF($A$2:A12, A12) = 1, A12, "")</f>
        <v/>
      </c>
    </row>
    <row r="14" spans="1:38" x14ac:dyDescent="0.2">
      <c r="F14" t="str">
        <f t="shared" si="0"/>
        <v/>
      </c>
      <c r="L14" s="7" t="str">
        <f t="shared" si="1"/>
        <v/>
      </c>
      <c r="N14" s="7" t="str">
        <f t="shared" si="2"/>
        <v/>
      </c>
      <c r="O14" t="str">
        <f t="shared" si="3"/>
        <v/>
      </c>
      <c r="P14" t="str">
        <f t="shared" si="4"/>
        <v/>
      </c>
      <c r="Q14" t="str">
        <f t="shared" si="5"/>
        <v/>
      </c>
      <c r="S14" t="str">
        <f>""</f>
        <v/>
      </c>
      <c r="T14" s="101" t="s">
        <v>100</v>
      </c>
      <c r="U14" s="102"/>
      <c r="V14" s="8" cm="1">
        <f t="array" ref="V14">SUM(IF(ISNUMBER(SEARCH(V12, SUBSTITUTE($Q$2:$Q$998, ",", ""))), 1, 0))</f>
        <v>0</v>
      </c>
      <c r="X14" s="48" t="s">
        <v>25</v>
      </c>
      <c r="Y14" s="43">
        <f t="shared" si="9"/>
        <v>0</v>
      </c>
      <c r="Z14" s="34">
        <f t="shared" si="10"/>
        <v>0</v>
      </c>
      <c r="AA14" s="41">
        <f t="shared" si="11"/>
        <v>0</v>
      </c>
      <c r="AC14" s="17" t="str" cm="1">
        <f t="array" ref="AC14">IFERROR(INDEX($AL$2:$AL$300, MATCH(0, COUNTIF($AC$2:AC13, $AL$2:$AL$300) + IF($AL$2:$AL$300="", 1, 0), 0)), "")</f>
        <v/>
      </c>
      <c r="AD14" s="9">
        <f t="shared" si="8"/>
        <v>0</v>
      </c>
      <c r="AE14" s="19">
        <f>SUM(AD$3:AD14)</f>
        <v>0</v>
      </c>
      <c r="AL14" s="18" t="str">
        <f>IF(COUNTIF($A$2:A13, A13) = 1, A13, "")</f>
        <v/>
      </c>
    </row>
    <row r="15" spans="1:38" x14ac:dyDescent="0.2">
      <c r="F15" t="str">
        <f t="shared" si="0"/>
        <v/>
      </c>
      <c r="L15" s="7" t="str">
        <f t="shared" si="1"/>
        <v/>
      </c>
      <c r="N15" s="7" t="str">
        <f t="shared" si="2"/>
        <v/>
      </c>
      <c r="O15" t="str">
        <f t="shared" si="3"/>
        <v/>
      </c>
      <c r="P15" t="str">
        <f t="shared" si="4"/>
        <v/>
      </c>
      <c r="Q15" t="str">
        <f t="shared" si="5"/>
        <v/>
      </c>
      <c r="S15" t="str">
        <f>""</f>
        <v/>
      </c>
      <c r="T15" s="101" t="s">
        <v>28</v>
      </c>
      <c r="U15" s="102"/>
      <c r="V15" s="51" t="e">
        <f>1-(V14/V13)</f>
        <v>#DIV/0!</v>
      </c>
      <c r="X15" s="47" t="s">
        <v>26</v>
      </c>
      <c r="Y15" s="43">
        <f t="shared" si="9"/>
        <v>0</v>
      </c>
      <c r="Z15" s="34">
        <f t="shared" si="10"/>
        <v>0</v>
      </c>
      <c r="AA15" s="41">
        <f t="shared" si="11"/>
        <v>0</v>
      </c>
      <c r="AC15" s="17" t="str" cm="1">
        <f t="array" ref="AC15">IFERROR(INDEX($AL$2:$AL$300, MATCH(0, COUNTIF($AC$2:AC14, $AL$2:$AL$300) + IF($AL$2:$AL$300="", 1, 0), 0)), "")</f>
        <v/>
      </c>
      <c r="AD15" s="9">
        <f t="shared" si="8"/>
        <v>0</v>
      </c>
      <c r="AE15" s="20">
        <f>SUM(AD$3:AD15)</f>
        <v>0</v>
      </c>
      <c r="AL15" s="18" t="str">
        <f>IF(COUNTIF($A$2:A14, A14) = 1, A14, "")</f>
        <v/>
      </c>
    </row>
    <row r="16" spans="1:38" ht="17" thickBot="1" x14ac:dyDescent="0.25">
      <c r="F16" t="str">
        <f t="shared" si="0"/>
        <v/>
      </c>
      <c r="L16" s="7" t="str">
        <f t="shared" si="1"/>
        <v/>
      </c>
      <c r="N16" s="7" t="str">
        <f t="shared" si="2"/>
        <v/>
      </c>
      <c r="O16" t="str">
        <f t="shared" si="3"/>
        <v/>
      </c>
      <c r="P16" t="str">
        <f t="shared" si="4"/>
        <v/>
      </c>
      <c r="Q16" t="str">
        <f t="shared" si="5"/>
        <v/>
      </c>
      <c r="S16" t="str">
        <f>""</f>
        <v/>
      </c>
      <c r="T16" s="115" t="s">
        <v>9</v>
      </c>
      <c r="U16" s="116"/>
      <c r="V16" s="45" cm="1">
        <f t="array" ref="V16">SUMPRODUCT(--($D$2:$D$998="Straight"), --ISNUMBER(SEARCH(V12, SUBSTITUTE($P$2:$P$998, ",", ""))), $N$2:$N$998)</f>
        <v>0</v>
      </c>
      <c r="X16" s="48" t="s">
        <v>29</v>
      </c>
      <c r="Y16" s="43">
        <f t="shared" si="9"/>
        <v>0</v>
      </c>
      <c r="Z16" s="34">
        <f t="shared" si="10"/>
        <v>0</v>
      </c>
      <c r="AA16" s="41">
        <f t="shared" si="11"/>
        <v>0</v>
      </c>
      <c r="AC16" s="17" t="str" cm="1">
        <f t="array" ref="AC16">IFERROR(INDEX($AL$2:$AL$300, MATCH(0, COUNTIF($AC$2:AC15, $AL$2:$AL$300) + IF($AL$2:$AL$300="", 1, 0), 0)), "")</f>
        <v/>
      </c>
      <c r="AD16" s="9">
        <f t="shared" si="8"/>
        <v>0</v>
      </c>
      <c r="AE16" s="19">
        <f>SUM(AD$3:AD16)</f>
        <v>0</v>
      </c>
      <c r="AL16" s="18" t="str">
        <f>IF(COUNTIF($A$2:A15, A15) = 1, A15, "")</f>
        <v/>
      </c>
    </row>
    <row r="17" spans="6:38" ht="17" thickBot="1" x14ac:dyDescent="0.25">
      <c r="F17" t="str">
        <f t="shared" si="0"/>
        <v/>
      </c>
      <c r="L17" s="7" t="str">
        <f t="shared" si="1"/>
        <v/>
      </c>
      <c r="N17" s="7" t="str">
        <f t="shared" si="2"/>
        <v/>
      </c>
      <c r="O17" t="str">
        <f t="shared" si="3"/>
        <v/>
      </c>
      <c r="P17" t="str">
        <f t="shared" si="4"/>
        <v/>
      </c>
      <c r="Q17" t="str">
        <f t="shared" si="5"/>
        <v/>
      </c>
      <c r="S17" t="str">
        <f>""</f>
        <v/>
      </c>
      <c r="T17" s="117" t="s">
        <v>57</v>
      </c>
      <c r="U17" s="118"/>
      <c r="V17" s="119"/>
      <c r="X17" s="48" t="s">
        <v>30</v>
      </c>
      <c r="Y17" s="43">
        <f t="shared" si="9"/>
        <v>0</v>
      </c>
      <c r="Z17" s="34">
        <f t="shared" si="10"/>
        <v>0</v>
      </c>
      <c r="AA17" s="41">
        <f t="shared" si="11"/>
        <v>0</v>
      </c>
      <c r="AC17" s="17" t="str" cm="1">
        <f t="array" ref="AC17">IFERROR(INDEX($AL$2:$AL$300, MATCH(0, COUNTIF($AC$2:AC16, $AL$2:$AL$300) + IF($AL$2:$AL$300="", 1, 0), 0)), "")</f>
        <v/>
      </c>
      <c r="AD17" s="9">
        <f t="shared" si="8"/>
        <v>0</v>
      </c>
      <c r="AE17" s="19">
        <f>SUM(AD$3:AD17)</f>
        <v>0</v>
      </c>
      <c r="AL17" s="18" t="str">
        <f>IF(COUNTIF($A$2:A16, A16) = 1, A16, "")</f>
        <v/>
      </c>
    </row>
    <row r="18" spans="6:38" ht="17" thickBot="1" x14ac:dyDescent="0.25">
      <c r="F18" t="str">
        <f t="shared" si="0"/>
        <v/>
      </c>
      <c r="L18" s="7" t="str">
        <f t="shared" si="1"/>
        <v/>
      </c>
      <c r="N18" s="7" t="str">
        <f t="shared" si="2"/>
        <v/>
      </c>
      <c r="O18" t="str">
        <f t="shared" si="3"/>
        <v/>
      </c>
      <c r="P18" t="str">
        <f>IF(I18="No", "None", "")</f>
        <v/>
      </c>
      <c r="Q18" t="str">
        <f t="shared" si="5"/>
        <v/>
      </c>
      <c r="S18" t="str">
        <f>""</f>
        <v/>
      </c>
      <c r="X18" s="50" t="s">
        <v>82</v>
      </c>
      <c r="Y18" s="44">
        <f t="shared" si="9"/>
        <v>0</v>
      </c>
      <c r="Z18" s="35">
        <f t="shared" si="10"/>
        <v>0</v>
      </c>
      <c r="AA18" s="52">
        <f t="shared" si="11"/>
        <v>0</v>
      </c>
      <c r="AC18" s="17" t="str" cm="1">
        <f t="array" ref="AC18">IFERROR(INDEX($AL$2:$AL$300, MATCH(0, COUNTIF($AC$2:AC17, $AL$2:$AL$300) + IF($AL$2:$AL$300="", 1, 0), 0)), "")</f>
        <v/>
      </c>
      <c r="AD18" s="9">
        <f t="shared" si="8"/>
        <v>0</v>
      </c>
      <c r="AE18" s="19">
        <f>SUM(AD$3:AD18)</f>
        <v>0</v>
      </c>
      <c r="AL18" s="18" t="str">
        <f>IF(COUNTIF($A$2:A17, A17) = 1, A17, "")</f>
        <v/>
      </c>
    </row>
    <row r="19" spans="6:38" ht="17" thickBot="1" x14ac:dyDescent="0.25">
      <c r="F19" t="str">
        <f t="shared" si="0"/>
        <v/>
      </c>
      <c r="L19" s="7" t="str">
        <f t="shared" si="1"/>
        <v/>
      </c>
      <c r="N19" s="7" t="str">
        <f t="shared" si="2"/>
        <v/>
      </c>
      <c r="O19" t="str">
        <f t="shared" si="3"/>
        <v/>
      </c>
      <c r="P19" t="str">
        <f t="shared" ref="P19:P82" si="12">IF(I19="No", "None", "")</f>
        <v/>
      </c>
      <c r="Q19" t="str">
        <f t="shared" si="5"/>
        <v/>
      </c>
      <c r="S19" t="str">
        <f>""</f>
        <v/>
      </c>
      <c r="T19" s="103" t="s">
        <v>62</v>
      </c>
      <c r="U19" s="104"/>
      <c r="V19" s="13">
        <f>COUNTA(B:B) - 1</f>
        <v>0</v>
      </c>
      <c r="Y19" s="7"/>
      <c r="AC19" s="17" t="str" cm="1">
        <f t="array" ref="AC19">IFERROR(INDEX($AL$2:$AL$300, MATCH(0, COUNTIF($AC$2:AC18, $AL$2:$AL$300) + IF($AL$2:$AL$300="", 1, 0), 0)), "")</f>
        <v/>
      </c>
      <c r="AD19" s="9">
        <f t="shared" si="8"/>
        <v>0</v>
      </c>
      <c r="AE19" s="20">
        <f>SUM(AD$3:AD19)</f>
        <v>0</v>
      </c>
      <c r="AL19" s="18" t="str">
        <f>IF(COUNTIF($A$2:A18, A18) = 1, A18, "")</f>
        <v/>
      </c>
    </row>
    <row r="20" spans="6:38" ht="17" thickBot="1" x14ac:dyDescent="0.25">
      <c r="F20" t="str">
        <f t="shared" si="0"/>
        <v/>
      </c>
      <c r="L20" s="7" t="str">
        <f t="shared" si="1"/>
        <v/>
      </c>
      <c r="N20" s="7" t="str">
        <f t="shared" si="2"/>
        <v/>
      </c>
      <c r="O20" t="str">
        <f t="shared" si="3"/>
        <v/>
      </c>
      <c r="P20" t="str">
        <f t="shared" si="12"/>
        <v/>
      </c>
      <c r="Q20" t="str">
        <f t="shared" si="5"/>
        <v/>
      </c>
      <c r="S20" t="str">
        <f>""</f>
        <v/>
      </c>
      <c r="T20" s="111" t="s">
        <v>64</v>
      </c>
      <c r="U20" s="112"/>
      <c r="V20" s="24">
        <f>COUNTIF(M:M, "Yes")</f>
        <v>0</v>
      </c>
      <c r="X20" s="79" t="s">
        <v>50</v>
      </c>
      <c r="Y20" s="83" t="s">
        <v>9</v>
      </c>
      <c r="Z20" s="81" t="s">
        <v>84</v>
      </c>
      <c r="AA20" s="82" t="s">
        <v>39</v>
      </c>
      <c r="AC20" s="17" t="str" cm="1">
        <f t="array" ref="AC20">IFERROR(INDEX($AL$2:$AL$300, MATCH(0, COUNTIF($AC$2:AC19, $AL$2:$AL$300) + IF($AL$2:$AL$300="", 1, 0), 0)), "")</f>
        <v/>
      </c>
      <c r="AD20" s="9">
        <f t="shared" si="8"/>
        <v>0</v>
      </c>
      <c r="AE20" s="19">
        <f>SUM(AD$3:AD20)</f>
        <v>0</v>
      </c>
      <c r="AL20" s="18" t="str">
        <f>IF(COUNTIF($A$2:A19, A19) = 1, A19, "")</f>
        <v/>
      </c>
    </row>
    <row r="21" spans="6:38" x14ac:dyDescent="0.2">
      <c r="F21" t="str">
        <f t="shared" si="0"/>
        <v/>
      </c>
      <c r="L21" s="7" t="str">
        <f t="shared" si="1"/>
        <v/>
      </c>
      <c r="N21" s="7" t="str">
        <f t="shared" si="2"/>
        <v/>
      </c>
      <c r="O21" t="str">
        <f t="shared" si="3"/>
        <v/>
      </c>
      <c r="P21" t="str">
        <f t="shared" si="12"/>
        <v/>
      </c>
      <c r="Q21" t="str">
        <f t="shared" si="5"/>
        <v/>
      </c>
      <c r="S21" t="str">
        <f>""</f>
        <v/>
      </c>
      <c r="T21" s="111" t="s">
        <v>65</v>
      </c>
      <c r="U21" s="112"/>
      <c r="V21" s="25">
        <f>COUNTIF(M:M, "No")</f>
        <v>0</v>
      </c>
      <c r="X21" s="47" t="s">
        <v>20</v>
      </c>
      <c r="Y21" s="45">
        <f>SUMIF(D:D,X21,N:N)</f>
        <v>0</v>
      </c>
      <c r="Z21" s="40">
        <f>COUNTIF(D:D,X21)</f>
        <v>0</v>
      </c>
      <c r="AA21" s="41">
        <f>IFERROR(COUNTIFS(D:D, X21)/COUNTA($D$2:$D$994),0)</f>
        <v>0</v>
      </c>
      <c r="AC21" s="17" t="str" cm="1">
        <f t="array" ref="AC21">IFERROR(INDEX($AL$2:$AL$300, MATCH(0, COUNTIF($AC$2:AC20, $AL$2:$AL$300) + IF($AL$2:$AL$300="", 1, 0), 0)), "")</f>
        <v/>
      </c>
      <c r="AD21" s="9">
        <f t="shared" si="8"/>
        <v>0</v>
      </c>
      <c r="AE21" s="19">
        <f>SUM(AD$3:AD21)</f>
        <v>0</v>
      </c>
      <c r="AL21" s="18" t="str">
        <f>IF(COUNTIF($A$2:A20, A20) = 1, A20, "")</f>
        <v/>
      </c>
    </row>
    <row r="22" spans="6:38" ht="17" thickBot="1" x14ac:dyDescent="0.25">
      <c r="F22" t="str">
        <f t="shared" si="0"/>
        <v/>
      </c>
      <c r="L22" s="7" t="str">
        <f t="shared" si="1"/>
        <v/>
      </c>
      <c r="N22" s="7" t="str">
        <f t="shared" si="2"/>
        <v/>
      </c>
      <c r="O22" t="str">
        <f t="shared" si="3"/>
        <v/>
      </c>
      <c r="P22" t="str">
        <f t="shared" si="12"/>
        <v/>
      </c>
      <c r="Q22" t="str">
        <f t="shared" si="5"/>
        <v/>
      </c>
      <c r="S22" t="str">
        <f>""</f>
        <v/>
      </c>
      <c r="T22" s="107" t="s">
        <v>76</v>
      </c>
      <c r="U22" s="108"/>
      <c r="V22" s="14">
        <f>V19-V20-V21</f>
        <v>0</v>
      </c>
      <c r="X22" s="48" t="s">
        <v>18</v>
      </c>
      <c r="Y22" s="45">
        <f>SUMIF(D:D,X22,N:N)</f>
        <v>0</v>
      </c>
      <c r="Z22" s="34">
        <f>COUNTIF(D:D,X22)</f>
        <v>0</v>
      </c>
      <c r="AA22" s="41">
        <f>IFERROR(COUNTIFS(D:D, X22)/COUNTA($D$2:$D$994),0)</f>
        <v>0</v>
      </c>
      <c r="AC22" s="17" t="str" cm="1">
        <f t="array" ref="AC22">IFERROR(INDEX($AL$2:$AL$300, MATCH(0, COUNTIF($AC$2:AC21, $AL$2:$AL$300) + IF($AL$2:$AL$300="", 1, 0), 0)), "")</f>
        <v/>
      </c>
      <c r="AD22" s="9">
        <f t="shared" si="8"/>
        <v>0</v>
      </c>
      <c r="AE22" s="19">
        <f>SUM(AD$3:AD22)</f>
        <v>0</v>
      </c>
      <c r="AL22" s="18" t="str">
        <f>IF(COUNTIF($A$2:A21, A21) = 1, A21, "")</f>
        <v/>
      </c>
    </row>
    <row r="23" spans="6:38" ht="17" thickBot="1" x14ac:dyDescent="0.25">
      <c r="F23" t="str">
        <f t="shared" si="0"/>
        <v/>
      </c>
      <c r="L23" s="7" t="str">
        <f t="shared" si="1"/>
        <v/>
      </c>
      <c r="N23" s="7" t="str">
        <f t="shared" si="2"/>
        <v/>
      </c>
      <c r="O23" t="str">
        <f t="shared" si="3"/>
        <v/>
      </c>
      <c r="P23" t="str">
        <f t="shared" si="12"/>
        <v/>
      </c>
      <c r="Q23" t="str">
        <f t="shared" si="5"/>
        <v/>
      </c>
      <c r="S23" t="str">
        <f>""</f>
        <v/>
      </c>
      <c r="X23" s="50" t="s">
        <v>31</v>
      </c>
      <c r="Y23" s="44">
        <f>SUMIF(D:D,X23,N:N)</f>
        <v>0</v>
      </c>
      <c r="Z23" s="35">
        <f>COUNTIF(D:D,X23)</f>
        <v>0</v>
      </c>
      <c r="AA23" s="52">
        <f>IFERROR(COUNTIFS(D:D, X23)/COUNTA($D$2:$D$994),0)</f>
        <v>0</v>
      </c>
      <c r="AC23" s="17" t="str" cm="1">
        <f t="array" ref="AC23">IFERROR(INDEX($AL$2:$AL$300, MATCH(0, COUNTIF($AC$2:AC22, $AL$2:$AL$300) + IF($AL$2:$AL$300="", 1, 0), 0)), "")</f>
        <v/>
      </c>
      <c r="AD23" s="9">
        <f t="shared" si="8"/>
        <v>0</v>
      </c>
      <c r="AE23" s="20">
        <f>SUM(AD$3:AD23)</f>
        <v>0</v>
      </c>
      <c r="AL23" s="18" t="str">
        <f>IF(COUNTIF($A$2:A22, A22) = 1, A22, "")</f>
        <v/>
      </c>
    </row>
    <row r="24" spans="6:38" ht="17" thickBot="1" x14ac:dyDescent="0.25">
      <c r="F24" t="str">
        <f t="shared" si="0"/>
        <v/>
      </c>
      <c r="L24" s="7" t="str">
        <f t="shared" si="1"/>
        <v/>
      </c>
      <c r="N24" s="7" t="str">
        <f t="shared" si="2"/>
        <v/>
      </c>
      <c r="O24" t="str">
        <f t="shared" si="3"/>
        <v/>
      </c>
      <c r="P24" t="str">
        <f t="shared" si="12"/>
        <v/>
      </c>
      <c r="Q24" t="str">
        <f t="shared" si="5"/>
        <v/>
      </c>
      <c r="S24" t="str">
        <f>""</f>
        <v/>
      </c>
      <c r="Y24" s="60"/>
      <c r="AC24" s="17" t="str" cm="1">
        <f t="array" ref="AC24">IFERROR(INDEX($AL$2:$AL$300, MATCH(0, COUNTIF($AC$2:AC23, $AL$2:$AL$300) + IF($AL$2:$AL$300="", 1, 0), 0)), "")</f>
        <v/>
      </c>
      <c r="AD24" s="9">
        <f t="shared" si="8"/>
        <v>0</v>
      </c>
      <c r="AE24" s="19">
        <f>SUM(AD$3:AD24)</f>
        <v>0</v>
      </c>
      <c r="AL24" s="18" t="str">
        <f>IF(COUNTIF($A$2:A23, A23) = 1, A23, "")</f>
        <v/>
      </c>
    </row>
    <row r="25" spans="6:38" ht="17" thickBot="1" x14ac:dyDescent="0.25">
      <c r="F25" t="str">
        <f t="shared" si="0"/>
        <v/>
      </c>
      <c r="L25" s="7" t="str">
        <f t="shared" si="1"/>
        <v/>
      </c>
      <c r="N25" s="7" t="str">
        <f t="shared" si="2"/>
        <v/>
      </c>
      <c r="O25" t="str">
        <f t="shared" si="3"/>
        <v/>
      </c>
      <c r="P25" t="str">
        <f t="shared" si="12"/>
        <v/>
      </c>
      <c r="Q25" t="str">
        <f t="shared" si="5"/>
        <v/>
      </c>
      <c r="S25" t="str">
        <f>""</f>
        <v/>
      </c>
      <c r="X25" s="79" t="s">
        <v>12</v>
      </c>
      <c r="Y25" s="83" t="s">
        <v>9</v>
      </c>
      <c r="Z25" s="81" t="s">
        <v>84</v>
      </c>
      <c r="AA25" s="82" t="s">
        <v>39</v>
      </c>
      <c r="AC25" s="21" t="str" cm="1">
        <f t="array" ref="AC25">IFERROR(INDEX($AL$2:$AL$300, MATCH(0, COUNTIF($AC$2:AC24, $AL$2:$AL$300) + IF($AL$2:$AL$300="", 1, 0), 0)), "")</f>
        <v/>
      </c>
      <c r="AD25" s="22">
        <f t="shared" si="8"/>
        <v>0</v>
      </c>
      <c r="AE25" s="23">
        <f>SUM(AD$3:AD25)</f>
        <v>0</v>
      </c>
      <c r="AL25" s="18" t="str">
        <f>IF(COUNTIF($A$2:A24, A24) = 1, A24, "")</f>
        <v/>
      </c>
    </row>
    <row r="26" spans="6:38" x14ac:dyDescent="0.2">
      <c r="F26" t="str">
        <f t="shared" si="0"/>
        <v/>
      </c>
      <c r="L26" s="7" t="str">
        <f t="shared" si="1"/>
        <v/>
      </c>
      <c r="N26" s="7" t="str">
        <f t="shared" si="2"/>
        <v/>
      </c>
      <c r="O26" t="str">
        <f t="shared" si="3"/>
        <v/>
      </c>
      <c r="P26" t="str">
        <f t="shared" si="12"/>
        <v/>
      </c>
      <c r="Q26" t="str">
        <f t="shared" si="5"/>
        <v/>
      </c>
      <c r="S26" t="str">
        <f>""</f>
        <v/>
      </c>
      <c r="X26" s="47" t="s">
        <v>32</v>
      </c>
      <c r="Y26" s="45">
        <f>SUMIFS(N:N, E:E, "&lt;-150")</f>
        <v>0</v>
      </c>
      <c r="Z26" s="40">
        <f>COUNTIFS(E:E, "&lt; -150")</f>
        <v>0</v>
      </c>
      <c r="AA26" s="41">
        <f>IFERROR(COUNTIFS(E:E, "&lt; -150")/COUNTA($E$2:$E$993),0)</f>
        <v>0</v>
      </c>
      <c r="AC26" s="59"/>
      <c r="AD26" s="7"/>
      <c r="AE26" s="7"/>
      <c r="AL26" s="18" t="str">
        <f>IF(COUNTIF($A$2:A25, A25) = 1, A25, "")</f>
        <v/>
      </c>
    </row>
    <row r="27" spans="6:38" x14ac:dyDescent="0.2">
      <c r="F27" t="str">
        <f t="shared" si="0"/>
        <v/>
      </c>
      <c r="L27" s="7" t="str">
        <f t="shared" si="1"/>
        <v/>
      </c>
      <c r="N27" s="7" t="str">
        <f t="shared" si="2"/>
        <v/>
      </c>
      <c r="O27" t="str">
        <f t="shared" si="3"/>
        <v/>
      </c>
      <c r="P27" t="str">
        <f t="shared" si="12"/>
        <v/>
      </c>
      <c r="Q27" t="str">
        <f t="shared" si="5"/>
        <v/>
      </c>
      <c r="S27" t="str">
        <f>""</f>
        <v/>
      </c>
      <c r="X27" s="48" t="s">
        <v>33</v>
      </c>
      <c r="Y27" s="45">
        <f>SUMIFS(N:N, E:E, "&gt;=-150", E:E, "&lt;100")</f>
        <v>0</v>
      </c>
      <c r="Z27" s="34">
        <f>COUNTIFS(E:E, "&lt; 100", E:E, "&gt;=-150")</f>
        <v>0</v>
      </c>
      <c r="AA27" s="38">
        <f>IFERROR(COUNTIFS(E:E, "&lt; 100", E:E, "&gt;=-150")/COUNTA($E$2:$E$6993),0)</f>
        <v>0</v>
      </c>
      <c r="AC27" s="59"/>
      <c r="AD27" s="7"/>
      <c r="AE27" s="7"/>
      <c r="AL27" s="18" t="str">
        <f>IF(COUNTIF($A$2:A26, A26) = 1, A26, "")</f>
        <v/>
      </c>
    </row>
    <row r="28" spans="6:38" x14ac:dyDescent="0.2">
      <c r="F28" t="str">
        <f t="shared" si="0"/>
        <v/>
      </c>
      <c r="L28" s="7" t="str">
        <f t="shared" si="1"/>
        <v/>
      </c>
      <c r="N28" s="7" t="str">
        <f t="shared" si="2"/>
        <v/>
      </c>
      <c r="O28" t="str">
        <f t="shared" si="3"/>
        <v/>
      </c>
      <c r="P28" t="str">
        <f t="shared" si="12"/>
        <v/>
      </c>
      <c r="Q28" t="str">
        <f t="shared" si="5"/>
        <v/>
      </c>
      <c r="S28" t="str">
        <f>""</f>
        <v/>
      </c>
      <c r="X28" s="48" t="s">
        <v>34</v>
      </c>
      <c r="Y28" s="45">
        <f>SUMIFS(N:N, E:E, "&gt;=100", E:E, "&lt;125")</f>
        <v>0</v>
      </c>
      <c r="Z28" s="34">
        <f>COUNTIFS(E:E, "&lt; 125", E:E, "&gt;=100")</f>
        <v>0</v>
      </c>
      <c r="AA28" s="38">
        <f>IFERROR(COUNTIFS(E:E, "&lt; 125", E:E, "&gt;=100")/COUNTA($E$2:$E$6993),0)</f>
        <v>0</v>
      </c>
      <c r="AC28" s="59"/>
      <c r="AD28" s="7"/>
      <c r="AE28" s="7"/>
      <c r="AL28" s="18" t="str">
        <f>IF(COUNTIF($A$2:A27, A27) = 1, A27, "")</f>
        <v/>
      </c>
    </row>
    <row r="29" spans="6:38" x14ac:dyDescent="0.2">
      <c r="F29" t="str">
        <f t="shared" si="0"/>
        <v/>
      </c>
      <c r="L29" s="7" t="str">
        <f t="shared" si="1"/>
        <v/>
      </c>
      <c r="N29" s="7" t="str">
        <f t="shared" si="2"/>
        <v/>
      </c>
      <c r="O29" t="str">
        <f t="shared" si="3"/>
        <v/>
      </c>
      <c r="P29" t="str">
        <f t="shared" si="12"/>
        <v/>
      </c>
      <c r="Q29" t="str">
        <f t="shared" si="5"/>
        <v/>
      </c>
      <c r="S29" t="str">
        <f>""</f>
        <v/>
      </c>
      <c r="X29" s="47" t="s">
        <v>35</v>
      </c>
      <c r="Y29" s="45">
        <f>SUMIFS(N:N, E:E, "&gt;=125", E:E, "&lt;150")</f>
        <v>0</v>
      </c>
      <c r="Z29" s="40">
        <f>COUNTIFS(E:E, "&lt; 150", E:E, "&gt;=125")</f>
        <v>0</v>
      </c>
      <c r="AA29" s="41">
        <f>IFERROR(COUNTIFS(E:E, "&lt; 150", E:E, "&gt;=125")/COUNTA($E$2:$E$6993),0)</f>
        <v>0</v>
      </c>
      <c r="AC29" s="59"/>
      <c r="AD29" s="7"/>
      <c r="AE29" s="7"/>
      <c r="AL29" s="18" t="str">
        <f>IF(COUNTIF($A$2:A28, A28) = 1, A28, "")</f>
        <v/>
      </c>
    </row>
    <row r="30" spans="6:38" x14ac:dyDescent="0.2">
      <c r="F30" t="str">
        <f t="shared" si="0"/>
        <v/>
      </c>
      <c r="L30" s="7" t="str">
        <f t="shared" si="1"/>
        <v/>
      </c>
      <c r="N30" s="7" t="str">
        <f t="shared" si="2"/>
        <v/>
      </c>
      <c r="O30" t="str">
        <f t="shared" si="3"/>
        <v/>
      </c>
      <c r="P30" t="str">
        <f t="shared" si="12"/>
        <v/>
      </c>
      <c r="Q30" t="str">
        <f t="shared" si="5"/>
        <v/>
      </c>
      <c r="S30" t="str">
        <f>""</f>
        <v/>
      </c>
      <c r="X30" s="48" t="s">
        <v>36</v>
      </c>
      <c r="Y30" s="45">
        <f>SUMIFS(N:N, E:E, "&gt;=150", E:E, "&lt;200")</f>
        <v>0</v>
      </c>
      <c r="Z30" s="34">
        <f>COUNTIFS(E:E, "&lt; 200", E:E, "&gt;=150")</f>
        <v>0</v>
      </c>
      <c r="AA30" s="38">
        <f>IFERROR(COUNTIFS(E:E, "&lt; 200", E:E, "&gt;=150")/COUNTA($E$2:$E$6993),0)</f>
        <v>0</v>
      </c>
      <c r="AC30" s="59"/>
      <c r="AD30" s="7"/>
      <c r="AE30" s="7"/>
      <c r="AL30" s="18" t="str">
        <f>IF(COUNTIF($A$2:A29, A29) = 1, A29, "")</f>
        <v/>
      </c>
    </row>
    <row r="31" spans="6:38" ht="17" thickBot="1" x14ac:dyDescent="0.25">
      <c r="F31" t="str">
        <f t="shared" si="0"/>
        <v/>
      </c>
      <c r="L31" s="7" t="str">
        <f t="shared" si="1"/>
        <v/>
      </c>
      <c r="N31" s="7" t="str">
        <f t="shared" si="2"/>
        <v/>
      </c>
      <c r="O31" t="str">
        <f t="shared" si="3"/>
        <v/>
      </c>
      <c r="P31" t="str">
        <f t="shared" si="12"/>
        <v/>
      </c>
      <c r="Q31" t="str">
        <f t="shared" si="5"/>
        <v/>
      </c>
      <c r="S31" t="str">
        <f>""</f>
        <v/>
      </c>
      <c r="X31" s="49" t="s">
        <v>37</v>
      </c>
      <c r="Y31" s="44">
        <f>SUMIFS(N:N, E:E, "&gt;=200")</f>
        <v>0</v>
      </c>
      <c r="Z31" s="35">
        <f>COUNTIFS(E:E, "&gt;=200")</f>
        <v>0</v>
      </c>
      <c r="AA31" s="39">
        <f>IFERROR(COUNTIFS(E:E, "&gt;=200")/COUNTA($E$2:$E$69993),0)</f>
        <v>0</v>
      </c>
      <c r="AC31" s="59"/>
      <c r="AD31" s="7"/>
      <c r="AE31" s="7"/>
      <c r="AL31" s="18" t="str">
        <f>IF(COUNTIF($A$2:A30, A30) = 1, A30, "")</f>
        <v/>
      </c>
    </row>
    <row r="32" spans="6:38" ht="17" thickBot="1" x14ac:dyDescent="0.25">
      <c r="F32" t="str">
        <f t="shared" si="0"/>
        <v/>
      </c>
      <c r="L32" s="7" t="str">
        <f t="shared" si="1"/>
        <v/>
      </c>
      <c r="N32" s="7" t="str">
        <f t="shared" si="2"/>
        <v/>
      </c>
      <c r="O32" t="str">
        <f t="shared" si="3"/>
        <v/>
      </c>
      <c r="P32" t="str">
        <f t="shared" si="12"/>
        <v/>
      </c>
      <c r="Q32" t="str">
        <f t="shared" si="5"/>
        <v/>
      </c>
      <c r="S32" t="str">
        <f>""</f>
        <v/>
      </c>
      <c r="Y32" s="60"/>
      <c r="AC32" s="59"/>
      <c r="AD32" s="7"/>
      <c r="AE32" s="7"/>
      <c r="AL32" s="18" t="str">
        <f>IF(COUNTIF($A$2:A31, A31) = 1, A31, "")</f>
        <v/>
      </c>
    </row>
    <row r="33" spans="6:38" ht="17" thickBot="1" x14ac:dyDescent="0.25">
      <c r="F33" t="str">
        <f t="shared" si="0"/>
        <v/>
      </c>
      <c r="L33" s="7" t="str">
        <f t="shared" si="1"/>
        <v/>
      </c>
      <c r="N33" s="7" t="str">
        <f t="shared" si="2"/>
        <v/>
      </c>
      <c r="O33" t="str">
        <f t="shared" si="3"/>
        <v/>
      </c>
      <c r="P33" t="str">
        <f t="shared" si="12"/>
        <v/>
      </c>
      <c r="Q33" t="str">
        <f t="shared" si="5"/>
        <v/>
      </c>
      <c r="S33" t="str">
        <f>""</f>
        <v/>
      </c>
      <c r="X33" s="79" t="s">
        <v>3</v>
      </c>
      <c r="Y33" s="83" t="s">
        <v>9</v>
      </c>
      <c r="Z33" s="81" t="s">
        <v>84</v>
      </c>
      <c r="AA33" s="82" t="s">
        <v>39</v>
      </c>
      <c r="AC33" s="59"/>
      <c r="AD33" s="7"/>
      <c r="AE33" s="7"/>
      <c r="AL33" s="18" t="str">
        <f>IF(COUNTIF($A$2:A32, A32) = 1, A32, "")</f>
        <v/>
      </c>
    </row>
    <row r="34" spans="6:38" x14ac:dyDescent="0.2">
      <c r="F34" t="str">
        <f t="shared" si="0"/>
        <v/>
      </c>
      <c r="L34" s="7" t="str">
        <f t="shared" si="1"/>
        <v/>
      </c>
      <c r="N34" s="7" t="str">
        <f t="shared" si="2"/>
        <v/>
      </c>
      <c r="O34" t="str">
        <f t="shared" si="3"/>
        <v/>
      </c>
      <c r="P34" t="str">
        <f t="shared" si="12"/>
        <v/>
      </c>
      <c r="Q34" t="str">
        <f t="shared" si="5"/>
        <v/>
      </c>
      <c r="S34" t="str">
        <f>""</f>
        <v/>
      </c>
      <c r="X34" s="47">
        <v>1</v>
      </c>
      <c r="Y34" s="45">
        <f>SUMIFS(N:N, F:F, X34)</f>
        <v>0</v>
      </c>
      <c r="Z34" s="40">
        <f>COUNTIF(F:F,X34)</f>
        <v>0</v>
      </c>
      <c r="AA34" s="41">
        <f>IFERROR(COUNTIFS(F:F, X34)/COUNTA($E$2:$E$993),0)</f>
        <v>0</v>
      </c>
      <c r="AC34" s="59"/>
      <c r="AD34" s="7"/>
      <c r="AE34" s="7"/>
      <c r="AL34" s="18" t="str">
        <f>IF(COUNTIF($A$2:A33, A33) = 1, A33, "")</f>
        <v/>
      </c>
    </row>
    <row r="35" spans="6:38" x14ac:dyDescent="0.2">
      <c r="F35" t="str">
        <f t="shared" si="0"/>
        <v/>
      </c>
      <c r="L35" s="7" t="str">
        <f t="shared" si="1"/>
        <v/>
      </c>
      <c r="N35" s="7" t="str">
        <f t="shared" si="2"/>
        <v/>
      </c>
      <c r="O35" t="str">
        <f t="shared" si="3"/>
        <v/>
      </c>
      <c r="P35" t="str">
        <f t="shared" si="12"/>
        <v/>
      </c>
      <c r="Q35" t="str">
        <f t="shared" si="5"/>
        <v/>
      </c>
      <c r="S35" t="str">
        <f>""</f>
        <v/>
      </c>
      <c r="X35" s="48">
        <v>2</v>
      </c>
      <c r="Y35" s="45">
        <f>SUMIFS(N:N, F:F, X35)</f>
        <v>0</v>
      </c>
      <c r="Z35" s="34">
        <f>COUNTIF(F:F,X35)</f>
        <v>0</v>
      </c>
      <c r="AA35" s="41">
        <f>IFERROR(COUNTIFS(F:F, X35)/COUNTA($E$2:$E$993),0)</f>
        <v>0</v>
      </c>
      <c r="AC35" s="59"/>
      <c r="AD35" s="7"/>
      <c r="AE35" s="7"/>
      <c r="AL35" s="18" t="str">
        <f>IF(COUNTIF($A$2:A34, A34) = 1, A34, "")</f>
        <v/>
      </c>
    </row>
    <row r="36" spans="6:38" x14ac:dyDescent="0.2">
      <c r="F36" t="str">
        <f t="shared" si="0"/>
        <v/>
      </c>
      <c r="L36" s="7" t="str">
        <f t="shared" si="1"/>
        <v/>
      </c>
      <c r="N36" s="7" t="str">
        <f t="shared" si="2"/>
        <v/>
      </c>
      <c r="O36" t="str">
        <f t="shared" si="3"/>
        <v/>
      </c>
      <c r="P36" t="str">
        <f t="shared" si="12"/>
        <v/>
      </c>
      <c r="Q36" t="str">
        <f t="shared" si="5"/>
        <v/>
      </c>
      <c r="S36" t="str">
        <f>""</f>
        <v/>
      </c>
      <c r="X36" s="48">
        <v>3</v>
      </c>
      <c r="Y36" s="45">
        <f>SUMIFS(N:N, F:F, X36)</f>
        <v>0</v>
      </c>
      <c r="Z36" s="34">
        <f>COUNTIF(F:F,X36)</f>
        <v>0</v>
      </c>
      <c r="AA36" s="41">
        <f>IFERROR(COUNTIFS(F:F, X36)/COUNTA($E$2:$E$993),0)</f>
        <v>0</v>
      </c>
      <c r="AD36" s="7"/>
      <c r="AE36" s="7"/>
      <c r="AL36" s="18" t="str">
        <f>IF(COUNTIF($A$2:A35, A35) = 1, A35, "")</f>
        <v/>
      </c>
    </row>
    <row r="37" spans="6:38" x14ac:dyDescent="0.2">
      <c r="F37" t="str">
        <f t="shared" si="0"/>
        <v/>
      </c>
      <c r="L37" s="7" t="str">
        <f t="shared" si="1"/>
        <v/>
      </c>
      <c r="N37" s="7" t="str">
        <f t="shared" si="2"/>
        <v/>
      </c>
      <c r="O37" t="str">
        <f t="shared" si="3"/>
        <v/>
      </c>
      <c r="P37" t="str">
        <f t="shared" si="12"/>
        <v/>
      </c>
      <c r="Q37" t="str">
        <f t="shared" si="5"/>
        <v/>
      </c>
      <c r="S37" t="str">
        <f>""</f>
        <v/>
      </c>
      <c r="X37" s="47">
        <v>4</v>
      </c>
      <c r="Y37" s="45">
        <f>SUMIFS(N:N, F:F, X37)</f>
        <v>0</v>
      </c>
      <c r="Z37" s="34">
        <f>COUNTIF(F:F,X37)</f>
        <v>0</v>
      </c>
      <c r="AA37" s="41">
        <f>IFERROR(COUNTIFS(F:F, X37)/COUNTA($E$2:$E$993),0)</f>
        <v>0</v>
      </c>
      <c r="AD37" s="7"/>
      <c r="AE37" s="7"/>
      <c r="AL37" s="18" t="str">
        <f>IF(COUNTIF($A$2:A36, A36) = 1, A36, "")</f>
        <v/>
      </c>
    </row>
    <row r="38" spans="6:38" ht="17" thickBot="1" x14ac:dyDescent="0.25">
      <c r="F38" t="str">
        <f t="shared" si="0"/>
        <v/>
      </c>
      <c r="L38" s="7" t="str">
        <f t="shared" si="1"/>
        <v/>
      </c>
      <c r="N38" s="7" t="str">
        <f t="shared" si="2"/>
        <v/>
      </c>
      <c r="O38" t="str">
        <f t="shared" si="3"/>
        <v/>
      </c>
      <c r="P38" t="str">
        <f t="shared" si="12"/>
        <v/>
      </c>
      <c r="Q38" t="str">
        <f t="shared" si="5"/>
        <v/>
      </c>
      <c r="S38" t="str">
        <f>""</f>
        <v/>
      </c>
      <c r="X38" s="49" t="s">
        <v>88</v>
      </c>
      <c r="Y38" s="44">
        <f>SUMIFS(N:N, F:F, "&gt;4")</f>
        <v>0</v>
      </c>
      <c r="Z38" s="35">
        <f>COUNTIF(F:F,"&gt;4")</f>
        <v>0</v>
      </c>
      <c r="AA38" s="52">
        <f>IFERROR(COUNTIFS(F:F, X38)/COUNTA($E$2:$E$993),0)</f>
        <v>0</v>
      </c>
      <c r="AD38" s="7"/>
      <c r="AE38" s="7"/>
      <c r="AL38" s="18" t="str">
        <f>IF(COUNTIF($A$2:A37, A37) = 1, A37, "")</f>
        <v/>
      </c>
    </row>
    <row r="39" spans="6:38" ht="17" thickBot="1" x14ac:dyDescent="0.25">
      <c r="F39" t="str">
        <f t="shared" si="0"/>
        <v/>
      </c>
      <c r="L39" s="7" t="str">
        <f t="shared" si="1"/>
        <v/>
      </c>
      <c r="N39" s="7" t="str">
        <f t="shared" si="2"/>
        <v/>
      </c>
      <c r="O39" t="str">
        <f t="shared" si="3"/>
        <v/>
      </c>
      <c r="P39" t="str">
        <f t="shared" si="12"/>
        <v/>
      </c>
      <c r="Q39" t="str">
        <f t="shared" si="5"/>
        <v/>
      </c>
      <c r="S39" t="str">
        <f>""</f>
        <v/>
      </c>
      <c r="Y39" s="60"/>
      <c r="AD39" s="7"/>
      <c r="AE39" s="7"/>
      <c r="AL39" s="18" t="str">
        <f>IF(COUNTIF($A$2:A38, A38) = 1, A38, "")</f>
        <v/>
      </c>
    </row>
    <row r="40" spans="6:38" ht="17" thickBot="1" x14ac:dyDescent="0.25">
      <c r="F40" t="str">
        <f t="shared" si="0"/>
        <v/>
      </c>
      <c r="L40" s="7" t="str">
        <f t="shared" si="1"/>
        <v/>
      </c>
      <c r="N40" s="7" t="str">
        <f t="shared" si="2"/>
        <v/>
      </c>
      <c r="O40" t="str">
        <f t="shared" si="3"/>
        <v/>
      </c>
      <c r="P40" t="str">
        <f t="shared" si="12"/>
        <v/>
      </c>
      <c r="Q40" t="str">
        <f t="shared" si="5"/>
        <v/>
      </c>
      <c r="S40" t="str">
        <f>""</f>
        <v/>
      </c>
      <c r="X40" s="79" t="s">
        <v>38</v>
      </c>
      <c r="Y40" s="83" t="s">
        <v>9</v>
      </c>
      <c r="Z40" s="81" t="s">
        <v>84</v>
      </c>
      <c r="AA40" s="82" t="s">
        <v>39</v>
      </c>
      <c r="AD40" s="7"/>
      <c r="AE40" s="7"/>
      <c r="AL40" s="18" t="str">
        <f>IF(COUNTIF($A$2:A39, A39) = 1, A39, "")</f>
        <v/>
      </c>
    </row>
    <row r="41" spans="6:38" x14ac:dyDescent="0.2">
      <c r="F41" t="str">
        <f t="shared" si="0"/>
        <v/>
      </c>
      <c r="L41" s="7" t="str">
        <f t="shared" si="1"/>
        <v/>
      </c>
      <c r="N41" s="7" t="str">
        <f t="shared" si="2"/>
        <v/>
      </c>
      <c r="O41" t="str">
        <f t="shared" si="3"/>
        <v/>
      </c>
      <c r="P41" t="str">
        <f t="shared" si="12"/>
        <v/>
      </c>
      <c r="Q41" t="str">
        <f t="shared" si="5"/>
        <v/>
      </c>
      <c r="S41" t="str">
        <f>""</f>
        <v/>
      </c>
      <c r="X41" s="47" t="s">
        <v>4</v>
      </c>
      <c r="Y41" s="45">
        <f>SUMIFS(N:N,G:G, "Yes")</f>
        <v>0</v>
      </c>
      <c r="Z41" s="40">
        <f>COUNTIF(G:G,"Yes")</f>
        <v>0</v>
      </c>
      <c r="AA41" s="41">
        <f>IFERROR(COUNTIFS(G:G, "Yes")/COUNTA($G$2:$G$994),0)</f>
        <v>0</v>
      </c>
      <c r="AD41" s="7"/>
      <c r="AE41" s="7"/>
      <c r="AL41" s="18" t="str">
        <f>IF(COUNTIF($A$2:A40, A40) = 1, A40, "")</f>
        <v/>
      </c>
    </row>
    <row r="42" spans="6:38" x14ac:dyDescent="0.2">
      <c r="F42" t="str">
        <f t="shared" si="0"/>
        <v/>
      </c>
      <c r="L42" s="7" t="str">
        <f t="shared" si="1"/>
        <v/>
      </c>
      <c r="N42" s="7" t="str">
        <f t="shared" si="2"/>
        <v/>
      </c>
      <c r="O42" t="str">
        <f t="shared" si="3"/>
        <v/>
      </c>
      <c r="P42" t="str">
        <f t="shared" si="12"/>
        <v/>
      </c>
      <c r="Q42" t="str">
        <f t="shared" si="5"/>
        <v/>
      </c>
      <c r="S42" t="str">
        <f>""</f>
        <v/>
      </c>
      <c r="X42" s="48" t="s">
        <v>5</v>
      </c>
      <c r="Y42" s="45">
        <f>SUMIFS(N:N,H:H, "Yes")</f>
        <v>0</v>
      </c>
      <c r="Z42" s="34">
        <f>COUNTIF(H:H,"Yes")</f>
        <v>0</v>
      </c>
      <c r="AA42" s="38">
        <f>IFERROR(COUNTIFS(H:H, "Yes")/COUNTA($G$2:$G$994),0)</f>
        <v>0</v>
      </c>
      <c r="AD42" s="7"/>
      <c r="AE42" s="7"/>
      <c r="AL42" s="18" t="str">
        <f>IF(COUNTIF($A$2:A41, A41) = 1, A41, "")</f>
        <v/>
      </c>
    </row>
    <row r="43" spans="6:38" ht="17" thickBot="1" x14ac:dyDescent="0.25">
      <c r="F43" t="str">
        <f t="shared" si="0"/>
        <v/>
      </c>
      <c r="L43" s="7" t="str">
        <f t="shared" si="1"/>
        <v/>
      </c>
      <c r="N43" s="7" t="str">
        <f t="shared" si="2"/>
        <v/>
      </c>
      <c r="O43" t="str">
        <f t="shared" si="3"/>
        <v/>
      </c>
      <c r="P43" t="str">
        <f t="shared" si="12"/>
        <v/>
      </c>
      <c r="Q43" t="str">
        <f t="shared" si="5"/>
        <v/>
      </c>
      <c r="S43" t="str">
        <f>""</f>
        <v/>
      </c>
      <c r="X43" s="50" t="s">
        <v>6</v>
      </c>
      <c r="Y43" s="45">
        <f>SUMIFS(N:N,I:I, "Yes")</f>
        <v>0</v>
      </c>
      <c r="Z43" s="42">
        <f>COUNTIF(I:I,"Yes")</f>
        <v>0</v>
      </c>
      <c r="AA43" s="39">
        <f>IFERROR(COUNTIFS(I:I, "Yes")/COUNTA($G$2:$G$994),0)</f>
        <v>0</v>
      </c>
      <c r="AD43" s="7"/>
      <c r="AE43" s="7"/>
      <c r="AL43" s="18" t="str">
        <f>IF(COUNTIF($A$2:A42, A42) = 1, A42, "")</f>
        <v/>
      </c>
    </row>
    <row r="44" spans="6:38" ht="17" thickBot="1" x14ac:dyDescent="0.25">
      <c r="F44" t="str">
        <f t="shared" si="0"/>
        <v/>
      </c>
      <c r="L44" s="7" t="str">
        <f t="shared" si="1"/>
        <v/>
      </c>
      <c r="N44" s="7" t="str">
        <f t="shared" si="2"/>
        <v/>
      </c>
      <c r="O44" t="str">
        <f t="shared" si="3"/>
        <v/>
      </c>
      <c r="P44" t="str">
        <f t="shared" si="12"/>
        <v/>
      </c>
      <c r="Q44" t="str">
        <f t="shared" si="5"/>
        <v/>
      </c>
      <c r="S44" t="str">
        <f>""</f>
        <v/>
      </c>
      <c r="Y44" s="60"/>
      <c r="AD44" s="7"/>
      <c r="AE44" s="7"/>
      <c r="AL44" s="18" t="str">
        <f>IF(COUNTIF($A$2:A43, A43) = 1, A43, "")</f>
        <v/>
      </c>
    </row>
    <row r="45" spans="6:38" ht="17" thickBot="1" x14ac:dyDescent="0.25">
      <c r="F45" t="str">
        <f t="shared" si="0"/>
        <v/>
      </c>
      <c r="L45" s="7" t="str">
        <f t="shared" si="1"/>
        <v/>
      </c>
      <c r="N45" s="7" t="str">
        <f t="shared" si="2"/>
        <v/>
      </c>
      <c r="O45" t="str">
        <f t="shared" si="3"/>
        <v/>
      </c>
      <c r="P45" t="str">
        <f t="shared" si="12"/>
        <v/>
      </c>
      <c r="Q45" t="str">
        <f t="shared" si="5"/>
        <v/>
      </c>
      <c r="S45" t="str">
        <f>""</f>
        <v/>
      </c>
      <c r="X45" s="79" t="s">
        <v>74</v>
      </c>
      <c r="Y45" s="83" t="s">
        <v>9</v>
      </c>
      <c r="Z45" s="81" t="s">
        <v>84</v>
      </c>
      <c r="AA45" s="82" t="s">
        <v>39</v>
      </c>
      <c r="AD45" s="7"/>
      <c r="AE45" s="7"/>
      <c r="AL45" s="18" t="str">
        <f>IF(COUNTIF($A$2:A44, A44) = 1, A44, "")</f>
        <v/>
      </c>
    </row>
    <row r="46" spans="6:38" x14ac:dyDescent="0.2">
      <c r="F46" t="str">
        <f t="shared" si="0"/>
        <v/>
      </c>
      <c r="L46" s="7" t="str">
        <f t="shared" si="1"/>
        <v/>
      </c>
      <c r="N46" s="7" t="str">
        <f t="shared" si="2"/>
        <v/>
      </c>
      <c r="O46" t="str">
        <f t="shared" si="3"/>
        <v/>
      </c>
      <c r="P46" t="str">
        <f t="shared" si="12"/>
        <v/>
      </c>
      <c r="Q46" t="str">
        <f t="shared" si="5"/>
        <v/>
      </c>
      <c r="S46" t="str">
        <f>""</f>
        <v/>
      </c>
      <c r="X46" s="47" t="s">
        <v>75</v>
      </c>
      <c r="Y46" s="45">
        <f>SUMIFS(N:N,J:J,"No")</f>
        <v>0</v>
      </c>
      <c r="Z46" s="40">
        <f>COUNTIF(J:J,"No")</f>
        <v>0</v>
      </c>
      <c r="AA46" s="46">
        <f>IFERROR(COUNTIFS($J$2:$J$1048576, "No")/COUNTA($G$2:$G$994), 0)</f>
        <v>0</v>
      </c>
      <c r="AD46" s="7"/>
      <c r="AE46" s="7"/>
      <c r="AL46" s="18" t="str">
        <f>IF(COUNTIF($A$2:A45, A45) = 1, A45, "")</f>
        <v/>
      </c>
    </row>
    <row r="47" spans="6:38" ht="17" thickBot="1" x14ac:dyDescent="0.25">
      <c r="F47" t="str">
        <f t="shared" si="0"/>
        <v/>
      </c>
      <c r="L47" s="7" t="str">
        <f t="shared" si="1"/>
        <v/>
      </c>
      <c r="N47" s="7" t="str">
        <f t="shared" si="2"/>
        <v/>
      </c>
      <c r="O47" t="str">
        <f t="shared" si="3"/>
        <v/>
      </c>
      <c r="P47" t="str">
        <f t="shared" si="12"/>
        <v/>
      </c>
      <c r="Q47" t="str">
        <f t="shared" si="5"/>
        <v/>
      </c>
      <c r="S47" t="str">
        <f>""</f>
        <v/>
      </c>
      <c r="X47" s="49" t="s">
        <v>69</v>
      </c>
      <c r="Y47" s="44">
        <f>SUMIFS(N:N,J:J,"Yes")</f>
        <v>0</v>
      </c>
      <c r="Z47" s="35">
        <f>COUNTIF(J:J,"Yes")</f>
        <v>0</v>
      </c>
      <c r="AA47" s="53">
        <f>IFERROR(COUNTIFS($J$2:$J$1048576, "Yes")/COUNTA($G$2:$G$994), 0)</f>
        <v>0</v>
      </c>
      <c r="AD47" s="7"/>
      <c r="AE47" s="7"/>
      <c r="AL47" s="18" t="str">
        <f>IF(COUNTIF($A$2:A46, A46) = 1, A46, "")</f>
        <v/>
      </c>
    </row>
    <row r="48" spans="6:38" ht="17" thickBot="1" x14ac:dyDescent="0.25">
      <c r="F48" t="str">
        <f t="shared" si="0"/>
        <v/>
      </c>
      <c r="L48" s="7" t="str">
        <f t="shared" si="1"/>
        <v/>
      </c>
      <c r="N48" s="7" t="str">
        <f t="shared" si="2"/>
        <v/>
      </c>
      <c r="O48" t="str">
        <f t="shared" si="3"/>
        <v/>
      </c>
      <c r="P48" t="str">
        <f t="shared" si="12"/>
        <v/>
      </c>
      <c r="Q48" t="str">
        <f t="shared" si="5"/>
        <v/>
      </c>
      <c r="S48" t="str">
        <f>""</f>
        <v/>
      </c>
      <c r="AD48" s="7"/>
      <c r="AE48" s="7"/>
      <c r="AL48" s="18" t="str">
        <f>IF(COUNTIF($A$2:A47, A47) = 1, A47, "")</f>
        <v/>
      </c>
    </row>
    <row r="49" spans="6:38" ht="17" thickBot="1" x14ac:dyDescent="0.25">
      <c r="F49" t="str">
        <f t="shared" si="0"/>
        <v/>
      </c>
      <c r="L49" s="7" t="str">
        <f t="shared" si="1"/>
        <v/>
      </c>
      <c r="N49" s="7" t="str">
        <f t="shared" si="2"/>
        <v/>
      </c>
      <c r="O49" t="str">
        <f t="shared" si="3"/>
        <v/>
      </c>
      <c r="P49" t="str">
        <f t="shared" si="12"/>
        <v/>
      </c>
      <c r="Q49" t="str">
        <f t="shared" si="5"/>
        <v/>
      </c>
      <c r="S49" t="str">
        <f>""</f>
        <v/>
      </c>
      <c r="X49" s="92" t="s">
        <v>89</v>
      </c>
      <c r="Y49" s="83" t="s">
        <v>9</v>
      </c>
      <c r="Z49" s="81" t="s">
        <v>84</v>
      </c>
      <c r="AA49" s="82" t="s">
        <v>39</v>
      </c>
      <c r="AD49" s="7"/>
      <c r="AE49" s="7"/>
      <c r="AL49" s="18" t="str">
        <f>IF(COUNTIF($A$2:A48, A48) = 1, A48, "")</f>
        <v/>
      </c>
    </row>
    <row r="50" spans="6:38" x14ac:dyDescent="0.2">
      <c r="F50" t="str">
        <f t="shared" si="0"/>
        <v/>
      </c>
      <c r="L50" s="7" t="str">
        <f t="shared" si="1"/>
        <v/>
      </c>
      <c r="N50" s="7" t="str">
        <f t="shared" si="2"/>
        <v/>
      </c>
      <c r="O50" t="str">
        <f t="shared" si="3"/>
        <v/>
      </c>
      <c r="P50" t="str">
        <f t="shared" si="12"/>
        <v/>
      </c>
      <c r="Q50" t="str">
        <f t="shared" si="5"/>
        <v/>
      </c>
      <c r="S50" t="str">
        <f>""</f>
        <v/>
      </c>
      <c r="X50" s="48" t="str">
        <f>Master!F50</f>
        <v>Source 1</v>
      </c>
      <c r="Y50" s="62">
        <f>SUMIFS(N:N,R:R,X50)</f>
        <v>0</v>
      </c>
      <c r="Z50" s="63">
        <f t="shared" ref="Z50:Z58" si="13">COUNTIF(R:R,X50)</f>
        <v>0</v>
      </c>
      <c r="AA50" s="54">
        <f>IFERROR(COUNTIFS(R:R, X50)/COUNTA($R$2:$R$994), 0)</f>
        <v>0</v>
      </c>
      <c r="AD50" s="7"/>
      <c r="AE50" s="7"/>
      <c r="AL50" s="18" t="str">
        <f>IF(COUNTIF($A$2:A49, A49) = 1, A49, "")</f>
        <v/>
      </c>
    </row>
    <row r="51" spans="6:38" x14ac:dyDescent="0.2">
      <c r="F51" t="str">
        <f t="shared" si="0"/>
        <v/>
      </c>
      <c r="L51" s="7" t="str">
        <f t="shared" si="1"/>
        <v/>
      </c>
      <c r="N51" s="7" t="str">
        <f t="shared" si="2"/>
        <v/>
      </c>
      <c r="O51" t="str">
        <f t="shared" si="3"/>
        <v/>
      </c>
      <c r="P51" t="str">
        <f t="shared" si="12"/>
        <v/>
      </c>
      <c r="Q51" t="str">
        <f t="shared" si="5"/>
        <v/>
      </c>
      <c r="S51" t="str">
        <f>""</f>
        <v/>
      </c>
      <c r="X51" s="48" t="str">
        <f>Master!F51</f>
        <v>Source 2</v>
      </c>
      <c r="Y51" s="45">
        <f t="shared" ref="Y51:Y58" si="14">SUMIFS(N:N,R:R,X51)</f>
        <v>0</v>
      </c>
      <c r="Z51" s="64">
        <f t="shared" si="13"/>
        <v>0</v>
      </c>
      <c r="AA51" s="46">
        <f t="shared" ref="AA51:AA56" si="15">IFERROR(COUNTIFS(R:R, X51)/COUNTA($R$2:$R$994), 0)</f>
        <v>0</v>
      </c>
      <c r="AD51" s="7"/>
      <c r="AE51" s="7"/>
      <c r="AL51" s="18" t="str">
        <f>IF(COUNTIF($A$2:A50, A50) = 1, A50, "")</f>
        <v/>
      </c>
    </row>
    <row r="52" spans="6:38" x14ac:dyDescent="0.2">
      <c r="F52" t="str">
        <f t="shared" si="0"/>
        <v/>
      </c>
      <c r="L52" s="7" t="str">
        <f t="shared" si="1"/>
        <v/>
      </c>
      <c r="N52" s="7" t="str">
        <f t="shared" si="2"/>
        <v/>
      </c>
      <c r="O52" t="str">
        <f t="shared" si="3"/>
        <v/>
      </c>
      <c r="P52" t="str">
        <f t="shared" si="12"/>
        <v/>
      </c>
      <c r="Q52" t="str">
        <f t="shared" si="5"/>
        <v/>
      </c>
      <c r="S52" t="str">
        <f>""</f>
        <v/>
      </c>
      <c r="X52" s="48" t="str">
        <f>Master!F52</f>
        <v>Source 3</v>
      </c>
      <c r="Y52" s="45">
        <f t="shared" si="14"/>
        <v>0</v>
      </c>
      <c r="Z52" s="64">
        <f t="shared" si="13"/>
        <v>0</v>
      </c>
      <c r="AA52" s="46">
        <f t="shared" si="15"/>
        <v>0</v>
      </c>
      <c r="AD52" s="7"/>
      <c r="AE52" s="7"/>
      <c r="AL52" s="18" t="str">
        <f>IF(COUNTIF($A$2:A51, A51) = 1, A51, "")</f>
        <v/>
      </c>
    </row>
    <row r="53" spans="6:38" x14ac:dyDescent="0.2">
      <c r="F53" t="str">
        <f t="shared" si="0"/>
        <v/>
      </c>
      <c r="L53" s="7" t="str">
        <f t="shared" si="1"/>
        <v/>
      </c>
      <c r="N53" s="7" t="str">
        <f t="shared" si="2"/>
        <v/>
      </c>
      <c r="O53" t="str">
        <f t="shared" si="3"/>
        <v/>
      </c>
      <c r="P53" t="str">
        <f t="shared" si="12"/>
        <v/>
      </c>
      <c r="Q53" t="str">
        <f t="shared" si="5"/>
        <v/>
      </c>
      <c r="S53" t="str">
        <f>""</f>
        <v/>
      </c>
      <c r="X53" s="48" t="str">
        <f>Master!F53</f>
        <v>Source 4</v>
      </c>
      <c r="Y53" s="45">
        <f t="shared" si="14"/>
        <v>0</v>
      </c>
      <c r="Z53" s="64">
        <f t="shared" si="13"/>
        <v>0</v>
      </c>
      <c r="AA53" s="46">
        <f t="shared" si="15"/>
        <v>0</v>
      </c>
      <c r="AD53" s="7"/>
      <c r="AE53" s="7"/>
      <c r="AL53" s="18" t="str">
        <f>IF(COUNTIF($A$2:A52, A52) = 1, A52, "")</f>
        <v/>
      </c>
    </row>
    <row r="54" spans="6:38" x14ac:dyDescent="0.2">
      <c r="F54" t="str">
        <f t="shared" si="0"/>
        <v/>
      </c>
      <c r="L54" s="7" t="str">
        <f t="shared" si="1"/>
        <v/>
      </c>
      <c r="N54" s="7" t="str">
        <f t="shared" si="2"/>
        <v/>
      </c>
      <c r="O54" t="str">
        <f t="shared" si="3"/>
        <v/>
      </c>
      <c r="P54" t="str">
        <f t="shared" si="12"/>
        <v/>
      </c>
      <c r="Q54" t="str">
        <f t="shared" si="5"/>
        <v/>
      </c>
      <c r="S54" t="str">
        <f>""</f>
        <v/>
      </c>
      <c r="X54" s="48" t="str">
        <f>Master!F54</f>
        <v>Source 5</v>
      </c>
      <c r="Y54" s="45">
        <f t="shared" si="14"/>
        <v>0</v>
      </c>
      <c r="Z54" s="64">
        <f t="shared" si="13"/>
        <v>0</v>
      </c>
      <c r="AA54" s="46">
        <f t="shared" si="15"/>
        <v>0</v>
      </c>
      <c r="AD54" s="7"/>
      <c r="AE54" s="7"/>
      <c r="AL54" s="18" t="str">
        <f>IF(COUNTIF($A$2:A53, A53) = 1, A53, "")</f>
        <v/>
      </c>
    </row>
    <row r="55" spans="6:38" x14ac:dyDescent="0.2">
      <c r="F55" t="str">
        <f t="shared" si="0"/>
        <v/>
      </c>
      <c r="L55" s="7" t="str">
        <f t="shared" si="1"/>
        <v/>
      </c>
      <c r="N55" s="7" t="str">
        <f t="shared" si="2"/>
        <v/>
      </c>
      <c r="O55" t="str">
        <f t="shared" si="3"/>
        <v/>
      </c>
      <c r="P55" t="str">
        <f t="shared" si="12"/>
        <v/>
      </c>
      <c r="Q55" t="str">
        <f t="shared" si="5"/>
        <v/>
      </c>
      <c r="S55" t="str">
        <f>""</f>
        <v/>
      </c>
      <c r="X55" s="48" t="str">
        <f>Master!F55</f>
        <v>Source 6</v>
      </c>
      <c r="Y55" s="45">
        <f t="shared" si="14"/>
        <v>0</v>
      </c>
      <c r="Z55" s="64">
        <f t="shared" si="13"/>
        <v>0</v>
      </c>
      <c r="AA55" s="46">
        <f>IFERROR(COUNTIFS(R:R, X55)/COUNTA($R$2:$R$994), 0)</f>
        <v>0</v>
      </c>
      <c r="AD55" s="7"/>
      <c r="AE55" s="7"/>
      <c r="AL55" s="18" t="str">
        <f>IF(COUNTIF($A$2:A54, A54) = 1, A54, "")</f>
        <v/>
      </c>
    </row>
    <row r="56" spans="6:38" x14ac:dyDescent="0.2">
      <c r="F56" t="str">
        <f t="shared" si="0"/>
        <v/>
      </c>
      <c r="L56" s="7" t="str">
        <f t="shared" si="1"/>
        <v/>
      </c>
      <c r="N56" s="7" t="str">
        <f t="shared" si="2"/>
        <v/>
      </c>
      <c r="O56" t="str">
        <f t="shared" si="3"/>
        <v/>
      </c>
      <c r="P56" t="str">
        <f t="shared" si="12"/>
        <v/>
      </c>
      <c r="Q56" t="str">
        <f t="shared" si="5"/>
        <v/>
      </c>
      <c r="S56" t="str">
        <f>""</f>
        <v/>
      </c>
      <c r="X56" s="48" t="str">
        <f>Master!F56</f>
        <v>Source 7</v>
      </c>
      <c r="Y56" s="45">
        <f t="shared" si="14"/>
        <v>0</v>
      </c>
      <c r="Z56" s="64">
        <f t="shared" si="13"/>
        <v>0</v>
      </c>
      <c r="AA56" s="46">
        <f t="shared" si="15"/>
        <v>0</v>
      </c>
      <c r="AD56" s="7"/>
      <c r="AE56" s="7"/>
      <c r="AL56" s="18" t="str">
        <f>IF(COUNTIF($A$2:A55, A55) = 1, A55, "")</f>
        <v/>
      </c>
    </row>
    <row r="57" spans="6:38" x14ac:dyDescent="0.2">
      <c r="F57" t="str">
        <f t="shared" si="0"/>
        <v/>
      </c>
      <c r="L57" s="7" t="str">
        <f t="shared" si="1"/>
        <v/>
      </c>
      <c r="N57" s="7" t="str">
        <f t="shared" si="2"/>
        <v/>
      </c>
      <c r="O57" t="str">
        <f t="shared" si="3"/>
        <v/>
      </c>
      <c r="P57" t="str">
        <f t="shared" si="12"/>
        <v/>
      </c>
      <c r="Q57" t="str">
        <f t="shared" si="5"/>
        <v/>
      </c>
      <c r="S57" t="str">
        <f>""</f>
        <v/>
      </c>
      <c r="X57" s="48" t="str">
        <f>Master!F57</f>
        <v>Source 8</v>
      </c>
      <c r="Y57" s="45">
        <f t="shared" si="14"/>
        <v>0</v>
      </c>
      <c r="Z57" s="64">
        <f t="shared" si="13"/>
        <v>0</v>
      </c>
      <c r="AA57" s="46">
        <f>IFERROR(COUNTIFS(R:R, X57)/COUNTA($R$2:$R$994), 0)</f>
        <v>0</v>
      </c>
      <c r="AD57" s="7"/>
      <c r="AE57" s="7"/>
      <c r="AL57" s="18" t="str">
        <f>IF(COUNTIF($A$2:A56, A56) = 1, A56, "")</f>
        <v/>
      </c>
    </row>
    <row r="58" spans="6:38" ht="17" thickBot="1" x14ac:dyDescent="0.25">
      <c r="F58" t="str">
        <f t="shared" si="0"/>
        <v/>
      </c>
      <c r="L58" s="7" t="str">
        <f t="shared" si="1"/>
        <v/>
      </c>
      <c r="N58" s="7" t="str">
        <f t="shared" si="2"/>
        <v/>
      </c>
      <c r="O58" t="str">
        <f t="shared" si="3"/>
        <v/>
      </c>
      <c r="P58" t="str">
        <f t="shared" si="12"/>
        <v/>
      </c>
      <c r="Q58" t="str">
        <f t="shared" si="5"/>
        <v/>
      </c>
      <c r="S58" t="str">
        <f>""</f>
        <v/>
      </c>
      <c r="X58" s="49" t="s">
        <v>90</v>
      </c>
      <c r="Y58" s="44">
        <f t="shared" si="14"/>
        <v>0</v>
      </c>
      <c r="Z58" s="65">
        <f t="shared" si="13"/>
        <v>0</v>
      </c>
      <c r="AA58" s="53">
        <f>IFERROR(COUNTIFS(R:R, X58)/COUNTA($R$2:$R$994), 0)</f>
        <v>0</v>
      </c>
      <c r="AD58" s="7"/>
      <c r="AE58" s="7"/>
      <c r="AL58" s="18" t="str">
        <f>IF(COUNTIF($A$2:A57, A57) = 1, A57, "")</f>
        <v/>
      </c>
    </row>
    <row r="59" spans="6:38" x14ac:dyDescent="0.2">
      <c r="F59" t="str">
        <f t="shared" si="0"/>
        <v/>
      </c>
      <c r="L59" s="7" t="str">
        <f t="shared" si="1"/>
        <v/>
      </c>
      <c r="N59" s="7" t="str">
        <f t="shared" si="2"/>
        <v/>
      </c>
      <c r="O59" t="str">
        <f t="shared" si="3"/>
        <v/>
      </c>
      <c r="P59" t="str">
        <f t="shared" si="12"/>
        <v/>
      </c>
      <c r="Q59" t="str">
        <f t="shared" si="5"/>
        <v/>
      </c>
      <c r="S59" t="str">
        <f>""</f>
        <v/>
      </c>
      <c r="AL59" s="18" t="str">
        <f>IF(COUNTIF($A$2:A58, A58) = 1, A58, "")</f>
        <v/>
      </c>
    </row>
    <row r="60" spans="6:38" x14ac:dyDescent="0.2">
      <c r="F60" t="str">
        <f t="shared" si="0"/>
        <v/>
      </c>
      <c r="L60" s="7" t="str">
        <f t="shared" si="1"/>
        <v/>
      </c>
      <c r="N60" s="7" t="str">
        <f t="shared" si="2"/>
        <v/>
      </c>
      <c r="O60" t="str">
        <f t="shared" si="3"/>
        <v/>
      </c>
      <c r="P60" t="str">
        <f t="shared" si="12"/>
        <v/>
      </c>
      <c r="Q60" t="str">
        <f t="shared" si="5"/>
        <v/>
      </c>
      <c r="S60" t="str">
        <f>""</f>
        <v/>
      </c>
      <c r="AL60" s="18" t="str">
        <f>IF(COUNTIF($A$2:A59, A59) = 1, A59, "")</f>
        <v/>
      </c>
    </row>
    <row r="61" spans="6:38" x14ac:dyDescent="0.2">
      <c r="F61" t="str">
        <f t="shared" si="0"/>
        <v/>
      </c>
      <c r="L61" s="7" t="str">
        <f t="shared" si="1"/>
        <v/>
      </c>
      <c r="N61" s="7" t="str">
        <f t="shared" si="2"/>
        <v/>
      </c>
      <c r="O61" t="str">
        <f t="shared" si="3"/>
        <v/>
      </c>
      <c r="P61" t="str">
        <f t="shared" si="12"/>
        <v/>
      </c>
      <c r="Q61" t="str">
        <f t="shared" si="5"/>
        <v/>
      </c>
      <c r="S61" t="str">
        <f>""</f>
        <v/>
      </c>
      <c r="AL61" s="18" t="str">
        <f>IF(COUNTIF($A$2:A60, A60) = 1, A60, "")</f>
        <v/>
      </c>
    </row>
    <row r="62" spans="6:38" x14ac:dyDescent="0.2">
      <c r="F62" t="str">
        <f t="shared" si="0"/>
        <v/>
      </c>
      <c r="L62" s="7" t="str">
        <f t="shared" si="1"/>
        <v/>
      </c>
      <c r="N62" s="7" t="str">
        <f t="shared" si="2"/>
        <v/>
      </c>
      <c r="O62" t="str">
        <f t="shared" si="3"/>
        <v/>
      </c>
      <c r="P62" t="str">
        <f t="shared" si="12"/>
        <v/>
      </c>
      <c r="Q62" t="str">
        <f t="shared" si="5"/>
        <v/>
      </c>
      <c r="S62" t="str">
        <f>""</f>
        <v/>
      </c>
      <c r="AL62" s="18" t="str">
        <f>IF(COUNTIF($A$2:A61, A61) = 1, A61, "")</f>
        <v/>
      </c>
    </row>
    <row r="63" spans="6:38" x14ac:dyDescent="0.2">
      <c r="F63" t="str">
        <f t="shared" si="0"/>
        <v/>
      </c>
      <c r="L63" s="7" t="str">
        <f t="shared" si="1"/>
        <v/>
      </c>
      <c r="N63" s="7" t="str">
        <f t="shared" si="2"/>
        <v/>
      </c>
      <c r="O63" t="str">
        <f t="shared" si="3"/>
        <v/>
      </c>
      <c r="P63" t="str">
        <f t="shared" si="12"/>
        <v/>
      </c>
      <c r="Q63" t="str">
        <f t="shared" si="5"/>
        <v/>
      </c>
      <c r="S63" t="str">
        <f>""</f>
        <v/>
      </c>
      <c r="AL63" s="18" t="str">
        <f>IF(COUNTIF($A$2:A62, A62) = 1, A62, "")</f>
        <v/>
      </c>
    </row>
    <row r="64" spans="6:38" x14ac:dyDescent="0.2">
      <c r="F64" t="str">
        <f t="shared" si="0"/>
        <v/>
      </c>
      <c r="L64" s="7" t="str">
        <f t="shared" si="1"/>
        <v/>
      </c>
      <c r="N64" s="7" t="str">
        <f t="shared" si="2"/>
        <v/>
      </c>
      <c r="O64" t="str">
        <f t="shared" si="3"/>
        <v/>
      </c>
      <c r="P64" t="str">
        <f t="shared" si="12"/>
        <v/>
      </c>
      <c r="Q64" t="str">
        <f t="shared" si="5"/>
        <v/>
      </c>
      <c r="S64" t="str">
        <f>""</f>
        <v/>
      </c>
      <c r="AL64" s="18" t="str">
        <f>IF(COUNTIF($A$2:A63, A63) = 1, A63, "")</f>
        <v/>
      </c>
    </row>
    <row r="65" spans="6:38" x14ac:dyDescent="0.2">
      <c r="F65" t="str">
        <f t="shared" si="0"/>
        <v/>
      </c>
      <c r="L65" s="7" t="str">
        <f t="shared" si="1"/>
        <v/>
      </c>
      <c r="N65" s="7" t="str">
        <f t="shared" si="2"/>
        <v/>
      </c>
      <c r="O65" t="str">
        <f t="shared" si="3"/>
        <v/>
      </c>
      <c r="P65" t="str">
        <f t="shared" si="12"/>
        <v/>
      </c>
      <c r="Q65" t="str">
        <f t="shared" si="5"/>
        <v/>
      </c>
      <c r="S65" t="str">
        <f>""</f>
        <v/>
      </c>
      <c r="AL65" s="18" t="str">
        <f>IF(COUNTIF($A$2:A64, A64) = 1, A64, "")</f>
        <v/>
      </c>
    </row>
    <row r="66" spans="6:38" x14ac:dyDescent="0.2">
      <c r="F66" t="str">
        <f t="shared" ref="F66:F129" si="16">IF(OR(O66="", P66=""), "", SUM(IF((O66&lt;&gt;"None")*(O66&lt;&gt;""),LEN(O66)-LEN(SUBSTITUTE(O66,",",""))+1,0)) + SUM(IF((P66&lt;&gt;"None")*(P66&lt;&gt;""),LEN(P66)-LEN(SUBSTITUTE(P66,",",""))+1,0)))</f>
        <v/>
      </c>
      <c r="L66" s="7" t="str">
        <f t="shared" ref="L66:L129" si="17">IF(LEN(E66)=0, "", IFERROR(IF(E66&gt;=0, K66 * (1 + E66/100) - K66, K66 / (ABS(E66)/100))+K66, ""))</f>
        <v/>
      </c>
      <c r="N66" s="7" t="str">
        <f t="shared" ref="N66:N129" si="18">IF(M66="Yes",L66-K66,IF(M66="No",-K66,""))</f>
        <v/>
      </c>
      <c r="O66" t="str">
        <f t="shared" ref="O66:O129" si="19">IF(AND(G66="No",H66="No"), "None", "")</f>
        <v/>
      </c>
      <c r="P66" t="str">
        <f t="shared" si="12"/>
        <v/>
      </c>
      <c r="Q66" t="str">
        <f t="shared" ref="Q66:Q129" si="20">IF(AND(D66="Straight", M66 = "No"),IF(O66="None",P66,IF(P66="None",O66) ),"")</f>
        <v/>
      </c>
      <c r="S66" t="str">
        <f>""</f>
        <v/>
      </c>
      <c r="AL66" s="18" t="str">
        <f>IF(COUNTIF($A$2:A65, A65) = 1, A65, "")</f>
        <v/>
      </c>
    </row>
    <row r="67" spans="6:38" x14ac:dyDescent="0.2">
      <c r="F67" t="str">
        <f t="shared" si="16"/>
        <v/>
      </c>
      <c r="L67" s="7" t="str">
        <f t="shared" si="17"/>
        <v/>
      </c>
      <c r="N67" s="7" t="str">
        <f t="shared" si="18"/>
        <v/>
      </c>
      <c r="O67" t="str">
        <f t="shared" si="19"/>
        <v/>
      </c>
      <c r="P67" t="str">
        <f t="shared" si="12"/>
        <v/>
      </c>
      <c r="Q67" t="str">
        <f t="shared" si="20"/>
        <v/>
      </c>
      <c r="S67" t="str">
        <f>""</f>
        <v/>
      </c>
      <c r="AL67" s="18" t="str">
        <f>IF(COUNTIF($A$2:A66, A66) = 1, A66, "")</f>
        <v/>
      </c>
    </row>
    <row r="68" spans="6:38" x14ac:dyDescent="0.2">
      <c r="F68" t="str">
        <f t="shared" si="16"/>
        <v/>
      </c>
      <c r="L68" s="7" t="str">
        <f t="shared" si="17"/>
        <v/>
      </c>
      <c r="N68" s="7" t="str">
        <f t="shared" si="18"/>
        <v/>
      </c>
      <c r="O68" t="str">
        <f t="shared" si="19"/>
        <v/>
      </c>
      <c r="P68" t="str">
        <f t="shared" si="12"/>
        <v/>
      </c>
      <c r="Q68" t="str">
        <f t="shared" si="20"/>
        <v/>
      </c>
      <c r="S68" t="str">
        <f>""</f>
        <v/>
      </c>
      <c r="AL68" s="18" t="str">
        <f>IF(COUNTIF($A$2:A67, A67) = 1, A67, "")</f>
        <v/>
      </c>
    </row>
    <row r="69" spans="6:38" x14ac:dyDescent="0.2">
      <c r="F69" t="str">
        <f t="shared" si="16"/>
        <v/>
      </c>
      <c r="L69" s="7" t="str">
        <f t="shared" si="17"/>
        <v/>
      </c>
      <c r="N69" s="7" t="str">
        <f t="shared" si="18"/>
        <v/>
      </c>
      <c r="O69" t="str">
        <f t="shared" si="19"/>
        <v/>
      </c>
      <c r="P69" t="str">
        <f t="shared" si="12"/>
        <v/>
      </c>
      <c r="Q69" t="str">
        <f t="shared" si="20"/>
        <v/>
      </c>
      <c r="S69" t="str">
        <f>""</f>
        <v/>
      </c>
      <c r="AL69" s="18" t="str">
        <f>IF(COUNTIF($A$2:A68, A68) = 1, A68, "")</f>
        <v/>
      </c>
    </row>
    <row r="70" spans="6:38" x14ac:dyDescent="0.2">
      <c r="F70" t="str">
        <f t="shared" si="16"/>
        <v/>
      </c>
      <c r="L70" s="7" t="str">
        <f t="shared" si="17"/>
        <v/>
      </c>
      <c r="N70" s="7" t="str">
        <f t="shared" si="18"/>
        <v/>
      </c>
      <c r="O70" t="str">
        <f t="shared" si="19"/>
        <v/>
      </c>
      <c r="P70" t="str">
        <f t="shared" si="12"/>
        <v/>
      </c>
      <c r="Q70" t="str">
        <f t="shared" si="20"/>
        <v/>
      </c>
      <c r="S70" t="str">
        <f>""</f>
        <v/>
      </c>
      <c r="AL70" s="18" t="str">
        <f>IF(COUNTIF($A$2:A69, A69) = 1, A69, "")</f>
        <v/>
      </c>
    </row>
    <row r="71" spans="6:38" x14ac:dyDescent="0.2">
      <c r="F71" t="str">
        <f t="shared" si="16"/>
        <v/>
      </c>
      <c r="L71" s="7" t="str">
        <f t="shared" si="17"/>
        <v/>
      </c>
      <c r="N71" s="7" t="str">
        <f t="shared" si="18"/>
        <v/>
      </c>
      <c r="O71" t="str">
        <f t="shared" si="19"/>
        <v/>
      </c>
      <c r="P71" t="str">
        <f t="shared" si="12"/>
        <v/>
      </c>
      <c r="Q71" t="str">
        <f t="shared" si="20"/>
        <v/>
      </c>
      <c r="S71" t="str">
        <f>""</f>
        <v/>
      </c>
      <c r="AL71" s="18" t="str">
        <f>IF(COUNTIF($A$2:A70, A70) = 1, A70, "")</f>
        <v/>
      </c>
    </row>
    <row r="72" spans="6:38" x14ac:dyDescent="0.2">
      <c r="F72" t="str">
        <f t="shared" si="16"/>
        <v/>
      </c>
      <c r="L72" s="7" t="str">
        <f t="shared" si="17"/>
        <v/>
      </c>
      <c r="N72" s="7" t="str">
        <f t="shared" si="18"/>
        <v/>
      </c>
      <c r="O72" t="str">
        <f t="shared" si="19"/>
        <v/>
      </c>
      <c r="P72" t="str">
        <f t="shared" si="12"/>
        <v/>
      </c>
      <c r="Q72" t="str">
        <f t="shared" si="20"/>
        <v/>
      </c>
      <c r="S72" t="str">
        <f>""</f>
        <v/>
      </c>
      <c r="AL72" s="18" t="str">
        <f>IF(COUNTIF($A$2:A71, A71) = 1, A71, "")</f>
        <v/>
      </c>
    </row>
    <row r="73" spans="6:38" x14ac:dyDescent="0.2">
      <c r="F73" t="str">
        <f t="shared" si="16"/>
        <v/>
      </c>
      <c r="L73" s="7" t="str">
        <f t="shared" si="17"/>
        <v/>
      </c>
      <c r="N73" s="7" t="str">
        <f t="shared" si="18"/>
        <v/>
      </c>
      <c r="O73" t="str">
        <f t="shared" si="19"/>
        <v/>
      </c>
      <c r="P73" t="str">
        <f t="shared" si="12"/>
        <v/>
      </c>
      <c r="Q73" t="str">
        <f t="shared" si="20"/>
        <v/>
      </c>
      <c r="S73" t="str">
        <f>""</f>
        <v/>
      </c>
      <c r="AL73" s="18" t="str">
        <f>IF(COUNTIF($A$2:A72, A72) = 1, A72, "")</f>
        <v/>
      </c>
    </row>
    <row r="74" spans="6:38" x14ac:dyDescent="0.2">
      <c r="F74" t="str">
        <f t="shared" si="16"/>
        <v/>
      </c>
      <c r="L74" s="7" t="str">
        <f t="shared" si="17"/>
        <v/>
      </c>
      <c r="N74" s="7" t="str">
        <f t="shared" si="18"/>
        <v/>
      </c>
      <c r="O74" t="str">
        <f t="shared" si="19"/>
        <v/>
      </c>
      <c r="P74" t="str">
        <f t="shared" si="12"/>
        <v/>
      </c>
      <c r="Q74" t="str">
        <f t="shared" si="20"/>
        <v/>
      </c>
      <c r="S74" t="str">
        <f>""</f>
        <v/>
      </c>
      <c r="AL74" s="18" t="str">
        <f>IF(COUNTIF($A$2:A73, A73) = 1, A73, "")</f>
        <v/>
      </c>
    </row>
    <row r="75" spans="6:38" x14ac:dyDescent="0.2">
      <c r="F75" t="str">
        <f t="shared" si="16"/>
        <v/>
      </c>
      <c r="L75" s="7" t="str">
        <f t="shared" si="17"/>
        <v/>
      </c>
      <c r="N75" s="7" t="str">
        <f t="shared" si="18"/>
        <v/>
      </c>
      <c r="O75" t="str">
        <f t="shared" si="19"/>
        <v/>
      </c>
      <c r="P75" t="str">
        <f t="shared" si="12"/>
        <v/>
      </c>
      <c r="Q75" t="str">
        <f t="shared" si="20"/>
        <v/>
      </c>
      <c r="S75" t="str">
        <f>""</f>
        <v/>
      </c>
      <c r="AL75" s="18" t="str">
        <f>IF(COUNTIF($A$2:A74, A74) = 1, A74, "")</f>
        <v/>
      </c>
    </row>
    <row r="76" spans="6:38" x14ac:dyDescent="0.2">
      <c r="F76" t="str">
        <f t="shared" si="16"/>
        <v/>
      </c>
      <c r="L76" s="7" t="str">
        <f t="shared" si="17"/>
        <v/>
      </c>
      <c r="N76" s="7" t="str">
        <f t="shared" si="18"/>
        <v/>
      </c>
      <c r="O76" t="str">
        <f t="shared" si="19"/>
        <v/>
      </c>
      <c r="P76" t="str">
        <f t="shared" si="12"/>
        <v/>
      </c>
      <c r="Q76" t="str">
        <f t="shared" si="20"/>
        <v/>
      </c>
      <c r="S76" t="str">
        <f>""</f>
        <v/>
      </c>
      <c r="AL76" s="18" t="str">
        <f>IF(COUNTIF($A$2:A75, A75) = 1, A75, "")</f>
        <v/>
      </c>
    </row>
    <row r="77" spans="6:38" x14ac:dyDescent="0.2">
      <c r="F77" t="str">
        <f t="shared" si="16"/>
        <v/>
      </c>
      <c r="L77" s="7" t="str">
        <f t="shared" si="17"/>
        <v/>
      </c>
      <c r="N77" s="7" t="str">
        <f t="shared" si="18"/>
        <v/>
      </c>
      <c r="O77" t="str">
        <f t="shared" si="19"/>
        <v/>
      </c>
      <c r="P77" t="str">
        <f t="shared" si="12"/>
        <v/>
      </c>
      <c r="Q77" t="str">
        <f t="shared" si="20"/>
        <v/>
      </c>
      <c r="S77" t="str">
        <f>""</f>
        <v/>
      </c>
      <c r="AL77" s="18" t="str">
        <f>IF(COUNTIF($A$2:A76, A76) = 1, A76, "")</f>
        <v/>
      </c>
    </row>
    <row r="78" spans="6:38" x14ac:dyDescent="0.2">
      <c r="F78" t="str">
        <f t="shared" si="16"/>
        <v/>
      </c>
      <c r="L78" s="7" t="str">
        <f t="shared" si="17"/>
        <v/>
      </c>
      <c r="N78" s="7" t="str">
        <f t="shared" si="18"/>
        <v/>
      </c>
      <c r="O78" t="str">
        <f t="shared" si="19"/>
        <v/>
      </c>
      <c r="P78" t="str">
        <f t="shared" si="12"/>
        <v/>
      </c>
      <c r="Q78" t="str">
        <f t="shared" si="20"/>
        <v/>
      </c>
      <c r="S78" t="str">
        <f>""</f>
        <v/>
      </c>
      <c r="AL78" s="18" t="str">
        <f>IF(COUNTIF($A$2:A77, A77) = 1, A77, "")</f>
        <v/>
      </c>
    </row>
    <row r="79" spans="6:38" x14ac:dyDescent="0.2">
      <c r="F79" t="str">
        <f t="shared" si="16"/>
        <v/>
      </c>
      <c r="L79" s="7" t="str">
        <f t="shared" si="17"/>
        <v/>
      </c>
      <c r="N79" s="7" t="str">
        <f t="shared" si="18"/>
        <v/>
      </c>
      <c r="O79" t="str">
        <f t="shared" si="19"/>
        <v/>
      </c>
      <c r="P79" t="str">
        <f t="shared" si="12"/>
        <v/>
      </c>
      <c r="Q79" t="str">
        <f t="shared" si="20"/>
        <v/>
      </c>
      <c r="S79" t="str">
        <f>""</f>
        <v/>
      </c>
      <c r="AL79" s="18" t="str">
        <f>IF(COUNTIF($A$2:A78, A78) = 1, A78, "")</f>
        <v/>
      </c>
    </row>
    <row r="80" spans="6:38" x14ac:dyDescent="0.2">
      <c r="F80" t="str">
        <f t="shared" si="16"/>
        <v/>
      </c>
      <c r="L80" s="7" t="str">
        <f t="shared" si="17"/>
        <v/>
      </c>
      <c r="N80" s="7" t="str">
        <f t="shared" si="18"/>
        <v/>
      </c>
      <c r="O80" t="str">
        <f t="shared" si="19"/>
        <v/>
      </c>
      <c r="P80" t="str">
        <f t="shared" si="12"/>
        <v/>
      </c>
      <c r="Q80" t="str">
        <f t="shared" si="20"/>
        <v/>
      </c>
      <c r="S80" t="str">
        <f>""</f>
        <v/>
      </c>
      <c r="AL80" s="18" t="str">
        <f>IF(COUNTIF($A$2:A79, A79) = 1, A79, "")</f>
        <v/>
      </c>
    </row>
    <row r="81" spans="6:38" x14ac:dyDescent="0.2">
      <c r="F81" t="str">
        <f t="shared" si="16"/>
        <v/>
      </c>
      <c r="L81" s="7" t="str">
        <f t="shared" si="17"/>
        <v/>
      </c>
      <c r="N81" s="7" t="str">
        <f t="shared" si="18"/>
        <v/>
      </c>
      <c r="O81" t="str">
        <f t="shared" si="19"/>
        <v/>
      </c>
      <c r="P81" t="str">
        <f t="shared" si="12"/>
        <v/>
      </c>
      <c r="Q81" t="str">
        <f t="shared" si="20"/>
        <v/>
      </c>
      <c r="S81" t="str">
        <f>""</f>
        <v/>
      </c>
      <c r="AL81" s="18" t="str">
        <f>IF(COUNTIF($A$2:A80, A80) = 1, A80, "")</f>
        <v/>
      </c>
    </row>
    <row r="82" spans="6:38" x14ac:dyDescent="0.2">
      <c r="F82" t="str">
        <f t="shared" si="16"/>
        <v/>
      </c>
      <c r="L82" s="7" t="str">
        <f t="shared" si="17"/>
        <v/>
      </c>
      <c r="N82" s="7" t="str">
        <f t="shared" si="18"/>
        <v/>
      </c>
      <c r="O82" t="str">
        <f t="shared" si="19"/>
        <v/>
      </c>
      <c r="P82" t="str">
        <f t="shared" si="12"/>
        <v/>
      </c>
      <c r="Q82" t="str">
        <f t="shared" si="20"/>
        <v/>
      </c>
      <c r="S82" t="str">
        <f>""</f>
        <v/>
      </c>
      <c r="AL82" s="18" t="str">
        <f>IF(COUNTIF($A$2:A81, A81) = 1, A81, "")</f>
        <v/>
      </c>
    </row>
    <row r="83" spans="6:38" x14ac:dyDescent="0.2">
      <c r="F83" t="str">
        <f t="shared" si="16"/>
        <v/>
      </c>
      <c r="L83" s="7" t="str">
        <f t="shared" si="17"/>
        <v/>
      </c>
      <c r="N83" s="7" t="str">
        <f t="shared" si="18"/>
        <v/>
      </c>
      <c r="O83" t="str">
        <f t="shared" si="19"/>
        <v/>
      </c>
      <c r="P83" t="str">
        <f t="shared" ref="P83:P143" si="21">IF(I83="No", "None", "")</f>
        <v/>
      </c>
      <c r="Q83" t="str">
        <f t="shared" si="20"/>
        <v/>
      </c>
      <c r="S83" t="str">
        <f>""</f>
        <v/>
      </c>
      <c r="AL83" s="18" t="str">
        <f>IF(COUNTIF($A$2:A82, A82) = 1, A82, "")</f>
        <v/>
      </c>
    </row>
    <row r="84" spans="6:38" x14ac:dyDescent="0.2">
      <c r="F84" t="str">
        <f t="shared" si="16"/>
        <v/>
      </c>
      <c r="L84" s="7" t="str">
        <f t="shared" si="17"/>
        <v/>
      </c>
      <c r="N84" s="7" t="str">
        <f t="shared" si="18"/>
        <v/>
      </c>
      <c r="O84" t="str">
        <f t="shared" si="19"/>
        <v/>
      </c>
      <c r="P84" t="str">
        <f t="shared" si="21"/>
        <v/>
      </c>
      <c r="Q84" t="str">
        <f t="shared" si="20"/>
        <v/>
      </c>
      <c r="S84" t="str">
        <f>""</f>
        <v/>
      </c>
      <c r="AL84" s="18" t="str">
        <f>IF(COUNTIF($A$2:A83, A83) = 1, A83, "")</f>
        <v/>
      </c>
    </row>
    <row r="85" spans="6:38" x14ac:dyDescent="0.2">
      <c r="F85" t="str">
        <f t="shared" si="16"/>
        <v/>
      </c>
      <c r="L85" s="7" t="str">
        <f t="shared" si="17"/>
        <v/>
      </c>
      <c r="N85" s="7" t="str">
        <f t="shared" si="18"/>
        <v/>
      </c>
      <c r="O85" t="str">
        <f t="shared" si="19"/>
        <v/>
      </c>
      <c r="P85" t="str">
        <f t="shared" si="21"/>
        <v/>
      </c>
      <c r="Q85" t="str">
        <f t="shared" si="20"/>
        <v/>
      </c>
      <c r="S85" t="str">
        <f>""</f>
        <v/>
      </c>
      <c r="AL85" s="18" t="str">
        <f>IF(COUNTIF($A$2:A84, A84) = 1, A84, "")</f>
        <v/>
      </c>
    </row>
    <row r="86" spans="6:38" x14ac:dyDescent="0.2">
      <c r="F86" t="str">
        <f t="shared" si="16"/>
        <v/>
      </c>
      <c r="L86" s="7" t="str">
        <f t="shared" si="17"/>
        <v/>
      </c>
      <c r="N86" s="7" t="str">
        <f t="shared" si="18"/>
        <v/>
      </c>
      <c r="O86" t="str">
        <f t="shared" si="19"/>
        <v/>
      </c>
      <c r="P86" t="str">
        <f t="shared" si="21"/>
        <v/>
      </c>
      <c r="Q86" t="str">
        <f t="shared" si="20"/>
        <v/>
      </c>
      <c r="S86" t="str">
        <f>""</f>
        <v/>
      </c>
      <c r="AL86" s="18" t="str">
        <f>IF(COUNTIF($A$2:A85, A85) = 1, A85, "")</f>
        <v/>
      </c>
    </row>
    <row r="87" spans="6:38" x14ac:dyDescent="0.2">
      <c r="F87" t="str">
        <f t="shared" si="16"/>
        <v/>
      </c>
      <c r="L87" s="7" t="str">
        <f t="shared" si="17"/>
        <v/>
      </c>
      <c r="N87" s="7" t="str">
        <f t="shared" si="18"/>
        <v/>
      </c>
      <c r="O87" t="str">
        <f t="shared" si="19"/>
        <v/>
      </c>
      <c r="P87" t="str">
        <f t="shared" si="21"/>
        <v/>
      </c>
      <c r="Q87" t="str">
        <f t="shared" si="20"/>
        <v/>
      </c>
      <c r="S87" t="str">
        <f>""</f>
        <v/>
      </c>
      <c r="AL87" s="18" t="str">
        <f>IF(COUNTIF($A$2:A86, A86) = 1, A86, "")</f>
        <v/>
      </c>
    </row>
    <row r="88" spans="6:38" x14ac:dyDescent="0.2">
      <c r="F88" t="str">
        <f t="shared" si="16"/>
        <v/>
      </c>
      <c r="L88" s="7" t="str">
        <f t="shared" si="17"/>
        <v/>
      </c>
      <c r="N88" s="7" t="str">
        <f t="shared" si="18"/>
        <v/>
      </c>
      <c r="O88" t="str">
        <f t="shared" si="19"/>
        <v/>
      </c>
      <c r="P88" t="str">
        <f t="shared" si="21"/>
        <v/>
      </c>
      <c r="Q88" t="str">
        <f t="shared" si="20"/>
        <v/>
      </c>
      <c r="S88" t="str">
        <f>""</f>
        <v/>
      </c>
      <c r="AL88" s="18" t="str">
        <f>IF(COUNTIF($A$2:A87, A87) = 1, A87, "")</f>
        <v/>
      </c>
    </row>
    <row r="89" spans="6:38" x14ac:dyDescent="0.2">
      <c r="F89" t="str">
        <f t="shared" si="16"/>
        <v/>
      </c>
      <c r="L89" s="7" t="str">
        <f t="shared" si="17"/>
        <v/>
      </c>
      <c r="N89" s="7" t="str">
        <f t="shared" si="18"/>
        <v/>
      </c>
      <c r="O89" t="str">
        <f t="shared" si="19"/>
        <v/>
      </c>
      <c r="P89" t="str">
        <f t="shared" si="21"/>
        <v/>
      </c>
      <c r="Q89" t="str">
        <f t="shared" si="20"/>
        <v/>
      </c>
      <c r="S89" t="str">
        <f>""</f>
        <v/>
      </c>
      <c r="AL89" s="18" t="str">
        <f>IF(COUNTIF($A$2:A88, A88) = 1, A88, "")</f>
        <v/>
      </c>
    </row>
    <row r="90" spans="6:38" x14ac:dyDescent="0.2">
      <c r="F90" t="str">
        <f t="shared" si="16"/>
        <v/>
      </c>
      <c r="L90" s="7" t="str">
        <f t="shared" si="17"/>
        <v/>
      </c>
      <c r="N90" s="7" t="str">
        <f t="shared" si="18"/>
        <v/>
      </c>
      <c r="O90" t="str">
        <f t="shared" si="19"/>
        <v/>
      </c>
      <c r="P90" t="str">
        <f t="shared" si="21"/>
        <v/>
      </c>
      <c r="Q90" t="str">
        <f t="shared" si="20"/>
        <v/>
      </c>
      <c r="S90" t="str">
        <f>""</f>
        <v/>
      </c>
      <c r="AL90" s="18" t="str">
        <f>IF(COUNTIF($A$2:A89, A89) = 1, A89, "")</f>
        <v/>
      </c>
    </row>
    <row r="91" spans="6:38" x14ac:dyDescent="0.2">
      <c r="F91" t="str">
        <f t="shared" si="16"/>
        <v/>
      </c>
      <c r="L91" s="7" t="str">
        <f t="shared" si="17"/>
        <v/>
      </c>
      <c r="N91" s="7" t="str">
        <f t="shared" si="18"/>
        <v/>
      </c>
      <c r="O91" t="str">
        <f t="shared" si="19"/>
        <v/>
      </c>
      <c r="P91" t="str">
        <f t="shared" si="21"/>
        <v/>
      </c>
      <c r="Q91" t="str">
        <f t="shared" si="20"/>
        <v/>
      </c>
      <c r="S91" t="str">
        <f>""</f>
        <v/>
      </c>
      <c r="AL91" s="18" t="str">
        <f>IF(COUNTIF($A$2:A90, A90) = 1, A90, "")</f>
        <v/>
      </c>
    </row>
    <row r="92" spans="6:38" x14ac:dyDescent="0.2">
      <c r="F92" t="str">
        <f t="shared" si="16"/>
        <v/>
      </c>
      <c r="L92" s="7" t="str">
        <f t="shared" si="17"/>
        <v/>
      </c>
      <c r="N92" s="7" t="str">
        <f t="shared" si="18"/>
        <v/>
      </c>
      <c r="O92" t="str">
        <f t="shared" si="19"/>
        <v/>
      </c>
      <c r="P92" t="str">
        <f t="shared" si="21"/>
        <v/>
      </c>
      <c r="Q92" t="str">
        <f t="shared" si="20"/>
        <v/>
      </c>
      <c r="S92" t="str">
        <f>""</f>
        <v/>
      </c>
      <c r="AL92" s="18" t="str">
        <f>IF(COUNTIF($A$2:A91, A91) = 1, A91, "")</f>
        <v/>
      </c>
    </row>
    <row r="93" spans="6:38" x14ac:dyDescent="0.2">
      <c r="F93" t="str">
        <f t="shared" si="16"/>
        <v/>
      </c>
      <c r="L93" s="7" t="str">
        <f t="shared" si="17"/>
        <v/>
      </c>
      <c r="N93" s="7" t="str">
        <f t="shared" si="18"/>
        <v/>
      </c>
      <c r="O93" t="str">
        <f t="shared" si="19"/>
        <v/>
      </c>
      <c r="P93" t="str">
        <f t="shared" si="21"/>
        <v/>
      </c>
      <c r="Q93" t="str">
        <f t="shared" si="20"/>
        <v/>
      </c>
      <c r="S93" t="str">
        <f>""</f>
        <v/>
      </c>
      <c r="AL93" s="18" t="str">
        <f>IF(COUNTIF($A$2:A92, A92) = 1, A92, "")</f>
        <v/>
      </c>
    </row>
    <row r="94" spans="6:38" x14ac:dyDescent="0.2">
      <c r="F94" t="str">
        <f t="shared" si="16"/>
        <v/>
      </c>
      <c r="L94" s="7" t="str">
        <f t="shared" si="17"/>
        <v/>
      </c>
      <c r="N94" s="7" t="str">
        <f t="shared" si="18"/>
        <v/>
      </c>
      <c r="O94" t="str">
        <f t="shared" si="19"/>
        <v/>
      </c>
      <c r="P94" t="str">
        <f t="shared" si="21"/>
        <v/>
      </c>
      <c r="Q94" t="str">
        <f t="shared" si="20"/>
        <v/>
      </c>
      <c r="S94" t="str">
        <f>""</f>
        <v/>
      </c>
      <c r="AL94" s="18" t="str">
        <f>IF(COUNTIF($A$2:A93, A93) = 1, A93, "")</f>
        <v/>
      </c>
    </row>
    <row r="95" spans="6:38" x14ac:dyDescent="0.2">
      <c r="F95" t="str">
        <f t="shared" si="16"/>
        <v/>
      </c>
      <c r="L95" s="7" t="str">
        <f t="shared" si="17"/>
        <v/>
      </c>
      <c r="N95" s="7" t="str">
        <f t="shared" si="18"/>
        <v/>
      </c>
      <c r="O95" t="str">
        <f t="shared" si="19"/>
        <v/>
      </c>
      <c r="P95" t="str">
        <f t="shared" si="21"/>
        <v/>
      </c>
      <c r="Q95" t="str">
        <f t="shared" si="20"/>
        <v/>
      </c>
      <c r="S95" t="str">
        <f>""</f>
        <v/>
      </c>
      <c r="AL95" s="18" t="str">
        <f>IF(COUNTIF($A$2:A94, A94) = 1, A94, "")</f>
        <v/>
      </c>
    </row>
    <row r="96" spans="6:38" x14ac:dyDescent="0.2">
      <c r="F96" t="str">
        <f t="shared" si="16"/>
        <v/>
      </c>
      <c r="L96" s="7" t="str">
        <f t="shared" si="17"/>
        <v/>
      </c>
      <c r="N96" s="7" t="str">
        <f t="shared" si="18"/>
        <v/>
      </c>
      <c r="O96" t="str">
        <f t="shared" si="19"/>
        <v/>
      </c>
      <c r="P96" t="str">
        <f t="shared" si="21"/>
        <v/>
      </c>
      <c r="Q96" t="str">
        <f t="shared" si="20"/>
        <v/>
      </c>
      <c r="S96" t="str">
        <f>""</f>
        <v/>
      </c>
      <c r="AL96" s="18" t="str">
        <f>IF(COUNTIF($A$2:A95, A95) = 1, A95, "")</f>
        <v/>
      </c>
    </row>
    <row r="97" spans="6:38" x14ac:dyDescent="0.2">
      <c r="F97" t="str">
        <f t="shared" si="16"/>
        <v/>
      </c>
      <c r="L97" s="7" t="str">
        <f t="shared" si="17"/>
        <v/>
      </c>
      <c r="N97" s="7" t="str">
        <f t="shared" si="18"/>
        <v/>
      </c>
      <c r="O97" t="str">
        <f t="shared" si="19"/>
        <v/>
      </c>
      <c r="P97" t="str">
        <f t="shared" si="21"/>
        <v/>
      </c>
      <c r="Q97" t="str">
        <f t="shared" si="20"/>
        <v/>
      </c>
      <c r="S97" t="str">
        <f>""</f>
        <v/>
      </c>
      <c r="AL97" s="18" t="str">
        <f>IF(COUNTIF($A$2:A96, A96) = 1, A96, "")</f>
        <v/>
      </c>
    </row>
    <row r="98" spans="6:38" x14ac:dyDescent="0.2">
      <c r="F98" t="str">
        <f t="shared" si="16"/>
        <v/>
      </c>
      <c r="L98" s="7" t="str">
        <f t="shared" si="17"/>
        <v/>
      </c>
      <c r="N98" s="7" t="str">
        <f t="shared" si="18"/>
        <v/>
      </c>
      <c r="O98" t="str">
        <f t="shared" si="19"/>
        <v/>
      </c>
      <c r="P98" t="str">
        <f t="shared" si="21"/>
        <v/>
      </c>
      <c r="Q98" t="str">
        <f t="shared" si="20"/>
        <v/>
      </c>
      <c r="S98" t="str">
        <f>""</f>
        <v/>
      </c>
      <c r="AL98" s="18" t="str">
        <f>IF(COUNTIF($A$2:A97, A97) = 1, A97, "")</f>
        <v/>
      </c>
    </row>
    <row r="99" spans="6:38" x14ac:dyDescent="0.2">
      <c r="F99" t="str">
        <f t="shared" si="16"/>
        <v/>
      </c>
      <c r="L99" s="7" t="str">
        <f t="shared" si="17"/>
        <v/>
      </c>
      <c r="N99" s="7" t="str">
        <f t="shared" si="18"/>
        <v/>
      </c>
      <c r="O99" t="str">
        <f t="shared" si="19"/>
        <v/>
      </c>
      <c r="P99" t="str">
        <f t="shared" si="21"/>
        <v/>
      </c>
      <c r="Q99" t="str">
        <f t="shared" si="20"/>
        <v/>
      </c>
      <c r="S99" t="str">
        <f>""</f>
        <v/>
      </c>
      <c r="AL99" s="18" t="str">
        <f>IF(COUNTIF($A$2:A98, A98) = 1, A98, "")</f>
        <v/>
      </c>
    </row>
    <row r="100" spans="6:38" x14ac:dyDescent="0.2">
      <c r="F100" t="str">
        <f t="shared" si="16"/>
        <v/>
      </c>
      <c r="L100" s="7" t="str">
        <f t="shared" si="17"/>
        <v/>
      </c>
      <c r="N100" s="7" t="str">
        <f t="shared" si="18"/>
        <v/>
      </c>
      <c r="O100" t="str">
        <f t="shared" si="19"/>
        <v/>
      </c>
      <c r="P100" t="str">
        <f t="shared" si="21"/>
        <v/>
      </c>
      <c r="Q100" t="str">
        <f t="shared" si="20"/>
        <v/>
      </c>
      <c r="S100" t="str">
        <f>""</f>
        <v/>
      </c>
      <c r="AL100" s="18" t="str">
        <f>IF(COUNTIF($A$2:A99, A99) = 1, A99, "")</f>
        <v/>
      </c>
    </row>
    <row r="101" spans="6:38" x14ac:dyDescent="0.2">
      <c r="F101" t="str">
        <f t="shared" si="16"/>
        <v/>
      </c>
      <c r="L101" s="7" t="str">
        <f t="shared" si="17"/>
        <v/>
      </c>
      <c r="N101" s="7" t="str">
        <f t="shared" si="18"/>
        <v/>
      </c>
      <c r="O101" t="str">
        <f t="shared" si="19"/>
        <v/>
      </c>
      <c r="P101" t="str">
        <f t="shared" si="21"/>
        <v/>
      </c>
      <c r="Q101" t="str">
        <f t="shared" si="20"/>
        <v/>
      </c>
      <c r="S101" t="str">
        <f>""</f>
        <v/>
      </c>
      <c r="AL101" s="18" t="str">
        <f>IF(COUNTIF($A$2:A100, A100) = 1, A100, "")</f>
        <v/>
      </c>
    </row>
    <row r="102" spans="6:38" x14ac:dyDescent="0.2">
      <c r="F102" t="str">
        <f t="shared" si="16"/>
        <v/>
      </c>
      <c r="L102" s="7" t="str">
        <f t="shared" si="17"/>
        <v/>
      </c>
      <c r="N102" s="7" t="str">
        <f t="shared" si="18"/>
        <v/>
      </c>
      <c r="O102" t="str">
        <f t="shared" si="19"/>
        <v/>
      </c>
      <c r="P102" t="str">
        <f t="shared" si="21"/>
        <v/>
      </c>
      <c r="Q102" t="str">
        <f t="shared" si="20"/>
        <v/>
      </c>
      <c r="S102" t="str">
        <f>""</f>
        <v/>
      </c>
      <c r="AL102" s="18" t="str">
        <f>IF(COUNTIF($A$2:A101, A101) = 1, A101, "")</f>
        <v/>
      </c>
    </row>
    <row r="103" spans="6:38" x14ac:dyDescent="0.2">
      <c r="F103" t="str">
        <f t="shared" si="16"/>
        <v/>
      </c>
      <c r="L103" s="7" t="str">
        <f t="shared" si="17"/>
        <v/>
      </c>
      <c r="N103" s="7" t="str">
        <f t="shared" si="18"/>
        <v/>
      </c>
      <c r="O103" t="str">
        <f t="shared" si="19"/>
        <v/>
      </c>
      <c r="P103" t="str">
        <f t="shared" si="21"/>
        <v/>
      </c>
      <c r="Q103" t="str">
        <f t="shared" si="20"/>
        <v/>
      </c>
      <c r="S103" t="str">
        <f>""</f>
        <v/>
      </c>
      <c r="AL103" s="18" t="str">
        <f>IF(COUNTIF($A$2:A102, A102) = 1, A102, "")</f>
        <v/>
      </c>
    </row>
    <row r="104" spans="6:38" x14ac:dyDescent="0.2">
      <c r="F104" t="str">
        <f t="shared" si="16"/>
        <v/>
      </c>
      <c r="L104" s="7" t="str">
        <f t="shared" si="17"/>
        <v/>
      </c>
      <c r="N104" s="7" t="str">
        <f t="shared" si="18"/>
        <v/>
      </c>
      <c r="O104" t="str">
        <f t="shared" si="19"/>
        <v/>
      </c>
      <c r="P104" t="str">
        <f t="shared" si="21"/>
        <v/>
      </c>
      <c r="Q104" t="str">
        <f t="shared" si="20"/>
        <v/>
      </c>
      <c r="S104" t="str">
        <f>""</f>
        <v/>
      </c>
      <c r="AL104" s="18" t="str">
        <f>IF(COUNTIF($A$2:A103, A103) = 1, A103, "")</f>
        <v/>
      </c>
    </row>
    <row r="105" spans="6:38" x14ac:dyDescent="0.2">
      <c r="F105" t="str">
        <f t="shared" si="16"/>
        <v/>
      </c>
      <c r="L105" s="7" t="str">
        <f t="shared" si="17"/>
        <v/>
      </c>
      <c r="N105" s="7" t="str">
        <f t="shared" si="18"/>
        <v/>
      </c>
      <c r="O105" t="str">
        <f t="shared" si="19"/>
        <v/>
      </c>
      <c r="P105" t="str">
        <f t="shared" si="21"/>
        <v/>
      </c>
      <c r="Q105" t="str">
        <f t="shared" si="20"/>
        <v/>
      </c>
      <c r="S105" t="str">
        <f>""</f>
        <v/>
      </c>
      <c r="AL105" s="18" t="str">
        <f>IF(COUNTIF($A$2:A104, A104) = 1, A104, "")</f>
        <v/>
      </c>
    </row>
    <row r="106" spans="6:38" x14ac:dyDescent="0.2">
      <c r="F106" t="str">
        <f t="shared" si="16"/>
        <v/>
      </c>
      <c r="L106" s="7" t="str">
        <f t="shared" si="17"/>
        <v/>
      </c>
      <c r="N106" s="7" t="str">
        <f t="shared" si="18"/>
        <v/>
      </c>
      <c r="O106" t="str">
        <f t="shared" si="19"/>
        <v/>
      </c>
      <c r="P106" t="str">
        <f t="shared" si="21"/>
        <v/>
      </c>
      <c r="Q106" t="str">
        <f t="shared" si="20"/>
        <v/>
      </c>
      <c r="S106" t="str">
        <f>""</f>
        <v/>
      </c>
      <c r="AL106" s="18" t="str">
        <f>IF(COUNTIF($A$2:A105, A105) = 1, A105, "")</f>
        <v/>
      </c>
    </row>
    <row r="107" spans="6:38" x14ac:dyDescent="0.2">
      <c r="F107" t="str">
        <f t="shared" si="16"/>
        <v/>
      </c>
      <c r="L107" s="7" t="str">
        <f t="shared" si="17"/>
        <v/>
      </c>
      <c r="N107" s="7" t="str">
        <f t="shared" si="18"/>
        <v/>
      </c>
      <c r="O107" t="str">
        <f t="shared" si="19"/>
        <v/>
      </c>
      <c r="P107" t="str">
        <f t="shared" si="21"/>
        <v/>
      </c>
      <c r="Q107" t="str">
        <f t="shared" si="20"/>
        <v/>
      </c>
      <c r="S107" t="str">
        <f>""</f>
        <v/>
      </c>
      <c r="AL107" s="18" t="str">
        <f>IF(COUNTIF($A$2:A106, A106) = 1, A106, "")</f>
        <v/>
      </c>
    </row>
    <row r="108" spans="6:38" x14ac:dyDescent="0.2">
      <c r="F108" t="str">
        <f t="shared" si="16"/>
        <v/>
      </c>
      <c r="L108" s="7" t="str">
        <f t="shared" si="17"/>
        <v/>
      </c>
      <c r="N108" s="7" t="str">
        <f t="shared" si="18"/>
        <v/>
      </c>
      <c r="O108" t="str">
        <f t="shared" si="19"/>
        <v/>
      </c>
      <c r="P108" t="str">
        <f t="shared" si="21"/>
        <v/>
      </c>
      <c r="Q108" t="str">
        <f t="shared" si="20"/>
        <v/>
      </c>
      <c r="S108" t="str">
        <f>""</f>
        <v/>
      </c>
      <c r="AL108" s="18" t="str">
        <f>IF(COUNTIF($A$2:A107, A107) = 1, A107, "")</f>
        <v/>
      </c>
    </row>
    <row r="109" spans="6:38" x14ac:dyDescent="0.2">
      <c r="F109" t="str">
        <f t="shared" si="16"/>
        <v/>
      </c>
      <c r="L109" s="7" t="str">
        <f t="shared" si="17"/>
        <v/>
      </c>
      <c r="N109" s="7" t="str">
        <f t="shared" si="18"/>
        <v/>
      </c>
      <c r="O109" t="str">
        <f t="shared" si="19"/>
        <v/>
      </c>
      <c r="P109" t="str">
        <f t="shared" si="21"/>
        <v/>
      </c>
      <c r="Q109" t="str">
        <f t="shared" si="20"/>
        <v/>
      </c>
      <c r="S109" t="str">
        <f>""</f>
        <v/>
      </c>
      <c r="AL109" s="18" t="str">
        <f>IF(COUNTIF($A$2:A108, A108) = 1, A108, "")</f>
        <v/>
      </c>
    </row>
    <row r="110" spans="6:38" x14ac:dyDescent="0.2">
      <c r="F110" t="str">
        <f t="shared" si="16"/>
        <v/>
      </c>
      <c r="L110" s="7" t="str">
        <f t="shared" si="17"/>
        <v/>
      </c>
      <c r="N110" s="7" t="str">
        <f t="shared" si="18"/>
        <v/>
      </c>
      <c r="O110" t="str">
        <f t="shared" si="19"/>
        <v/>
      </c>
      <c r="P110" t="str">
        <f t="shared" si="21"/>
        <v/>
      </c>
      <c r="Q110" t="str">
        <f t="shared" si="20"/>
        <v/>
      </c>
      <c r="S110" t="str">
        <f>""</f>
        <v/>
      </c>
      <c r="AL110" s="18" t="str">
        <f>IF(COUNTIF($A$2:A109, A109) = 1, A109, "")</f>
        <v/>
      </c>
    </row>
    <row r="111" spans="6:38" x14ac:dyDescent="0.2">
      <c r="F111" t="str">
        <f t="shared" si="16"/>
        <v/>
      </c>
      <c r="L111" s="7" t="str">
        <f t="shared" si="17"/>
        <v/>
      </c>
      <c r="N111" s="7" t="str">
        <f t="shared" si="18"/>
        <v/>
      </c>
      <c r="O111" t="str">
        <f t="shared" si="19"/>
        <v/>
      </c>
      <c r="P111" t="str">
        <f t="shared" si="21"/>
        <v/>
      </c>
      <c r="Q111" t="str">
        <f t="shared" si="20"/>
        <v/>
      </c>
      <c r="S111" t="str">
        <f>""</f>
        <v/>
      </c>
      <c r="AL111" s="18" t="str">
        <f>IF(COUNTIF($A$2:A110, A110) = 1, A110, "")</f>
        <v/>
      </c>
    </row>
    <row r="112" spans="6:38" x14ac:dyDescent="0.2">
      <c r="F112" t="str">
        <f t="shared" si="16"/>
        <v/>
      </c>
      <c r="L112" s="7" t="str">
        <f t="shared" si="17"/>
        <v/>
      </c>
      <c r="N112" s="7" t="str">
        <f t="shared" si="18"/>
        <v/>
      </c>
      <c r="O112" t="str">
        <f t="shared" si="19"/>
        <v/>
      </c>
      <c r="P112" t="str">
        <f t="shared" si="21"/>
        <v/>
      </c>
      <c r="Q112" t="str">
        <f t="shared" si="20"/>
        <v/>
      </c>
      <c r="S112" t="str">
        <f>""</f>
        <v/>
      </c>
      <c r="AL112" s="18" t="str">
        <f>IF(COUNTIF($A$2:A111, A111) = 1, A111, "")</f>
        <v/>
      </c>
    </row>
    <row r="113" spans="6:38" x14ac:dyDescent="0.2">
      <c r="F113" t="str">
        <f t="shared" si="16"/>
        <v/>
      </c>
      <c r="L113" s="7" t="str">
        <f t="shared" si="17"/>
        <v/>
      </c>
      <c r="N113" s="7" t="str">
        <f t="shared" si="18"/>
        <v/>
      </c>
      <c r="O113" t="str">
        <f t="shared" si="19"/>
        <v/>
      </c>
      <c r="P113" t="str">
        <f t="shared" si="21"/>
        <v/>
      </c>
      <c r="Q113" t="str">
        <f t="shared" si="20"/>
        <v/>
      </c>
      <c r="S113" t="str">
        <f>""</f>
        <v/>
      </c>
      <c r="AL113" s="18" t="str">
        <f>IF(COUNTIF($A$2:A112, A112) = 1, A112, "")</f>
        <v/>
      </c>
    </row>
    <row r="114" spans="6:38" x14ac:dyDescent="0.2">
      <c r="F114" t="str">
        <f t="shared" si="16"/>
        <v/>
      </c>
      <c r="L114" s="7" t="str">
        <f t="shared" si="17"/>
        <v/>
      </c>
      <c r="N114" s="7" t="str">
        <f t="shared" si="18"/>
        <v/>
      </c>
      <c r="O114" t="str">
        <f t="shared" si="19"/>
        <v/>
      </c>
      <c r="P114" t="str">
        <f t="shared" si="21"/>
        <v/>
      </c>
      <c r="Q114" t="str">
        <f t="shared" si="20"/>
        <v/>
      </c>
      <c r="S114" t="str">
        <f>""</f>
        <v/>
      </c>
      <c r="AL114" s="18" t="str">
        <f>IF(COUNTIF($A$2:A113, A113) = 1, A113, "")</f>
        <v/>
      </c>
    </row>
    <row r="115" spans="6:38" x14ac:dyDescent="0.2">
      <c r="F115" t="str">
        <f t="shared" si="16"/>
        <v/>
      </c>
      <c r="L115" s="7" t="str">
        <f t="shared" si="17"/>
        <v/>
      </c>
      <c r="N115" s="7" t="str">
        <f t="shared" si="18"/>
        <v/>
      </c>
      <c r="O115" t="str">
        <f t="shared" si="19"/>
        <v/>
      </c>
      <c r="P115" t="str">
        <f t="shared" si="21"/>
        <v/>
      </c>
      <c r="Q115" t="str">
        <f t="shared" si="20"/>
        <v/>
      </c>
      <c r="S115" t="str">
        <f>""</f>
        <v/>
      </c>
      <c r="AL115" s="18" t="str">
        <f>IF(COUNTIF($A$2:A114, A114) = 1, A114, "")</f>
        <v/>
      </c>
    </row>
    <row r="116" spans="6:38" x14ac:dyDescent="0.2">
      <c r="F116" t="str">
        <f t="shared" si="16"/>
        <v/>
      </c>
      <c r="L116" s="7" t="str">
        <f t="shared" si="17"/>
        <v/>
      </c>
      <c r="N116" s="7" t="str">
        <f t="shared" si="18"/>
        <v/>
      </c>
      <c r="O116" t="str">
        <f t="shared" si="19"/>
        <v/>
      </c>
      <c r="P116" t="str">
        <f t="shared" si="21"/>
        <v/>
      </c>
      <c r="Q116" t="str">
        <f t="shared" si="20"/>
        <v/>
      </c>
      <c r="S116" t="str">
        <f>""</f>
        <v/>
      </c>
      <c r="AL116" s="18" t="str">
        <f>IF(COUNTIF($A$2:A115, A115) = 1, A115, "")</f>
        <v/>
      </c>
    </row>
    <row r="117" spans="6:38" x14ac:dyDescent="0.2">
      <c r="F117" t="str">
        <f t="shared" si="16"/>
        <v/>
      </c>
      <c r="L117" s="7" t="str">
        <f t="shared" si="17"/>
        <v/>
      </c>
      <c r="N117" s="7" t="str">
        <f t="shared" si="18"/>
        <v/>
      </c>
      <c r="O117" t="str">
        <f t="shared" si="19"/>
        <v/>
      </c>
      <c r="P117" t="str">
        <f t="shared" si="21"/>
        <v/>
      </c>
      <c r="Q117" t="str">
        <f t="shared" si="20"/>
        <v/>
      </c>
      <c r="S117" t="str">
        <f>""</f>
        <v/>
      </c>
      <c r="AL117" s="18" t="str">
        <f>IF(COUNTIF($A$2:A116, A116) = 1, A116, "")</f>
        <v/>
      </c>
    </row>
    <row r="118" spans="6:38" x14ac:dyDescent="0.2">
      <c r="F118" t="str">
        <f t="shared" si="16"/>
        <v/>
      </c>
      <c r="L118" s="7" t="str">
        <f t="shared" si="17"/>
        <v/>
      </c>
      <c r="N118" s="7" t="str">
        <f t="shared" si="18"/>
        <v/>
      </c>
      <c r="O118" t="str">
        <f t="shared" si="19"/>
        <v/>
      </c>
      <c r="P118" t="str">
        <f t="shared" si="21"/>
        <v/>
      </c>
      <c r="Q118" t="str">
        <f t="shared" si="20"/>
        <v/>
      </c>
      <c r="S118" t="str">
        <f>""</f>
        <v/>
      </c>
      <c r="AL118" s="18" t="str">
        <f>IF(COUNTIF($A$2:A117, A117) = 1, A117, "")</f>
        <v/>
      </c>
    </row>
    <row r="119" spans="6:38" x14ac:dyDescent="0.2">
      <c r="F119" t="str">
        <f t="shared" si="16"/>
        <v/>
      </c>
      <c r="L119" s="7" t="str">
        <f t="shared" si="17"/>
        <v/>
      </c>
      <c r="N119" s="7" t="str">
        <f t="shared" si="18"/>
        <v/>
      </c>
      <c r="O119" t="str">
        <f t="shared" si="19"/>
        <v/>
      </c>
      <c r="P119" t="str">
        <f t="shared" si="21"/>
        <v/>
      </c>
      <c r="Q119" t="str">
        <f t="shared" si="20"/>
        <v/>
      </c>
      <c r="S119" t="str">
        <f>""</f>
        <v/>
      </c>
      <c r="AL119" s="18" t="str">
        <f>IF(COUNTIF($A$2:A118, A118) = 1, A118, "")</f>
        <v/>
      </c>
    </row>
    <row r="120" spans="6:38" x14ac:dyDescent="0.2">
      <c r="F120" t="str">
        <f t="shared" si="16"/>
        <v/>
      </c>
      <c r="L120" s="7" t="str">
        <f t="shared" si="17"/>
        <v/>
      </c>
      <c r="N120" s="7" t="str">
        <f t="shared" si="18"/>
        <v/>
      </c>
      <c r="O120" t="str">
        <f t="shared" si="19"/>
        <v/>
      </c>
      <c r="P120" t="str">
        <f t="shared" si="21"/>
        <v/>
      </c>
      <c r="Q120" t="str">
        <f t="shared" si="20"/>
        <v/>
      </c>
      <c r="S120" t="str">
        <f>""</f>
        <v/>
      </c>
      <c r="AL120" s="18" t="str">
        <f>IF(COUNTIF($A$2:A119, A119) = 1, A119, "")</f>
        <v/>
      </c>
    </row>
    <row r="121" spans="6:38" x14ac:dyDescent="0.2">
      <c r="F121" t="str">
        <f t="shared" si="16"/>
        <v/>
      </c>
      <c r="L121" s="7" t="str">
        <f t="shared" si="17"/>
        <v/>
      </c>
      <c r="N121" s="7" t="str">
        <f t="shared" si="18"/>
        <v/>
      </c>
      <c r="O121" t="str">
        <f t="shared" si="19"/>
        <v/>
      </c>
      <c r="P121" t="str">
        <f t="shared" si="21"/>
        <v/>
      </c>
      <c r="Q121" t="str">
        <f t="shared" si="20"/>
        <v/>
      </c>
      <c r="S121" t="str">
        <f>""</f>
        <v/>
      </c>
      <c r="AL121" s="18" t="str">
        <f>IF(COUNTIF($A$2:A120, A120) = 1, A120, "")</f>
        <v/>
      </c>
    </row>
    <row r="122" spans="6:38" x14ac:dyDescent="0.2">
      <c r="F122" t="str">
        <f t="shared" si="16"/>
        <v/>
      </c>
      <c r="L122" s="7" t="str">
        <f t="shared" si="17"/>
        <v/>
      </c>
      <c r="N122" s="7" t="str">
        <f t="shared" si="18"/>
        <v/>
      </c>
      <c r="O122" t="str">
        <f t="shared" si="19"/>
        <v/>
      </c>
      <c r="P122" t="str">
        <f t="shared" si="21"/>
        <v/>
      </c>
      <c r="Q122" t="str">
        <f t="shared" si="20"/>
        <v/>
      </c>
      <c r="S122" t="str">
        <f>""</f>
        <v/>
      </c>
      <c r="AL122" s="18" t="str">
        <f>IF(COUNTIF($A$2:A121, A121) = 1, A121, "")</f>
        <v/>
      </c>
    </row>
    <row r="123" spans="6:38" x14ac:dyDescent="0.2">
      <c r="F123" t="str">
        <f t="shared" si="16"/>
        <v/>
      </c>
      <c r="L123" s="7" t="str">
        <f t="shared" si="17"/>
        <v/>
      </c>
      <c r="N123" s="7" t="str">
        <f t="shared" si="18"/>
        <v/>
      </c>
      <c r="O123" t="str">
        <f t="shared" si="19"/>
        <v/>
      </c>
      <c r="P123" t="str">
        <f t="shared" si="21"/>
        <v/>
      </c>
      <c r="Q123" t="str">
        <f t="shared" si="20"/>
        <v/>
      </c>
      <c r="S123" t="str">
        <f>""</f>
        <v/>
      </c>
      <c r="AL123" s="18" t="str">
        <f>IF(COUNTIF($A$2:A122, A122) = 1, A122, "")</f>
        <v/>
      </c>
    </row>
    <row r="124" spans="6:38" x14ac:dyDescent="0.2">
      <c r="F124" t="str">
        <f t="shared" si="16"/>
        <v/>
      </c>
      <c r="L124" s="7" t="str">
        <f t="shared" si="17"/>
        <v/>
      </c>
      <c r="N124" s="7" t="str">
        <f t="shared" si="18"/>
        <v/>
      </c>
      <c r="O124" t="str">
        <f t="shared" si="19"/>
        <v/>
      </c>
      <c r="P124" t="str">
        <f t="shared" si="21"/>
        <v/>
      </c>
      <c r="Q124" t="str">
        <f t="shared" si="20"/>
        <v/>
      </c>
      <c r="S124" t="str">
        <f>""</f>
        <v/>
      </c>
      <c r="AL124" s="18" t="str">
        <f>IF(COUNTIF($A$2:A123, A123) = 1, A123, "")</f>
        <v/>
      </c>
    </row>
    <row r="125" spans="6:38" x14ac:dyDescent="0.2">
      <c r="F125" t="str">
        <f t="shared" si="16"/>
        <v/>
      </c>
      <c r="L125" s="7" t="str">
        <f t="shared" si="17"/>
        <v/>
      </c>
      <c r="N125" s="7" t="str">
        <f t="shared" si="18"/>
        <v/>
      </c>
      <c r="O125" t="str">
        <f t="shared" si="19"/>
        <v/>
      </c>
      <c r="P125" t="str">
        <f t="shared" si="21"/>
        <v/>
      </c>
      <c r="Q125" t="str">
        <f t="shared" si="20"/>
        <v/>
      </c>
      <c r="S125" t="str">
        <f>""</f>
        <v/>
      </c>
      <c r="AL125" s="18" t="str">
        <f>IF(COUNTIF($A$2:A124, A124) = 1, A124, "")</f>
        <v/>
      </c>
    </row>
    <row r="126" spans="6:38" x14ac:dyDescent="0.2">
      <c r="F126" t="str">
        <f t="shared" si="16"/>
        <v/>
      </c>
      <c r="L126" s="7" t="str">
        <f t="shared" si="17"/>
        <v/>
      </c>
      <c r="N126" s="7" t="str">
        <f t="shared" si="18"/>
        <v/>
      </c>
      <c r="O126" t="str">
        <f t="shared" si="19"/>
        <v/>
      </c>
      <c r="P126" t="str">
        <f t="shared" si="21"/>
        <v/>
      </c>
      <c r="Q126" t="str">
        <f t="shared" si="20"/>
        <v/>
      </c>
      <c r="S126" t="str">
        <f>""</f>
        <v/>
      </c>
      <c r="AL126" s="18" t="str">
        <f>IF(COUNTIF($A$2:A125, A125) = 1, A125, "")</f>
        <v/>
      </c>
    </row>
    <row r="127" spans="6:38" x14ac:dyDescent="0.2">
      <c r="F127" t="str">
        <f t="shared" si="16"/>
        <v/>
      </c>
      <c r="L127" s="7" t="str">
        <f t="shared" si="17"/>
        <v/>
      </c>
      <c r="N127" s="7" t="str">
        <f t="shared" si="18"/>
        <v/>
      </c>
      <c r="O127" t="str">
        <f t="shared" si="19"/>
        <v/>
      </c>
      <c r="P127" t="str">
        <f t="shared" si="21"/>
        <v/>
      </c>
      <c r="Q127" t="str">
        <f t="shared" si="20"/>
        <v/>
      </c>
      <c r="S127" t="str">
        <f>""</f>
        <v/>
      </c>
      <c r="AL127" s="18" t="str">
        <f>IF(COUNTIF($A$2:A126, A126) = 1, A126, "")</f>
        <v/>
      </c>
    </row>
    <row r="128" spans="6:38" x14ac:dyDescent="0.2">
      <c r="F128" t="str">
        <f t="shared" si="16"/>
        <v/>
      </c>
      <c r="L128" s="7" t="str">
        <f t="shared" si="17"/>
        <v/>
      </c>
      <c r="N128" s="7" t="str">
        <f t="shared" si="18"/>
        <v/>
      </c>
      <c r="O128" t="str">
        <f t="shared" si="19"/>
        <v/>
      </c>
      <c r="P128" t="str">
        <f t="shared" si="21"/>
        <v/>
      </c>
      <c r="Q128" t="str">
        <f t="shared" si="20"/>
        <v/>
      </c>
      <c r="S128" t="str">
        <f>""</f>
        <v/>
      </c>
      <c r="AL128" s="18" t="str">
        <f>IF(COUNTIF($A$2:A127, A127) = 1, A127, "")</f>
        <v/>
      </c>
    </row>
    <row r="129" spans="6:38" x14ac:dyDescent="0.2">
      <c r="F129" t="str">
        <f t="shared" si="16"/>
        <v/>
      </c>
      <c r="L129" s="7" t="str">
        <f t="shared" si="17"/>
        <v/>
      </c>
      <c r="N129" s="7" t="str">
        <f t="shared" si="18"/>
        <v/>
      </c>
      <c r="O129" t="str">
        <f t="shared" si="19"/>
        <v/>
      </c>
      <c r="P129" t="str">
        <f t="shared" si="21"/>
        <v/>
      </c>
      <c r="Q129" t="str">
        <f t="shared" si="20"/>
        <v/>
      </c>
      <c r="S129" t="str">
        <f>""</f>
        <v/>
      </c>
      <c r="AL129" s="18" t="str">
        <f>IF(COUNTIF($A$2:A128, A128) = 1, A128, "")</f>
        <v/>
      </c>
    </row>
    <row r="130" spans="6:38" x14ac:dyDescent="0.2">
      <c r="F130" t="str">
        <f t="shared" ref="F130:F143" si="22">IF(OR(O130="", P130=""), "", SUM(IF((O130&lt;&gt;"None")*(O130&lt;&gt;""),LEN(O130)-LEN(SUBSTITUTE(O130,",",""))+1,0)) + SUM(IF((P130&lt;&gt;"None")*(P130&lt;&gt;""),LEN(P130)-LEN(SUBSTITUTE(P130,",",""))+1,0)))</f>
        <v/>
      </c>
      <c r="L130" s="7" t="str">
        <f t="shared" ref="L130:L143" si="23">IF(LEN(E130)=0, "", IFERROR(IF(E130&gt;=0, K130 * (1 + E130/100) - K130, K130 / (ABS(E130)/100))+K130, ""))</f>
        <v/>
      </c>
      <c r="N130" s="7" t="str">
        <f t="shared" ref="N130:N143" si="24">IF(M130="Yes",L130-K130,IF(M130="No",-K130,""))</f>
        <v/>
      </c>
      <c r="O130" t="str">
        <f t="shared" ref="O130:O143" si="25">IF(AND(G130="No",H130="No"), "None", "")</f>
        <v/>
      </c>
      <c r="P130" t="str">
        <f t="shared" si="21"/>
        <v/>
      </c>
      <c r="Q130" t="str">
        <f t="shared" ref="Q130:Q143" si="26">IF(AND(D130="Straight", M130 = "No"),IF(O130="None",P130,IF(P130="None",O130) ),"")</f>
        <v/>
      </c>
      <c r="S130" t="str">
        <f>""</f>
        <v/>
      </c>
      <c r="AL130" s="18" t="str">
        <f>IF(COUNTIF($A$2:A129, A129) = 1, A129, "")</f>
        <v/>
      </c>
    </row>
    <row r="131" spans="6:38" x14ac:dyDescent="0.2">
      <c r="F131" t="str">
        <f t="shared" si="22"/>
        <v/>
      </c>
      <c r="L131" s="7" t="str">
        <f t="shared" si="23"/>
        <v/>
      </c>
      <c r="N131" s="7" t="str">
        <f t="shared" si="24"/>
        <v/>
      </c>
      <c r="O131" t="str">
        <f t="shared" si="25"/>
        <v/>
      </c>
      <c r="P131" t="str">
        <f t="shared" si="21"/>
        <v/>
      </c>
      <c r="Q131" t="str">
        <f t="shared" si="26"/>
        <v/>
      </c>
      <c r="S131" t="str">
        <f>""</f>
        <v/>
      </c>
      <c r="AL131" s="18" t="str">
        <f>IF(COUNTIF($A$2:A130, A130) = 1, A130, "")</f>
        <v/>
      </c>
    </row>
    <row r="132" spans="6:38" x14ac:dyDescent="0.2">
      <c r="F132" t="str">
        <f t="shared" si="22"/>
        <v/>
      </c>
      <c r="L132" s="7" t="str">
        <f t="shared" si="23"/>
        <v/>
      </c>
      <c r="N132" s="7" t="str">
        <f t="shared" si="24"/>
        <v/>
      </c>
      <c r="O132" t="str">
        <f t="shared" si="25"/>
        <v/>
      </c>
      <c r="P132" t="str">
        <f t="shared" si="21"/>
        <v/>
      </c>
      <c r="Q132" t="str">
        <f t="shared" si="26"/>
        <v/>
      </c>
      <c r="S132" t="str">
        <f>""</f>
        <v/>
      </c>
      <c r="AL132" s="18" t="str">
        <f>IF(COUNTIF($A$2:A131, A131) = 1, A131, "")</f>
        <v/>
      </c>
    </row>
    <row r="133" spans="6:38" x14ac:dyDescent="0.2">
      <c r="F133" t="str">
        <f t="shared" si="22"/>
        <v/>
      </c>
      <c r="L133" s="7" t="str">
        <f t="shared" si="23"/>
        <v/>
      </c>
      <c r="N133" s="7" t="str">
        <f t="shared" si="24"/>
        <v/>
      </c>
      <c r="O133" t="str">
        <f t="shared" si="25"/>
        <v/>
      </c>
      <c r="P133" t="str">
        <f t="shared" si="21"/>
        <v/>
      </c>
      <c r="Q133" t="str">
        <f t="shared" si="26"/>
        <v/>
      </c>
      <c r="S133" t="str">
        <f>""</f>
        <v/>
      </c>
      <c r="AL133" s="18" t="str">
        <f>IF(COUNTIF($A$2:A132, A132) = 1, A132, "")</f>
        <v/>
      </c>
    </row>
    <row r="134" spans="6:38" x14ac:dyDescent="0.2">
      <c r="F134" t="str">
        <f t="shared" si="22"/>
        <v/>
      </c>
      <c r="L134" s="7" t="str">
        <f t="shared" si="23"/>
        <v/>
      </c>
      <c r="N134" s="7" t="str">
        <f t="shared" si="24"/>
        <v/>
      </c>
      <c r="O134" t="str">
        <f t="shared" si="25"/>
        <v/>
      </c>
      <c r="P134" t="str">
        <f t="shared" si="21"/>
        <v/>
      </c>
      <c r="Q134" t="str">
        <f t="shared" si="26"/>
        <v/>
      </c>
      <c r="S134" t="str">
        <f>""</f>
        <v/>
      </c>
      <c r="AL134" s="18" t="str">
        <f>IF(COUNTIF($A$2:A133, A133) = 1, A133, "")</f>
        <v/>
      </c>
    </row>
    <row r="135" spans="6:38" x14ac:dyDescent="0.2">
      <c r="F135" t="str">
        <f t="shared" si="22"/>
        <v/>
      </c>
      <c r="L135" s="7" t="str">
        <f t="shared" si="23"/>
        <v/>
      </c>
      <c r="N135" s="7" t="str">
        <f t="shared" si="24"/>
        <v/>
      </c>
      <c r="O135" t="str">
        <f t="shared" si="25"/>
        <v/>
      </c>
      <c r="P135" t="str">
        <f t="shared" si="21"/>
        <v/>
      </c>
      <c r="Q135" t="str">
        <f t="shared" si="26"/>
        <v/>
      </c>
      <c r="S135" t="str">
        <f>""</f>
        <v/>
      </c>
      <c r="AL135" s="18" t="str">
        <f>IF(COUNTIF($A$2:A134, A134) = 1, A134, "")</f>
        <v/>
      </c>
    </row>
    <row r="136" spans="6:38" x14ac:dyDescent="0.2">
      <c r="F136" t="str">
        <f t="shared" si="22"/>
        <v/>
      </c>
      <c r="L136" s="7" t="str">
        <f t="shared" si="23"/>
        <v/>
      </c>
      <c r="N136" s="7" t="str">
        <f t="shared" si="24"/>
        <v/>
      </c>
      <c r="O136" t="str">
        <f t="shared" si="25"/>
        <v/>
      </c>
      <c r="P136" t="str">
        <f t="shared" si="21"/>
        <v/>
      </c>
      <c r="Q136" t="str">
        <f t="shared" si="26"/>
        <v/>
      </c>
      <c r="S136" t="str">
        <f>""</f>
        <v/>
      </c>
      <c r="AL136" s="18" t="str">
        <f>IF(COUNTIF($A$2:A135, A135) = 1, A135, "")</f>
        <v/>
      </c>
    </row>
    <row r="137" spans="6:38" x14ac:dyDescent="0.2">
      <c r="F137" t="str">
        <f t="shared" si="22"/>
        <v/>
      </c>
      <c r="L137" s="7" t="str">
        <f t="shared" si="23"/>
        <v/>
      </c>
      <c r="N137" s="7" t="str">
        <f t="shared" si="24"/>
        <v/>
      </c>
      <c r="O137" t="str">
        <f t="shared" si="25"/>
        <v/>
      </c>
      <c r="P137" t="str">
        <f t="shared" si="21"/>
        <v/>
      </c>
      <c r="Q137" t="str">
        <f t="shared" si="26"/>
        <v/>
      </c>
      <c r="S137" t="str">
        <f>""</f>
        <v/>
      </c>
      <c r="AL137" s="18" t="str">
        <f>IF(COUNTIF($A$2:A136, A136) = 1, A136, "")</f>
        <v/>
      </c>
    </row>
    <row r="138" spans="6:38" x14ac:dyDescent="0.2">
      <c r="F138" t="str">
        <f t="shared" si="22"/>
        <v/>
      </c>
      <c r="L138" s="7" t="str">
        <f t="shared" si="23"/>
        <v/>
      </c>
      <c r="N138" s="7" t="str">
        <f t="shared" si="24"/>
        <v/>
      </c>
      <c r="O138" t="str">
        <f t="shared" si="25"/>
        <v/>
      </c>
      <c r="P138" t="str">
        <f t="shared" si="21"/>
        <v/>
      </c>
      <c r="Q138" t="str">
        <f t="shared" si="26"/>
        <v/>
      </c>
      <c r="S138" t="str">
        <f>""</f>
        <v/>
      </c>
      <c r="AL138" s="18" t="str">
        <f>IF(COUNTIF($A$2:A137, A137) = 1, A137, "")</f>
        <v/>
      </c>
    </row>
    <row r="139" spans="6:38" x14ac:dyDescent="0.2">
      <c r="F139" t="str">
        <f t="shared" si="22"/>
        <v/>
      </c>
      <c r="L139" s="7" t="str">
        <f t="shared" si="23"/>
        <v/>
      </c>
      <c r="N139" s="7" t="str">
        <f t="shared" si="24"/>
        <v/>
      </c>
      <c r="O139" t="str">
        <f t="shared" si="25"/>
        <v/>
      </c>
      <c r="P139" t="str">
        <f t="shared" si="21"/>
        <v/>
      </c>
      <c r="Q139" t="str">
        <f t="shared" si="26"/>
        <v/>
      </c>
      <c r="S139" t="str">
        <f>""</f>
        <v/>
      </c>
      <c r="AL139" s="18" t="str">
        <f>IF(COUNTIF($A$2:A138, A138) = 1, A138, "")</f>
        <v/>
      </c>
    </row>
    <row r="140" spans="6:38" x14ac:dyDescent="0.2">
      <c r="F140" t="str">
        <f t="shared" si="22"/>
        <v/>
      </c>
      <c r="L140" s="7" t="str">
        <f t="shared" si="23"/>
        <v/>
      </c>
      <c r="N140" s="7" t="str">
        <f t="shared" si="24"/>
        <v/>
      </c>
      <c r="O140" t="str">
        <f t="shared" si="25"/>
        <v/>
      </c>
      <c r="P140" t="str">
        <f t="shared" si="21"/>
        <v/>
      </c>
      <c r="Q140" t="str">
        <f t="shared" si="26"/>
        <v/>
      </c>
      <c r="S140" t="str">
        <f>""</f>
        <v/>
      </c>
      <c r="AL140" s="18" t="str">
        <f>IF(COUNTIF($A$2:A139, A139) = 1, A139, "")</f>
        <v/>
      </c>
    </row>
    <row r="141" spans="6:38" x14ac:dyDescent="0.2">
      <c r="F141" t="str">
        <f t="shared" si="22"/>
        <v/>
      </c>
      <c r="L141" s="7" t="str">
        <f t="shared" si="23"/>
        <v/>
      </c>
      <c r="N141" s="7" t="str">
        <f t="shared" si="24"/>
        <v/>
      </c>
      <c r="O141" t="str">
        <f t="shared" si="25"/>
        <v/>
      </c>
      <c r="P141" t="str">
        <f t="shared" si="21"/>
        <v/>
      </c>
      <c r="Q141" t="str">
        <f t="shared" si="26"/>
        <v/>
      </c>
      <c r="S141" t="str">
        <f>""</f>
        <v/>
      </c>
      <c r="AL141" s="18" t="str">
        <f>IF(COUNTIF($A$2:A140, A140) = 1, A140, "")</f>
        <v/>
      </c>
    </row>
    <row r="142" spans="6:38" x14ac:dyDescent="0.2">
      <c r="F142" t="str">
        <f t="shared" si="22"/>
        <v/>
      </c>
      <c r="L142" s="7" t="str">
        <f t="shared" si="23"/>
        <v/>
      </c>
      <c r="N142" s="7" t="str">
        <f t="shared" si="24"/>
        <v/>
      </c>
      <c r="O142" t="str">
        <f t="shared" si="25"/>
        <v/>
      </c>
      <c r="P142" t="str">
        <f t="shared" si="21"/>
        <v/>
      </c>
      <c r="Q142" t="str">
        <f t="shared" si="26"/>
        <v/>
      </c>
      <c r="S142" t="str">
        <f>""</f>
        <v/>
      </c>
      <c r="AL142" s="18" t="str">
        <f>IF(COUNTIF($A$2:A141, A141) = 1, A141, "")</f>
        <v/>
      </c>
    </row>
    <row r="143" spans="6:38" x14ac:dyDescent="0.2">
      <c r="F143" t="str">
        <f t="shared" si="22"/>
        <v/>
      </c>
      <c r="L143" s="7" t="str">
        <f t="shared" si="23"/>
        <v/>
      </c>
      <c r="N143" s="7" t="str">
        <f t="shared" si="24"/>
        <v/>
      </c>
      <c r="O143" t="str">
        <f t="shared" si="25"/>
        <v/>
      </c>
      <c r="P143" t="str">
        <f t="shared" si="21"/>
        <v/>
      </c>
      <c r="Q143" t="str">
        <f t="shared" si="26"/>
        <v/>
      </c>
      <c r="S143" t="str">
        <f>""</f>
        <v/>
      </c>
      <c r="AL143" s="18" t="str">
        <f>IF(COUNTIF($A$2:A142, A142) = 1, A142, "")</f>
        <v/>
      </c>
    </row>
    <row r="144" spans="6:38" x14ac:dyDescent="0.2">
      <c r="F144" t="str">
        <f t="shared" ref="F144:F207" si="27">IF(OR(O144="", P144=""), "", SUM(IF((O144&lt;&gt;"None")*(O144&lt;&gt;""),LEN(O144)-LEN(SUBSTITUTE(O144,",",""))+1,0)) + SUM(IF((P144&lt;&gt;"None")*(P144&lt;&gt;""),LEN(P144)-LEN(SUBSTITUTE(P144,",",""))+1,0)))</f>
        <v/>
      </c>
      <c r="L144" s="7" t="str">
        <f t="shared" ref="L144:L207" si="28">IF(LEN(E144)=0, "", IFERROR(IF(E144&gt;=0, K144 * (1 + E144/100) - K144, K144 / (ABS(E144)/100))+K144, ""))</f>
        <v/>
      </c>
      <c r="N144" s="7" t="str">
        <f t="shared" ref="N144:N207" si="29">IF(M144="Yes",L144-K144,IF(M144="No",-K144,""))</f>
        <v/>
      </c>
      <c r="O144" t="str">
        <f t="shared" ref="O144:O207" si="30">IF(AND(G144="No",H144="No"), "None", "")</f>
        <v/>
      </c>
      <c r="P144" t="str">
        <f t="shared" ref="P144:P207" si="31">IF(I144="No", "None", "")</f>
        <v/>
      </c>
      <c r="Q144" t="str">
        <f t="shared" ref="Q144:Q207" si="32">IF(AND(D144="Straight", M144 = "No"),IF(O144="None",P144,IF(P144="None",O144) ),"")</f>
        <v/>
      </c>
      <c r="S144" t="str">
        <f>""</f>
        <v/>
      </c>
      <c r="AL144" s="18" t="str">
        <f>IF(COUNTIF($A$2:A143, A143) = 1, A143, "")</f>
        <v/>
      </c>
    </row>
    <row r="145" spans="6:38" x14ac:dyDescent="0.2">
      <c r="F145" t="str">
        <f t="shared" si="27"/>
        <v/>
      </c>
      <c r="L145" s="7" t="str">
        <f t="shared" si="28"/>
        <v/>
      </c>
      <c r="N145" s="7" t="str">
        <f t="shared" si="29"/>
        <v/>
      </c>
      <c r="O145" t="str">
        <f t="shared" si="30"/>
        <v/>
      </c>
      <c r="P145" t="str">
        <f t="shared" si="31"/>
        <v/>
      </c>
      <c r="Q145" t="str">
        <f t="shared" si="32"/>
        <v/>
      </c>
      <c r="S145" t="str">
        <f>""</f>
        <v/>
      </c>
      <c r="AL145" s="18" t="str">
        <f>IF(COUNTIF($A$2:A144, A144) = 1, A144, "")</f>
        <v/>
      </c>
    </row>
    <row r="146" spans="6:38" x14ac:dyDescent="0.2">
      <c r="F146" t="str">
        <f t="shared" si="27"/>
        <v/>
      </c>
      <c r="L146" s="7" t="str">
        <f t="shared" si="28"/>
        <v/>
      </c>
      <c r="N146" s="7" t="str">
        <f t="shared" si="29"/>
        <v/>
      </c>
      <c r="O146" t="str">
        <f t="shared" si="30"/>
        <v/>
      </c>
      <c r="P146" t="str">
        <f t="shared" si="31"/>
        <v/>
      </c>
      <c r="Q146" t="str">
        <f t="shared" si="32"/>
        <v/>
      </c>
      <c r="S146" t="str">
        <f>""</f>
        <v/>
      </c>
      <c r="AL146" s="18" t="str">
        <f>IF(COUNTIF($A$2:A145, A145) = 1, A145, "")</f>
        <v/>
      </c>
    </row>
    <row r="147" spans="6:38" x14ac:dyDescent="0.2">
      <c r="F147" t="str">
        <f t="shared" si="27"/>
        <v/>
      </c>
      <c r="L147" s="7" t="str">
        <f t="shared" si="28"/>
        <v/>
      </c>
      <c r="N147" s="7" t="str">
        <f t="shared" si="29"/>
        <v/>
      </c>
      <c r="O147" t="str">
        <f t="shared" si="30"/>
        <v/>
      </c>
      <c r="P147" t="str">
        <f t="shared" si="31"/>
        <v/>
      </c>
      <c r="Q147" t="str">
        <f t="shared" si="32"/>
        <v/>
      </c>
      <c r="S147" t="str">
        <f>""</f>
        <v/>
      </c>
      <c r="AL147" s="18" t="str">
        <f>IF(COUNTIF($A$2:A146, A146) = 1, A146, "")</f>
        <v/>
      </c>
    </row>
    <row r="148" spans="6:38" x14ac:dyDescent="0.2">
      <c r="F148" t="str">
        <f t="shared" si="27"/>
        <v/>
      </c>
      <c r="L148" s="7" t="str">
        <f t="shared" si="28"/>
        <v/>
      </c>
      <c r="N148" s="7" t="str">
        <f t="shared" si="29"/>
        <v/>
      </c>
      <c r="O148" t="str">
        <f t="shared" si="30"/>
        <v/>
      </c>
      <c r="P148" t="str">
        <f t="shared" si="31"/>
        <v/>
      </c>
      <c r="Q148" t="str">
        <f t="shared" si="32"/>
        <v/>
      </c>
      <c r="S148" t="str">
        <f>""</f>
        <v/>
      </c>
      <c r="AL148" s="18" t="str">
        <f>IF(COUNTIF($A$2:A147, A147) = 1, A147, "")</f>
        <v/>
      </c>
    </row>
    <row r="149" spans="6:38" x14ac:dyDescent="0.2">
      <c r="F149" t="str">
        <f t="shared" si="27"/>
        <v/>
      </c>
      <c r="L149" s="7" t="str">
        <f t="shared" si="28"/>
        <v/>
      </c>
      <c r="N149" s="7" t="str">
        <f t="shared" si="29"/>
        <v/>
      </c>
      <c r="O149" t="str">
        <f t="shared" si="30"/>
        <v/>
      </c>
      <c r="P149" t="str">
        <f t="shared" si="31"/>
        <v/>
      </c>
      <c r="Q149" t="str">
        <f t="shared" si="32"/>
        <v/>
      </c>
      <c r="S149" t="str">
        <f>""</f>
        <v/>
      </c>
      <c r="AL149" s="18" t="str">
        <f>IF(COUNTIF($A$2:A148, A148) = 1, A148, "")</f>
        <v/>
      </c>
    </row>
    <row r="150" spans="6:38" x14ac:dyDescent="0.2">
      <c r="F150" t="str">
        <f t="shared" si="27"/>
        <v/>
      </c>
      <c r="L150" s="7" t="str">
        <f t="shared" si="28"/>
        <v/>
      </c>
      <c r="N150" s="7" t="str">
        <f t="shared" si="29"/>
        <v/>
      </c>
      <c r="O150" t="str">
        <f t="shared" si="30"/>
        <v/>
      </c>
      <c r="P150" t="str">
        <f t="shared" si="31"/>
        <v/>
      </c>
      <c r="Q150" t="str">
        <f t="shared" si="32"/>
        <v/>
      </c>
      <c r="S150" t="str">
        <f>""</f>
        <v/>
      </c>
      <c r="AL150" s="18" t="str">
        <f>IF(COUNTIF($A$2:A149, A149) = 1, A149, "")</f>
        <v/>
      </c>
    </row>
    <row r="151" spans="6:38" x14ac:dyDescent="0.2">
      <c r="F151" t="str">
        <f t="shared" si="27"/>
        <v/>
      </c>
      <c r="L151" s="7" t="str">
        <f t="shared" si="28"/>
        <v/>
      </c>
      <c r="N151" s="7" t="str">
        <f t="shared" si="29"/>
        <v/>
      </c>
      <c r="O151" t="str">
        <f t="shared" si="30"/>
        <v/>
      </c>
      <c r="P151" t="str">
        <f t="shared" si="31"/>
        <v/>
      </c>
      <c r="Q151" t="str">
        <f t="shared" si="32"/>
        <v/>
      </c>
      <c r="S151" t="str">
        <f>""</f>
        <v/>
      </c>
      <c r="AL151" s="18" t="str">
        <f>IF(COUNTIF($A$2:A150, A150) = 1, A150, "")</f>
        <v/>
      </c>
    </row>
    <row r="152" spans="6:38" x14ac:dyDescent="0.2">
      <c r="F152" t="str">
        <f t="shared" si="27"/>
        <v/>
      </c>
      <c r="L152" s="7" t="str">
        <f t="shared" si="28"/>
        <v/>
      </c>
      <c r="N152" s="7" t="str">
        <f t="shared" si="29"/>
        <v/>
      </c>
      <c r="O152" t="str">
        <f t="shared" si="30"/>
        <v/>
      </c>
      <c r="P152" t="str">
        <f t="shared" si="31"/>
        <v/>
      </c>
      <c r="Q152" t="str">
        <f t="shared" si="32"/>
        <v/>
      </c>
      <c r="S152" t="str">
        <f>""</f>
        <v/>
      </c>
      <c r="AL152" s="18" t="str">
        <f>IF(COUNTIF($A$2:A151, A151) = 1, A151, "")</f>
        <v/>
      </c>
    </row>
    <row r="153" spans="6:38" x14ac:dyDescent="0.2">
      <c r="F153" t="str">
        <f t="shared" si="27"/>
        <v/>
      </c>
      <c r="L153" s="7" t="str">
        <f t="shared" si="28"/>
        <v/>
      </c>
      <c r="N153" s="7" t="str">
        <f t="shared" si="29"/>
        <v/>
      </c>
      <c r="O153" t="str">
        <f t="shared" si="30"/>
        <v/>
      </c>
      <c r="P153" t="str">
        <f t="shared" si="31"/>
        <v/>
      </c>
      <c r="Q153" t="str">
        <f t="shared" si="32"/>
        <v/>
      </c>
      <c r="S153" t="str">
        <f>""</f>
        <v/>
      </c>
      <c r="AL153" s="18" t="str">
        <f>IF(COUNTIF($A$2:A152, A152) = 1, A152, "")</f>
        <v/>
      </c>
    </row>
    <row r="154" spans="6:38" x14ac:dyDescent="0.2">
      <c r="F154" t="str">
        <f t="shared" si="27"/>
        <v/>
      </c>
      <c r="L154" s="7" t="str">
        <f t="shared" si="28"/>
        <v/>
      </c>
      <c r="N154" s="7" t="str">
        <f t="shared" si="29"/>
        <v/>
      </c>
      <c r="O154" t="str">
        <f t="shared" si="30"/>
        <v/>
      </c>
      <c r="P154" t="str">
        <f t="shared" si="31"/>
        <v/>
      </c>
      <c r="Q154" t="str">
        <f t="shared" si="32"/>
        <v/>
      </c>
      <c r="S154" t="str">
        <f>""</f>
        <v/>
      </c>
      <c r="AL154" s="18" t="str">
        <f>IF(COUNTIF($A$2:A153, A153) = 1, A153, "")</f>
        <v/>
      </c>
    </row>
    <row r="155" spans="6:38" x14ac:dyDescent="0.2">
      <c r="F155" t="str">
        <f t="shared" si="27"/>
        <v/>
      </c>
      <c r="L155" s="7" t="str">
        <f t="shared" si="28"/>
        <v/>
      </c>
      <c r="N155" s="7" t="str">
        <f t="shared" si="29"/>
        <v/>
      </c>
      <c r="O155" t="str">
        <f t="shared" si="30"/>
        <v/>
      </c>
      <c r="P155" t="str">
        <f t="shared" si="31"/>
        <v/>
      </c>
      <c r="Q155" t="str">
        <f t="shared" si="32"/>
        <v/>
      </c>
      <c r="S155" t="str">
        <f>""</f>
        <v/>
      </c>
      <c r="AL155" s="18" t="str">
        <f>IF(COUNTIF($A$2:A154, A154) = 1, A154, "")</f>
        <v/>
      </c>
    </row>
    <row r="156" spans="6:38" x14ac:dyDescent="0.2">
      <c r="F156" t="str">
        <f t="shared" si="27"/>
        <v/>
      </c>
      <c r="L156" s="7" t="str">
        <f t="shared" si="28"/>
        <v/>
      </c>
      <c r="N156" s="7" t="str">
        <f t="shared" si="29"/>
        <v/>
      </c>
      <c r="O156" t="str">
        <f t="shared" si="30"/>
        <v/>
      </c>
      <c r="P156" t="str">
        <f t="shared" si="31"/>
        <v/>
      </c>
      <c r="Q156" t="str">
        <f t="shared" si="32"/>
        <v/>
      </c>
      <c r="S156" t="str">
        <f>""</f>
        <v/>
      </c>
      <c r="AL156" s="18" t="str">
        <f>IF(COUNTIF($A$2:A155, A155) = 1, A155, "")</f>
        <v/>
      </c>
    </row>
    <row r="157" spans="6:38" x14ac:dyDescent="0.2">
      <c r="F157" t="str">
        <f t="shared" si="27"/>
        <v/>
      </c>
      <c r="L157" s="7" t="str">
        <f t="shared" si="28"/>
        <v/>
      </c>
      <c r="N157" s="7" t="str">
        <f t="shared" si="29"/>
        <v/>
      </c>
      <c r="O157" t="str">
        <f t="shared" si="30"/>
        <v/>
      </c>
      <c r="P157" t="str">
        <f t="shared" si="31"/>
        <v/>
      </c>
      <c r="Q157" t="str">
        <f t="shared" si="32"/>
        <v/>
      </c>
      <c r="S157" t="str">
        <f>""</f>
        <v/>
      </c>
      <c r="AL157" s="18" t="str">
        <f>IF(COUNTIF($A$2:A156, A156) = 1, A156, "")</f>
        <v/>
      </c>
    </row>
    <row r="158" spans="6:38" x14ac:dyDescent="0.2">
      <c r="F158" t="str">
        <f t="shared" si="27"/>
        <v/>
      </c>
      <c r="L158" s="7" t="str">
        <f t="shared" si="28"/>
        <v/>
      </c>
      <c r="N158" s="7" t="str">
        <f t="shared" si="29"/>
        <v/>
      </c>
      <c r="O158" t="str">
        <f t="shared" si="30"/>
        <v/>
      </c>
      <c r="P158" t="str">
        <f t="shared" si="31"/>
        <v/>
      </c>
      <c r="Q158" t="str">
        <f t="shared" si="32"/>
        <v/>
      </c>
      <c r="S158" t="str">
        <f>""</f>
        <v/>
      </c>
      <c r="AL158" s="18" t="str">
        <f>IF(COUNTIF($A$2:A157, A157) = 1, A157, "")</f>
        <v/>
      </c>
    </row>
    <row r="159" spans="6:38" x14ac:dyDescent="0.2">
      <c r="F159" t="str">
        <f t="shared" si="27"/>
        <v/>
      </c>
      <c r="L159" s="7" t="str">
        <f t="shared" si="28"/>
        <v/>
      </c>
      <c r="N159" s="7" t="str">
        <f t="shared" si="29"/>
        <v/>
      </c>
      <c r="O159" t="str">
        <f t="shared" si="30"/>
        <v/>
      </c>
      <c r="P159" t="str">
        <f t="shared" si="31"/>
        <v/>
      </c>
      <c r="Q159" t="str">
        <f t="shared" si="32"/>
        <v/>
      </c>
      <c r="S159" t="str">
        <f>""</f>
        <v/>
      </c>
      <c r="AL159" s="18" t="str">
        <f>IF(COUNTIF($A$2:A158, A158) = 1, A158, "")</f>
        <v/>
      </c>
    </row>
    <row r="160" spans="6:38" x14ac:dyDescent="0.2">
      <c r="F160" t="str">
        <f t="shared" si="27"/>
        <v/>
      </c>
      <c r="L160" s="7" t="str">
        <f t="shared" si="28"/>
        <v/>
      </c>
      <c r="N160" s="7" t="str">
        <f t="shared" si="29"/>
        <v/>
      </c>
      <c r="O160" t="str">
        <f t="shared" si="30"/>
        <v/>
      </c>
      <c r="P160" t="str">
        <f t="shared" si="31"/>
        <v/>
      </c>
      <c r="Q160" t="str">
        <f t="shared" si="32"/>
        <v/>
      </c>
      <c r="S160" t="str">
        <f>""</f>
        <v/>
      </c>
      <c r="AL160" s="18" t="str">
        <f>IF(COUNTIF($A$2:A159, A159) = 1, A159, "")</f>
        <v/>
      </c>
    </row>
    <row r="161" spans="6:38" x14ac:dyDescent="0.2">
      <c r="F161" t="str">
        <f t="shared" si="27"/>
        <v/>
      </c>
      <c r="L161" s="7" t="str">
        <f t="shared" si="28"/>
        <v/>
      </c>
      <c r="N161" s="7" t="str">
        <f t="shared" si="29"/>
        <v/>
      </c>
      <c r="O161" t="str">
        <f t="shared" si="30"/>
        <v/>
      </c>
      <c r="P161" t="str">
        <f t="shared" si="31"/>
        <v/>
      </c>
      <c r="Q161" t="str">
        <f t="shared" si="32"/>
        <v/>
      </c>
      <c r="S161" t="str">
        <f>""</f>
        <v/>
      </c>
      <c r="AL161" s="18" t="str">
        <f>IF(COUNTIF($A$2:A160, A160) = 1, A160, "")</f>
        <v/>
      </c>
    </row>
    <row r="162" spans="6:38" x14ac:dyDescent="0.2">
      <c r="F162" t="str">
        <f t="shared" si="27"/>
        <v/>
      </c>
      <c r="L162" s="7" t="str">
        <f t="shared" si="28"/>
        <v/>
      </c>
      <c r="N162" s="7" t="str">
        <f t="shared" si="29"/>
        <v/>
      </c>
      <c r="O162" t="str">
        <f t="shared" si="30"/>
        <v/>
      </c>
      <c r="P162" t="str">
        <f t="shared" si="31"/>
        <v/>
      </c>
      <c r="Q162" t="str">
        <f t="shared" si="32"/>
        <v/>
      </c>
      <c r="S162" t="str">
        <f>""</f>
        <v/>
      </c>
      <c r="AL162" s="18" t="str">
        <f>IF(COUNTIF($A$2:A161, A161) = 1, A161, "")</f>
        <v/>
      </c>
    </row>
    <row r="163" spans="6:38" x14ac:dyDescent="0.2">
      <c r="F163" t="str">
        <f t="shared" si="27"/>
        <v/>
      </c>
      <c r="L163" s="7" t="str">
        <f t="shared" si="28"/>
        <v/>
      </c>
      <c r="N163" s="7" t="str">
        <f t="shared" si="29"/>
        <v/>
      </c>
      <c r="O163" t="str">
        <f t="shared" si="30"/>
        <v/>
      </c>
      <c r="P163" t="str">
        <f t="shared" si="31"/>
        <v/>
      </c>
      <c r="Q163" t="str">
        <f t="shared" si="32"/>
        <v/>
      </c>
      <c r="S163" t="str">
        <f>""</f>
        <v/>
      </c>
      <c r="AL163" s="18" t="str">
        <f>IF(COUNTIF($A$2:A162, A162) = 1, A162, "")</f>
        <v/>
      </c>
    </row>
    <row r="164" spans="6:38" x14ac:dyDescent="0.2">
      <c r="F164" t="str">
        <f t="shared" si="27"/>
        <v/>
      </c>
      <c r="L164" s="7" t="str">
        <f t="shared" si="28"/>
        <v/>
      </c>
      <c r="N164" s="7" t="str">
        <f t="shared" si="29"/>
        <v/>
      </c>
      <c r="O164" t="str">
        <f t="shared" si="30"/>
        <v/>
      </c>
      <c r="P164" t="str">
        <f t="shared" si="31"/>
        <v/>
      </c>
      <c r="Q164" t="str">
        <f t="shared" si="32"/>
        <v/>
      </c>
      <c r="S164" t="str">
        <f>""</f>
        <v/>
      </c>
      <c r="AL164" s="18" t="str">
        <f>IF(COUNTIF($A$2:A163, A163) = 1, A163, "")</f>
        <v/>
      </c>
    </row>
    <row r="165" spans="6:38" x14ac:dyDescent="0.2">
      <c r="F165" t="str">
        <f t="shared" si="27"/>
        <v/>
      </c>
      <c r="L165" s="7" t="str">
        <f t="shared" si="28"/>
        <v/>
      </c>
      <c r="N165" s="7" t="str">
        <f t="shared" si="29"/>
        <v/>
      </c>
      <c r="O165" t="str">
        <f t="shared" si="30"/>
        <v/>
      </c>
      <c r="P165" t="str">
        <f t="shared" si="31"/>
        <v/>
      </c>
      <c r="Q165" t="str">
        <f t="shared" si="32"/>
        <v/>
      </c>
      <c r="S165" t="str">
        <f>""</f>
        <v/>
      </c>
      <c r="AL165" s="18" t="str">
        <f>IF(COUNTIF($A$2:A164, A164) = 1, A164, "")</f>
        <v/>
      </c>
    </row>
    <row r="166" spans="6:38" x14ac:dyDescent="0.2">
      <c r="F166" t="str">
        <f t="shared" si="27"/>
        <v/>
      </c>
      <c r="L166" s="7" t="str">
        <f t="shared" si="28"/>
        <v/>
      </c>
      <c r="N166" s="7" t="str">
        <f t="shared" si="29"/>
        <v/>
      </c>
      <c r="O166" t="str">
        <f t="shared" si="30"/>
        <v/>
      </c>
      <c r="P166" t="str">
        <f t="shared" si="31"/>
        <v/>
      </c>
      <c r="Q166" t="str">
        <f t="shared" si="32"/>
        <v/>
      </c>
      <c r="S166" t="str">
        <f>""</f>
        <v/>
      </c>
      <c r="AL166" s="18" t="str">
        <f>IF(COUNTIF($A$2:A165, A165) = 1, A165, "")</f>
        <v/>
      </c>
    </row>
    <row r="167" spans="6:38" x14ac:dyDescent="0.2">
      <c r="F167" t="str">
        <f t="shared" si="27"/>
        <v/>
      </c>
      <c r="L167" s="7" t="str">
        <f t="shared" si="28"/>
        <v/>
      </c>
      <c r="N167" s="7" t="str">
        <f t="shared" si="29"/>
        <v/>
      </c>
      <c r="O167" t="str">
        <f t="shared" si="30"/>
        <v/>
      </c>
      <c r="P167" t="str">
        <f t="shared" si="31"/>
        <v/>
      </c>
      <c r="Q167" t="str">
        <f t="shared" si="32"/>
        <v/>
      </c>
      <c r="S167" t="str">
        <f>""</f>
        <v/>
      </c>
      <c r="AL167" s="18" t="str">
        <f>IF(COUNTIF($A$2:A166, A166) = 1, A166, "")</f>
        <v/>
      </c>
    </row>
    <row r="168" spans="6:38" x14ac:dyDescent="0.2">
      <c r="F168" t="str">
        <f t="shared" si="27"/>
        <v/>
      </c>
      <c r="L168" s="7" t="str">
        <f t="shared" si="28"/>
        <v/>
      </c>
      <c r="N168" s="7" t="str">
        <f t="shared" si="29"/>
        <v/>
      </c>
      <c r="O168" t="str">
        <f t="shared" si="30"/>
        <v/>
      </c>
      <c r="P168" t="str">
        <f t="shared" si="31"/>
        <v/>
      </c>
      <c r="Q168" t="str">
        <f t="shared" si="32"/>
        <v/>
      </c>
      <c r="S168" t="str">
        <f>""</f>
        <v/>
      </c>
      <c r="AL168" s="18" t="str">
        <f>IF(COUNTIF($A$2:A167, A167) = 1, A167, "")</f>
        <v/>
      </c>
    </row>
    <row r="169" spans="6:38" x14ac:dyDescent="0.2">
      <c r="F169" t="str">
        <f t="shared" si="27"/>
        <v/>
      </c>
      <c r="L169" s="7" t="str">
        <f t="shared" si="28"/>
        <v/>
      </c>
      <c r="N169" s="7" t="str">
        <f t="shared" si="29"/>
        <v/>
      </c>
      <c r="O169" t="str">
        <f t="shared" si="30"/>
        <v/>
      </c>
      <c r="P169" t="str">
        <f t="shared" si="31"/>
        <v/>
      </c>
      <c r="Q169" t="str">
        <f t="shared" si="32"/>
        <v/>
      </c>
      <c r="S169" t="str">
        <f>""</f>
        <v/>
      </c>
      <c r="AL169" s="18" t="str">
        <f>IF(COUNTIF($A$2:A168, A168) = 1, A168, "")</f>
        <v/>
      </c>
    </row>
    <row r="170" spans="6:38" x14ac:dyDescent="0.2">
      <c r="F170" t="str">
        <f t="shared" si="27"/>
        <v/>
      </c>
      <c r="L170" s="7" t="str">
        <f t="shared" si="28"/>
        <v/>
      </c>
      <c r="N170" s="7" t="str">
        <f t="shared" si="29"/>
        <v/>
      </c>
      <c r="O170" t="str">
        <f t="shared" si="30"/>
        <v/>
      </c>
      <c r="P170" t="str">
        <f t="shared" si="31"/>
        <v/>
      </c>
      <c r="Q170" t="str">
        <f t="shared" si="32"/>
        <v/>
      </c>
      <c r="S170" t="str">
        <f>""</f>
        <v/>
      </c>
      <c r="AL170" s="18" t="str">
        <f>IF(COUNTIF($A$2:A169, A169) = 1, A169, "")</f>
        <v/>
      </c>
    </row>
    <row r="171" spans="6:38" x14ac:dyDescent="0.2">
      <c r="F171" t="str">
        <f t="shared" si="27"/>
        <v/>
      </c>
      <c r="L171" s="7" t="str">
        <f t="shared" si="28"/>
        <v/>
      </c>
      <c r="N171" s="7" t="str">
        <f t="shared" si="29"/>
        <v/>
      </c>
      <c r="O171" t="str">
        <f t="shared" si="30"/>
        <v/>
      </c>
      <c r="P171" t="str">
        <f t="shared" si="31"/>
        <v/>
      </c>
      <c r="Q171" t="str">
        <f t="shared" si="32"/>
        <v/>
      </c>
      <c r="S171" t="str">
        <f>""</f>
        <v/>
      </c>
      <c r="AL171" s="18" t="str">
        <f>IF(COUNTIF($A$2:A170, A170) = 1, A170, "")</f>
        <v/>
      </c>
    </row>
    <row r="172" spans="6:38" x14ac:dyDescent="0.2">
      <c r="F172" t="str">
        <f t="shared" si="27"/>
        <v/>
      </c>
      <c r="L172" s="7" t="str">
        <f t="shared" si="28"/>
        <v/>
      </c>
      <c r="N172" s="7" t="str">
        <f t="shared" si="29"/>
        <v/>
      </c>
      <c r="O172" t="str">
        <f t="shared" si="30"/>
        <v/>
      </c>
      <c r="P172" t="str">
        <f t="shared" si="31"/>
        <v/>
      </c>
      <c r="Q172" t="str">
        <f t="shared" si="32"/>
        <v/>
      </c>
      <c r="S172" t="str">
        <f>""</f>
        <v/>
      </c>
      <c r="AL172" s="18" t="str">
        <f>IF(COUNTIF($A$2:A171, A171) = 1, A171, "")</f>
        <v/>
      </c>
    </row>
    <row r="173" spans="6:38" x14ac:dyDescent="0.2">
      <c r="F173" t="str">
        <f t="shared" si="27"/>
        <v/>
      </c>
      <c r="L173" s="7" t="str">
        <f t="shared" si="28"/>
        <v/>
      </c>
      <c r="N173" s="7" t="str">
        <f t="shared" si="29"/>
        <v/>
      </c>
      <c r="O173" t="str">
        <f t="shared" si="30"/>
        <v/>
      </c>
      <c r="P173" t="str">
        <f t="shared" si="31"/>
        <v/>
      </c>
      <c r="Q173" t="str">
        <f t="shared" si="32"/>
        <v/>
      </c>
      <c r="S173" t="str">
        <f>""</f>
        <v/>
      </c>
      <c r="AL173" s="18" t="str">
        <f>IF(COUNTIF($A$2:A172, A172) = 1, A172, "")</f>
        <v/>
      </c>
    </row>
    <row r="174" spans="6:38" x14ac:dyDescent="0.2">
      <c r="F174" t="str">
        <f t="shared" si="27"/>
        <v/>
      </c>
      <c r="L174" s="7" t="str">
        <f t="shared" si="28"/>
        <v/>
      </c>
      <c r="N174" s="7" t="str">
        <f t="shared" si="29"/>
        <v/>
      </c>
      <c r="O174" t="str">
        <f t="shared" si="30"/>
        <v/>
      </c>
      <c r="P174" t="str">
        <f t="shared" si="31"/>
        <v/>
      </c>
      <c r="Q174" t="str">
        <f t="shared" si="32"/>
        <v/>
      </c>
      <c r="S174" t="str">
        <f>""</f>
        <v/>
      </c>
      <c r="AL174" s="18" t="str">
        <f>IF(COUNTIF($A$2:A173, A173) = 1, A173, "")</f>
        <v/>
      </c>
    </row>
    <row r="175" spans="6:38" x14ac:dyDescent="0.2">
      <c r="F175" t="str">
        <f t="shared" si="27"/>
        <v/>
      </c>
      <c r="L175" s="7" t="str">
        <f t="shared" si="28"/>
        <v/>
      </c>
      <c r="N175" s="7" t="str">
        <f t="shared" si="29"/>
        <v/>
      </c>
      <c r="O175" t="str">
        <f t="shared" si="30"/>
        <v/>
      </c>
      <c r="P175" t="str">
        <f t="shared" si="31"/>
        <v/>
      </c>
      <c r="Q175" t="str">
        <f t="shared" si="32"/>
        <v/>
      </c>
      <c r="S175" t="str">
        <f>""</f>
        <v/>
      </c>
      <c r="AL175" s="18" t="str">
        <f>IF(COUNTIF($A$2:A174, A174) = 1, A174, "")</f>
        <v/>
      </c>
    </row>
    <row r="176" spans="6:38" x14ac:dyDescent="0.2">
      <c r="F176" t="str">
        <f t="shared" si="27"/>
        <v/>
      </c>
      <c r="L176" s="7" t="str">
        <f t="shared" si="28"/>
        <v/>
      </c>
      <c r="N176" s="7" t="str">
        <f t="shared" si="29"/>
        <v/>
      </c>
      <c r="O176" t="str">
        <f t="shared" si="30"/>
        <v/>
      </c>
      <c r="P176" t="str">
        <f t="shared" si="31"/>
        <v/>
      </c>
      <c r="Q176" t="str">
        <f t="shared" si="32"/>
        <v/>
      </c>
      <c r="S176" t="str">
        <f>""</f>
        <v/>
      </c>
      <c r="AL176" s="18" t="str">
        <f>IF(COUNTIF($A$2:A175, A175) = 1, A175, "")</f>
        <v/>
      </c>
    </row>
    <row r="177" spans="6:38" x14ac:dyDescent="0.2">
      <c r="F177" t="str">
        <f t="shared" si="27"/>
        <v/>
      </c>
      <c r="L177" s="7" t="str">
        <f t="shared" si="28"/>
        <v/>
      </c>
      <c r="N177" s="7" t="str">
        <f t="shared" si="29"/>
        <v/>
      </c>
      <c r="O177" t="str">
        <f t="shared" si="30"/>
        <v/>
      </c>
      <c r="P177" t="str">
        <f t="shared" si="31"/>
        <v/>
      </c>
      <c r="Q177" t="str">
        <f t="shared" si="32"/>
        <v/>
      </c>
      <c r="S177" t="str">
        <f>""</f>
        <v/>
      </c>
      <c r="AL177" s="18" t="str">
        <f>IF(COUNTIF($A$2:A176, A176) = 1, A176, "")</f>
        <v/>
      </c>
    </row>
    <row r="178" spans="6:38" x14ac:dyDescent="0.2">
      <c r="F178" t="str">
        <f t="shared" si="27"/>
        <v/>
      </c>
      <c r="L178" s="7" t="str">
        <f t="shared" si="28"/>
        <v/>
      </c>
      <c r="N178" s="7" t="str">
        <f t="shared" si="29"/>
        <v/>
      </c>
      <c r="O178" t="str">
        <f t="shared" si="30"/>
        <v/>
      </c>
      <c r="P178" t="str">
        <f t="shared" si="31"/>
        <v/>
      </c>
      <c r="Q178" t="str">
        <f t="shared" si="32"/>
        <v/>
      </c>
      <c r="S178" t="str">
        <f>""</f>
        <v/>
      </c>
      <c r="AL178" s="18" t="str">
        <f>IF(COUNTIF($A$2:A177, A177) = 1, A177, "")</f>
        <v/>
      </c>
    </row>
    <row r="179" spans="6:38" x14ac:dyDescent="0.2">
      <c r="F179" t="str">
        <f t="shared" si="27"/>
        <v/>
      </c>
      <c r="L179" s="7" t="str">
        <f t="shared" si="28"/>
        <v/>
      </c>
      <c r="N179" s="7" t="str">
        <f t="shared" si="29"/>
        <v/>
      </c>
      <c r="O179" t="str">
        <f t="shared" si="30"/>
        <v/>
      </c>
      <c r="P179" t="str">
        <f t="shared" si="31"/>
        <v/>
      </c>
      <c r="Q179" t="str">
        <f t="shared" si="32"/>
        <v/>
      </c>
      <c r="S179" t="str">
        <f>""</f>
        <v/>
      </c>
      <c r="AL179" s="18" t="str">
        <f>IF(COUNTIF($A$2:A178, A178) = 1, A178, "")</f>
        <v/>
      </c>
    </row>
    <row r="180" spans="6:38" x14ac:dyDescent="0.2">
      <c r="F180" t="str">
        <f t="shared" si="27"/>
        <v/>
      </c>
      <c r="L180" s="7" t="str">
        <f t="shared" si="28"/>
        <v/>
      </c>
      <c r="N180" s="7" t="str">
        <f t="shared" si="29"/>
        <v/>
      </c>
      <c r="O180" t="str">
        <f t="shared" si="30"/>
        <v/>
      </c>
      <c r="P180" t="str">
        <f t="shared" si="31"/>
        <v/>
      </c>
      <c r="Q180" t="str">
        <f t="shared" si="32"/>
        <v/>
      </c>
      <c r="S180" t="str">
        <f>""</f>
        <v/>
      </c>
      <c r="AL180" s="18" t="str">
        <f>IF(COUNTIF($A$2:A179, A179) = 1, A179, "")</f>
        <v/>
      </c>
    </row>
    <row r="181" spans="6:38" x14ac:dyDescent="0.2">
      <c r="F181" t="str">
        <f t="shared" si="27"/>
        <v/>
      </c>
      <c r="L181" s="7" t="str">
        <f t="shared" si="28"/>
        <v/>
      </c>
      <c r="N181" s="7" t="str">
        <f t="shared" si="29"/>
        <v/>
      </c>
      <c r="O181" t="str">
        <f t="shared" si="30"/>
        <v/>
      </c>
      <c r="P181" t="str">
        <f t="shared" si="31"/>
        <v/>
      </c>
      <c r="Q181" t="str">
        <f t="shared" si="32"/>
        <v/>
      </c>
      <c r="S181" t="str">
        <f>""</f>
        <v/>
      </c>
      <c r="AL181" s="18" t="str">
        <f>IF(COUNTIF($A$2:A180, A180) = 1, A180, "")</f>
        <v/>
      </c>
    </row>
    <row r="182" spans="6:38" x14ac:dyDescent="0.2">
      <c r="F182" t="str">
        <f t="shared" si="27"/>
        <v/>
      </c>
      <c r="L182" s="7" t="str">
        <f t="shared" si="28"/>
        <v/>
      </c>
      <c r="N182" s="7" t="str">
        <f t="shared" si="29"/>
        <v/>
      </c>
      <c r="O182" t="str">
        <f t="shared" si="30"/>
        <v/>
      </c>
      <c r="P182" t="str">
        <f t="shared" si="31"/>
        <v/>
      </c>
      <c r="Q182" t="str">
        <f t="shared" si="32"/>
        <v/>
      </c>
      <c r="S182" t="str">
        <f>""</f>
        <v/>
      </c>
      <c r="AL182" s="18" t="str">
        <f>IF(COUNTIF($A$2:A181, A181) = 1, A181, "")</f>
        <v/>
      </c>
    </row>
    <row r="183" spans="6:38" x14ac:dyDescent="0.2">
      <c r="F183" t="str">
        <f t="shared" si="27"/>
        <v/>
      </c>
      <c r="L183" s="7" t="str">
        <f t="shared" si="28"/>
        <v/>
      </c>
      <c r="N183" s="7" t="str">
        <f t="shared" si="29"/>
        <v/>
      </c>
      <c r="O183" t="str">
        <f t="shared" si="30"/>
        <v/>
      </c>
      <c r="P183" t="str">
        <f t="shared" si="31"/>
        <v/>
      </c>
      <c r="Q183" t="str">
        <f t="shared" si="32"/>
        <v/>
      </c>
      <c r="S183" t="str">
        <f>""</f>
        <v/>
      </c>
      <c r="AL183" s="18" t="str">
        <f>IF(COUNTIF($A$2:A182, A182) = 1, A182, "")</f>
        <v/>
      </c>
    </row>
    <row r="184" spans="6:38" x14ac:dyDescent="0.2">
      <c r="F184" t="str">
        <f t="shared" si="27"/>
        <v/>
      </c>
      <c r="L184" s="7" t="str">
        <f t="shared" si="28"/>
        <v/>
      </c>
      <c r="N184" s="7" t="str">
        <f t="shared" si="29"/>
        <v/>
      </c>
      <c r="O184" t="str">
        <f t="shared" si="30"/>
        <v/>
      </c>
      <c r="P184" t="str">
        <f t="shared" si="31"/>
        <v/>
      </c>
      <c r="Q184" t="str">
        <f t="shared" si="32"/>
        <v/>
      </c>
      <c r="S184" t="str">
        <f>""</f>
        <v/>
      </c>
      <c r="AL184" s="18" t="str">
        <f>IF(COUNTIF($A$2:A183, A183) = 1, A183, "")</f>
        <v/>
      </c>
    </row>
    <row r="185" spans="6:38" x14ac:dyDescent="0.2">
      <c r="F185" t="str">
        <f t="shared" si="27"/>
        <v/>
      </c>
      <c r="L185" s="7" t="str">
        <f t="shared" si="28"/>
        <v/>
      </c>
      <c r="N185" s="7" t="str">
        <f t="shared" si="29"/>
        <v/>
      </c>
      <c r="O185" t="str">
        <f t="shared" si="30"/>
        <v/>
      </c>
      <c r="P185" t="str">
        <f t="shared" si="31"/>
        <v/>
      </c>
      <c r="Q185" t="str">
        <f t="shared" si="32"/>
        <v/>
      </c>
      <c r="S185" t="str">
        <f>""</f>
        <v/>
      </c>
      <c r="AL185" s="18" t="str">
        <f>IF(COUNTIF($A$2:A184, A184) = 1, A184, "")</f>
        <v/>
      </c>
    </row>
    <row r="186" spans="6:38" x14ac:dyDescent="0.2">
      <c r="F186" t="str">
        <f t="shared" si="27"/>
        <v/>
      </c>
      <c r="L186" s="7" t="str">
        <f t="shared" si="28"/>
        <v/>
      </c>
      <c r="N186" s="7" t="str">
        <f t="shared" si="29"/>
        <v/>
      </c>
      <c r="O186" t="str">
        <f t="shared" si="30"/>
        <v/>
      </c>
      <c r="P186" t="str">
        <f t="shared" si="31"/>
        <v/>
      </c>
      <c r="Q186" t="str">
        <f t="shared" si="32"/>
        <v/>
      </c>
      <c r="S186" t="str">
        <f>""</f>
        <v/>
      </c>
      <c r="AL186" s="18" t="str">
        <f>IF(COUNTIF($A$2:A185, A185) = 1, A185, "")</f>
        <v/>
      </c>
    </row>
    <row r="187" spans="6:38" x14ac:dyDescent="0.2">
      <c r="F187" t="str">
        <f t="shared" si="27"/>
        <v/>
      </c>
      <c r="L187" s="7" t="str">
        <f t="shared" si="28"/>
        <v/>
      </c>
      <c r="N187" s="7" t="str">
        <f t="shared" si="29"/>
        <v/>
      </c>
      <c r="O187" t="str">
        <f t="shared" si="30"/>
        <v/>
      </c>
      <c r="P187" t="str">
        <f t="shared" si="31"/>
        <v/>
      </c>
      <c r="Q187" t="str">
        <f t="shared" si="32"/>
        <v/>
      </c>
      <c r="S187" t="str">
        <f>""</f>
        <v/>
      </c>
      <c r="AL187" s="18" t="str">
        <f>IF(COUNTIF($A$2:A186, A186) = 1, A186, "")</f>
        <v/>
      </c>
    </row>
    <row r="188" spans="6:38" x14ac:dyDescent="0.2">
      <c r="F188" t="str">
        <f t="shared" si="27"/>
        <v/>
      </c>
      <c r="L188" s="7" t="str">
        <f t="shared" si="28"/>
        <v/>
      </c>
      <c r="N188" s="7" t="str">
        <f t="shared" si="29"/>
        <v/>
      </c>
      <c r="O188" t="str">
        <f t="shared" si="30"/>
        <v/>
      </c>
      <c r="P188" t="str">
        <f t="shared" si="31"/>
        <v/>
      </c>
      <c r="Q188" t="str">
        <f t="shared" si="32"/>
        <v/>
      </c>
      <c r="S188" t="str">
        <f>""</f>
        <v/>
      </c>
      <c r="AL188" s="18" t="str">
        <f>IF(COUNTIF($A$2:A187, A187) = 1, A187, "")</f>
        <v/>
      </c>
    </row>
    <row r="189" spans="6:38" x14ac:dyDescent="0.2">
      <c r="F189" t="str">
        <f t="shared" si="27"/>
        <v/>
      </c>
      <c r="L189" s="7" t="str">
        <f t="shared" si="28"/>
        <v/>
      </c>
      <c r="N189" s="7" t="str">
        <f t="shared" si="29"/>
        <v/>
      </c>
      <c r="O189" t="str">
        <f t="shared" si="30"/>
        <v/>
      </c>
      <c r="P189" t="str">
        <f t="shared" si="31"/>
        <v/>
      </c>
      <c r="Q189" t="str">
        <f t="shared" si="32"/>
        <v/>
      </c>
      <c r="S189" t="str">
        <f>""</f>
        <v/>
      </c>
      <c r="AL189" s="18" t="str">
        <f>IF(COUNTIF($A$2:A188, A188) = 1, A188, "")</f>
        <v/>
      </c>
    </row>
    <row r="190" spans="6:38" x14ac:dyDescent="0.2">
      <c r="F190" t="str">
        <f t="shared" si="27"/>
        <v/>
      </c>
      <c r="L190" s="7" t="str">
        <f t="shared" si="28"/>
        <v/>
      </c>
      <c r="N190" s="7" t="str">
        <f t="shared" si="29"/>
        <v/>
      </c>
      <c r="O190" t="str">
        <f t="shared" si="30"/>
        <v/>
      </c>
      <c r="P190" t="str">
        <f t="shared" si="31"/>
        <v/>
      </c>
      <c r="Q190" t="str">
        <f t="shared" si="32"/>
        <v/>
      </c>
      <c r="S190" t="str">
        <f>""</f>
        <v/>
      </c>
      <c r="AL190" s="18" t="str">
        <f>IF(COUNTIF($A$2:A189, A189) = 1, A189, "")</f>
        <v/>
      </c>
    </row>
    <row r="191" spans="6:38" x14ac:dyDescent="0.2">
      <c r="F191" t="str">
        <f t="shared" si="27"/>
        <v/>
      </c>
      <c r="L191" s="7" t="str">
        <f t="shared" si="28"/>
        <v/>
      </c>
      <c r="N191" s="7" t="str">
        <f t="shared" si="29"/>
        <v/>
      </c>
      <c r="O191" t="str">
        <f t="shared" si="30"/>
        <v/>
      </c>
      <c r="P191" t="str">
        <f t="shared" si="31"/>
        <v/>
      </c>
      <c r="Q191" t="str">
        <f t="shared" si="32"/>
        <v/>
      </c>
      <c r="S191" t="str">
        <f>""</f>
        <v/>
      </c>
      <c r="AL191" s="18" t="str">
        <f>IF(COUNTIF($A$2:A190, A190) = 1, A190, "")</f>
        <v/>
      </c>
    </row>
    <row r="192" spans="6:38" x14ac:dyDescent="0.2">
      <c r="F192" t="str">
        <f t="shared" si="27"/>
        <v/>
      </c>
      <c r="L192" s="7" t="str">
        <f t="shared" si="28"/>
        <v/>
      </c>
      <c r="N192" s="7" t="str">
        <f t="shared" si="29"/>
        <v/>
      </c>
      <c r="O192" t="str">
        <f t="shared" si="30"/>
        <v/>
      </c>
      <c r="P192" t="str">
        <f t="shared" si="31"/>
        <v/>
      </c>
      <c r="Q192" t="str">
        <f t="shared" si="32"/>
        <v/>
      </c>
      <c r="S192" t="str">
        <f>""</f>
        <v/>
      </c>
      <c r="AL192" s="18" t="str">
        <f>IF(COUNTIF($A$2:A191, A191) = 1, A191, "")</f>
        <v/>
      </c>
    </row>
    <row r="193" spans="6:38" x14ac:dyDescent="0.2">
      <c r="F193" t="str">
        <f t="shared" si="27"/>
        <v/>
      </c>
      <c r="L193" s="7" t="str">
        <f t="shared" si="28"/>
        <v/>
      </c>
      <c r="N193" s="7" t="str">
        <f t="shared" si="29"/>
        <v/>
      </c>
      <c r="O193" t="str">
        <f t="shared" si="30"/>
        <v/>
      </c>
      <c r="P193" t="str">
        <f t="shared" si="31"/>
        <v/>
      </c>
      <c r="Q193" t="str">
        <f t="shared" si="32"/>
        <v/>
      </c>
      <c r="S193" t="str">
        <f>""</f>
        <v/>
      </c>
      <c r="AL193" s="18" t="str">
        <f>IF(COUNTIF($A$2:A192, A192) = 1, A192, "")</f>
        <v/>
      </c>
    </row>
    <row r="194" spans="6:38" x14ac:dyDescent="0.2">
      <c r="F194" t="str">
        <f t="shared" si="27"/>
        <v/>
      </c>
      <c r="L194" s="7" t="str">
        <f t="shared" si="28"/>
        <v/>
      </c>
      <c r="N194" s="7" t="str">
        <f t="shared" si="29"/>
        <v/>
      </c>
      <c r="O194" t="str">
        <f t="shared" si="30"/>
        <v/>
      </c>
      <c r="P194" t="str">
        <f t="shared" si="31"/>
        <v/>
      </c>
      <c r="Q194" t="str">
        <f t="shared" si="32"/>
        <v/>
      </c>
      <c r="S194" t="str">
        <f>""</f>
        <v/>
      </c>
      <c r="AL194" s="18" t="str">
        <f>IF(COUNTIF($A$2:A193, A193) = 1, A193, "")</f>
        <v/>
      </c>
    </row>
    <row r="195" spans="6:38" x14ac:dyDescent="0.2">
      <c r="F195" t="str">
        <f t="shared" si="27"/>
        <v/>
      </c>
      <c r="L195" s="7" t="str">
        <f t="shared" si="28"/>
        <v/>
      </c>
      <c r="N195" s="7" t="str">
        <f t="shared" si="29"/>
        <v/>
      </c>
      <c r="O195" t="str">
        <f t="shared" si="30"/>
        <v/>
      </c>
      <c r="P195" t="str">
        <f t="shared" si="31"/>
        <v/>
      </c>
      <c r="Q195" t="str">
        <f t="shared" si="32"/>
        <v/>
      </c>
      <c r="S195" t="str">
        <f>""</f>
        <v/>
      </c>
      <c r="AL195" s="18" t="str">
        <f>IF(COUNTIF($A$2:A194, A194) = 1, A194, "")</f>
        <v/>
      </c>
    </row>
    <row r="196" spans="6:38" x14ac:dyDescent="0.2">
      <c r="F196" t="str">
        <f t="shared" si="27"/>
        <v/>
      </c>
      <c r="L196" s="7" t="str">
        <f t="shared" si="28"/>
        <v/>
      </c>
      <c r="N196" s="7" t="str">
        <f t="shared" si="29"/>
        <v/>
      </c>
      <c r="O196" t="str">
        <f t="shared" si="30"/>
        <v/>
      </c>
      <c r="P196" t="str">
        <f t="shared" si="31"/>
        <v/>
      </c>
      <c r="Q196" t="str">
        <f t="shared" si="32"/>
        <v/>
      </c>
      <c r="S196" t="str">
        <f>""</f>
        <v/>
      </c>
      <c r="AL196" s="18" t="str">
        <f>IF(COUNTIF($A$2:A195, A195) = 1, A195, "")</f>
        <v/>
      </c>
    </row>
    <row r="197" spans="6:38" x14ac:dyDescent="0.2">
      <c r="F197" t="str">
        <f t="shared" si="27"/>
        <v/>
      </c>
      <c r="L197" s="7" t="str">
        <f t="shared" si="28"/>
        <v/>
      </c>
      <c r="N197" s="7" t="str">
        <f t="shared" si="29"/>
        <v/>
      </c>
      <c r="O197" t="str">
        <f t="shared" si="30"/>
        <v/>
      </c>
      <c r="P197" t="str">
        <f t="shared" si="31"/>
        <v/>
      </c>
      <c r="Q197" t="str">
        <f t="shared" si="32"/>
        <v/>
      </c>
      <c r="S197" t="str">
        <f>""</f>
        <v/>
      </c>
      <c r="AL197" s="18" t="str">
        <f>IF(COUNTIF($A$2:A196, A196) = 1, A196, "")</f>
        <v/>
      </c>
    </row>
    <row r="198" spans="6:38" x14ac:dyDescent="0.2">
      <c r="F198" t="str">
        <f t="shared" si="27"/>
        <v/>
      </c>
      <c r="L198" s="7" t="str">
        <f t="shared" si="28"/>
        <v/>
      </c>
      <c r="N198" s="7" t="str">
        <f t="shared" si="29"/>
        <v/>
      </c>
      <c r="O198" t="str">
        <f t="shared" si="30"/>
        <v/>
      </c>
      <c r="P198" t="str">
        <f t="shared" si="31"/>
        <v/>
      </c>
      <c r="Q198" t="str">
        <f t="shared" si="32"/>
        <v/>
      </c>
      <c r="S198" t="str">
        <f>""</f>
        <v/>
      </c>
      <c r="AL198" s="18" t="str">
        <f>IF(COUNTIF($A$2:A197, A197) = 1, A197, "")</f>
        <v/>
      </c>
    </row>
    <row r="199" spans="6:38" x14ac:dyDescent="0.2">
      <c r="F199" t="str">
        <f t="shared" si="27"/>
        <v/>
      </c>
      <c r="L199" s="7" t="str">
        <f t="shared" si="28"/>
        <v/>
      </c>
      <c r="N199" s="7" t="str">
        <f t="shared" si="29"/>
        <v/>
      </c>
      <c r="O199" t="str">
        <f t="shared" si="30"/>
        <v/>
      </c>
      <c r="P199" t="str">
        <f t="shared" si="31"/>
        <v/>
      </c>
      <c r="Q199" t="str">
        <f t="shared" si="32"/>
        <v/>
      </c>
      <c r="S199" t="str">
        <f>""</f>
        <v/>
      </c>
      <c r="AL199" s="18" t="str">
        <f>IF(COUNTIF($A$2:A198, A198) = 1, A198, "")</f>
        <v/>
      </c>
    </row>
    <row r="200" spans="6:38" x14ac:dyDescent="0.2">
      <c r="F200" t="str">
        <f t="shared" si="27"/>
        <v/>
      </c>
      <c r="L200" s="7" t="str">
        <f t="shared" si="28"/>
        <v/>
      </c>
      <c r="N200" s="7" t="str">
        <f t="shared" si="29"/>
        <v/>
      </c>
      <c r="O200" t="str">
        <f t="shared" si="30"/>
        <v/>
      </c>
      <c r="P200" t="str">
        <f t="shared" si="31"/>
        <v/>
      </c>
      <c r="Q200" t="str">
        <f t="shared" si="32"/>
        <v/>
      </c>
      <c r="S200" t="str">
        <f>""</f>
        <v/>
      </c>
      <c r="AL200" s="18" t="str">
        <f>IF(COUNTIF($A$2:A199, A199) = 1, A199, "")</f>
        <v/>
      </c>
    </row>
    <row r="201" spans="6:38" x14ac:dyDescent="0.2">
      <c r="F201" t="str">
        <f t="shared" si="27"/>
        <v/>
      </c>
      <c r="L201" s="7" t="str">
        <f t="shared" si="28"/>
        <v/>
      </c>
      <c r="N201" s="7" t="str">
        <f t="shared" si="29"/>
        <v/>
      </c>
      <c r="O201" t="str">
        <f t="shared" si="30"/>
        <v/>
      </c>
      <c r="P201" t="str">
        <f t="shared" si="31"/>
        <v/>
      </c>
      <c r="Q201" t="str">
        <f t="shared" si="32"/>
        <v/>
      </c>
      <c r="S201" t="str">
        <f>""</f>
        <v/>
      </c>
      <c r="AL201" s="18" t="str">
        <f>IF(COUNTIF($A$2:A200, A200) = 1, A200, "")</f>
        <v/>
      </c>
    </row>
    <row r="202" spans="6:38" x14ac:dyDescent="0.2">
      <c r="F202" t="str">
        <f t="shared" si="27"/>
        <v/>
      </c>
      <c r="L202" s="7" t="str">
        <f t="shared" si="28"/>
        <v/>
      </c>
      <c r="N202" s="7" t="str">
        <f t="shared" si="29"/>
        <v/>
      </c>
      <c r="O202" t="str">
        <f t="shared" si="30"/>
        <v/>
      </c>
      <c r="P202" t="str">
        <f t="shared" si="31"/>
        <v/>
      </c>
      <c r="Q202" t="str">
        <f t="shared" si="32"/>
        <v/>
      </c>
      <c r="S202" t="str">
        <f>""</f>
        <v/>
      </c>
      <c r="AL202" s="18" t="str">
        <f>IF(COUNTIF($A$2:A201, A201) = 1, A201, "")</f>
        <v/>
      </c>
    </row>
    <row r="203" spans="6:38" x14ac:dyDescent="0.2">
      <c r="F203" t="str">
        <f t="shared" si="27"/>
        <v/>
      </c>
      <c r="L203" s="7" t="str">
        <f t="shared" si="28"/>
        <v/>
      </c>
      <c r="N203" s="7" t="str">
        <f t="shared" si="29"/>
        <v/>
      </c>
      <c r="O203" t="str">
        <f t="shared" si="30"/>
        <v/>
      </c>
      <c r="P203" t="str">
        <f t="shared" si="31"/>
        <v/>
      </c>
      <c r="Q203" t="str">
        <f t="shared" si="32"/>
        <v/>
      </c>
      <c r="S203" t="str">
        <f>""</f>
        <v/>
      </c>
      <c r="AL203" s="18" t="str">
        <f>IF(COUNTIF($A$2:A202, A202) = 1, A202, "")</f>
        <v/>
      </c>
    </row>
    <row r="204" spans="6:38" x14ac:dyDescent="0.2">
      <c r="F204" t="str">
        <f t="shared" si="27"/>
        <v/>
      </c>
      <c r="L204" s="7" t="str">
        <f t="shared" si="28"/>
        <v/>
      </c>
      <c r="N204" s="7" t="str">
        <f t="shared" si="29"/>
        <v/>
      </c>
      <c r="O204" t="str">
        <f t="shared" si="30"/>
        <v/>
      </c>
      <c r="P204" t="str">
        <f t="shared" si="31"/>
        <v/>
      </c>
      <c r="Q204" t="str">
        <f t="shared" si="32"/>
        <v/>
      </c>
      <c r="S204" t="str">
        <f>""</f>
        <v/>
      </c>
      <c r="AL204" s="18" t="str">
        <f>IF(COUNTIF($A$2:A203, A203) = 1, A203, "")</f>
        <v/>
      </c>
    </row>
    <row r="205" spans="6:38" x14ac:dyDescent="0.2">
      <c r="F205" t="str">
        <f t="shared" si="27"/>
        <v/>
      </c>
      <c r="L205" s="7" t="str">
        <f t="shared" si="28"/>
        <v/>
      </c>
      <c r="N205" s="7" t="str">
        <f t="shared" si="29"/>
        <v/>
      </c>
      <c r="O205" t="str">
        <f t="shared" si="30"/>
        <v/>
      </c>
      <c r="P205" t="str">
        <f t="shared" si="31"/>
        <v/>
      </c>
      <c r="Q205" t="str">
        <f t="shared" si="32"/>
        <v/>
      </c>
      <c r="S205" t="str">
        <f>""</f>
        <v/>
      </c>
      <c r="AL205" s="18" t="str">
        <f>IF(COUNTIF($A$2:A204, A204) = 1, A204, "")</f>
        <v/>
      </c>
    </row>
    <row r="206" spans="6:38" x14ac:dyDescent="0.2">
      <c r="F206" t="str">
        <f t="shared" si="27"/>
        <v/>
      </c>
      <c r="L206" s="7" t="str">
        <f t="shared" si="28"/>
        <v/>
      </c>
      <c r="N206" s="7" t="str">
        <f t="shared" si="29"/>
        <v/>
      </c>
      <c r="O206" t="str">
        <f t="shared" si="30"/>
        <v/>
      </c>
      <c r="P206" t="str">
        <f t="shared" si="31"/>
        <v/>
      </c>
      <c r="Q206" t="str">
        <f t="shared" si="32"/>
        <v/>
      </c>
      <c r="S206" t="str">
        <f>""</f>
        <v/>
      </c>
      <c r="AL206" s="18" t="str">
        <f>IF(COUNTIF($A$2:A205, A205) = 1, A205, "")</f>
        <v/>
      </c>
    </row>
    <row r="207" spans="6:38" x14ac:dyDescent="0.2">
      <c r="F207" t="str">
        <f t="shared" si="27"/>
        <v/>
      </c>
      <c r="L207" s="7" t="str">
        <f t="shared" si="28"/>
        <v/>
      </c>
      <c r="N207" s="7" t="str">
        <f t="shared" si="29"/>
        <v/>
      </c>
      <c r="O207" t="str">
        <f t="shared" si="30"/>
        <v/>
      </c>
      <c r="P207" t="str">
        <f t="shared" si="31"/>
        <v/>
      </c>
      <c r="Q207" t="str">
        <f t="shared" si="32"/>
        <v/>
      </c>
      <c r="S207" t="str">
        <f>""</f>
        <v/>
      </c>
      <c r="AL207" s="18" t="str">
        <f>IF(COUNTIF($A$2:A206, A206) = 1, A206, "")</f>
        <v/>
      </c>
    </row>
    <row r="208" spans="6:38" x14ac:dyDescent="0.2">
      <c r="F208" t="str">
        <f t="shared" ref="F208:F271" si="33">IF(OR(O208="", P208=""), "", SUM(IF((O208&lt;&gt;"None")*(O208&lt;&gt;""),LEN(O208)-LEN(SUBSTITUTE(O208,",",""))+1,0)) + SUM(IF((P208&lt;&gt;"None")*(P208&lt;&gt;""),LEN(P208)-LEN(SUBSTITUTE(P208,",",""))+1,0)))</f>
        <v/>
      </c>
      <c r="L208" s="7" t="str">
        <f t="shared" ref="L208:L271" si="34">IF(LEN(E208)=0, "", IFERROR(IF(E208&gt;=0, K208 * (1 + E208/100) - K208, K208 / (ABS(E208)/100))+K208, ""))</f>
        <v/>
      </c>
      <c r="N208" s="7" t="str">
        <f t="shared" ref="N208:N271" si="35">IF(M208="Yes",L208-K208,IF(M208="No",-K208,""))</f>
        <v/>
      </c>
      <c r="O208" t="str">
        <f t="shared" ref="O208:O271" si="36">IF(AND(G208="No",H208="No"), "None", "")</f>
        <v/>
      </c>
      <c r="P208" t="str">
        <f t="shared" ref="P208:P271" si="37">IF(I208="No", "None", "")</f>
        <v/>
      </c>
      <c r="Q208" t="str">
        <f t="shared" ref="Q208:Q271" si="38">IF(AND(D208="Straight", M208 = "No"),IF(O208="None",P208,IF(P208="None",O208) ),"")</f>
        <v/>
      </c>
      <c r="S208" t="str">
        <f>""</f>
        <v/>
      </c>
      <c r="AL208" s="18" t="str">
        <f>IF(COUNTIF($A$2:A207, A207) = 1, A207, "")</f>
        <v/>
      </c>
    </row>
    <row r="209" spans="6:38" x14ac:dyDescent="0.2">
      <c r="F209" t="str">
        <f t="shared" si="33"/>
        <v/>
      </c>
      <c r="L209" s="7" t="str">
        <f t="shared" si="34"/>
        <v/>
      </c>
      <c r="N209" s="7" t="str">
        <f t="shared" si="35"/>
        <v/>
      </c>
      <c r="O209" t="str">
        <f t="shared" si="36"/>
        <v/>
      </c>
      <c r="P209" t="str">
        <f t="shared" si="37"/>
        <v/>
      </c>
      <c r="Q209" t="str">
        <f t="shared" si="38"/>
        <v/>
      </c>
      <c r="S209" t="str">
        <f>""</f>
        <v/>
      </c>
      <c r="AL209" s="18" t="str">
        <f>IF(COUNTIF($A$2:A208, A208) = 1, A208, "")</f>
        <v/>
      </c>
    </row>
    <row r="210" spans="6:38" x14ac:dyDescent="0.2">
      <c r="F210" t="str">
        <f t="shared" si="33"/>
        <v/>
      </c>
      <c r="L210" s="7" t="str">
        <f t="shared" si="34"/>
        <v/>
      </c>
      <c r="N210" s="7" t="str">
        <f t="shared" si="35"/>
        <v/>
      </c>
      <c r="O210" t="str">
        <f t="shared" si="36"/>
        <v/>
      </c>
      <c r="P210" t="str">
        <f t="shared" si="37"/>
        <v/>
      </c>
      <c r="Q210" t="str">
        <f t="shared" si="38"/>
        <v/>
      </c>
      <c r="S210" t="str">
        <f>""</f>
        <v/>
      </c>
      <c r="AL210" s="18" t="str">
        <f>IF(COUNTIF($A$2:A209, A209) = 1, A209, "")</f>
        <v/>
      </c>
    </row>
    <row r="211" spans="6:38" x14ac:dyDescent="0.2">
      <c r="F211" t="str">
        <f t="shared" si="33"/>
        <v/>
      </c>
      <c r="L211" s="7" t="str">
        <f t="shared" si="34"/>
        <v/>
      </c>
      <c r="N211" s="7" t="str">
        <f t="shared" si="35"/>
        <v/>
      </c>
      <c r="O211" t="str">
        <f t="shared" si="36"/>
        <v/>
      </c>
      <c r="P211" t="str">
        <f t="shared" si="37"/>
        <v/>
      </c>
      <c r="Q211" t="str">
        <f t="shared" si="38"/>
        <v/>
      </c>
      <c r="S211" t="str">
        <f>""</f>
        <v/>
      </c>
      <c r="AL211" s="18" t="str">
        <f>IF(COUNTIF($A$2:A210, A210) = 1, A210, "")</f>
        <v/>
      </c>
    </row>
    <row r="212" spans="6:38" x14ac:dyDescent="0.2">
      <c r="F212" t="str">
        <f t="shared" si="33"/>
        <v/>
      </c>
      <c r="L212" s="7" t="str">
        <f t="shared" si="34"/>
        <v/>
      </c>
      <c r="N212" s="7" t="str">
        <f t="shared" si="35"/>
        <v/>
      </c>
      <c r="O212" t="str">
        <f t="shared" si="36"/>
        <v/>
      </c>
      <c r="P212" t="str">
        <f t="shared" si="37"/>
        <v/>
      </c>
      <c r="Q212" t="str">
        <f t="shared" si="38"/>
        <v/>
      </c>
      <c r="S212" t="str">
        <f>""</f>
        <v/>
      </c>
      <c r="AL212" s="18" t="str">
        <f>IF(COUNTIF($A$2:A211, A211) = 1, A211, "")</f>
        <v/>
      </c>
    </row>
    <row r="213" spans="6:38" x14ac:dyDescent="0.2">
      <c r="F213" t="str">
        <f t="shared" si="33"/>
        <v/>
      </c>
      <c r="L213" s="7" t="str">
        <f t="shared" si="34"/>
        <v/>
      </c>
      <c r="N213" s="7" t="str">
        <f t="shared" si="35"/>
        <v/>
      </c>
      <c r="O213" t="str">
        <f t="shared" si="36"/>
        <v/>
      </c>
      <c r="P213" t="str">
        <f t="shared" si="37"/>
        <v/>
      </c>
      <c r="Q213" t="str">
        <f t="shared" si="38"/>
        <v/>
      </c>
      <c r="S213" t="str">
        <f>""</f>
        <v/>
      </c>
      <c r="AL213" s="18" t="str">
        <f>IF(COUNTIF($A$2:A212, A212) = 1, A212, "")</f>
        <v/>
      </c>
    </row>
    <row r="214" spans="6:38" x14ac:dyDescent="0.2">
      <c r="F214" t="str">
        <f t="shared" si="33"/>
        <v/>
      </c>
      <c r="L214" s="7" t="str">
        <f t="shared" si="34"/>
        <v/>
      </c>
      <c r="N214" s="7" t="str">
        <f t="shared" si="35"/>
        <v/>
      </c>
      <c r="O214" t="str">
        <f t="shared" si="36"/>
        <v/>
      </c>
      <c r="P214" t="str">
        <f t="shared" si="37"/>
        <v/>
      </c>
      <c r="Q214" t="str">
        <f t="shared" si="38"/>
        <v/>
      </c>
      <c r="S214" t="str">
        <f>""</f>
        <v/>
      </c>
      <c r="AL214" s="18" t="str">
        <f>IF(COUNTIF($A$2:A213, A213) = 1, A213, "")</f>
        <v/>
      </c>
    </row>
    <row r="215" spans="6:38" x14ac:dyDescent="0.2">
      <c r="F215" t="str">
        <f t="shared" si="33"/>
        <v/>
      </c>
      <c r="L215" s="7" t="str">
        <f t="shared" si="34"/>
        <v/>
      </c>
      <c r="N215" s="7" t="str">
        <f t="shared" si="35"/>
        <v/>
      </c>
      <c r="O215" t="str">
        <f t="shared" si="36"/>
        <v/>
      </c>
      <c r="P215" t="str">
        <f t="shared" si="37"/>
        <v/>
      </c>
      <c r="Q215" t="str">
        <f t="shared" si="38"/>
        <v/>
      </c>
      <c r="S215" t="str">
        <f>""</f>
        <v/>
      </c>
      <c r="AL215" s="18" t="str">
        <f>IF(COUNTIF($A$2:A214, A214) = 1, A214, "")</f>
        <v/>
      </c>
    </row>
    <row r="216" spans="6:38" x14ac:dyDescent="0.2">
      <c r="F216" t="str">
        <f t="shared" si="33"/>
        <v/>
      </c>
      <c r="L216" s="7" t="str">
        <f t="shared" si="34"/>
        <v/>
      </c>
      <c r="N216" s="7" t="str">
        <f t="shared" si="35"/>
        <v/>
      </c>
      <c r="O216" t="str">
        <f t="shared" si="36"/>
        <v/>
      </c>
      <c r="P216" t="str">
        <f t="shared" si="37"/>
        <v/>
      </c>
      <c r="Q216" t="str">
        <f t="shared" si="38"/>
        <v/>
      </c>
      <c r="S216" t="str">
        <f>""</f>
        <v/>
      </c>
      <c r="AL216" s="18" t="str">
        <f>IF(COUNTIF($A$2:A215, A215) = 1, A215, "")</f>
        <v/>
      </c>
    </row>
    <row r="217" spans="6:38" x14ac:dyDescent="0.2">
      <c r="F217" t="str">
        <f t="shared" si="33"/>
        <v/>
      </c>
      <c r="L217" s="7" t="str">
        <f t="shared" si="34"/>
        <v/>
      </c>
      <c r="N217" s="7" t="str">
        <f t="shared" si="35"/>
        <v/>
      </c>
      <c r="O217" t="str">
        <f t="shared" si="36"/>
        <v/>
      </c>
      <c r="P217" t="str">
        <f t="shared" si="37"/>
        <v/>
      </c>
      <c r="Q217" t="str">
        <f t="shared" si="38"/>
        <v/>
      </c>
      <c r="S217" t="str">
        <f>""</f>
        <v/>
      </c>
      <c r="AL217" s="18" t="str">
        <f>IF(COUNTIF($A$2:A216, A216) = 1, A216, "")</f>
        <v/>
      </c>
    </row>
    <row r="218" spans="6:38" x14ac:dyDescent="0.2">
      <c r="F218" t="str">
        <f t="shared" si="33"/>
        <v/>
      </c>
      <c r="L218" s="7" t="str">
        <f t="shared" si="34"/>
        <v/>
      </c>
      <c r="N218" s="7" t="str">
        <f t="shared" si="35"/>
        <v/>
      </c>
      <c r="O218" t="str">
        <f t="shared" si="36"/>
        <v/>
      </c>
      <c r="P218" t="str">
        <f t="shared" si="37"/>
        <v/>
      </c>
      <c r="Q218" t="str">
        <f t="shared" si="38"/>
        <v/>
      </c>
      <c r="S218" t="str">
        <f>""</f>
        <v/>
      </c>
      <c r="AL218" s="18" t="str">
        <f>IF(COUNTIF($A$2:A217, A217) = 1, A217, "")</f>
        <v/>
      </c>
    </row>
    <row r="219" spans="6:38" x14ac:dyDescent="0.2">
      <c r="F219" t="str">
        <f t="shared" si="33"/>
        <v/>
      </c>
      <c r="L219" s="7" t="str">
        <f t="shared" si="34"/>
        <v/>
      </c>
      <c r="N219" s="7" t="str">
        <f t="shared" si="35"/>
        <v/>
      </c>
      <c r="O219" t="str">
        <f t="shared" si="36"/>
        <v/>
      </c>
      <c r="P219" t="str">
        <f t="shared" si="37"/>
        <v/>
      </c>
      <c r="Q219" t="str">
        <f t="shared" si="38"/>
        <v/>
      </c>
      <c r="S219" t="str">
        <f>""</f>
        <v/>
      </c>
      <c r="AL219" s="18" t="str">
        <f>IF(COUNTIF($A$2:A218, A218) = 1, A218, "")</f>
        <v/>
      </c>
    </row>
    <row r="220" spans="6:38" x14ac:dyDescent="0.2">
      <c r="F220" t="str">
        <f t="shared" si="33"/>
        <v/>
      </c>
      <c r="L220" s="7" t="str">
        <f t="shared" si="34"/>
        <v/>
      </c>
      <c r="N220" s="7" t="str">
        <f t="shared" si="35"/>
        <v/>
      </c>
      <c r="O220" t="str">
        <f t="shared" si="36"/>
        <v/>
      </c>
      <c r="P220" t="str">
        <f t="shared" si="37"/>
        <v/>
      </c>
      <c r="Q220" t="str">
        <f t="shared" si="38"/>
        <v/>
      </c>
      <c r="S220" t="str">
        <f>""</f>
        <v/>
      </c>
      <c r="AL220" s="18" t="str">
        <f>IF(COUNTIF($A$2:A219, A219) = 1, A219, "")</f>
        <v/>
      </c>
    </row>
    <row r="221" spans="6:38" x14ac:dyDescent="0.2">
      <c r="F221" t="str">
        <f t="shared" si="33"/>
        <v/>
      </c>
      <c r="L221" s="7" t="str">
        <f t="shared" si="34"/>
        <v/>
      </c>
      <c r="N221" s="7" t="str">
        <f t="shared" si="35"/>
        <v/>
      </c>
      <c r="O221" t="str">
        <f t="shared" si="36"/>
        <v/>
      </c>
      <c r="P221" t="str">
        <f t="shared" si="37"/>
        <v/>
      </c>
      <c r="Q221" t="str">
        <f t="shared" si="38"/>
        <v/>
      </c>
      <c r="S221" t="str">
        <f>""</f>
        <v/>
      </c>
      <c r="AL221" s="18" t="str">
        <f>IF(COUNTIF($A$2:A220, A220) = 1, A220, "")</f>
        <v/>
      </c>
    </row>
    <row r="222" spans="6:38" x14ac:dyDescent="0.2">
      <c r="F222" t="str">
        <f t="shared" si="33"/>
        <v/>
      </c>
      <c r="L222" s="7" t="str">
        <f t="shared" si="34"/>
        <v/>
      </c>
      <c r="N222" s="7" t="str">
        <f t="shared" si="35"/>
        <v/>
      </c>
      <c r="O222" t="str">
        <f t="shared" si="36"/>
        <v/>
      </c>
      <c r="P222" t="str">
        <f t="shared" si="37"/>
        <v/>
      </c>
      <c r="Q222" t="str">
        <f t="shared" si="38"/>
        <v/>
      </c>
      <c r="S222" t="str">
        <f>""</f>
        <v/>
      </c>
      <c r="AL222" s="18" t="str">
        <f>IF(COUNTIF($A$2:A221, A221) = 1, A221, "")</f>
        <v/>
      </c>
    </row>
    <row r="223" spans="6:38" x14ac:dyDescent="0.2">
      <c r="F223" t="str">
        <f t="shared" si="33"/>
        <v/>
      </c>
      <c r="L223" s="7" t="str">
        <f t="shared" si="34"/>
        <v/>
      </c>
      <c r="N223" s="7" t="str">
        <f t="shared" si="35"/>
        <v/>
      </c>
      <c r="O223" t="str">
        <f t="shared" si="36"/>
        <v/>
      </c>
      <c r="P223" t="str">
        <f t="shared" si="37"/>
        <v/>
      </c>
      <c r="Q223" t="str">
        <f t="shared" si="38"/>
        <v/>
      </c>
      <c r="S223" t="str">
        <f>""</f>
        <v/>
      </c>
      <c r="AL223" s="18" t="str">
        <f>IF(COUNTIF($A$2:A222, A222) = 1, A222, "")</f>
        <v/>
      </c>
    </row>
    <row r="224" spans="6:38" x14ac:dyDescent="0.2">
      <c r="F224" t="str">
        <f t="shared" si="33"/>
        <v/>
      </c>
      <c r="L224" s="7" t="str">
        <f t="shared" si="34"/>
        <v/>
      </c>
      <c r="N224" s="7" t="str">
        <f t="shared" si="35"/>
        <v/>
      </c>
      <c r="O224" t="str">
        <f t="shared" si="36"/>
        <v/>
      </c>
      <c r="P224" t="str">
        <f t="shared" si="37"/>
        <v/>
      </c>
      <c r="Q224" t="str">
        <f t="shared" si="38"/>
        <v/>
      </c>
      <c r="S224" t="str">
        <f>""</f>
        <v/>
      </c>
      <c r="AL224" s="18" t="str">
        <f>IF(COUNTIF($A$2:A223, A223) = 1, A223, "")</f>
        <v/>
      </c>
    </row>
    <row r="225" spans="6:38" x14ac:dyDescent="0.2">
      <c r="F225" t="str">
        <f t="shared" si="33"/>
        <v/>
      </c>
      <c r="L225" s="7" t="str">
        <f t="shared" si="34"/>
        <v/>
      </c>
      <c r="N225" s="7" t="str">
        <f t="shared" si="35"/>
        <v/>
      </c>
      <c r="O225" t="str">
        <f t="shared" si="36"/>
        <v/>
      </c>
      <c r="P225" t="str">
        <f t="shared" si="37"/>
        <v/>
      </c>
      <c r="Q225" t="str">
        <f t="shared" si="38"/>
        <v/>
      </c>
      <c r="S225" t="str">
        <f>""</f>
        <v/>
      </c>
      <c r="AL225" s="18" t="str">
        <f>IF(COUNTIF($A$2:A224, A224) = 1, A224, "")</f>
        <v/>
      </c>
    </row>
    <row r="226" spans="6:38" x14ac:dyDescent="0.2">
      <c r="F226" t="str">
        <f t="shared" si="33"/>
        <v/>
      </c>
      <c r="L226" s="7" t="str">
        <f t="shared" si="34"/>
        <v/>
      </c>
      <c r="N226" s="7" t="str">
        <f t="shared" si="35"/>
        <v/>
      </c>
      <c r="O226" t="str">
        <f t="shared" si="36"/>
        <v/>
      </c>
      <c r="P226" t="str">
        <f t="shared" si="37"/>
        <v/>
      </c>
      <c r="Q226" t="str">
        <f t="shared" si="38"/>
        <v/>
      </c>
      <c r="S226" t="str">
        <f>""</f>
        <v/>
      </c>
      <c r="AL226" s="18" t="str">
        <f>IF(COUNTIF($A$2:A225, A225) = 1, A225, "")</f>
        <v/>
      </c>
    </row>
    <row r="227" spans="6:38" x14ac:dyDescent="0.2">
      <c r="F227" t="str">
        <f t="shared" si="33"/>
        <v/>
      </c>
      <c r="L227" s="7" t="str">
        <f t="shared" si="34"/>
        <v/>
      </c>
      <c r="N227" s="7" t="str">
        <f t="shared" si="35"/>
        <v/>
      </c>
      <c r="O227" t="str">
        <f t="shared" si="36"/>
        <v/>
      </c>
      <c r="P227" t="str">
        <f t="shared" si="37"/>
        <v/>
      </c>
      <c r="Q227" t="str">
        <f t="shared" si="38"/>
        <v/>
      </c>
      <c r="S227" t="str">
        <f>""</f>
        <v/>
      </c>
      <c r="AL227" s="18" t="str">
        <f>IF(COUNTIF($A$2:A226, A226) = 1, A226, "")</f>
        <v/>
      </c>
    </row>
    <row r="228" spans="6:38" x14ac:dyDescent="0.2">
      <c r="F228" t="str">
        <f t="shared" si="33"/>
        <v/>
      </c>
      <c r="L228" s="7" t="str">
        <f t="shared" si="34"/>
        <v/>
      </c>
      <c r="N228" s="7" t="str">
        <f t="shared" si="35"/>
        <v/>
      </c>
      <c r="O228" t="str">
        <f t="shared" si="36"/>
        <v/>
      </c>
      <c r="P228" t="str">
        <f t="shared" si="37"/>
        <v/>
      </c>
      <c r="Q228" t="str">
        <f t="shared" si="38"/>
        <v/>
      </c>
      <c r="S228" t="str">
        <f>""</f>
        <v/>
      </c>
      <c r="AL228" s="18" t="str">
        <f>IF(COUNTIF($A$2:A227, A227) = 1, A227, "")</f>
        <v/>
      </c>
    </row>
    <row r="229" spans="6:38" x14ac:dyDescent="0.2">
      <c r="F229" t="str">
        <f t="shared" si="33"/>
        <v/>
      </c>
      <c r="L229" s="7" t="str">
        <f t="shared" si="34"/>
        <v/>
      </c>
      <c r="N229" s="7" t="str">
        <f t="shared" si="35"/>
        <v/>
      </c>
      <c r="O229" t="str">
        <f t="shared" si="36"/>
        <v/>
      </c>
      <c r="P229" t="str">
        <f t="shared" si="37"/>
        <v/>
      </c>
      <c r="Q229" t="str">
        <f t="shared" si="38"/>
        <v/>
      </c>
      <c r="S229" t="str">
        <f>""</f>
        <v/>
      </c>
      <c r="AL229" s="18" t="str">
        <f>IF(COUNTIF($A$2:A228, A228) = 1, A228, "")</f>
        <v/>
      </c>
    </row>
    <row r="230" spans="6:38" x14ac:dyDescent="0.2">
      <c r="F230" t="str">
        <f t="shared" si="33"/>
        <v/>
      </c>
      <c r="L230" s="7" t="str">
        <f t="shared" si="34"/>
        <v/>
      </c>
      <c r="N230" s="7" t="str">
        <f t="shared" si="35"/>
        <v/>
      </c>
      <c r="O230" t="str">
        <f t="shared" si="36"/>
        <v/>
      </c>
      <c r="P230" t="str">
        <f t="shared" si="37"/>
        <v/>
      </c>
      <c r="Q230" t="str">
        <f t="shared" si="38"/>
        <v/>
      </c>
      <c r="S230" t="str">
        <f>""</f>
        <v/>
      </c>
      <c r="AL230" s="18" t="str">
        <f>IF(COUNTIF($A$2:A229, A229) = 1, A229, "")</f>
        <v/>
      </c>
    </row>
    <row r="231" spans="6:38" x14ac:dyDescent="0.2">
      <c r="F231" t="str">
        <f t="shared" si="33"/>
        <v/>
      </c>
      <c r="L231" s="7" t="str">
        <f t="shared" si="34"/>
        <v/>
      </c>
      <c r="N231" s="7" t="str">
        <f t="shared" si="35"/>
        <v/>
      </c>
      <c r="O231" t="str">
        <f t="shared" si="36"/>
        <v/>
      </c>
      <c r="P231" t="str">
        <f t="shared" si="37"/>
        <v/>
      </c>
      <c r="Q231" t="str">
        <f t="shared" si="38"/>
        <v/>
      </c>
      <c r="S231" t="str">
        <f>""</f>
        <v/>
      </c>
      <c r="AL231" s="18" t="str">
        <f>IF(COUNTIF($A$2:A230, A230) = 1, A230, "")</f>
        <v/>
      </c>
    </row>
    <row r="232" spans="6:38" x14ac:dyDescent="0.2">
      <c r="F232" t="str">
        <f t="shared" si="33"/>
        <v/>
      </c>
      <c r="L232" s="7" t="str">
        <f t="shared" si="34"/>
        <v/>
      </c>
      <c r="N232" s="7" t="str">
        <f t="shared" si="35"/>
        <v/>
      </c>
      <c r="O232" t="str">
        <f t="shared" si="36"/>
        <v/>
      </c>
      <c r="P232" t="str">
        <f t="shared" si="37"/>
        <v/>
      </c>
      <c r="Q232" t="str">
        <f t="shared" si="38"/>
        <v/>
      </c>
      <c r="S232" t="str">
        <f>""</f>
        <v/>
      </c>
      <c r="AL232" s="18" t="str">
        <f>IF(COUNTIF($A$2:A231, A231) = 1, A231, "")</f>
        <v/>
      </c>
    </row>
    <row r="233" spans="6:38" x14ac:dyDescent="0.2">
      <c r="F233" t="str">
        <f t="shared" si="33"/>
        <v/>
      </c>
      <c r="L233" s="7" t="str">
        <f t="shared" si="34"/>
        <v/>
      </c>
      <c r="N233" s="7" t="str">
        <f t="shared" si="35"/>
        <v/>
      </c>
      <c r="O233" t="str">
        <f t="shared" si="36"/>
        <v/>
      </c>
      <c r="P233" t="str">
        <f t="shared" si="37"/>
        <v/>
      </c>
      <c r="Q233" t="str">
        <f t="shared" si="38"/>
        <v/>
      </c>
      <c r="S233" t="str">
        <f>""</f>
        <v/>
      </c>
      <c r="AL233" s="18" t="str">
        <f>IF(COUNTIF($A$2:A232, A232) = 1, A232, "")</f>
        <v/>
      </c>
    </row>
    <row r="234" spans="6:38" x14ac:dyDescent="0.2">
      <c r="F234" t="str">
        <f t="shared" si="33"/>
        <v/>
      </c>
      <c r="L234" s="7" t="str">
        <f t="shared" si="34"/>
        <v/>
      </c>
      <c r="N234" s="7" t="str">
        <f t="shared" si="35"/>
        <v/>
      </c>
      <c r="O234" t="str">
        <f t="shared" si="36"/>
        <v/>
      </c>
      <c r="P234" t="str">
        <f t="shared" si="37"/>
        <v/>
      </c>
      <c r="Q234" t="str">
        <f t="shared" si="38"/>
        <v/>
      </c>
      <c r="S234" t="str">
        <f>""</f>
        <v/>
      </c>
      <c r="AL234" s="18" t="str">
        <f>IF(COUNTIF($A$2:A233, A233) = 1, A233, "")</f>
        <v/>
      </c>
    </row>
    <row r="235" spans="6:38" x14ac:dyDescent="0.2">
      <c r="F235" t="str">
        <f t="shared" si="33"/>
        <v/>
      </c>
      <c r="L235" s="7" t="str">
        <f t="shared" si="34"/>
        <v/>
      </c>
      <c r="N235" s="7" t="str">
        <f t="shared" si="35"/>
        <v/>
      </c>
      <c r="O235" t="str">
        <f t="shared" si="36"/>
        <v/>
      </c>
      <c r="P235" t="str">
        <f t="shared" si="37"/>
        <v/>
      </c>
      <c r="Q235" t="str">
        <f t="shared" si="38"/>
        <v/>
      </c>
      <c r="S235" t="str">
        <f>""</f>
        <v/>
      </c>
      <c r="AL235" s="18" t="str">
        <f>IF(COUNTIF($A$2:A234, A234) = 1, A234, "")</f>
        <v/>
      </c>
    </row>
    <row r="236" spans="6:38" x14ac:dyDescent="0.2">
      <c r="F236" t="str">
        <f t="shared" si="33"/>
        <v/>
      </c>
      <c r="L236" s="7" t="str">
        <f t="shared" si="34"/>
        <v/>
      </c>
      <c r="N236" s="7" t="str">
        <f t="shared" si="35"/>
        <v/>
      </c>
      <c r="O236" t="str">
        <f t="shared" si="36"/>
        <v/>
      </c>
      <c r="P236" t="str">
        <f t="shared" si="37"/>
        <v/>
      </c>
      <c r="Q236" t="str">
        <f t="shared" si="38"/>
        <v/>
      </c>
      <c r="S236" t="str">
        <f>""</f>
        <v/>
      </c>
      <c r="AL236" s="18" t="str">
        <f>IF(COUNTIF($A$2:A235, A235) = 1, A235, "")</f>
        <v/>
      </c>
    </row>
    <row r="237" spans="6:38" x14ac:dyDescent="0.2">
      <c r="F237" t="str">
        <f t="shared" si="33"/>
        <v/>
      </c>
      <c r="L237" s="7" t="str">
        <f t="shared" si="34"/>
        <v/>
      </c>
      <c r="N237" s="7" t="str">
        <f t="shared" si="35"/>
        <v/>
      </c>
      <c r="O237" t="str">
        <f t="shared" si="36"/>
        <v/>
      </c>
      <c r="P237" t="str">
        <f t="shared" si="37"/>
        <v/>
      </c>
      <c r="Q237" t="str">
        <f t="shared" si="38"/>
        <v/>
      </c>
      <c r="S237" t="str">
        <f>""</f>
        <v/>
      </c>
      <c r="AL237" s="18" t="str">
        <f>IF(COUNTIF($A$2:A236, A236) = 1, A236, "")</f>
        <v/>
      </c>
    </row>
    <row r="238" spans="6:38" x14ac:dyDescent="0.2">
      <c r="F238" t="str">
        <f t="shared" si="33"/>
        <v/>
      </c>
      <c r="L238" s="7" t="str">
        <f t="shared" si="34"/>
        <v/>
      </c>
      <c r="N238" s="7" t="str">
        <f t="shared" si="35"/>
        <v/>
      </c>
      <c r="O238" t="str">
        <f t="shared" si="36"/>
        <v/>
      </c>
      <c r="P238" t="str">
        <f t="shared" si="37"/>
        <v/>
      </c>
      <c r="Q238" t="str">
        <f t="shared" si="38"/>
        <v/>
      </c>
      <c r="S238" t="str">
        <f>""</f>
        <v/>
      </c>
      <c r="AL238" s="18" t="str">
        <f>IF(COUNTIF($A$2:A237, A237) = 1, A237, "")</f>
        <v/>
      </c>
    </row>
    <row r="239" spans="6:38" x14ac:dyDescent="0.2">
      <c r="F239" t="str">
        <f t="shared" si="33"/>
        <v/>
      </c>
      <c r="L239" s="7" t="str">
        <f t="shared" si="34"/>
        <v/>
      </c>
      <c r="N239" s="7" t="str">
        <f t="shared" si="35"/>
        <v/>
      </c>
      <c r="O239" t="str">
        <f t="shared" si="36"/>
        <v/>
      </c>
      <c r="P239" t="str">
        <f t="shared" si="37"/>
        <v/>
      </c>
      <c r="Q239" t="str">
        <f t="shared" si="38"/>
        <v/>
      </c>
      <c r="S239" t="str">
        <f>""</f>
        <v/>
      </c>
      <c r="AL239" s="18" t="str">
        <f>IF(COUNTIF($A$2:A238, A238) = 1, A238, "")</f>
        <v/>
      </c>
    </row>
    <row r="240" spans="6:38" x14ac:dyDescent="0.2">
      <c r="F240" t="str">
        <f t="shared" si="33"/>
        <v/>
      </c>
      <c r="L240" s="7" t="str">
        <f t="shared" si="34"/>
        <v/>
      </c>
      <c r="N240" s="7" t="str">
        <f t="shared" si="35"/>
        <v/>
      </c>
      <c r="O240" t="str">
        <f t="shared" si="36"/>
        <v/>
      </c>
      <c r="P240" t="str">
        <f t="shared" si="37"/>
        <v/>
      </c>
      <c r="Q240" t="str">
        <f t="shared" si="38"/>
        <v/>
      </c>
      <c r="S240" t="str">
        <f>""</f>
        <v/>
      </c>
      <c r="AL240" s="18" t="str">
        <f>IF(COUNTIF($A$2:A239, A239) = 1, A239, "")</f>
        <v/>
      </c>
    </row>
    <row r="241" spans="6:38" x14ac:dyDescent="0.2">
      <c r="F241" t="str">
        <f t="shared" si="33"/>
        <v/>
      </c>
      <c r="L241" s="7" t="str">
        <f t="shared" si="34"/>
        <v/>
      </c>
      <c r="N241" s="7" t="str">
        <f t="shared" si="35"/>
        <v/>
      </c>
      <c r="O241" t="str">
        <f t="shared" si="36"/>
        <v/>
      </c>
      <c r="P241" t="str">
        <f t="shared" si="37"/>
        <v/>
      </c>
      <c r="Q241" t="str">
        <f t="shared" si="38"/>
        <v/>
      </c>
      <c r="S241" t="str">
        <f>""</f>
        <v/>
      </c>
      <c r="AL241" s="18" t="str">
        <f>IF(COUNTIF($A$2:A240, A240) = 1, A240, "")</f>
        <v/>
      </c>
    </row>
    <row r="242" spans="6:38" x14ac:dyDescent="0.2">
      <c r="F242" t="str">
        <f t="shared" si="33"/>
        <v/>
      </c>
      <c r="L242" s="7" t="str">
        <f t="shared" si="34"/>
        <v/>
      </c>
      <c r="N242" s="7" t="str">
        <f t="shared" si="35"/>
        <v/>
      </c>
      <c r="O242" t="str">
        <f t="shared" si="36"/>
        <v/>
      </c>
      <c r="P242" t="str">
        <f t="shared" si="37"/>
        <v/>
      </c>
      <c r="Q242" t="str">
        <f t="shared" si="38"/>
        <v/>
      </c>
      <c r="S242" t="str">
        <f>""</f>
        <v/>
      </c>
      <c r="AL242" s="18" t="str">
        <f>IF(COUNTIF($A$2:A241, A241) = 1, A241, "")</f>
        <v/>
      </c>
    </row>
    <row r="243" spans="6:38" x14ac:dyDescent="0.2">
      <c r="F243" t="str">
        <f t="shared" si="33"/>
        <v/>
      </c>
      <c r="L243" s="7" t="str">
        <f t="shared" si="34"/>
        <v/>
      </c>
      <c r="N243" s="7" t="str">
        <f t="shared" si="35"/>
        <v/>
      </c>
      <c r="O243" t="str">
        <f t="shared" si="36"/>
        <v/>
      </c>
      <c r="P243" t="str">
        <f t="shared" si="37"/>
        <v/>
      </c>
      <c r="Q243" t="str">
        <f t="shared" si="38"/>
        <v/>
      </c>
      <c r="S243" t="str">
        <f>""</f>
        <v/>
      </c>
      <c r="AL243" s="18" t="str">
        <f>IF(COUNTIF($A$2:A242, A242) = 1, A242, "")</f>
        <v/>
      </c>
    </row>
    <row r="244" spans="6:38" x14ac:dyDescent="0.2">
      <c r="F244" t="str">
        <f t="shared" si="33"/>
        <v/>
      </c>
      <c r="L244" s="7" t="str">
        <f t="shared" si="34"/>
        <v/>
      </c>
      <c r="N244" s="7" t="str">
        <f t="shared" si="35"/>
        <v/>
      </c>
      <c r="O244" t="str">
        <f t="shared" si="36"/>
        <v/>
      </c>
      <c r="P244" t="str">
        <f t="shared" si="37"/>
        <v/>
      </c>
      <c r="Q244" t="str">
        <f t="shared" si="38"/>
        <v/>
      </c>
      <c r="S244" t="str">
        <f>""</f>
        <v/>
      </c>
      <c r="AL244" s="18" t="str">
        <f>IF(COUNTIF($A$2:A243, A243) = 1, A243, "")</f>
        <v/>
      </c>
    </row>
    <row r="245" spans="6:38" x14ac:dyDescent="0.2">
      <c r="F245" t="str">
        <f t="shared" si="33"/>
        <v/>
      </c>
      <c r="L245" s="7" t="str">
        <f t="shared" si="34"/>
        <v/>
      </c>
      <c r="N245" s="7" t="str">
        <f t="shared" si="35"/>
        <v/>
      </c>
      <c r="O245" t="str">
        <f t="shared" si="36"/>
        <v/>
      </c>
      <c r="P245" t="str">
        <f t="shared" si="37"/>
        <v/>
      </c>
      <c r="Q245" t="str">
        <f t="shared" si="38"/>
        <v/>
      </c>
      <c r="S245" t="str">
        <f>""</f>
        <v/>
      </c>
      <c r="AL245" s="18" t="str">
        <f>IF(COUNTIF($A$2:A244, A244) = 1, A244, "")</f>
        <v/>
      </c>
    </row>
    <row r="246" spans="6:38" x14ac:dyDescent="0.2">
      <c r="F246" t="str">
        <f t="shared" si="33"/>
        <v/>
      </c>
      <c r="L246" s="7" t="str">
        <f t="shared" si="34"/>
        <v/>
      </c>
      <c r="N246" s="7" t="str">
        <f t="shared" si="35"/>
        <v/>
      </c>
      <c r="O246" t="str">
        <f t="shared" si="36"/>
        <v/>
      </c>
      <c r="P246" t="str">
        <f t="shared" si="37"/>
        <v/>
      </c>
      <c r="Q246" t="str">
        <f t="shared" si="38"/>
        <v/>
      </c>
      <c r="S246" t="str">
        <f>""</f>
        <v/>
      </c>
      <c r="AL246" s="18" t="str">
        <f>IF(COUNTIF($A$2:A245, A245) = 1, A245, "")</f>
        <v/>
      </c>
    </row>
    <row r="247" spans="6:38" x14ac:dyDescent="0.2">
      <c r="F247" t="str">
        <f t="shared" si="33"/>
        <v/>
      </c>
      <c r="L247" s="7" t="str">
        <f t="shared" si="34"/>
        <v/>
      </c>
      <c r="N247" s="7" t="str">
        <f t="shared" si="35"/>
        <v/>
      </c>
      <c r="O247" t="str">
        <f t="shared" si="36"/>
        <v/>
      </c>
      <c r="P247" t="str">
        <f t="shared" si="37"/>
        <v/>
      </c>
      <c r="Q247" t="str">
        <f t="shared" si="38"/>
        <v/>
      </c>
      <c r="S247" t="str">
        <f>""</f>
        <v/>
      </c>
      <c r="AL247" s="18" t="str">
        <f>IF(COUNTIF($A$2:A246, A246) = 1, A246, "")</f>
        <v/>
      </c>
    </row>
    <row r="248" spans="6:38" x14ac:dyDescent="0.2">
      <c r="F248" t="str">
        <f t="shared" si="33"/>
        <v/>
      </c>
      <c r="L248" s="7" t="str">
        <f t="shared" si="34"/>
        <v/>
      </c>
      <c r="N248" s="7" t="str">
        <f t="shared" si="35"/>
        <v/>
      </c>
      <c r="O248" t="str">
        <f t="shared" si="36"/>
        <v/>
      </c>
      <c r="P248" t="str">
        <f t="shared" si="37"/>
        <v/>
      </c>
      <c r="Q248" t="str">
        <f t="shared" si="38"/>
        <v/>
      </c>
      <c r="S248" t="str">
        <f>""</f>
        <v/>
      </c>
      <c r="AL248" s="18" t="str">
        <f>IF(COUNTIF($A$2:A247, A247) = 1, A247, "")</f>
        <v/>
      </c>
    </row>
    <row r="249" spans="6:38" x14ac:dyDescent="0.2">
      <c r="F249" t="str">
        <f t="shared" si="33"/>
        <v/>
      </c>
      <c r="L249" s="7" t="str">
        <f t="shared" si="34"/>
        <v/>
      </c>
      <c r="N249" s="7" t="str">
        <f t="shared" si="35"/>
        <v/>
      </c>
      <c r="O249" t="str">
        <f t="shared" si="36"/>
        <v/>
      </c>
      <c r="P249" t="str">
        <f t="shared" si="37"/>
        <v/>
      </c>
      <c r="Q249" t="str">
        <f t="shared" si="38"/>
        <v/>
      </c>
      <c r="S249" t="str">
        <f>""</f>
        <v/>
      </c>
      <c r="AL249" s="18" t="str">
        <f>IF(COUNTIF($A$2:A248, A248) = 1, A248, "")</f>
        <v/>
      </c>
    </row>
    <row r="250" spans="6:38" x14ac:dyDescent="0.2">
      <c r="F250" t="str">
        <f t="shared" si="33"/>
        <v/>
      </c>
      <c r="L250" s="7" t="str">
        <f t="shared" si="34"/>
        <v/>
      </c>
      <c r="N250" s="7" t="str">
        <f t="shared" si="35"/>
        <v/>
      </c>
      <c r="O250" t="str">
        <f t="shared" si="36"/>
        <v/>
      </c>
      <c r="P250" t="str">
        <f t="shared" si="37"/>
        <v/>
      </c>
      <c r="Q250" t="str">
        <f t="shared" si="38"/>
        <v/>
      </c>
      <c r="S250" t="str">
        <f>""</f>
        <v/>
      </c>
      <c r="AL250" s="18" t="str">
        <f>IF(COUNTIF($A$2:A249, A249) = 1, A249, "")</f>
        <v/>
      </c>
    </row>
    <row r="251" spans="6:38" x14ac:dyDescent="0.2">
      <c r="F251" t="str">
        <f t="shared" si="33"/>
        <v/>
      </c>
      <c r="L251" s="7" t="str">
        <f t="shared" si="34"/>
        <v/>
      </c>
      <c r="N251" s="7" t="str">
        <f t="shared" si="35"/>
        <v/>
      </c>
      <c r="O251" t="str">
        <f t="shared" si="36"/>
        <v/>
      </c>
      <c r="P251" t="str">
        <f t="shared" si="37"/>
        <v/>
      </c>
      <c r="Q251" t="str">
        <f t="shared" si="38"/>
        <v/>
      </c>
      <c r="S251" t="str">
        <f>""</f>
        <v/>
      </c>
      <c r="AL251" s="18" t="str">
        <f>IF(COUNTIF($A$2:A250, A250) = 1, A250, "")</f>
        <v/>
      </c>
    </row>
    <row r="252" spans="6:38" x14ac:dyDescent="0.2">
      <c r="F252" t="str">
        <f t="shared" si="33"/>
        <v/>
      </c>
      <c r="L252" s="7" t="str">
        <f t="shared" si="34"/>
        <v/>
      </c>
      <c r="N252" s="7" t="str">
        <f t="shared" si="35"/>
        <v/>
      </c>
      <c r="O252" t="str">
        <f t="shared" si="36"/>
        <v/>
      </c>
      <c r="P252" t="str">
        <f t="shared" si="37"/>
        <v/>
      </c>
      <c r="Q252" t="str">
        <f t="shared" si="38"/>
        <v/>
      </c>
      <c r="S252" t="str">
        <f>""</f>
        <v/>
      </c>
      <c r="AL252" s="18" t="str">
        <f>IF(COUNTIF($A$2:A251, A251) = 1, A251, "")</f>
        <v/>
      </c>
    </row>
    <row r="253" spans="6:38" x14ac:dyDescent="0.2">
      <c r="F253" t="str">
        <f t="shared" si="33"/>
        <v/>
      </c>
      <c r="L253" s="7" t="str">
        <f t="shared" si="34"/>
        <v/>
      </c>
      <c r="N253" s="7" t="str">
        <f t="shared" si="35"/>
        <v/>
      </c>
      <c r="O253" t="str">
        <f t="shared" si="36"/>
        <v/>
      </c>
      <c r="P253" t="str">
        <f t="shared" si="37"/>
        <v/>
      </c>
      <c r="Q253" t="str">
        <f t="shared" si="38"/>
        <v/>
      </c>
      <c r="S253" t="str">
        <f>""</f>
        <v/>
      </c>
      <c r="AL253" s="18" t="str">
        <f>IF(COUNTIF($A$2:A252, A252) = 1, A252, "")</f>
        <v/>
      </c>
    </row>
    <row r="254" spans="6:38" x14ac:dyDescent="0.2">
      <c r="F254" t="str">
        <f t="shared" si="33"/>
        <v/>
      </c>
      <c r="L254" s="7" t="str">
        <f t="shared" si="34"/>
        <v/>
      </c>
      <c r="N254" s="7" t="str">
        <f t="shared" si="35"/>
        <v/>
      </c>
      <c r="O254" t="str">
        <f t="shared" si="36"/>
        <v/>
      </c>
      <c r="P254" t="str">
        <f t="shared" si="37"/>
        <v/>
      </c>
      <c r="Q254" t="str">
        <f t="shared" si="38"/>
        <v/>
      </c>
      <c r="S254" t="str">
        <f>""</f>
        <v/>
      </c>
      <c r="AL254" s="18" t="str">
        <f>IF(COUNTIF($A$2:A253, A253) = 1, A253, "")</f>
        <v/>
      </c>
    </row>
    <row r="255" spans="6:38" x14ac:dyDescent="0.2">
      <c r="F255" t="str">
        <f t="shared" si="33"/>
        <v/>
      </c>
      <c r="L255" s="7" t="str">
        <f t="shared" si="34"/>
        <v/>
      </c>
      <c r="N255" s="7" t="str">
        <f t="shared" si="35"/>
        <v/>
      </c>
      <c r="O255" t="str">
        <f t="shared" si="36"/>
        <v/>
      </c>
      <c r="P255" t="str">
        <f t="shared" si="37"/>
        <v/>
      </c>
      <c r="Q255" t="str">
        <f t="shared" si="38"/>
        <v/>
      </c>
      <c r="S255" t="str">
        <f>""</f>
        <v/>
      </c>
      <c r="AL255" s="18" t="str">
        <f>IF(COUNTIF($A$2:A254, A254) = 1, A254, "")</f>
        <v/>
      </c>
    </row>
    <row r="256" spans="6:38" x14ac:dyDescent="0.2">
      <c r="F256" t="str">
        <f t="shared" si="33"/>
        <v/>
      </c>
      <c r="L256" s="7" t="str">
        <f t="shared" si="34"/>
        <v/>
      </c>
      <c r="N256" s="7" t="str">
        <f t="shared" si="35"/>
        <v/>
      </c>
      <c r="O256" t="str">
        <f t="shared" si="36"/>
        <v/>
      </c>
      <c r="P256" t="str">
        <f t="shared" si="37"/>
        <v/>
      </c>
      <c r="Q256" t="str">
        <f t="shared" si="38"/>
        <v/>
      </c>
      <c r="S256" t="str">
        <f>""</f>
        <v/>
      </c>
      <c r="AL256" s="18" t="str">
        <f>IF(COUNTIF($A$2:A255, A255) = 1, A255, "")</f>
        <v/>
      </c>
    </row>
    <row r="257" spans="6:38" x14ac:dyDescent="0.2">
      <c r="F257" t="str">
        <f t="shared" si="33"/>
        <v/>
      </c>
      <c r="L257" s="7" t="str">
        <f t="shared" si="34"/>
        <v/>
      </c>
      <c r="N257" s="7" t="str">
        <f t="shared" si="35"/>
        <v/>
      </c>
      <c r="O257" t="str">
        <f t="shared" si="36"/>
        <v/>
      </c>
      <c r="P257" t="str">
        <f t="shared" si="37"/>
        <v/>
      </c>
      <c r="Q257" t="str">
        <f t="shared" si="38"/>
        <v/>
      </c>
      <c r="S257" t="str">
        <f>""</f>
        <v/>
      </c>
      <c r="AL257" s="18" t="str">
        <f>IF(COUNTIF($A$2:A256, A256) = 1, A256, "")</f>
        <v/>
      </c>
    </row>
    <row r="258" spans="6:38" x14ac:dyDescent="0.2">
      <c r="F258" t="str">
        <f t="shared" si="33"/>
        <v/>
      </c>
      <c r="L258" s="7" t="str">
        <f t="shared" si="34"/>
        <v/>
      </c>
      <c r="N258" s="7" t="str">
        <f t="shared" si="35"/>
        <v/>
      </c>
      <c r="O258" t="str">
        <f t="shared" si="36"/>
        <v/>
      </c>
      <c r="P258" t="str">
        <f t="shared" si="37"/>
        <v/>
      </c>
      <c r="Q258" t="str">
        <f t="shared" si="38"/>
        <v/>
      </c>
      <c r="S258" t="str">
        <f>""</f>
        <v/>
      </c>
      <c r="AL258" s="18" t="str">
        <f>IF(COUNTIF($A$2:A257, A257) = 1, A257, "")</f>
        <v/>
      </c>
    </row>
    <row r="259" spans="6:38" x14ac:dyDescent="0.2">
      <c r="F259" t="str">
        <f t="shared" si="33"/>
        <v/>
      </c>
      <c r="L259" s="7" t="str">
        <f t="shared" si="34"/>
        <v/>
      </c>
      <c r="N259" s="7" t="str">
        <f t="shared" si="35"/>
        <v/>
      </c>
      <c r="O259" t="str">
        <f t="shared" si="36"/>
        <v/>
      </c>
      <c r="P259" t="str">
        <f t="shared" si="37"/>
        <v/>
      </c>
      <c r="Q259" t="str">
        <f t="shared" si="38"/>
        <v/>
      </c>
      <c r="S259" t="str">
        <f>""</f>
        <v/>
      </c>
      <c r="AL259" s="18" t="str">
        <f>IF(COUNTIF($A$2:A258, A258) = 1, A258, "")</f>
        <v/>
      </c>
    </row>
    <row r="260" spans="6:38" x14ac:dyDescent="0.2">
      <c r="F260" t="str">
        <f t="shared" si="33"/>
        <v/>
      </c>
      <c r="L260" s="7" t="str">
        <f t="shared" si="34"/>
        <v/>
      </c>
      <c r="N260" s="7" t="str">
        <f t="shared" si="35"/>
        <v/>
      </c>
      <c r="O260" t="str">
        <f t="shared" si="36"/>
        <v/>
      </c>
      <c r="P260" t="str">
        <f t="shared" si="37"/>
        <v/>
      </c>
      <c r="Q260" t="str">
        <f t="shared" si="38"/>
        <v/>
      </c>
      <c r="S260" t="str">
        <f>""</f>
        <v/>
      </c>
      <c r="AL260" s="18" t="str">
        <f>IF(COUNTIF($A$2:A259, A259) = 1, A259, "")</f>
        <v/>
      </c>
    </row>
    <row r="261" spans="6:38" x14ac:dyDescent="0.2">
      <c r="F261" t="str">
        <f t="shared" si="33"/>
        <v/>
      </c>
      <c r="L261" s="7" t="str">
        <f t="shared" si="34"/>
        <v/>
      </c>
      <c r="N261" s="7" t="str">
        <f t="shared" si="35"/>
        <v/>
      </c>
      <c r="O261" t="str">
        <f t="shared" si="36"/>
        <v/>
      </c>
      <c r="P261" t="str">
        <f t="shared" si="37"/>
        <v/>
      </c>
      <c r="Q261" t="str">
        <f t="shared" si="38"/>
        <v/>
      </c>
      <c r="S261" t="str">
        <f>""</f>
        <v/>
      </c>
      <c r="AL261" s="18" t="str">
        <f>IF(COUNTIF($A$2:A260, A260) = 1, A260, "")</f>
        <v/>
      </c>
    </row>
    <row r="262" spans="6:38" x14ac:dyDescent="0.2">
      <c r="F262" t="str">
        <f t="shared" si="33"/>
        <v/>
      </c>
      <c r="L262" s="7" t="str">
        <f t="shared" si="34"/>
        <v/>
      </c>
      <c r="N262" s="7" t="str">
        <f t="shared" si="35"/>
        <v/>
      </c>
      <c r="O262" t="str">
        <f t="shared" si="36"/>
        <v/>
      </c>
      <c r="P262" t="str">
        <f t="shared" si="37"/>
        <v/>
      </c>
      <c r="Q262" t="str">
        <f t="shared" si="38"/>
        <v/>
      </c>
      <c r="S262" t="str">
        <f>""</f>
        <v/>
      </c>
      <c r="AL262" s="18" t="str">
        <f>IF(COUNTIF($A$2:A261, A261) = 1, A261, "")</f>
        <v/>
      </c>
    </row>
    <row r="263" spans="6:38" x14ac:dyDescent="0.2">
      <c r="F263" t="str">
        <f t="shared" si="33"/>
        <v/>
      </c>
      <c r="L263" s="7" t="str">
        <f t="shared" si="34"/>
        <v/>
      </c>
      <c r="N263" s="7" t="str">
        <f t="shared" si="35"/>
        <v/>
      </c>
      <c r="O263" t="str">
        <f t="shared" si="36"/>
        <v/>
      </c>
      <c r="P263" t="str">
        <f t="shared" si="37"/>
        <v/>
      </c>
      <c r="Q263" t="str">
        <f t="shared" si="38"/>
        <v/>
      </c>
      <c r="S263" t="str">
        <f>""</f>
        <v/>
      </c>
      <c r="AL263" s="18" t="str">
        <f>IF(COUNTIF($A$2:A262, A262) = 1, A262, "")</f>
        <v/>
      </c>
    </row>
    <row r="264" spans="6:38" x14ac:dyDescent="0.2">
      <c r="F264" t="str">
        <f t="shared" si="33"/>
        <v/>
      </c>
      <c r="L264" s="7" t="str">
        <f t="shared" si="34"/>
        <v/>
      </c>
      <c r="N264" s="7" t="str">
        <f t="shared" si="35"/>
        <v/>
      </c>
      <c r="O264" t="str">
        <f t="shared" si="36"/>
        <v/>
      </c>
      <c r="P264" t="str">
        <f t="shared" si="37"/>
        <v/>
      </c>
      <c r="Q264" t="str">
        <f t="shared" si="38"/>
        <v/>
      </c>
      <c r="S264" t="str">
        <f>""</f>
        <v/>
      </c>
      <c r="AL264" s="18" t="str">
        <f>IF(COUNTIF($A$2:A263, A263) = 1, A263, "")</f>
        <v/>
      </c>
    </row>
    <row r="265" spans="6:38" x14ac:dyDescent="0.2">
      <c r="F265" t="str">
        <f t="shared" si="33"/>
        <v/>
      </c>
      <c r="L265" s="7" t="str">
        <f t="shared" si="34"/>
        <v/>
      </c>
      <c r="N265" s="7" t="str">
        <f t="shared" si="35"/>
        <v/>
      </c>
      <c r="O265" t="str">
        <f t="shared" si="36"/>
        <v/>
      </c>
      <c r="P265" t="str">
        <f t="shared" si="37"/>
        <v/>
      </c>
      <c r="Q265" t="str">
        <f t="shared" si="38"/>
        <v/>
      </c>
      <c r="S265" t="str">
        <f>""</f>
        <v/>
      </c>
      <c r="AL265" s="18" t="str">
        <f>IF(COUNTIF($A$2:A264, A264) = 1, A264, "")</f>
        <v/>
      </c>
    </row>
    <row r="266" spans="6:38" x14ac:dyDescent="0.2">
      <c r="F266" t="str">
        <f t="shared" si="33"/>
        <v/>
      </c>
      <c r="L266" s="7" t="str">
        <f t="shared" si="34"/>
        <v/>
      </c>
      <c r="N266" s="7" t="str">
        <f t="shared" si="35"/>
        <v/>
      </c>
      <c r="O266" t="str">
        <f t="shared" si="36"/>
        <v/>
      </c>
      <c r="P266" t="str">
        <f t="shared" si="37"/>
        <v/>
      </c>
      <c r="Q266" t="str">
        <f t="shared" si="38"/>
        <v/>
      </c>
      <c r="S266" t="str">
        <f>""</f>
        <v/>
      </c>
      <c r="AL266" s="18" t="str">
        <f>IF(COUNTIF($A$2:A265, A265) = 1, A265, "")</f>
        <v/>
      </c>
    </row>
    <row r="267" spans="6:38" x14ac:dyDescent="0.2">
      <c r="F267" t="str">
        <f t="shared" si="33"/>
        <v/>
      </c>
      <c r="L267" s="7" t="str">
        <f t="shared" si="34"/>
        <v/>
      </c>
      <c r="N267" s="7" t="str">
        <f t="shared" si="35"/>
        <v/>
      </c>
      <c r="O267" t="str">
        <f t="shared" si="36"/>
        <v/>
      </c>
      <c r="P267" t="str">
        <f t="shared" si="37"/>
        <v/>
      </c>
      <c r="Q267" t="str">
        <f t="shared" si="38"/>
        <v/>
      </c>
      <c r="S267" t="str">
        <f>""</f>
        <v/>
      </c>
      <c r="AL267" s="18" t="str">
        <f>IF(COUNTIF($A$2:A266, A266) = 1, A266, "")</f>
        <v/>
      </c>
    </row>
    <row r="268" spans="6:38" x14ac:dyDescent="0.2">
      <c r="F268" t="str">
        <f t="shared" si="33"/>
        <v/>
      </c>
      <c r="L268" s="7" t="str">
        <f t="shared" si="34"/>
        <v/>
      </c>
      <c r="N268" s="7" t="str">
        <f t="shared" si="35"/>
        <v/>
      </c>
      <c r="O268" t="str">
        <f t="shared" si="36"/>
        <v/>
      </c>
      <c r="P268" t="str">
        <f t="shared" si="37"/>
        <v/>
      </c>
      <c r="Q268" t="str">
        <f t="shared" si="38"/>
        <v/>
      </c>
      <c r="S268" t="str">
        <f>""</f>
        <v/>
      </c>
      <c r="AL268" s="18" t="str">
        <f>IF(COUNTIF($A$2:A267, A267) = 1, A267, "")</f>
        <v/>
      </c>
    </row>
    <row r="269" spans="6:38" x14ac:dyDescent="0.2">
      <c r="F269" t="str">
        <f t="shared" si="33"/>
        <v/>
      </c>
      <c r="L269" s="7" t="str">
        <f t="shared" si="34"/>
        <v/>
      </c>
      <c r="N269" s="7" t="str">
        <f t="shared" si="35"/>
        <v/>
      </c>
      <c r="O269" t="str">
        <f t="shared" si="36"/>
        <v/>
      </c>
      <c r="P269" t="str">
        <f t="shared" si="37"/>
        <v/>
      </c>
      <c r="Q269" t="str">
        <f t="shared" si="38"/>
        <v/>
      </c>
      <c r="S269" t="str">
        <f>""</f>
        <v/>
      </c>
      <c r="AL269" s="18" t="str">
        <f>IF(COUNTIF($A$2:A268, A268) = 1, A268, "")</f>
        <v/>
      </c>
    </row>
    <row r="270" spans="6:38" x14ac:dyDescent="0.2">
      <c r="F270" t="str">
        <f t="shared" si="33"/>
        <v/>
      </c>
      <c r="L270" s="7" t="str">
        <f t="shared" si="34"/>
        <v/>
      </c>
      <c r="N270" s="7" t="str">
        <f t="shared" si="35"/>
        <v/>
      </c>
      <c r="O270" t="str">
        <f t="shared" si="36"/>
        <v/>
      </c>
      <c r="P270" t="str">
        <f t="shared" si="37"/>
        <v/>
      </c>
      <c r="Q270" t="str">
        <f t="shared" si="38"/>
        <v/>
      </c>
      <c r="S270" t="str">
        <f>""</f>
        <v/>
      </c>
      <c r="AL270" s="18" t="str">
        <f>IF(COUNTIF($A$2:A269, A269) = 1, A269, "")</f>
        <v/>
      </c>
    </row>
    <row r="271" spans="6:38" x14ac:dyDescent="0.2">
      <c r="F271" t="str">
        <f t="shared" si="33"/>
        <v/>
      </c>
      <c r="L271" s="7" t="str">
        <f t="shared" si="34"/>
        <v/>
      </c>
      <c r="N271" s="7" t="str">
        <f t="shared" si="35"/>
        <v/>
      </c>
      <c r="O271" t="str">
        <f t="shared" si="36"/>
        <v/>
      </c>
      <c r="P271" t="str">
        <f t="shared" si="37"/>
        <v/>
      </c>
      <c r="Q271" t="str">
        <f t="shared" si="38"/>
        <v/>
      </c>
      <c r="S271" t="str">
        <f>""</f>
        <v/>
      </c>
      <c r="AL271" s="18" t="str">
        <f>IF(COUNTIF($A$2:A270, A270) = 1, A270, "")</f>
        <v/>
      </c>
    </row>
    <row r="272" spans="6:38" x14ac:dyDescent="0.2">
      <c r="F272" t="str">
        <f t="shared" ref="F272:F335" si="39">IF(OR(O272="", P272=""), "", SUM(IF((O272&lt;&gt;"None")*(O272&lt;&gt;""),LEN(O272)-LEN(SUBSTITUTE(O272,",",""))+1,0)) + SUM(IF((P272&lt;&gt;"None")*(P272&lt;&gt;""),LEN(P272)-LEN(SUBSTITUTE(P272,",",""))+1,0)))</f>
        <v/>
      </c>
      <c r="L272" s="7" t="str">
        <f t="shared" ref="L272:L335" si="40">IF(LEN(E272)=0, "", IFERROR(IF(E272&gt;=0, K272 * (1 + E272/100) - K272, K272 / (ABS(E272)/100))+K272, ""))</f>
        <v/>
      </c>
      <c r="N272" s="7" t="str">
        <f t="shared" ref="N272:N335" si="41">IF(M272="Yes",L272-K272,IF(M272="No",-K272,""))</f>
        <v/>
      </c>
      <c r="O272" t="str">
        <f t="shared" ref="O272:O335" si="42">IF(AND(G272="No",H272="No"), "None", "")</f>
        <v/>
      </c>
      <c r="P272" t="str">
        <f t="shared" ref="P272:P335" si="43">IF(I272="No", "None", "")</f>
        <v/>
      </c>
      <c r="Q272" t="str">
        <f t="shared" ref="Q272:Q335" si="44">IF(AND(D272="Straight", M272 = "No"),IF(O272="None",P272,IF(P272="None",O272) ),"")</f>
        <v/>
      </c>
      <c r="S272" t="str">
        <f>""</f>
        <v/>
      </c>
      <c r="AL272" s="18" t="str">
        <f>IF(COUNTIF($A$2:A271, A271) = 1, A271, "")</f>
        <v/>
      </c>
    </row>
    <row r="273" spans="6:38" x14ac:dyDescent="0.2">
      <c r="F273" t="str">
        <f t="shared" si="39"/>
        <v/>
      </c>
      <c r="L273" s="7" t="str">
        <f t="shared" si="40"/>
        <v/>
      </c>
      <c r="N273" s="7" t="str">
        <f t="shared" si="41"/>
        <v/>
      </c>
      <c r="O273" t="str">
        <f t="shared" si="42"/>
        <v/>
      </c>
      <c r="P273" t="str">
        <f t="shared" si="43"/>
        <v/>
      </c>
      <c r="Q273" t="str">
        <f t="shared" si="44"/>
        <v/>
      </c>
      <c r="S273" t="str">
        <f>""</f>
        <v/>
      </c>
      <c r="AL273" s="18" t="str">
        <f>IF(COUNTIF($A$2:A272, A272) = 1, A272, "")</f>
        <v/>
      </c>
    </row>
    <row r="274" spans="6:38" x14ac:dyDescent="0.2">
      <c r="F274" t="str">
        <f t="shared" si="39"/>
        <v/>
      </c>
      <c r="L274" s="7" t="str">
        <f t="shared" si="40"/>
        <v/>
      </c>
      <c r="N274" s="7" t="str">
        <f t="shared" si="41"/>
        <v/>
      </c>
      <c r="O274" t="str">
        <f t="shared" si="42"/>
        <v/>
      </c>
      <c r="P274" t="str">
        <f t="shared" si="43"/>
        <v/>
      </c>
      <c r="Q274" t="str">
        <f t="shared" si="44"/>
        <v/>
      </c>
      <c r="S274" t="str">
        <f>""</f>
        <v/>
      </c>
      <c r="AL274" s="18" t="str">
        <f>IF(COUNTIF($A$2:A273, A273) = 1, A273, "")</f>
        <v/>
      </c>
    </row>
    <row r="275" spans="6:38" x14ac:dyDescent="0.2">
      <c r="F275" t="str">
        <f t="shared" si="39"/>
        <v/>
      </c>
      <c r="L275" s="7" t="str">
        <f t="shared" si="40"/>
        <v/>
      </c>
      <c r="N275" s="7" t="str">
        <f t="shared" si="41"/>
        <v/>
      </c>
      <c r="O275" t="str">
        <f t="shared" si="42"/>
        <v/>
      </c>
      <c r="P275" t="str">
        <f t="shared" si="43"/>
        <v/>
      </c>
      <c r="Q275" t="str">
        <f t="shared" si="44"/>
        <v/>
      </c>
      <c r="S275" t="str">
        <f>""</f>
        <v/>
      </c>
      <c r="AL275" s="18" t="str">
        <f>IF(COUNTIF($A$2:A274, A274) = 1, A274, "")</f>
        <v/>
      </c>
    </row>
    <row r="276" spans="6:38" x14ac:dyDescent="0.2">
      <c r="F276" t="str">
        <f t="shared" si="39"/>
        <v/>
      </c>
      <c r="L276" s="7" t="str">
        <f t="shared" si="40"/>
        <v/>
      </c>
      <c r="N276" s="7" t="str">
        <f t="shared" si="41"/>
        <v/>
      </c>
      <c r="O276" t="str">
        <f t="shared" si="42"/>
        <v/>
      </c>
      <c r="P276" t="str">
        <f t="shared" si="43"/>
        <v/>
      </c>
      <c r="Q276" t="str">
        <f t="shared" si="44"/>
        <v/>
      </c>
      <c r="S276" t="str">
        <f>""</f>
        <v/>
      </c>
      <c r="AL276" s="18" t="str">
        <f>IF(COUNTIF($A$2:A275, A275) = 1, A275, "")</f>
        <v/>
      </c>
    </row>
    <row r="277" spans="6:38" x14ac:dyDescent="0.2">
      <c r="F277" t="str">
        <f t="shared" si="39"/>
        <v/>
      </c>
      <c r="L277" s="7" t="str">
        <f t="shared" si="40"/>
        <v/>
      </c>
      <c r="N277" s="7" t="str">
        <f t="shared" si="41"/>
        <v/>
      </c>
      <c r="O277" t="str">
        <f t="shared" si="42"/>
        <v/>
      </c>
      <c r="P277" t="str">
        <f t="shared" si="43"/>
        <v/>
      </c>
      <c r="Q277" t="str">
        <f t="shared" si="44"/>
        <v/>
      </c>
      <c r="S277" t="str">
        <f>""</f>
        <v/>
      </c>
      <c r="AL277" s="18" t="str">
        <f>IF(COUNTIF($A$2:A276, A276) = 1, A276, "")</f>
        <v/>
      </c>
    </row>
    <row r="278" spans="6:38" x14ac:dyDescent="0.2">
      <c r="F278" t="str">
        <f t="shared" si="39"/>
        <v/>
      </c>
      <c r="L278" s="7" t="str">
        <f t="shared" si="40"/>
        <v/>
      </c>
      <c r="N278" s="7" t="str">
        <f t="shared" si="41"/>
        <v/>
      </c>
      <c r="O278" t="str">
        <f t="shared" si="42"/>
        <v/>
      </c>
      <c r="P278" t="str">
        <f t="shared" si="43"/>
        <v/>
      </c>
      <c r="Q278" t="str">
        <f t="shared" si="44"/>
        <v/>
      </c>
      <c r="S278" t="str">
        <f>""</f>
        <v/>
      </c>
      <c r="AL278" s="18" t="str">
        <f>IF(COUNTIF($A$2:A277, A277) = 1, A277, "")</f>
        <v/>
      </c>
    </row>
    <row r="279" spans="6:38" x14ac:dyDescent="0.2">
      <c r="F279" t="str">
        <f t="shared" si="39"/>
        <v/>
      </c>
      <c r="L279" s="7" t="str">
        <f t="shared" si="40"/>
        <v/>
      </c>
      <c r="N279" s="7" t="str">
        <f t="shared" si="41"/>
        <v/>
      </c>
      <c r="O279" t="str">
        <f t="shared" si="42"/>
        <v/>
      </c>
      <c r="P279" t="str">
        <f t="shared" si="43"/>
        <v/>
      </c>
      <c r="Q279" t="str">
        <f t="shared" si="44"/>
        <v/>
      </c>
      <c r="S279" t="str">
        <f>""</f>
        <v/>
      </c>
      <c r="AL279" s="18" t="str">
        <f>IF(COUNTIF($A$2:A278, A278) = 1, A278, "")</f>
        <v/>
      </c>
    </row>
    <row r="280" spans="6:38" x14ac:dyDescent="0.2">
      <c r="F280" t="str">
        <f t="shared" si="39"/>
        <v/>
      </c>
      <c r="L280" s="7" t="str">
        <f t="shared" si="40"/>
        <v/>
      </c>
      <c r="N280" s="7" t="str">
        <f t="shared" si="41"/>
        <v/>
      </c>
      <c r="O280" t="str">
        <f t="shared" si="42"/>
        <v/>
      </c>
      <c r="P280" t="str">
        <f t="shared" si="43"/>
        <v/>
      </c>
      <c r="Q280" t="str">
        <f t="shared" si="44"/>
        <v/>
      </c>
      <c r="S280" t="str">
        <f>""</f>
        <v/>
      </c>
      <c r="AL280" s="18" t="str">
        <f>IF(COUNTIF($A$2:A279, A279) = 1, A279, "")</f>
        <v/>
      </c>
    </row>
    <row r="281" spans="6:38" x14ac:dyDescent="0.2">
      <c r="F281" t="str">
        <f t="shared" si="39"/>
        <v/>
      </c>
      <c r="L281" s="7" t="str">
        <f t="shared" si="40"/>
        <v/>
      </c>
      <c r="N281" s="7" t="str">
        <f t="shared" si="41"/>
        <v/>
      </c>
      <c r="O281" t="str">
        <f t="shared" si="42"/>
        <v/>
      </c>
      <c r="P281" t="str">
        <f t="shared" si="43"/>
        <v/>
      </c>
      <c r="Q281" t="str">
        <f t="shared" si="44"/>
        <v/>
      </c>
      <c r="S281" t="str">
        <f>""</f>
        <v/>
      </c>
      <c r="AL281" s="18" t="str">
        <f>IF(COUNTIF($A$2:A280, A280) = 1, A280, "")</f>
        <v/>
      </c>
    </row>
    <row r="282" spans="6:38" x14ac:dyDescent="0.2">
      <c r="F282" t="str">
        <f t="shared" si="39"/>
        <v/>
      </c>
      <c r="L282" s="7" t="str">
        <f t="shared" si="40"/>
        <v/>
      </c>
      <c r="N282" s="7" t="str">
        <f t="shared" si="41"/>
        <v/>
      </c>
      <c r="O282" t="str">
        <f t="shared" si="42"/>
        <v/>
      </c>
      <c r="P282" t="str">
        <f t="shared" si="43"/>
        <v/>
      </c>
      <c r="Q282" t="str">
        <f t="shared" si="44"/>
        <v/>
      </c>
      <c r="S282" t="str">
        <f>""</f>
        <v/>
      </c>
      <c r="AL282" s="18" t="str">
        <f>IF(COUNTIF($A$2:A281, A281) = 1, A281, "")</f>
        <v/>
      </c>
    </row>
    <row r="283" spans="6:38" x14ac:dyDescent="0.2">
      <c r="F283" t="str">
        <f t="shared" si="39"/>
        <v/>
      </c>
      <c r="L283" s="7" t="str">
        <f t="shared" si="40"/>
        <v/>
      </c>
      <c r="N283" s="7" t="str">
        <f t="shared" si="41"/>
        <v/>
      </c>
      <c r="O283" t="str">
        <f t="shared" si="42"/>
        <v/>
      </c>
      <c r="P283" t="str">
        <f t="shared" si="43"/>
        <v/>
      </c>
      <c r="Q283" t="str">
        <f t="shared" si="44"/>
        <v/>
      </c>
      <c r="S283" t="str">
        <f>""</f>
        <v/>
      </c>
      <c r="AL283" s="18" t="str">
        <f>IF(COUNTIF($A$2:A282, A282) = 1, A282, "")</f>
        <v/>
      </c>
    </row>
    <row r="284" spans="6:38" x14ac:dyDescent="0.2">
      <c r="F284" t="str">
        <f t="shared" si="39"/>
        <v/>
      </c>
      <c r="L284" s="7" t="str">
        <f t="shared" si="40"/>
        <v/>
      </c>
      <c r="N284" s="7" t="str">
        <f t="shared" si="41"/>
        <v/>
      </c>
      <c r="O284" t="str">
        <f t="shared" si="42"/>
        <v/>
      </c>
      <c r="P284" t="str">
        <f t="shared" si="43"/>
        <v/>
      </c>
      <c r="Q284" t="str">
        <f t="shared" si="44"/>
        <v/>
      </c>
      <c r="S284" t="str">
        <f>""</f>
        <v/>
      </c>
      <c r="AL284" s="18" t="str">
        <f>IF(COUNTIF($A$2:A283, A283) = 1, A283, "")</f>
        <v/>
      </c>
    </row>
    <row r="285" spans="6:38" x14ac:dyDescent="0.2">
      <c r="F285" t="str">
        <f t="shared" si="39"/>
        <v/>
      </c>
      <c r="L285" s="7" t="str">
        <f t="shared" si="40"/>
        <v/>
      </c>
      <c r="N285" s="7" t="str">
        <f t="shared" si="41"/>
        <v/>
      </c>
      <c r="O285" t="str">
        <f t="shared" si="42"/>
        <v/>
      </c>
      <c r="P285" t="str">
        <f t="shared" si="43"/>
        <v/>
      </c>
      <c r="Q285" t="str">
        <f t="shared" si="44"/>
        <v/>
      </c>
      <c r="S285" t="str">
        <f>""</f>
        <v/>
      </c>
      <c r="AL285" s="18" t="str">
        <f>IF(COUNTIF($A$2:A284, A284) = 1, A284, "")</f>
        <v/>
      </c>
    </row>
    <row r="286" spans="6:38" x14ac:dyDescent="0.2">
      <c r="F286" t="str">
        <f t="shared" si="39"/>
        <v/>
      </c>
      <c r="L286" s="7" t="str">
        <f t="shared" si="40"/>
        <v/>
      </c>
      <c r="N286" s="7" t="str">
        <f t="shared" si="41"/>
        <v/>
      </c>
      <c r="O286" t="str">
        <f t="shared" si="42"/>
        <v/>
      </c>
      <c r="P286" t="str">
        <f t="shared" si="43"/>
        <v/>
      </c>
      <c r="Q286" t="str">
        <f t="shared" si="44"/>
        <v/>
      </c>
      <c r="S286" t="str">
        <f>""</f>
        <v/>
      </c>
      <c r="AL286" s="18" t="str">
        <f>IF(COUNTIF($A$2:A285, A285) = 1, A285, "")</f>
        <v/>
      </c>
    </row>
    <row r="287" spans="6:38" x14ac:dyDescent="0.2">
      <c r="F287" t="str">
        <f t="shared" si="39"/>
        <v/>
      </c>
      <c r="L287" s="7" t="str">
        <f t="shared" si="40"/>
        <v/>
      </c>
      <c r="N287" s="7" t="str">
        <f t="shared" si="41"/>
        <v/>
      </c>
      <c r="O287" t="str">
        <f t="shared" si="42"/>
        <v/>
      </c>
      <c r="P287" t="str">
        <f t="shared" si="43"/>
        <v/>
      </c>
      <c r="Q287" t="str">
        <f t="shared" si="44"/>
        <v/>
      </c>
      <c r="S287" t="str">
        <f>""</f>
        <v/>
      </c>
      <c r="AL287" s="18" t="str">
        <f>IF(COUNTIF($A$2:A286, A286) = 1, A286, "")</f>
        <v/>
      </c>
    </row>
    <row r="288" spans="6:38" x14ac:dyDescent="0.2">
      <c r="F288" t="str">
        <f t="shared" si="39"/>
        <v/>
      </c>
      <c r="L288" s="7" t="str">
        <f t="shared" si="40"/>
        <v/>
      </c>
      <c r="N288" s="7" t="str">
        <f t="shared" si="41"/>
        <v/>
      </c>
      <c r="O288" t="str">
        <f t="shared" si="42"/>
        <v/>
      </c>
      <c r="P288" t="str">
        <f t="shared" si="43"/>
        <v/>
      </c>
      <c r="Q288" t="str">
        <f t="shared" si="44"/>
        <v/>
      </c>
      <c r="S288" t="str">
        <f>""</f>
        <v/>
      </c>
      <c r="AL288" s="18" t="str">
        <f>IF(COUNTIF($A$2:A287, A287) = 1, A287, "")</f>
        <v/>
      </c>
    </row>
    <row r="289" spans="6:38" x14ac:dyDescent="0.2">
      <c r="F289" t="str">
        <f t="shared" si="39"/>
        <v/>
      </c>
      <c r="L289" s="7" t="str">
        <f t="shared" si="40"/>
        <v/>
      </c>
      <c r="N289" s="7" t="str">
        <f t="shared" si="41"/>
        <v/>
      </c>
      <c r="O289" t="str">
        <f t="shared" si="42"/>
        <v/>
      </c>
      <c r="P289" t="str">
        <f t="shared" si="43"/>
        <v/>
      </c>
      <c r="Q289" t="str">
        <f t="shared" si="44"/>
        <v/>
      </c>
      <c r="S289" t="str">
        <f>""</f>
        <v/>
      </c>
      <c r="AL289" s="18" t="str">
        <f>IF(COUNTIF($A$2:A288, A288) = 1, A288, "")</f>
        <v/>
      </c>
    </row>
    <row r="290" spans="6:38" x14ac:dyDescent="0.2">
      <c r="F290" t="str">
        <f t="shared" si="39"/>
        <v/>
      </c>
      <c r="L290" s="7" t="str">
        <f t="shared" si="40"/>
        <v/>
      </c>
      <c r="N290" s="7" t="str">
        <f t="shared" si="41"/>
        <v/>
      </c>
      <c r="O290" t="str">
        <f t="shared" si="42"/>
        <v/>
      </c>
      <c r="P290" t="str">
        <f t="shared" si="43"/>
        <v/>
      </c>
      <c r="Q290" t="str">
        <f t="shared" si="44"/>
        <v/>
      </c>
      <c r="S290" t="str">
        <f>""</f>
        <v/>
      </c>
      <c r="AL290" s="18" t="str">
        <f>IF(COUNTIF($A$2:A289, A289) = 1, A289, "")</f>
        <v/>
      </c>
    </row>
    <row r="291" spans="6:38" x14ac:dyDescent="0.2">
      <c r="F291" t="str">
        <f t="shared" si="39"/>
        <v/>
      </c>
      <c r="L291" s="7" t="str">
        <f t="shared" si="40"/>
        <v/>
      </c>
      <c r="N291" s="7" t="str">
        <f t="shared" si="41"/>
        <v/>
      </c>
      <c r="O291" t="str">
        <f t="shared" si="42"/>
        <v/>
      </c>
      <c r="P291" t="str">
        <f t="shared" si="43"/>
        <v/>
      </c>
      <c r="Q291" t="str">
        <f t="shared" si="44"/>
        <v/>
      </c>
      <c r="S291" t="str">
        <f>""</f>
        <v/>
      </c>
      <c r="AL291" s="18" t="str">
        <f>IF(COUNTIF($A$2:A290, A290) = 1, A290, "")</f>
        <v/>
      </c>
    </row>
    <row r="292" spans="6:38" x14ac:dyDescent="0.2">
      <c r="F292" t="str">
        <f t="shared" si="39"/>
        <v/>
      </c>
      <c r="L292" s="7" t="str">
        <f t="shared" si="40"/>
        <v/>
      </c>
      <c r="N292" s="7" t="str">
        <f t="shared" si="41"/>
        <v/>
      </c>
      <c r="O292" t="str">
        <f t="shared" si="42"/>
        <v/>
      </c>
      <c r="P292" t="str">
        <f t="shared" si="43"/>
        <v/>
      </c>
      <c r="Q292" t="str">
        <f t="shared" si="44"/>
        <v/>
      </c>
      <c r="S292" t="str">
        <f>""</f>
        <v/>
      </c>
      <c r="AL292" s="18" t="str">
        <f>IF(COUNTIF($A$2:A291, A291) = 1, A291, "")</f>
        <v/>
      </c>
    </row>
    <row r="293" spans="6:38" x14ac:dyDescent="0.2">
      <c r="F293" t="str">
        <f t="shared" si="39"/>
        <v/>
      </c>
      <c r="L293" s="7" t="str">
        <f t="shared" si="40"/>
        <v/>
      </c>
      <c r="N293" s="7" t="str">
        <f t="shared" si="41"/>
        <v/>
      </c>
      <c r="O293" t="str">
        <f t="shared" si="42"/>
        <v/>
      </c>
      <c r="P293" t="str">
        <f t="shared" si="43"/>
        <v/>
      </c>
      <c r="Q293" t="str">
        <f t="shared" si="44"/>
        <v/>
      </c>
      <c r="S293" t="str">
        <f>""</f>
        <v/>
      </c>
      <c r="AL293" s="18" t="str">
        <f>IF(COUNTIF($A$2:A292, A292) = 1, A292, "")</f>
        <v/>
      </c>
    </row>
    <row r="294" spans="6:38" x14ac:dyDescent="0.2">
      <c r="F294" t="str">
        <f t="shared" si="39"/>
        <v/>
      </c>
      <c r="L294" s="7" t="str">
        <f t="shared" si="40"/>
        <v/>
      </c>
      <c r="N294" s="7" t="str">
        <f t="shared" si="41"/>
        <v/>
      </c>
      <c r="O294" t="str">
        <f t="shared" si="42"/>
        <v/>
      </c>
      <c r="P294" t="str">
        <f t="shared" si="43"/>
        <v/>
      </c>
      <c r="Q294" t="str">
        <f t="shared" si="44"/>
        <v/>
      </c>
      <c r="S294" t="str">
        <f>""</f>
        <v/>
      </c>
      <c r="AL294" s="18" t="str">
        <f>IF(COUNTIF($A$2:A293, A293) = 1, A293, "")</f>
        <v/>
      </c>
    </row>
    <row r="295" spans="6:38" x14ac:dyDescent="0.2">
      <c r="F295" t="str">
        <f t="shared" si="39"/>
        <v/>
      </c>
      <c r="L295" s="7" t="str">
        <f t="shared" si="40"/>
        <v/>
      </c>
      <c r="N295" s="7" t="str">
        <f t="shared" si="41"/>
        <v/>
      </c>
      <c r="O295" t="str">
        <f t="shared" si="42"/>
        <v/>
      </c>
      <c r="P295" t="str">
        <f t="shared" si="43"/>
        <v/>
      </c>
      <c r="Q295" t="str">
        <f t="shared" si="44"/>
        <v/>
      </c>
      <c r="S295" t="str">
        <f>""</f>
        <v/>
      </c>
      <c r="AL295" s="18" t="str">
        <f>IF(COUNTIF($A$2:A294, A294) = 1, A294, "")</f>
        <v/>
      </c>
    </row>
    <row r="296" spans="6:38" x14ac:dyDescent="0.2">
      <c r="F296" t="str">
        <f t="shared" si="39"/>
        <v/>
      </c>
      <c r="L296" s="7" t="str">
        <f t="shared" si="40"/>
        <v/>
      </c>
      <c r="N296" s="7" t="str">
        <f t="shared" si="41"/>
        <v/>
      </c>
      <c r="O296" t="str">
        <f t="shared" si="42"/>
        <v/>
      </c>
      <c r="P296" t="str">
        <f t="shared" si="43"/>
        <v/>
      </c>
      <c r="Q296" t="str">
        <f t="shared" si="44"/>
        <v/>
      </c>
      <c r="S296" t="str">
        <f>""</f>
        <v/>
      </c>
      <c r="AL296" s="18" t="str">
        <f>IF(COUNTIF($A$2:A295, A295) = 1, A295, "")</f>
        <v/>
      </c>
    </row>
    <row r="297" spans="6:38" x14ac:dyDescent="0.2">
      <c r="F297" t="str">
        <f t="shared" si="39"/>
        <v/>
      </c>
      <c r="L297" s="7" t="str">
        <f t="shared" si="40"/>
        <v/>
      </c>
      <c r="N297" s="7" t="str">
        <f t="shared" si="41"/>
        <v/>
      </c>
      <c r="O297" t="str">
        <f t="shared" si="42"/>
        <v/>
      </c>
      <c r="P297" t="str">
        <f t="shared" si="43"/>
        <v/>
      </c>
      <c r="Q297" t="str">
        <f t="shared" si="44"/>
        <v/>
      </c>
      <c r="S297" t="str">
        <f>""</f>
        <v/>
      </c>
      <c r="AL297" s="18" t="str">
        <f>IF(COUNTIF($A$2:A296, A296) = 1, A296, "")</f>
        <v/>
      </c>
    </row>
    <row r="298" spans="6:38" x14ac:dyDescent="0.2">
      <c r="F298" t="str">
        <f t="shared" si="39"/>
        <v/>
      </c>
      <c r="L298" s="7" t="str">
        <f t="shared" si="40"/>
        <v/>
      </c>
      <c r="N298" s="7" t="str">
        <f t="shared" si="41"/>
        <v/>
      </c>
      <c r="O298" t="str">
        <f t="shared" si="42"/>
        <v/>
      </c>
      <c r="P298" t="str">
        <f t="shared" si="43"/>
        <v/>
      </c>
      <c r="Q298" t="str">
        <f t="shared" si="44"/>
        <v/>
      </c>
      <c r="S298" t="str">
        <f>""</f>
        <v/>
      </c>
      <c r="AL298" s="18" t="str">
        <f>IF(COUNTIF($A$2:A297, A297) = 1, A297, "")</f>
        <v/>
      </c>
    </row>
    <row r="299" spans="6:38" x14ac:dyDescent="0.2">
      <c r="F299" t="str">
        <f t="shared" si="39"/>
        <v/>
      </c>
      <c r="L299" s="7" t="str">
        <f t="shared" si="40"/>
        <v/>
      </c>
      <c r="N299" s="7" t="str">
        <f t="shared" si="41"/>
        <v/>
      </c>
      <c r="O299" t="str">
        <f t="shared" si="42"/>
        <v/>
      </c>
      <c r="P299" t="str">
        <f t="shared" si="43"/>
        <v/>
      </c>
      <c r="Q299" t="str">
        <f t="shared" si="44"/>
        <v/>
      </c>
      <c r="S299" t="str">
        <f>""</f>
        <v/>
      </c>
      <c r="AL299" s="18" t="str">
        <f>IF(COUNTIF($A$2:A298, A298) = 1, A298, "")</f>
        <v/>
      </c>
    </row>
    <row r="300" spans="6:38" x14ac:dyDescent="0.2">
      <c r="F300" t="str">
        <f t="shared" si="39"/>
        <v/>
      </c>
      <c r="L300" s="7" t="str">
        <f t="shared" si="40"/>
        <v/>
      </c>
      <c r="N300" s="7" t="str">
        <f t="shared" si="41"/>
        <v/>
      </c>
      <c r="O300" t="str">
        <f t="shared" si="42"/>
        <v/>
      </c>
      <c r="P300" t="str">
        <f t="shared" si="43"/>
        <v/>
      </c>
      <c r="Q300" t="str">
        <f t="shared" si="44"/>
        <v/>
      </c>
      <c r="S300" t="str">
        <f>""</f>
        <v/>
      </c>
      <c r="AL300" s="18" t="str">
        <f>IF(COUNTIF($A$2:A299, A299) = 1, A299, "")</f>
        <v/>
      </c>
    </row>
    <row r="301" spans="6:38" x14ac:dyDescent="0.2">
      <c r="F301" t="str">
        <f t="shared" si="39"/>
        <v/>
      </c>
      <c r="L301" s="7" t="str">
        <f t="shared" si="40"/>
        <v/>
      </c>
      <c r="N301" s="7" t="str">
        <f t="shared" si="41"/>
        <v/>
      </c>
      <c r="O301" t="str">
        <f t="shared" si="42"/>
        <v/>
      </c>
      <c r="P301" t="str">
        <f t="shared" si="43"/>
        <v/>
      </c>
      <c r="Q301" t="str">
        <f t="shared" si="44"/>
        <v/>
      </c>
      <c r="S301" t="str">
        <f>""</f>
        <v/>
      </c>
      <c r="AL301" s="18" t="str">
        <f>IF(COUNTIF($A$2:A300, A300) = 1, A300, "")</f>
        <v/>
      </c>
    </row>
    <row r="302" spans="6:38" x14ac:dyDescent="0.2">
      <c r="F302" t="str">
        <f t="shared" si="39"/>
        <v/>
      </c>
      <c r="L302" s="7" t="str">
        <f t="shared" si="40"/>
        <v/>
      </c>
      <c r="N302" s="7" t="str">
        <f t="shared" si="41"/>
        <v/>
      </c>
      <c r="O302" t="str">
        <f t="shared" si="42"/>
        <v/>
      </c>
      <c r="P302" t="str">
        <f t="shared" si="43"/>
        <v/>
      </c>
      <c r="Q302" t="str">
        <f t="shared" si="44"/>
        <v/>
      </c>
      <c r="S302" t="str">
        <f>""</f>
        <v/>
      </c>
      <c r="AL302" s="18" t="str">
        <f>IF(COUNTIF($A$2:A301, A301) = 1, A301, "")</f>
        <v/>
      </c>
    </row>
    <row r="303" spans="6:38" x14ac:dyDescent="0.2">
      <c r="F303" t="str">
        <f t="shared" si="39"/>
        <v/>
      </c>
      <c r="L303" s="7" t="str">
        <f t="shared" si="40"/>
        <v/>
      </c>
      <c r="N303" s="7" t="str">
        <f t="shared" si="41"/>
        <v/>
      </c>
      <c r="O303" t="str">
        <f t="shared" si="42"/>
        <v/>
      </c>
      <c r="P303" t="str">
        <f t="shared" si="43"/>
        <v/>
      </c>
      <c r="Q303" t="str">
        <f t="shared" si="44"/>
        <v/>
      </c>
      <c r="S303" t="str">
        <f>""</f>
        <v/>
      </c>
      <c r="AL303" s="18" t="str">
        <f>IF(COUNTIF($A$2:A302, A302) = 1, A302, "")</f>
        <v/>
      </c>
    </row>
    <row r="304" spans="6:38" x14ac:dyDescent="0.2">
      <c r="F304" t="str">
        <f t="shared" si="39"/>
        <v/>
      </c>
      <c r="L304" s="7" t="str">
        <f t="shared" si="40"/>
        <v/>
      </c>
      <c r="N304" s="7" t="str">
        <f t="shared" si="41"/>
        <v/>
      </c>
      <c r="O304" t="str">
        <f t="shared" si="42"/>
        <v/>
      </c>
      <c r="P304" t="str">
        <f t="shared" si="43"/>
        <v/>
      </c>
      <c r="Q304" t="str">
        <f t="shared" si="44"/>
        <v/>
      </c>
      <c r="S304" t="str">
        <f>""</f>
        <v/>
      </c>
      <c r="AL304" s="18" t="str">
        <f>IF(COUNTIF($A$2:A303, A303) = 1, A303, "")</f>
        <v/>
      </c>
    </row>
    <row r="305" spans="6:38" x14ac:dyDescent="0.2">
      <c r="F305" t="str">
        <f t="shared" si="39"/>
        <v/>
      </c>
      <c r="L305" s="7" t="str">
        <f t="shared" si="40"/>
        <v/>
      </c>
      <c r="N305" s="7" t="str">
        <f t="shared" si="41"/>
        <v/>
      </c>
      <c r="O305" t="str">
        <f t="shared" si="42"/>
        <v/>
      </c>
      <c r="P305" t="str">
        <f t="shared" si="43"/>
        <v/>
      </c>
      <c r="Q305" t="str">
        <f t="shared" si="44"/>
        <v/>
      </c>
      <c r="S305" t="str">
        <f>""</f>
        <v/>
      </c>
      <c r="AL305" s="18" t="str">
        <f>IF(COUNTIF($A$2:A304, A304) = 1, A304, "")</f>
        <v/>
      </c>
    </row>
    <row r="306" spans="6:38" x14ac:dyDescent="0.2">
      <c r="F306" t="str">
        <f t="shared" si="39"/>
        <v/>
      </c>
      <c r="L306" s="7" t="str">
        <f t="shared" si="40"/>
        <v/>
      </c>
      <c r="N306" s="7" t="str">
        <f t="shared" si="41"/>
        <v/>
      </c>
      <c r="O306" t="str">
        <f t="shared" si="42"/>
        <v/>
      </c>
      <c r="P306" t="str">
        <f t="shared" si="43"/>
        <v/>
      </c>
      <c r="Q306" t="str">
        <f t="shared" si="44"/>
        <v/>
      </c>
      <c r="S306" t="str">
        <f>""</f>
        <v/>
      </c>
      <c r="AL306" s="18" t="str">
        <f>IF(COUNTIF($A$2:A305, A305) = 1, A305, "")</f>
        <v/>
      </c>
    </row>
    <row r="307" spans="6:38" x14ac:dyDescent="0.2">
      <c r="F307" t="str">
        <f t="shared" si="39"/>
        <v/>
      </c>
      <c r="L307" s="7" t="str">
        <f t="shared" si="40"/>
        <v/>
      </c>
      <c r="N307" s="7" t="str">
        <f t="shared" si="41"/>
        <v/>
      </c>
      <c r="O307" t="str">
        <f t="shared" si="42"/>
        <v/>
      </c>
      <c r="P307" t="str">
        <f t="shared" si="43"/>
        <v/>
      </c>
      <c r="Q307" t="str">
        <f t="shared" si="44"/>
        <v/>
      </c>
      <c r="S307" t="str">
        <f>""</f>
        <v/>
      </c>
      <c r="AL307" s="18" t="str">
        <f>IF(COUNTIF($A$2:A306, A306) = 1, A306, "")</f>
        <v/>
      </c>
    </row>
    <row r="308" spans="6:38" x14ac:dyDescent="0.2">
      <c r="F308" t="str">
        <f t="shared" si="39"/>
        <v/>
      </c>
      <c r="L308" s="7" t="str">
        <f t="shared" si="40"/>
        <v/>
      </c>
      <c r="N308" s="7" t="str">
        <f t="shared" si="41"/>
        <v/>
      </c>
      <c r="O308" t="str">
        <f t="shared" si="42"/>
        <v/>
      </c>
      <c r="P308" t="str">
        <f t="shared" si="43"/>
        <v/>
      </c>
      <c r="Q308" t="str">
        <f t="shared" si="44"/>
        <v/>
      </c>
      <c r="S308" t="str">
        <f>""</f>
        <v/>
      </c>
      <c r="AL308" s="18" t="str">
        <f>IF(COUNTIF($A$2:A307, A307) = 1, A307, "")</f>
        <v/>
      </c>
    </row>
    <row r="309" spans="6:38" x14ac:dyDescent="0.2">
      <c r="F309" t="str">
        <f t="shared" si="39"/>
        <v/>
      </c>
      <c r="L309" s="7" t="str">
        <f t="shared" si="40"/>
        <v/>
      </c>
      <c r="N309" s="7" t="str">
        <f t="shared" si="41"/>
        <v/>
      </c>
      <c r="O309" t="str">
        <f t="shared" si="42"/>
        <v/>
      </c>
      <c r="P309" t="str">
        <f t="shared" si="43"/>
        <v/>
      </c>
      <c r="Q309" t="str">
        <f t="shared" si="44"/>
        <v/>
      </c>
      <c r="S309" t="str">
        <f>""</f>
        <v/>
      </c>
      <c r="AL309" s="18" t="str">
        <f>IF(COUNTIF($A$2:A308, A308) = 1, A308, "")</f>
        <v/>
      </c>
    </row>
    <row r="310" spans="6:38" x14ac:dyDescent="0.2">
      <c r="F310" t="str">
        <f t="shared" si="39"/>
        <v/>
      </c>
      <c r="L310" s="7" t="str">
        <f t="shared" si="40"/>
        <v/>
      </c>
      <c r="N310" s="7" t="str">
        <f t="shared" si="41"/>
        <v/>
      </c>
      <c r="O310" t="str">
        <f t="shared" si="42"/>
        <v/>
      </c>
      <c r="P310" t="str">
        <f t="shared" si="43"/>
        <v/>
      </c>
      <c r="Q310" t="str">
        <f t="shared" si="44"/>
        <v/>
      </c>
      <c r="S310" t="str">
        <f>""</f>
        <v/>
      </c>
      <c r="AL310" s="18" t="str">
        <f>IF(COUNTIF($A$2:A309, A309) = 1, A309, "")</f>
        <v/>
      </c>
    </row>
    <row r="311" spans="6:38" x14ac:dyDescent="0.2">
      <c r="F311" t="str">
        <f t="shared" si="39"/>
        <v/>
      </c>
      <c r="L311" s="7" t="str">
        <f t="shared" si="40"/>
        <v/>
      </c>
      <c r="N311" s="7" t="str">
        <f t="shared" si="41"/>
        <v/>
      </c>
      <c r="O311" t="str">
        <f t="shared" si="42"/>
        <v/>
      </c>
      <c r="P311" t="str">
        <f t="shared" si="43"/>
        <v/>
      </c>
      <c r="Q311" t="str">
        <f t="shared" si="44"/>
        <v/>
      </c>
      <c r="S311" t="str">
        <f>""</f>
        <v/>
      </c>
      <c r="AL311" s="18" t="str">
        <f>IF(COUNTIF($A$2:A310, A310) = 1, A310, "")</f>
        <v/>
      </c>
    </row>
    <row r="312" spans="6:38" x14ac:dyDescent="0.2">
      <c r="F312" t="str">
        <f t="shared" si="39"/>
        <v/>
      </c>
      <c r="L312" s="7" t="str">
        <f t="shared" si="40"/>
        <v/>
      </c>
      <c r="N312" s="7" t="str">
        <f t="shared" si="41"/>
        <v/>
      </c>
      <c r="O312" t="str">
        <f t="shared" si="42"/>
        <v/>
      </c>
      <c r="P312" t="str">
        <f t="shared" si="43"/>
        <v/>
      </c>
      <c r="Q312" t="str">
        <f t="shared" si="44"/>
        <v/>
      </c>
      <c r="S312" t="str">
        <f>""</f>
        <v/>
      </c>
      <c r="AL312" s="18" t="str">
        <f>IF(COUNTIF($A$2:A311, A311) = 1, A311, "")</f>
        <v/>
      </c>
    </row>
    <row r="313" spans="6:38" x14ac:dyDescent="0.2">
      <c r="F313" t="str">
        <f t="shared" si="39"/>
        <v/>
      </c>
      <c r="L313" s="7" t="str">
        <f t="shared" si="40"/>
        <v/>
      </c>
      <c r="N313" s="7" t="str">
        <f t="shared" si="41"/>
        <v/>
      </c>
      <c r="O313" t="str">
        <f t="shared" si="42"/>
        <v/>
      </c>
      <c r="P313" t="str">
        <f t="shared" si="43"/>
        <v/>
      </c>
      <c r="Q313" t="str">
        <f t="shared" si="44"/>
        <v/>
      </c>
      <c r="S313" t="str">
        <f>""</f>
        <v/>
      </c>
      <c r="AL313" s="18" t="str">
        <f>IF(COUNTIF($A$2:A312, A312) = 1, A312, "")</f>
        <v/>
      </c>
    </row>
    <row r="314" spans="6:38" x14ac:dyDescent="0.2">
      <c r="F314" t="str">
        <f t="shared" si="39"/>
        <v/>
      </c>
      <c r="L314" s="7" t="str">
        <f t="shared" si="40"/>
        <v/>
      </c>
      <c r="N314" s="7" t="str">
        <f t="shared" si="41"/>
        <v/>
      </c>
      <c r="O314" t="str">
        <f t="shared" si="42"/>
        <v/>
      </c>
      <c r="P314" t="str">
        <f t="shared" si="43"/>
        <v/>
      </c>
      <c r="Q314" t="str">
        <f t="shared" si="44"/>
        <v/>
      </c>
      <c r="S314" t="str">
        <f>""</f>
        <v/>
      </c>
      <c r="AL314" s="18" t="str">
        <f>IF(COUNTIF($A$2:A313, A313) = 1, A313, "")</f>
        <v/>
      </c>
    </row>
    <row r="315" spans="6:38" x14ac:dyDescent="0.2">
      <c r="F315" t="str">
        <f t="shared" si="39"/>
        <v/>
      </c>
      <c r="L315" s="7" t="str">
        <f t="shared" si="40"/>
        <v/>
      </c>
      <c r="N315" s="7" t="str">
        <f t="shared" si="41"/>
        <v/>
      </c>
      <c r="O315" t="str">
        <f t="shared" si="42"/>
        <v/>
      </c>
      <c r="P315" t="str">
        <f t="shared" si="43"/>
        <v/>
      </c>
      <c r="Q315" t="str">
        <f t="shared" si="44"/>
        <v/>
      </c>
      <c r="S315" t="str">
        <f>""</f>
        <v/>
      </c>
      <c r="AL315" s="18" t="str">
        <f>IF(COUNTIF($A$2:A314, A314) = 1, A314, "")</f>
        <v/>
      </c>
    </row>
    <row r="316" spans="6:38" x14ac:dyDescent="0.2">
      <c r="F316" t="str">
        <f t="shared" si="39"/>
        <v/>
      </c>
      <c r="L316" s="7" t="str">
        <f t="shared" si="40"/>
        <v/>
      </c>
      <c r="N316" s="7" t="str">
        <f t="shared" si="41"/>
        <v/>
      </c>
      <c r="O316" t="str">
        <f t="shared" si="42"/>
        <v/>
      </c>
      <c r="P316" t="str">
        <f t="shared" si="43"/>
        <v/>
      </c>
      <c r="Q316" t="str">
        <f t="shared" si="44"/>
        <v/>
      </c>
      <c r="S316" t="str">
        <f>""</f>
        <v/>
      </c>
      <c r="AL316" s="18" t="str">
        <f>IF(COUNTIF($A$2:A315, A315) = 1, A315, "")</f>
        <v/>
      </c>
    </row>
    <row r="317" spans="6:38" x14ac:dyDescent="0.2">
      <c r="F317" t="str">
        <f t="shared" si="39"/>
        <v/>
      </c>
      <c r="L317" s="7" t="str">
        <f t="shared" si="40"/>
        <v/>
      </c>
      <c r="N317" s="7" t="str">
        <f t="shared" si="41"/>
        <v/>
      </c>
      <c r="O317" t="str">
        <f t="shared" si="42"/>
        <v/>
      </c>
      <c r="P317" t="str">
        <f t="shared" si="43"/>
        <v/>
      </c>
      <c r="Q317" t="str">
        <f t="shared" si="44"/>
        <v/>
      </c>
      <c r="S317" t="str">
        <f>""</f>
        <v/>
      </c>
      <c r="AL317" s="18" t="str">
        <f>IF(COUNTIF($A$2:A316, A316) = 1, A316, "")</f>
        <v/>
      </c>
    </row>
    <row r="318" spans="6:38" x14ac:dyDescent="0.2">
      <c r="F318" t="str">
        <f t="shared" si="39"/>
        <v/>
      </c>
      <c r="L318" s="7" t="str">
        <f t="shared" si="40"/>
        <v/>
      </c>
      <c r="N318" s="7" t="str">
        <f t="shared" si="41"/>
        <v/>
      </c>
      <c r="O318" t="str">
        <f t="shared" si="42"/>
        <v/>
      </c>
      <c r="P318" t="str">
        <f t="shared" si="43"/>
        <v/>
      </c>
      <c r="Q318" t="str">
        <f t="shared" si="44"/>
        <v/>
      </c>
      <c r="S318" t="str">
        <f>""</f>
        <v/>
      </c>
      <c r="AL318" s="18" t="str">
        <f>IF(COUNTIF($A$2:A317, A317) = 1, A317, "")</f>
        <v/>
      </c>
    </row>
    <row r="319" spans="6:38" x14ac:dyDescent="0.2">
      <c r="F319" t="str">
        <f t="shared" si="39"/>
        <v/>
      </c>
      <c r="L319" s="7" t="str">
        <f t="shared" si="40"/>
        <v/>
      </c>
      <c r="N319" s="7" t="str">
        <f t="shared" si="41"/>
        <v/>
      </c>
      <c r="O319" t="str">
        <f t="shared" si="42"/>
        <v/>
      </c>
      <c r="P319" t="str">
        <f t="shared" si="43"/>
        <v/>
      </c>
      <c r="Q319" t="str">
        <f t="shared" si="44"/>
        <v/>
      </c>
      <c r="S319" t="str">
        <f>""</f>
        <v/>
      </c>
      <c r="AL319" s="18" t="str">
        <f>IF(COUNTIF($A$2:A318, A318) = 1, A318, "")</f>
        <v/>
      </c>
    </row>
    <row r="320" spans="6:38" x14ac:dyDescent="0.2">
      <c r="F320" t="str">
        <f t="shared" si="39"/>
        <v/>
      </c>
      <c r="L320" s="7" t="str">
        <f t="shared" si="40"/>
        <v/>
      </c>
      <c r="N320" s="7" t="str">
        <f t="shared" si="41"/>
        <v/>
      </c>
      <c r="O320" t="str">
        <f t="shared" si="42"/>
        <v/>
      </c>
      <c r="P320" t="str">
        <f t="shared" si="43"/>
        <v/>
      </c>
      <c r="Q320" t="str">
        <f t="shared" si="44"/>
        <v/>
      </c>
      <c r="S320" t="str">
        <f>""</f>
        <v/>
      </c>
      <c r="AL320" s="18" t="str">
        <f>IF(COUNTIF($A$2:A319, A319) = 1, A319, "")</f>
        <v/>
      </c>
    </row>
    <row r="321" spans="6:38" x14ac:dyDescent="0.2">
      <c r="F321" t="str">
        <f t="shared" si="39"/>
        <v/>
      </c>
      <c r="L321" s="7" t="str">
        <f t="shared" si="40"/>
        <v/>
      </c>
      <c r="N321" s="7" t="str">
        <f t="shared" si="41"/>
        <v/>
      </c>
      <c r="O321" t="str">
        <f t="shared" si="42"/>
        <v/>
      </c>
      <c r="P321" t="str">
        <f t="shared" si="43"/>
        <v/>
      </c>
      <c r="Q321" t="str">
        <f t="shared" si="44"/>
        <v/>
      </c>
      <c r="S321" t="str">
        <f>""</f>
        <v/>
      </c>
      <c r="AL321" s="18" t="str">
        <f>IF(COUNTIF($A$2:A320, A320) = 1, A320, "")</f>
        <v/>
      </c>
    </row>
    <row r="322" spans="6:38" x14ac:dyDescent="0.2">
      <c r="F322" t="str">
        <f t="shared" si="39"/>
        <v/>
      </c>
      <c r="L322" s="7" t="str">
        <f t="shared" si="40"/>
        <v/>
      </c>
      <c r="N322" s="7" t="str">
        <f t="shared" si="41"/>
        <v/>
      </c>
      <c r="O322" t="str">
        <f t="shared" si="42"/>
        <v/>
      </c>
      <c r="P322" t="str">
        <f t="shared" si="43"/>
        <v/>
      </c>
      <c r="Q322" t="str">
        <f t="shared" si="44"/>
        <v/>
      </c>
      <c r="S322" t="str">
        <f>""</f>
        <v/>
      </c>
      <c r="AL322" s="18" t="str">
        <f>IF(COUNTIF($A$2:A321, A321) = 1, A321, "")</f>
        <v/>
      </c>
    </row>
    <row r="323" spans="6:38" x14ac:dyDescent="0.2">
      <c r="F323" t="str">
        <f t="shared" si="39"/>
        <v/>
      </c>
      <c r="L323" s="7" t="str">
        <f t="shared" si="40"/>
        <v/>
      </c>
      <c r="N323" s="7" t="str">
        <f t="shared" si="41"/>
        <v/>
      </c>
      <c r="O323" t="str">
        <f t="shared" si="42"/>
        <v/>
      </c>
      <c r="P323" t="str">
        <f t="shared" si="43"/>
        <v/>
      </c>
      <c r="Q323" t="str">
        <f t="shared" si="44"/>
        <v/>
      </c>
      <c r="S323" t="str">
        <f>""</f>
        <v/>
      </c>
      <c r="AL323" s="18" t="str">
        <f>IF(COUNTIF($A$2:A322, A322) = 1, A322, "")</f>
        <v/>
      </c>
    </row>
    <row r="324" spans="6:38" x14ac:dyDescent="0.2">
      <c r="F324" t="str">
        <f t="shared" si="39"/>
        <v/>
      </c>
      <c r="L324" s="7" t="str">
        <f t="shared" si="40"/>
        <v/>
      </c>
      <c r="N324" s="7" t="str">
        <f t="shared" si="41"/>
        <v/>
      </c>
      <c r="O324" t="str">
        <f t="shared" si="42"/>
        <v/>
      </c>
      <c r="P324" t="str">
        <f t="shared" si="43"/>
        <v/>
      </c>
      <c r="Q324" t="str">
        <f t="shared" si="44"/>
        <v/>
      </c>
      <c r="S324" t="str">
        <f>""</f>
        <v/>
      </c>
      <c r="AL324" s="18" t="str">
        <f>IF(COUNTIF($A$2:A323, A323) = 1, A323, "")</f>
        <v/>
      </c>
    </row>
    <row r="325" spans="6:38" x14ac:dyDescent="0.2">
      <c r="F325" t="str">
        <f t="shared" si="39"/>
        <v/>
      </c>
      <c r="L325" s="7" t="str">
        <f t="shared" si="40"/>
        <v/>
      </c>
      <c r="N325" s="7" t="str">
        <f t="shared" si="41"/>
        <v/>
      </c>
      <c r="O325" t="str">
        <f t="shared" si="42"/>
        <v/>
      </c>
      <c r="P325" t="str">
        <f t="shared" si="43"/>
        <v/>
      </c>
      <c r="Q325" t="str">
        <f t="shared" si="44"/>
        <v/>
      </c>
      <c r="S325" t="str">
        <f>""</f>
        <v/>
      </c>
      <c r="AL325" s="18" t="str">
        <f>IF(COUNTIF($A$2:A324, A324) = 1, A324, "")</f>
        <v/>
      </c>
    </row>
    <row r="326" spans="6:38" x14ac:dyDescent="0.2">
      <c r="F326" t="str">
        <f t="shared" si="39"/>
        <v/>
      </c>
      <c r="L326" s="7" t="str">
        <f t="shared" si="40"/>
        <v/>
      </c>
      <c r="N326" s="7" t="str">
        <f t="shared" si="41"/>
        <v/>
      </c>
      <c r="O326" t="str">
        <f t="shared" si="42"/>
        <v/>
      </c>
      <c r="P326" t="str">
        <f t="shared" si="43"/>
        <v/>
      </c>
      <c r="Q326" t="str">
        <f t="shared" si="44"/>
        <v/>
      </c>
      <c r="S326" t="str">
        <f>""</f>
        <v/>
      </c>
      <c r="AL326" s="18" t="str">
        <f>IF(COUNTIF($A$2:A325, A325) = 1, A325, "")</f>
        <v/>
      </c>
    </row>
    <row r="327" spans="6:38" x14ac:dyDescent="0.2">
      <c r="F327" t="str">
        <f t="shared" si="39"/>
        <v/>
      </c>
      <c r="L327" s="7" t="str">
        <f t="shared" si="40"/>
        <v/>
      </c>
      <c r="N327" s="7" t="str">
        <f t="shared" si="41"/>
        <v/>
      </c>
      <c r="O327" t="str">
        <f t="shared" si="42"/>
        <v/>
      </c>
      <c r="P327" t="str">
        <f t="shared" si="43"/>
        <v/>
      </c>
      <c r="Q327" t="str">
        <f t="shared" si="44"/>
        <v/>
      </c>
      <c r="S327" t="str">
        <f>""</f>
        <v/>
      </c>
      <c r="AL327" s="18" t="str">
        <f>IF(COUNTIF($A$2:A326, A326) = 1, A326, "")</f>
        <v/>
      </c>
    </row>
    <row r="328" spans="6:38" x14ac:dyDescent="0.2">
      <c r="F328" t="str">
        <f t="shared" si="39"/>
        <v/>
      </c>
      <c r="L328" s="7" t="str">
        <f t="shared" si="40"/>
        <v/>
      </c>
      <c r="N328" s="7" t="str">
        <f t="shared" si="41"/>
        <v/>
      </c>
      <c r="O328" t="str">
        <f t="shared" si="42"/>
        <v/>
      </c>
      <c r="P328" t="str">
        <f t="shared" si="43"/>
        <v/>
      </c>
      <c r="Q328" t="str">
        <f t="shared" si="44"/>
        <v/>
      </c>
      <c r="S328" t="str">
        <f>""</f>
        <v/>
      </c>
      <c r="AL328" s="18" t="str">
        <f>IF(COUNTIF($A$2:A327, A327) = 1, A327, "")</f>
        <v/>
      </c>
    </row>
    <row r="329" spans="6:38" x14ac:dyDescent="0.2">
      <c r="F329" t="str">
        <f t="shared" si="39"/>
        <v/>
      </c>
      <c r="L329" s="7" t="str">
        <f t="shared" si="40"/>
        <v/>
      </c>
      <c r="N329" s="7" t="str">
        <f t="shared" si="41"/>
        <v/>
      </c>
      <c r="O329" t="str">
        <f t="shared" si="42"/>
        <v/>
      </c>
      <c r="P329" t="str">
        <f t="shared" si="43"/>
        <v/>
      </c>
      <c r="Q329" t="str">
        <f t="shared" si="44"/>
        <v/>
      </c>
      <c r="S329" t="str">
        <f>""</f>
        <v/>
      </c>
      <c r="AL329" s="18" t="str">
        <f>IF(COUNTIF($A$2:A328, A328) = 1, A328, "")</f>
        <v/>
      </c>
    </row>
    <row r="330" spans="6:38" x14ac:dyDescent="0.2">
      <c r="F330" t="str">
        <f t="shared" si="39"/>
        <v/>
      </c>
      <c r="L330" s="7" t="str">
        <f t="shared" si="40"/>
        <v/>
      </c>
      <c r="N330" s="7" t="str">
        <f t="shared" si="41"/>
        <v/>
      </c>
      <c r="O330" t="str">
        <f t="shared" si="42"/>
        <v/>
      </c>
      <c r="P330" t="str">
        <f t="shared" si="43"/>
        <v/>
      </c>
      <c r="Q330" t="str">
        <f t="shared" si="44"/>
        <v/>
      </c>
      <c r="S330" t="str">
        <f>""</f>
        <v/>
      </c>
      <c r="AL330" s="18" t="str">
        <f>IF(COUNTIF($A$2:A329, A329) = 1, A329, "")</f>
        <v/>
      </c>
    </row>
    <row r="331" spans="6:38" x14ac:dyDescent="0.2">
      <c r="F331" t="str">
        <f t="shared" si="39"/>
        <v/>
      </c>
      <c r="L331" s="7" t="str">
        <f t="shared" si="40"/>
        <v/>
      </c>
      <c r="N331" s="7" t="str">
        <f t="shared" si="41"/>
        <v/>
      </c>
      <c r="O331" t="str">
        <f t="shared" si="42"/>
        <v/>
      </c>
      <c r="P331" t="str">
        <f t="shared" si="43"/>
        <v/>
      </c>
      <c r="Q331" t="str">
        <f t="shared" si="44"/>
        <v/>
      </c>
      <c r="S331" t="str">
        <f>""</f>
        <v/>
      </c>
      <c r="AL331" s="18" t="str">
        <f>IF(COUNTIF($A$2:A330, A330) = 1, A330, "")</f>
        <v/>
      </c>
    </row>
    <row r="332" spans="6:38" x14ac:dyDescent="0.2">
      <c r="F332" t="str">
        <f t="shared" si="39"/>
        <v/>
      </c>
      <c r="L332" s="7" t="str">
        <f t="shared" si="40"/>
        <v/>
      </c>
      <c r="N332" s="7" t="str">
        <f t="shared" si="41"/>
        <v/>
      </c>
      <c r="O332" t="str">
        <f t="shared" si="42"/>
        <v/>
      </c>
      <c r="P332" t="str">
        <f t="shared" si="43"/>
        <v/>
      </c>
      <c r="Q332" t="str">
        <f t="shared" si="44"/>
        <v/>
      </c>
      <c r="S332" t="str">
        <f>""</f>
        <v/>
      </c>
      <c r="AL332" s="18" t="str">
        <f>IF(COUNTIF($A$2:A331, A331) = 1, A331, "")</f>
        <v/>
      </c>
    </row>
    <row r="333" spans="6:38" x14ac:dyDescent="0.2">
      <c r="F333" t="str">
        <f t="shared" si="39"/>
        <v/>
      </c>
      <c r="L333" s="7" t="str">
        <f t="shared" si="40"/>
        <v/>
      </c>
      <c r="N333" s="7" t="str">
        <f t="shared" si="41"/>
        <v/>
      </c>
      <c r="O333" t="str">
        <f t="shared" si="42"/>
        <v/>
      </c>
      <c r="P333" t="str">
        <f t="shared" si="43"/>
        <v/>
      </c>
      <c r="Q333" t="str">
        <f t="shared" si="44"/>
        <v/>
      </c>
      <c r="S333" t="str">
        <f>""</f>
        <v/>
      </c>
      <c r="AL333" s="18" t="str">
        <f>IF(COUNTIF($A$2:A332, A332) = 1, A332, "")</f>
        <v/>
      </c>
    </row>
    <row r="334" spans="6:38" x14ac:dyDescent="0.2">
      <c r="F334" t="str">
        <f t="shared" si="39"/>
        <v/>
      </c>
      <c r="L334" s="7" t="str">
        <f t="shared" si="40"/>
        <v/>
      </c>
      <c r="N334" s="7" t="str">
        <f t="shared" si="41"/>
        <v/>
      </c>
      <c r="O334" t="str">
        <f t="shared" si="42"/>
        <v/>
      </c>
      <c r="P334" t="str">
        <f t="shared" si="43"/>
        <v/>
      </c>
      <c r="Q334" t="str">
        <f t="shared" si="44"/>
        <v/>
      </c>
      <c r="S334" t="str">
        <f>""</f>
        <v/>
      </c>
      <c r="AL334" s="18" t="str">
        <f>IF(COUNTIF($A$2:A333, A333) = 1, A333, "")</f>
        <v/>
      </c>
    </row>
    <row r="335" spans="6:38" x14ac:dyDescent="0.2">
      <c r="F335" t="str">
        <f t="shared" si="39"/>
        <v/>
      </c>
      <c r="L335" s="7" t="str">
        <f t="shared" si="40"/>
        <v/>
      </c>
      <c r="N335" s="7" t="str">
        <f t="shared" si="41"/>
        <v/>
      </c>
      <c r="O335" t="str">
        <f t="shared" si="42"/>
        <v/>
      </c>
      <c r="P335" t="str">
        <f t="shared" si="43"/>
        <v/>
      </c>
      <c r="Q335" t="str">
        <f t="shared" si="44"/>
        <v/>
      </c>
      <c r="S335" t="str">
        <f>""</f>
        <v/>
      </c>
      <c r="AL335" s="18" t="str">
        <f>IF(COUNTIF($A$2:A334, A334) = 1, A334, "")</f>
        <v/>
      </c>
    </row>
    <row r="336" spans="6:38" x14ac:dyDescent="0.2">
      <c r="F336" t="str">
        <f t="shared" ref="F336:F399" si="45">IF(OR(O336="", P336=""), "", SUM(IF((O336&lt;&gt;"None")*(O336&lt;&gt;""),LEN(O336)-LEN(SUBSTITUTE(O336,",",""))+1,0)) + SUM(IF((P336&lt;&gt;"None")*(P336&lt;&gt;""),LEN(P336)-LEN(SUBSTITUTE(P336,",",""))+1,0)))</f>
        <v/>
      </c>
      <c r="L336" s="7" t="str">
        <f t="shared" ref="L336:L399" si="46">IF(LEN(E336)=0, "", IFERROR(IF(E336&gt;=0, K336 * (1 + E336/100) - K336, K336 / (ABS(E336)/100))+K336, ""))</f>
        <v/>
      </c>
      <c r="N336" s="7" t="str">
        <f t="shared" ref="N336:N399" si="47">IF(M336="Yes",L336-K336,IF(M336="No",-K336,""))</f>
        <v/>
      </c>
      <c r="O336" t="str">
        <f t="shared" ref="O336:O399" si="48">IF(AND(G336="No",H336="No"), "None", "")</f>
        <v/>
      </c>
      <c r="P336" t="str">
        <f t="shared" ref="P336:P399" si="49">IF(I336="No", "None", "")</f>
        <v/>
      </c>
      <c r="Q336" t="str">
        <f t="shared" ref="Q336:Q399" si="50">IF(AND(D336="Straight", M336 = "No"),IF(O336="None",P336,IF(P336="None",O336) ),"")</f>
        <v/>
      </c>
      <c r="S336" t="str">
        <f>""</f>
        <v/>
      </c>
      <c r="AL336" s="18" t="str">
        <f>IF(COUNTIF($A$2:A335, A335) = 1, A335, "")</f>
        <v/>
      </c>
    </row>
    <row r="337" spans="6:38" x14ac:dyDescent="0.2">
      <c r="F337" t="str">
        <f t="shared" si="45"/>
        <v/>
      </c>
      <c r="L337" s="7" t="str">
        <f t="shared" si="46"/>
        <v/>
      </c>
      <c r="N337" s="7" t="str">
        <f t="shared" si="47"/>
        <v/>
      </c>
      <c r="O337" t="str">
        <f t="shared" si="48"/>
        <v/>
      </c>
      <c r="P337" t="str">
        <f t="shared" si="49"/>
        <v/>
      </c>
      <c r="Q337" t="str">
        <f t="shared" si="50"/>
        <v/>
      </c>
      <c r="S337" t="str">
        <f>""</f>
        <v/>
      </c>
      <c r="AL337" s="18" t="str">
        <f>IF(COUNTIF($A$2:A336, A336) = 1, A336, "")</f>
        <v/>
      </c>
    </row>
    <row r="338" spans="6:38" x14ac:dyDescent="0.2">
      <c r="F338" t="str">
        <f t="shared" si="45"/>
        <v/>
      </c>
      <c r="L338" s="7" t="str">
        <f t="shared" si="46"/>
        <v/>
      </c>
      <c r="N338" s="7" t="str">
        <f t="shared" si="47"/>
        <v/>
      </c>
      <c r="O338" t="str">
        <f t="shared" si="48"/>
        <v/>
      </c>
      <c r="P338" t="str">
        <f t="shared" si="49"/>
        <v/>
      </c>
      <c r="Q338" t="str">
        <f t="shared" si="50"/>
        <v/>
      </c>
      <c r="S338" t="str">
        <f>""</f>
        <v/>
      </c>
      <c r="AL338" s="18" t="str">
        <f>IF(COUNTIF($A$2:A337, A337) = 1, A337, "")</f>
        <v/>
      </c>
    </row>
    <row r="339" spans="6:38" x14ac:dyDescent="0.2">
      <c r="F339" t="str">
        <f t="shared" si="45"/>
        <v/>
      </c>
      <c r="L339" s="7" t="str">
        <f t="shared" si="46"/>
        <v/>
      </c>
      <c r="N339" s="7" t="str">
        <f t="shared" si="47"/>
        <v/>
      </c>
      <c r="O339" t="str">
        <f t="shared" si="48"/>
        <v/>
      </c>
      <c r="P339" t="str">
        <f t="shared" si="49"/>
        <v/>
      </c>
      <c r="Q339" t="str">
        <f t="shared" si="50"/>
        <v/>
      </c>
      <c r="S339" t="str">
        <f>""</f>
        <v/>
      </c>
      <c r="AL339" s="18" t="str">
        <f>IF(COUNTIF($A$2:A338, A338) = 1, A338, "")</f>
        <v/>
      </c>
    </row>
    <row r="340" spans="6:38" x14ac:dyDescent="0.2">
      <c r="F340" t="str">
        <f t="shared" si="45"/>
        <v/>
      </c>
      <c r="L340" s="7" t="str">
        <f t="shared" si="46"/>
        <v/>
      </c>
      <c r="N340" s="7" t="str">
        <f t="shared" si="47"/>
        <v/>
      </c>
      <c r="O340" t="str">
        <f t="shared" si="48"/>
        <v/>
      </c>
      <c r="P340" t="str">
        <f t="shared" si="49"/>
        <v/>
      </c>
      <c r="Q340" t="str">
        <f t="shared" si="50"/>
        <v/>
      </c>
      <c r="S340" t="str">
        <f>""</f>
        <v/>
      </c>
      <c r="AL340" s="18" t="str">
        <f>IF(COUNTIF($A$2:A339, A339) = 1, A339, "")</f>
        <v/>
      </c>
    </row>
    <row r="341" spans="6:38" x14ac:dyDescent="0.2">
      <c r="F341" t="str">
        <f t="shared" si="45"/>
        <v/>
      </c>
      <c r="L341" s="7" t="str">
        <f t="shared" si="46"/>
        <v/>
      </c>
      <c r="N341" s="7" t="str">
        <f t="shared" si="47"/>
        <v/>
      </c>
      <c r="O341" t="str">
        <f t="shared" si="48"/>
        <v/>
      </c>
      <c r="P341" t="str">
        <f t="shared" si="49"/>
        <v/>
      </c>
      <c r="Q341" t="str">
        <f t="shared" si="50"/>
        <v/>
      </c>
      <c r="S341" t="str">
        <f>""</f>
        <v/>
      </c>
      <c r="AL341" s="18" t="str">
        <f>IF(COUNTIF($A$2:A340, A340) = 1, A340, "")</f>
        <v/>
      </c>
    </row>
    <row r="342" spans="6:38" x14ac:dyDescent="0.2">
      <c r="F342" t="str">
        <f t="shared" si="45"/>
        <v/>
      </c>
      <c r="L342" s="7" t="str">
        <f t="shared" si="46"/>
        <v/>
      </c>
      <c r="N342" s="7" t="str">
        <f t="shared" si="47"/>
        <v/>
      </c>
      <c r="O342" t="str">
        <f t="shared" si="48"/>
        <v/>
      </c>
      <c r="P342" t="str">
        <f t="shared" si="49"/>
        <v/>
      </c>
      <c r="Q342" t="str">
        <f t="shared" si="50"/>
        <v/>
      </c>
      <c r="S342" t="str">
        <f>""</f>
        <v/>
      </c>
      <c r="AL342" s="18" t="str">
        <f>IF(COUNTIF($A$2:A341, A341) = 1, A341, "")</f>
        <v/>
      </c>
    </row>
    <row r="343" spans="6:38" x14ac:dyDescent="0.2">
      <c r="F343" t="str">
        <f t="shared" si="45"/>
        <v/>
      </c>
      <c r="L343" s="7" t="str">
        <f t="shared" si="46"/>
        <v/>
      </c>
      <c r="N343" s="7" t="str">
        <f t="shared" si="47"/>
        <v/>
      </c>
      <c r="O343" t="str">
        <f t="shared" si="48"/>
        <v/>
      </c>
      <c r="P343" t="str">
        <f t="shared" si="49"/>
        <v/>
      </c>
      <c r="Q343" t="str">
        <f t="shared" si="50"/>
        <v/>
      </c>
      <c r="S343" t="str">
        <f>""</f>
        <v/>
      </c>
      <c r="AL343" s="18" t="str">
        <f>IF(COUNTIF($A$2:A342, A342) = 1, A342, "")</f>
        <v/>
      </c>
    </row>
    <row r="344" spans="6:38" x14ac:dyDescent="0.2">
      <c r="F344" t="str">
        <f t="shared" si="45"/>
        <v/>
      </c>
      <c r="L344" s="7" t="str">
        <f t="shared" si="46"/>
        <v/>
      </c>
      <c r="N344" s="7" t="str">
        <f t="shared" si="47"/>
        <v/>
      </c>
      <c r="O344" t="str">
        <f t="shared" si="48"/>
        <v/>
      </c>
      <c r="P344" t="str">
        <f t="shared" si="49"/>
        <v/>
      </c>
      <c r="Q344" t="str">
        <f t="shared" si="50"/>
        <v/>
      </c>
      <c r="S344" t="str">
        <f>""</f>
        <v/>
      </c>
      <c r="AL344" s="18" t="str">
        <f>IF(COUNTIF($A$2:A343, A343) = 1, A343, "")</f>
        <v/>
      </c>
    </row>
    <row r="345" spans="6:38" x14ac:dyDescent="0.2">
      <c r="F345" t="str">
        <f t="shared" si="45"/>
        <v/>
      </c>
      <c r="L345" s="7" t="str">
        <f t="shared" si="46"/>
        <v/>
      </c>
      <c r="N345" s="7" t="str">
        <f t="shared" si="47"/>
        <v/>
      </c>
      <c r="O345" t="str">
        <f t="shared" si="48"/>
        <v/>
      </c>
      <c r="P345" t="str">
        <f t="shared" si="49"/>
        <v/>
      </c>
      <c r="Q345" t="str">
        <f t="shared" si="50"/>
        <v/>
      </c>
      <c r="S345" t="str">
        <f>""</f>
        <v/>
      </c>
      <c r="AL345" s="18" t="str">
        <f>IF(COUNTIF($A$2:A344, A344) = 1, A344, "")</f>
        <v/>
      </c>
    </row>
    <row r="346" spans="6:38" x14ac:dyDescent="0.2">
      <c r="F346" t="str">
        <f t="shared" si="45"/>
        <v/>
      </c>
      <c r="L346" s="7" t="str">
        <f t="shared" si="46"/>
        <v/>
      </c>
      <c r="N346" s="7" t="str">
        <f t="shared" si="47"/>
        <v/>
      </c>
      <c r="O346" t="str">
        <f t="shared" si="48"/>
        <v/>
      </c>
      <c r="P346" t="str">
        <f t="shared" si="49"/>
        <v/>
      </c>
      <c r="Q346" t="str">
        <f t="shared" si="50"/>
        <v/>
      </c>
      <c r="S346" t="str">
        <f>""</f>
        <v/>
      </c>
      <c r="AL346" s="18" t="str">
        <f>IF(COUNTIF($A$2:A345, A345) = 1, A345, "")</f>
        <v/>
      </c>
    </row>
    <row r="347" spans="6:38" x14ac:dyDescent="0.2">
      <c r="F347" t="str">
        <f t="shared" si="45"/>
        <v/>
      </c>
      <c r="L347" s="7" t="str">
        <f t="shared" si="46"/>
        <v/>
      </c>
      <c r="N347" s="7" t="str">
        <f t="shared" si="47"/>
        <v/>
      </c>
      <c r="O347" t="str">
        <f t="shared" si="48"/>
        <v/>
      </c>
      <c r="P347" t="str">
        <f t="shared" si="49"/>
        <v/>
      </c>
      <c r="Q347" t="str">
        <f t="shared" si="50"/>
        <v/>
      </c>
      <c r="S347" t="str">
        <f>""</f>
        <v/>
      </c>
      <c r="AL347" s="18" t="str">
        <f>IF(COUNTIF($A$2:A346, A346) = 1, A346, "")</f>
        <v/>
      </c>
    </row>
    <row r="348" spans="6:38" x14ac:dyDescent="0.2">
      <c r="F348" t="str">
        <f t="shared" si="45"/>
        <v/>
      </c>
      <c r="L348" s="7" t="str">
        <f t="shared" si="46"/>
        <v/>
      </c>
      <c r="N348" s="7" t="str">
        <f t="shared" si="47"/>
        <v/>
      </c>
      <c r="O348" t="str">
        <f t="shared" si="48"/>
        <v/>
      </c>
      <c r="P348" t="str">
        <f t="shared" si="49"/>
        <v/>
      </c>
      <c r="Q348" t="str">
        <f t="shared" si="50"/>
        <v/>
      </c>
      <c r="S348" t="str">
        <f>""</f>
        <v/>
      </c>
      <c r="AL348" s="18" t="str">
        <f>IF(COUNTIF($A$2:A347, A347) = 1, A347, "")</f>
        <v/>
      </c>
    </row>
    <row r="349" spans="6:38" x14ac:dyDescent="0.2">
      <c r="F349" t="str">
        <f t="shared" si="45"/>
        <v/>
      </c>
      <c r="L349" s="7" t="str">
        <f t="shared" si="46"/>
        <v/>
      </c>
      <c r="N349" s="7" t="str">
        <f t="shared" si="47"/>
        <v/>
      </c>
      <c r="O349" t="str">
        <f t="shared" si="48"/>
        <v/>
      </c>
      <c r="P349" t="str">
        <f t="shared" si="49"/>
        <v/>
      </c>
      <c r="Q349" t="str">
        <f t="shared" si="50"/>
        <v/>
      </c>
      <c r="S349" t="str">
        <f>""</f>
        <v/>
      </c>
      <c r="AL349" s="18" t="str">
        <f>IF(COUNTIF($A$2:A348, A348) = 1, A348, "")</f>
        <v/>
      </c>
    </row>
    <row r="350" spans="6:38" x14ac:dyDescent="0.2">
      <c r="F350" t="str">
        <f t="shared" si="45"/>
        <v/>
      </c>
      <c r="L350" s="7" t="str">
        <f t="shared" si="46"/>
        <v/>
      </c>
      <c r="N350" s="7" t="str">
        <f t="shared" si="47"/>
        <v/>
      </c>
      <c r="O350" t="str">
        <f t="shared" si="48"/>
        <v/>
      </c>
      <c r="P350" t="str">
        <f t="shared" si="49"/>
        <v/>
      </c>
      <c r="Q350" t="str">
        <f t="shared" si="50"/>
        <v/>
      </c>
      <c r="S350" t="str">
        <f>""</f>
        <v/>
      </c>
      <c r="AL350" s="18" t="str">
        <f>IF(COUNTIF($A$2:A349, A349) = 1, A349, "")</f>
        <v/>
      </c>
    </row>
    <row r="351" spans="6:38" x14ac:dyDescent="0.2">
      <c r="F351" t="str">
        <f t="shared" si="45"/>
        <v/>
      </c>
      <c r="L351" s="7" t="str">
        <f t="shared" si="46"/>
        <v/>
      </c>
      <c r="N351" s="7" t="str">
        <f t="shared" si="47"/>
        <v/>
      </c>
      <c r="O351" t="str">
        <f t="shared" si="48"/>
        <v/>
      </c>
      <c r="P351" t="str">
        <f t="shared" si="49"/>
        <v/>
      </c>
      <c r="Q351" t="str">
        <f t="shared" si="50"/>
        <v/>
      </c>
      <c r="S351" t="str">
        <f>""</f>
        <v/>
      </c>
      <c r="AL351" s="18" t="str">
        <f>IF(COUNTIF($A$2:A350, A350) = 1, A350, "")</f>
        <v/>
      </c>
    </row>
    <row r="352" spans="6:38" x14ac:dyDescent="0.2">
      <c r="F352" t="str">
        <f t="shared" si="45"/>
        <v/>
      </c>
      <c r="L352" s="7" t="str">
        <f t="shared" si="46"/>
        <v/>
      </c>
      <c r="N352" s="7" t="str">
        <f t="shared" si="47"/>
        <v/>
      </c>
      <c r="O352" t="str">
        <f t="shared" si="48"/>
        <v/>
      </c>
      <c r="P352" t="str">
        <f t="shared" si="49"/>
        <v/>
      </c>
      <c r="Q352" t="str">
        <f t="shared" si="50"/>
        <v/>
      </c>
      <c r="S352" t="str">
        <f>""</f>
        <v/>
      </c>
      <c r="AL352" s="18" t="str">
        <f>IF(COUNTIF($A$2:A351, A351) = 1, A351, "")</f>
        <v/>
      </c>
    </row>
    <row r="353" spans="6:38" x14ac:dyDescent="0.2">
      <c r="F353" t="str">
        <f t="shared" si="45"/>
        <v/>
      </c>
      <c r="L353" s="7" t="str">
        <f t="shared" si="46"/>
        <v/>
      </c>
      <c r="N353" s="7" t="str">
        <f t="shared" si="47"/>
        <v/>
      </c>
      <c r="O353" t="str">
        <f t="shared" si="48"/>
        <v/>
      </c>
      <c r="P353" t="str">
        <f t="shared" si="49"/>
        <v/>
      </c>
      <c r="Q353" t="str">
        <f t="shared" si="50"/>
        <v/>
      </c>
      <c r="S353" t="str">
        <f>""</f>
        <v/>
      </c>
      <c r="AL353" s="18" t="str">
        <f>IF(COUNTIF($A$2:A352, A352) = 1, A352, "")</f>
        <v/>
      </c>
    </row>
    <row r="354" spans="6:38" x14ac:dyDescent="0.2">
      <c r="F354" t="str">
        <f t="shared" si="45"/>
        <v/>
      </c>
      <c r="L354" s="7" t="str">
        <f t="shared" si="46"/>
        <v/>
      </c>
      <c r="N354" s="7" t="str">
        <f t="shared" si="47"/>
        <v/>
      </c>
      <c r="O354" t="str">
        <f t="shared" si="48"/>
        <v/>
      </c>
      <c r="P354" t="str">
        <f t="shared" si="49"/>
        <v/>
      </c>
      <c r="Q354" t="str">
        <f t="shared" si="50"/>
        <v/>
      </c>
      <c r="S354" t="str">
        <f>""</f>
        <v/>
      </c>
      <c r="AL354" s="18" t="str">
        <f>IF(COUNTIF($A$2:A353, A353) = 1, A353, "")</f>
        <v/>
      </c>
    </row>
    <row r="355" spans="6:38" x14ac:dyDescent="0.2">
      <c r="F355" t="str">
        <f t="shared" si="45"/>
        <v/>
      </c>
      <c r="L355" s="7" t="str">
        <f t="shared" si="46"/>
        <v/>
      </c>
      <c r="N355" s="7" t="str">
        <f t="shared" si="47"/>
        <v/>
      </c>
      <c r="O355" t="str">
        <f t="shared" si="48"/>
        <v/>
      </c>
      <c r="P355" t="str">
        <f t="shared" si="49"/>
        <v/>
      </c>
      <c r="Q355" t="str">
        <f t="shared" si="50"/>
        <v/>
      </c>
      <c r="S355" t="str">
        <f>""</f>
        <v/>
      </c>
      <c r="AL355" s="18" t="str">
        <f>IF(COUNTIF($A$2:A354, A354) = 1, A354, "")</f>
        <v/>
      </c>
    </row>
    <row r="356" spans="6:38" x14ac:dyDescent="0.2">
      <c r="F356" t="str">
        <f t="shared" si="45"/>
        <v/>
      </c>
      <c r="L356" s="7" t="str">
        <f t="shared" si="46"/>
        <v/>
      </c>
      <c r="N356" s="7" t="str">
        <f t="shared" si="47"/>
        <v/>
      </c>
      <c r="O356" t="str">
        <f t="shared" si="48"/>
        <v/>
      </c>
      <c r="P356" t="str">
        <f t="shared" si="49"/>
        <v/>
      </c>
      <c r="Q356" t="str">
        <f t="shared" si="50"/>
        <v/>
      </c>
      <c r="S356" t="str">
        <f>""</f>
        <v/>
      </c>
      <c r="AL356" s="18" t="str">
        <f>IF(COUNTIF($A$2:A355, A355) = 1, A355, "")</f>
        <v/>
      </c>
    </row>
    <row r="357" spans="6:38" x14ac:dyDescent="0.2">
      <c r="F357" t="str">
        <f t="shared" si="45"/>
        <v/>
      </c>
      <c r="L357" s="7" t="str">
        <f t="shared" si="46"/>
        <v/>
      </c>
      <c r="N357" s="7" t="str">
        <f t="shared" si="47"/>
        <v/>
      </c>
      <c r="O357" t="str">
        <f t="shared" si="48"/>
        <v/>
      </c>
      <c r="P357" t="str">
        <f t="shared" si="49"/>
        <v/>
      </c>
      <c r="Q357" t="str">
        <f t="shared" si="50"/>
        <v/>
      </c>
      <c r="S357" t="str">
        <f>""</f>
        <v/>
      </c>
      <c r="AL357" s="18" t="str">
        <f>IF(COUNTIF($A$2:A356, A356) = 1, A356, "")</f>
        <v/>
      </c>
    </row>
    <row r="358" spans="6:38" x14ac:dyDescent="0.2">
      <c r="F358" t="str">
        <f t="shared" si="45"/>
        <v/>
      </c>
      <c r="L358" s="7" t="str">
        <f t="shared" si="46"/>
        <v/>
      </c>
      <c r="N358" s="7" t="str">
        <f t="shared" si="47"/>
        <v/>
      </c>
      <c r="O358" t="str">
        <f t="shared" si="48"/>
        <v/>
      </c>
      <c r="P358" t="str">
        <f t="shared" si="49"/>
        <v/>
      </c>
      <c r="Q358" t="str">
        <f t="shared" si="50"/>
        <v/>
      </c>
      <c r="S358" t="str">
        <f>""</f>
        <v/>
      </c>
      <c r="AL358" s="18" t="str">
        <f>IF(COUNTIF($A$2:A357, A357) = 1, A357, "")</f>
        <v/>
      </c>
    </row>
    <row r="359" spans="6:38" x14ac:dyDescent="0.2">
      <c r="F359" t="str">
        <f t="shared" si="45"/>
        <v/>
      </c>
      <c r="L359" s="7" t="str">
        <f t="shared" si="46"/>
        <v/>
      </c>
      <c r="N359" s="7" t="str">
        <f t="shared" si="47"/>
        <v/>
      </c>
      <c r="O359" t="str">
        <f t="shared" si="48"/>
        <v/>
      </c>
      <c r="P359" t="str">
        <f t="shared" si="49"/>
        <v/>
      </c>
      <c r="Q359" t="str">
        <f t="shared" si="50"/>
        <v/>
      </c>
      <c r="S359" t="str">
        <f>""</f>
        <v/>
      </c>
      <c r="AL359" s="18" t="str">
        <f>IF(COUNTIF($A$2:A358, A358) = 1, A358, "")</f>
        <v/>
      </c>
    </row>
    <row r="360" spans="6:38" x14ac:dyDescent="0.2">
      <c r="F360" t="str">
        <f t="shared" si="45"/>
        <v/>
      </c>
      <c r="L360" s="7" t="str">
        <f t="shared" si="46"/>
        <v/>
      </c>
      <c r="N360" s="7" t="str">
        <f t="shared" si="47"/>
        <v/>
      </c>
      <c r="O360" t="str">
        <f t="shared" si="48"/>
        <v/>
      </c>
      <c r="P360" t="str">
        <f t="shared" si="49"/>
        <v/>
      </c>
      <c r="Q360" t="str">
        <f t="shared" si="50"/>
        <v/>
      </c>
      <c r="S360" t="str">
        <f>""</f>
        <v/>
      </c>
      <c r="AL360" s="18" t="str">
        <f>IF(COUNTIF($A$2:A359, A359) = 1, A359, "")</f>
        <v/>
      </c>
    </row>
    <row r="361" spans="6:38" x14ac:dyDescent="0.2">
      <c r="F361" t="str">
        <f t="shared" si="45"/>
        <v/>
      </c>
      <c r="L361" s="7" t="str">
        <f t="shared" si="46"/>
        <v/>
      </c>
      <c r="N361" s="7" t="str">
        <f t="shared" si="47"/>
        <v/>
      </c>
      <c r="O361" t="str">
        <f t="shared" si="48"/>
        <v/>
      </c>
      <c r="P361" t="str">
        <f t="shared" si="49"/>
        <v/>
      </c>
      <c r="Q361" t="str">
        <f t="shared" si="50"/>
        <v/>
      </c>
      <c r="S361" t="str">
        <f>""</f>
        <v/>
      </c>
      <c r="AL361" s="18" t="str">
        <f>IF(COUNTIF($A$2:A360, A360) = 1, A360, "")</f>
        <v/>
      </c>
    </row>
    <row r="362" spans="6:38" x14ac:dyDescent="0.2">
      <c r="F362" t="str">
        <f t="shared" si="45"/>
        <v/>
      </c>
      <c r="L362" s="7" t="str">
        <f t="shared" si="46"/>
        <v/>
      </c>
      <c r="N362" s="7" t="str">
        <f t="shared" si="47"/>
        <v/>
      </c>
      <c r="O362" t="str">
        <f t="shared" si="48"/>
        <v/>
      </c>
      <c r="P362" t="str">
        <f t="shared" si="49"/>
        <v/>
      </c>
      <c r="Q362" t="str">
        <f t="shared" si="50"/>
        <v/>
      </c>
      <c r="S362" t="str">
        <f>""</f>
        <v/>
      </c>
      <c r="AL362" s="18" t="str">
        <f>IF(COUNTIF($A$2:A361, A361) = 1, A361, "")</f>
        <v/>
      </c>
    </row>
    <row r="363" spans="6:38" x14ac:dyDescent="0.2">
      <c r="F363" t="str">
        <f t="shared" si="45"/>
        <v/>
      </c>
      <c r="L363" s="7" t="str">
        <f t="shared" si="46"/>
        <v/>
      </c>
      <c r="N363" s="7" t="str">
        <f t="shared" si="47"/>
        <v/>
      </c>
      <c r="O363" t="str">
        <f t="shared" si="48"/>
        <v/>
      </c>
      <c r="P363" t="str">
        <f t="shared" si="49"/>
        <v/>
      </c>
      <c r="Q363" t="str">
        <f t="shared" si="50"/>
        <v/>
      </c>
      <c r="S363" t="str">
        <f>""</f>
        <v/>
      </c>
      <c r="AL363" s="18" t="str">
        <f>IF(COUNTIF($A$2:A362, A362) = 1, A362, "")</f>
        <v/>
      </c>
    </row>
    <row r="364" spans="6:38" x14ac:dyDescent="0.2">
      <c r="F364" t="str">
        <f t="shared" si="45"/>
        <v/>
      </c>
      <c r="L364" s="7" t="str">
        <f t="shared" si="46"/>
        <v/>
      </c>
      <c r="N364" s="7" t="str">
        <f t="shared" si="47"/>
        <v/>
      </c>
      <c r="O364" t="str">
        <f t="shared" si="48"/>
        <v/>
      </c>
      <c r="P364" t="str">
        <f t="shared" si="49"/>
        <v/>
      </c>
      <c r="Q364" t="str">
        <f t="shared" si="50"/>
        <v/>
      </c>
      <c r="S364" t="str">
        <f>""</f>
        <v/>
      </c>
      <c r="AL364" s="18" t="str">
        <f>IF(COUNTIF($A$2:A363, A363) = 1, A363, "")</f>
        <v/>
      </c>
    </row>
    <row r="365" spans="6:38" x14ac:dyDescent="0.2">
      <c r="F365" t="str">
        <f t="shared" si="45"/>
        <v/>
      </c>
      <c r="L365" s="7" t="str">
        <f t="shared" si="46"/>
        <v/>
      </c>
      <c r="N365" s="7" t="str">
        <f t="shared" si="47"/>
        <v/>
      </c>
      <c r="O365" t="str">
        <f t="shared" si="48"/>
        <v/>
      </c>
      <c r="P365" t="str">
        <f t="shared" si="49"/>
        <v/>
      </c>
      <c r="Q365" t="str">
        <f t="shared" si="50"/>
        <v/>
      </c>
      <c r="S365" t="str">
        <f>""</f>
        <v/>
      </c>
      <c r="AL365" s="18" t="str">
        <f>IF(COUNTIF($A$2:A364, A364) = 1, A364, "")</f>
        <v/>
      </c>
    </row>
    <row r="366" spans="6:38" x14ac:dyDescent="0.2">
      <c r="F366" t="str">
        <f t="shared" si="45"/>
        <v/>
      </c>
      <c r="L366" s="7" t="str">
        <f t="shared" si="46"/>
        <v/>
      </c>
      <c r="N366" s="7" t="str">
        <f t="shared" si="47"/>
        <v/>
      </c>
      <c r="O366" t="str">
        <f t="shared" si="48"/>
        <v/>
      </c>
      <c r="P366" t="str">
        <f t="shared" si="49"/>
        <v/>
      </c>
      <c r="Q366" t="str">
        <f t="shared" si="50"/>
        <v/>
      </c>
      <c r="S366" t="str">
        <f>""</f>
        <v/>
      </c>
      <c r="AL366" s="18" t="str">
        <f>IF(COUNTIF($A$2:A365, A365) = 1, A365, "")</f>
        <v/>
      </c>
    </row>
    <row r="367" spans="6:38" x14ac:dyDescent="0.2">
      <c r="F367" t="str">
        <f t="shared" si="45"/>
        <v/>
      </c>
      <c r="L367" s="7" t="str">
        <f t="shared" si="46"/>
        <v/>
      </c>
      <c r="N367" s="7" t="str">
        <f t="shared" si="47"/>
        <v/>
      </c>
      <c r="O367" t="str">
        <f t="shared" si="48"/>
        <v/>
      </c>
      <c r="P367" t="str">
        <f t="shared" si="49"/>
        <v/>
      </c>
      <c r="Q367" t="str">
        <f t="shared" si="50"/>
        <v/>
      </c>
      <c r="S367" t="str">
        <f>""</f>
        <v/>
      </c>
      <c r="AL367" s="18" t="str">
        <f>IF(COUNTIF($A$2:A366, A366) = 1, A366, "")</f>
        <v/>
      </c>
    </row>
    <row r="368" spans="6:38" x14ac:dyDescent="0.2">
      <c r="F368" t="str">
        <f t="shared" si="45"/>
        <v/>
      </c>
      <c r="L368" s="7" t="str">
        <f t="shared" si="46"/>
        <v/>
      </c>
      <c r="N368" s="7" t="str">
        <f t="shared" si="47"/>
        <v/>
      </c>
      <c r="O368" t="str">
        <f t="shared" si="48"/>
        <v/>
      </c>
      <c r="P368" t="str">
        <f t="shared" si="49"/>
        <v/>
      </c>
      <c r="Q368" t="str">
        <f t="shared" si="50"/>
        <v/>
      </c>
      <c r="S368" t="str">
        <f>""</f>
        <v/>
      </c>
      <c r="AL368" s="18" t="str">
        <f>IF(COUNTIF($A$2:A367, A367) = 1, A367, "")</f>
        <v/>
      </c>
    </row>
    <row r="369" spans="6:38" x14ac:dyDescent="0.2">
      <c r="F369" t="str">
        <f t="shared" si="45"/>
        <v/>
      </c>
      <c r="L369" s="7" t="str">
        <f t="shared" si="46"/>
        <v/>
      </c>
      <c r="N369" s="7" t="str">
        <f t="shared" si="47"/>
        <v/>
      </c>
      <c r="O369" t="str">
        <f t="shared" si="48"/>
        <v/>
      </c>
      <c r="P369" t="str">
        <f t="shared" si="49"/>
        <v/>
      </c>
      <c r="Q369" t="str">
        <f t="shared" si="50"/>
        <v/>
      </c>
      <c r="S369" t="str">
        <f>""</f>
        <v/>
      </c>
      <c r="AL369" s="18" t="str">
        <f>IF(COUNTIF($A$2:A368, A368) = 1, A368, "")</f>
        <v/>
      </c>
    </row>
    <row r="370" spans="6:38" x14ac:dyDescent="0.2">
      <c r="F370" t="str">
        <f t="shared" si="45"/>
        <v/>
      </c>
      <c r="L370" s="7" t="str">
        <f t="shared" si="46"/>
        <v/>
      </c>
      <c r="N370" s="7" t="str">
        <f t="shared" si="47"/>
        <v/>
      </c>
      <c r="O370" t="str">
        <f t="shared" si="48"/>
        <v/>
      </c>
      <c r="P370" t="str">
        <f t="shared" si="49"/>
        <v/>
      </c>
      <c r="Q370" t="str">
        <f t="shared" si="50"/>
        <v/>
      </c>
      <c r="S370" t="str">
        <f>""</f>
        <v/>
      </c>
      <c r="AL370" s="18" t="str">
        <f>IF(COUNTIF($A$2:A369, A369) = 1, A369, "")</f>
        <v/>
      </c>
    </row>
    <row r="371" spans="6:38" x14ac:dyDescent="0.2">
      <c r="F371" t="str">
        <f t="shared" si="45"/>
        <v/>
      </c>
      <c r="L371" s="7" t="str">
        <f t="shared" si="46"/>
        <v/>
      </c>
      <c r="N371" s="7" t="str">
        <f t="shared" si="47"/>
        <v/>
      </c>
      <c r="O371" t="str">
        <f t="shared" si="48"/>
        <v/>
      </c>
      <c r="P371" t="str">
        <f t="shared" si="49"/>
        <v/>
      </c>
      <c r="Q371" t="str">
        <f t="shared" si="50"/>
        <v/>
      </c>
      <c r="S371" t="str">
        <f>""</f>
        <v/>
      </c>
      <c r="AL371" s="18" t="str">
        <f>IF(COUNTIF($A$2:A370, A370) = 1, A370, "")</f>
        <v/>
      </c>
    </row>
    <row r="372" spans="6:38" x14ac:dyDescent="0.2">
      <c r="F372" t="str">
        <f t="shared" si="45"/>
        <v/>
      </c>
      <c r="L372" s="7" t="str">
        <f t="shared" si="46"/>
        <v/>
      </c>
      <c r="N372" s="7" t="str">
        <f t="shared" si="47"/>
        <v/>
      </c>
      <c r="O372" t="str">
        <f t="shared" si="48"/>
        <v/>
      </c>
      <c r="P372" t="str">
        <f t="shared" si="49"/>
        <v/>
      </c>
      <c r="Q372" t="str">
        <f t="shared" si="50"/>
        <v/>
      </c>
      <c r="S372" t="str">
        <f>""</f>
        <v/>
      </c>
      <c r="AL372" s="18" t="str">
        <f>IF(COUNTIF($A$2:A371, A371) = 1, A371, "")</f>
        <v/>
      </c>
    </row>
    <row r="373" spans="6:38" x14ac:dyDescent="0.2">
      <c r="F373" t="str">
        <f t="shared" si="45"/>
        <v/>
      </c>
      <c r="L373" s="7" t="str">
        <f t="shared" si="46"/>
        <v/>
      </c>
      <c r="N373" s="7" t="str">
        <f t="shared" si="47"/>
        <v/>
      </c>
      <c r="O373" t="str">
        <f t="shared" si="48"/>
        <v/>
      </c>
      <c r="P373" t="str">
        <f t="shared" si="49"/>
        <v/>
      </c>
      <c r="Q373" t="str">
        <f t="shared" si="50"/>
        <v/>
      </c>
      <c r="S373" t="str">
        <f>""</f>
        <v/>
      </c>
      <c r="AL373" s="18" t="str">
        <f>IF(COUNTIF($A$2:A372, A372) = 1, A372, "")</f>
        <v/>
      </c>
    </row>
    <row r="374" spans="6:38" x14ac:dyDescent="0.2">
      <c r="F374" t="str">
        <f t="shared" si="45"/>
        <v/>
      </c>
      <c r="L374" s="7" t="str">
        <f t="shared" si="46"/>
        <v/>
      </c>
      <c r="N374" s="7" t="str">
        <f t="shared" si="47"/>
        <v/>
      </c>
      <c r="O374" t="str">
        <f t="shared" si="48"/>
        <v/>
      </c>
      <c r="P374" t="str">
        <f t="shared" si="49"/>
        <v/>
      </c>
      <c r="Q374" t="str">
        <f t="shared" si="50"/>
        <v/>
      </c>
      <c r="S374" t="str">
        <f>""</f>
        <v/>
      </c>
      <c r="AL374" s="18" t="str">
        <f>IF(COUNTIF($A$2:A373, A373) = 1, A373, "")</f>
        <v/>
      </c>
    </row>
    <row r="375" spans="6:38" x14ac:dyDescent="0.2">
      <c r="F375" t="str">
        <f t="shared" si="45"/>
        <v/>
      </c>
      <c r="L375" s="7" t="str">
        <f t="shared" si="46"/>
        <v/>
      </c>
      <c r="N375" s="7" t="str">
        <f t="shared" si="47"/>
        <v/>
      </c>
      <c r="O375" t="str">
        <f t="shared" si="48"/>
        <v/>
      </c>
      <c r="P375" t="str">
        <f t="shared" si="49"/>
        <v/>
      </c>
      <c r="Q375" t="str">
        <f t="shared" si="50"/>
        <v/>
      </c>
      <c r="S375" t="str">
        <f>""</f>
        <v/>
      </c>
      <c r="AL375" s="18" t="str">
        <f>IF(COUNTIF($A$2:A374, A374) = 1, A374, "")</f>
        <v/>
      </c>
    </row>
    <row r="376" spans="6:38" x14ac:dyDescent="0.2">
      <c r="F376" t="str">
        <f t="shared" si="45"/>
        <v/>
      </c>
      <c r="L376" s="7" t="str">
        <f t="shared" si="46"/>
        <v/>
      </c>
      <c r="N376" s="7" t="str">
        <f t="shared" si="47"/>
        <v/>
      </c>
      <c r="O376" t="str">
        <f t="shared" si="48"/>
        <v/>
      </c>
      <c r="P376" t="str">
        <f t="shared" si="49"/>
        <v/>
      </c>
      <c r="Q376" t="str">
        <f t="shared" si="50"/>
        <v/>
      </c>
      <c r="S376" t="str">
        <f>""</f>
        <v/>
      </c>
      <c r="AL376" s="18" t="str">
        <f>IF(COUNTIF($A$2:A375, A375) = 1, A375, "")</f>
        <v/>
      </c>
    </row>
    <row r="377" spans="6:38" x14ac:dyDescent="0.2">
      <c r="F377" t="str">
        <f t="shared" si="45"/>
        <v/>
      </c>
      <c r="L377" s="7" t="str">
        <f t="shared" si="46"/>
        <v/>
      </c>
      <c r="N377" s="7" t="str">
        <f t="shared" si="47"/>
        <v/>
      </c>
      <c r="O377" t="str">
        <f t="shared" si="48"/>
        <v/>
      </c>
      <c r="P377" t="str">
        <f t="shared" si="49"/>
        <v/>
      </c>
      <c r="Q377" t="str">
        <f t="shared" si="50"/>
        <v/>
      </c>
      <c r="S377" t="str">
        <f>""</f>
        <v/>
      </c>
      <c r="AL377" s="18" t="str">
        <f>IF(COUNTIF($A$2:A376, A376) = 1, A376, "")</f>
        <v/>
      </c>
    </row>
    <row r="378" spans="6:38" x14ac:dyDescent="0.2">
      <c r="F378" t="str">
        <f t="shared" si="45"/>
        <v/>
      </c>
      <c r="L378" s="7" t="str">
        <f t="shared" si="46"/>
        <v/>
      </c>
      <c r="N378" s="7" t="str">
        <f t="shared" si="47"/>
        <v/>
      </c>
      <c r="O378" t="str">
        <f t="shared" si="48"/>
        <v/>
      </c>
      <c r="P378" t="str">
        <f t="shared" si="49"/>
        <v/>
      </c>
      <c r="Q378" t="str">
        <f t="shared" si="50"/>
        <v/>
      </c>
      <c r="S378" t="str">
        <f>""</f>
        <v/>
      </c>
      <c r="AL378" s="18" t="str">
        <f>IF(COUNTIF($A$2:A377, A377) = 1, A377, "")</f>
        <v/>
      </c>
    </row>
    <row r="379" spans="6:38" x14ac:dyDescent="0.2">
      <c r="F379" t="str">
        <f t="shared" si="45"/>
        <v/>
      </c>
      <c r="L379" s="7" t="str">
        <f t="shared" si="46"/>
        <v/>
      </c>
      <c r="N379" s="7" t="str">
        <f t="shared" si="47"/>
        <v/>
      </c>
      <c r="O379" t="str">
        <f t="shared" si="48"/>
        <v/>
      </c>
      <c r="P379" t="str">
        <f t="shared" si="49"/>
        <v/>
      </c>
      <c r="Q379" t="str">
        <f t="shared" si="50"/>
        <v/>
      </c>
      <c r="S379" t="str">
        <f>""</f>
        <v/>
      </c>
      <c r="AL379" s="18" t="str">
        <f>IF(COUNTIF($A$2:A378, A378) = 1, A378, "")</f>
        <v/>
      </c>
    </row>
    <row r="380" spans="6:38" x14ac:dyDescent="0.2">
      <c r="F380" t="str">
        <f t="shared" si="45"/>
        <v/>
      </c>
      <c r="L380" s="7" t="str">
        <f t="shared" si="46"/>
        <v/>
      </c>
      <c r="N380" s="7" t="str">
        <f t="shared" si="47"/>
        <v/>
      </c>
      <c r="O380" t="str">
        <f t="shared" si="48"/>
        <v/>
      </c>
      <c r="P380" t="str">
        <f t="shared" si="49"/>
        <v/>
      </c>
      <c r="Q380" t="str">
        <f t="shared" si="50"/>
        <v/>
      </c>
      <c r="S380" t="str">
        <f>""</f>
        <v/>
      </c>
      <c r="AL380" s="18" t="str">
        <f>IF(COUNTIF($A$2:A379, A379) = 1, A379, "")</f>
        <v/>
      </c>
    </row>
    <row r="381" spans="6:38" x14ac:dyDescent="0.2">
      <c r="F381" t="str">
        <f t="shared" si="45"/>
        <v/>
      </c>
      <c r="L381" s="7" t="str">
        <f t="shared" si="46"/>
        <v/>
      </c>
      <c r="N381" s="7" t="str">
        <f t="shared" si="47"/>
        <v/>
      </c>
      <c r="O381" t="str">
        <f t="shared" si="48"/>
        <v/>
      </c>
      <c r="P381" t="str">
        <f t="shared" si="49"/>
        <v/>
      </c>
      <c r="Q381" t="str">
        <f t="shared" si="50"/>
        <v/>
      </c>
      <c r="S381" t="str">
        <f>""</f>
        <v/>
      </c>
      <c r="AL381" s="18" t="str">
        <f>IF(COUNTIF($A$2:A380, A380) = 1, A380, "")</f>
        <v/>
      </c>
    </row>
    <row r="382" spans="6:38" x14ac:dyDescent="0.2">
      <c r="F382" t="str">
        <f t="shared" si="45"/>
        <v/>
      </c>
      <c r="L382" s="7" t="str">
        <f t="shared" si="46"/>
        <v/>
      </c>
      <c r="N382" s="7" t="str">
        <f t="shared" si="47"/>
        <v/>
      </c>
      <c r="O382" t="str">
        <f t="shared" si="48"/>
        <v/>
      </c>
      <c r="P382" t="str">
        <f t="shared" si="49"/>
        <v/>
      </c>
      <c r="Q382" t="str">
        <f t="shared" si="50"/>
        <v/>
      </c>
      <c r="S382" t="str">
        <f>""</f>
        <v/>
      </c>
      <c r="AL382" s="18" t="str">
        <f>IF(COUNTIF($A$2:A381, A381) = 1, A381, "")</f>
        <v/>
      </c>
    </row>
    <row r="383" spans="6:38" x14ac:dyDescent="0.2">
      <c r="F383" t="str">
        <f t="shared" si="45"/>
        <v/>
      </c>
      <c r="L383" s="7" t="str">
        <f t="shared" si="46"/>
        <v/>
      </c>
      <c r="N383" s="7" t="str">
        <f t="shared" si="47"/>
        <v/>
      </c>
      <c r="O383" t="str">
        <f t="shared" si="48"/>
        <v/>
      </c>
      <c r="P383" t="str">
        <f t="shared" si="49"/>
        <v/>
      </c>
      <c r="Q383" t="str">
        <f t="shared" si="50"/>
        <v/>
      </c>
      <c r="S383" t="str">
        <f>""</f>
        <v/>
      </c>
      <c r="AL383" s="18" t="str">
        <f>IF(COUNTIF($A$2:A382, A382) = 1, A382, "")</f>
        <v/>
      </c>
    </row>
    <row r="384" spans="6:38" x14ac:dyDescent="0.2">
      <c r="F384" t="str">
        <f t="shared" si="45"/>
        <v/>
      </c>
      <c r="L384" s="7" t="str">
        <f t="shared" si="46"/>
        <v/>
      </c>
      <c r="N384" s="7" t="str">
        <f t="shared" si="47"/>
        <v/>
      </c>
      <c r="O384" t="str">
        <f t="shared" si="48"/>
        <v/>
      </c>
      <c r="P384" t="str">
        <f t="shared" si="49"/>
        <v/>
      </c>
      <c r="Q384" t="str">
        <f t="shared" si="50"/>
        <v/>
      </c>
      <c r="S384" t="str">
        <f>""</f>
        <v/>
      </c>
      <c r="AL384" s="18" t="str">
        <f>IF(COUNTIF($A$2:A383, A383) = 1, A383, "")</f>
        <v/>
      </c>
    </row>
    <row r="385" spans="6:38" x14ac:dyDescent="0.2">
      <c r="F385" t="str">
        <f t="shared" si="45"/>
        <v/>
      </c>
      <c r="L385" s="7" t="str">
        <f t="shared" si="46"/>
        <v/>
      </c>
      <c r="N385" s="7" t="str">
        <f t="shared" si="47"/>
        <v/>
      </c>
      <c r="O385" t="str">
        <f t="shared" si="48"/>
        <v/>
      </c>
      <c r="P385" t="str">
        <f t="shared" si="49"/>
        <v/>
      </c>
      <c r="Q385" t="str">
        <f t="shared" si="50"/>
        <v/>
      </c>
      <c r="S385" t="str">
        <f>""</f>
        <v/>
      </c>
      <c r="AL385" s="18" t="str">
        <f>IF(COUNTIF($A$2:A384, A384) = 1, A384, "")</f>
        <v/>
      </c>
    </row>
    <row r="386" spans="6:38" x14ac:dyDescent="0.2">
      <c r="F386" t="str">
        <f t="shared" si="45"/>
        <v/>
      </c>
      <c r="L386" s="7" t="str">
        <f t="shared" si="46"/>
        <v/>
      </c>
      <c r="N386" s="7" t="str">
        <f t="shared" si="47"/>
        <v/>
      </c>
      <c r="O386" t="str">
        <f t="shared" si="48"/>
        <v/>
      </c>
      <c r="P386" t="str">
        <f t="shared" si="49"/>
        <v/>
      </c>
      <c r="Q386" t="str">
        <f t="shared" si="50"/>
        <v/>
      </c>
      <c r="S386" t="str">
        <f>""</f>
        <v/>
      </c>
      <c r="AL386" s="18" t="str">
        <f>IF(COUNTIF($A$2:A385, A385) = 1, A385, "")</f>
        <v/>
      </c>
    </row>
    <row r="387" spans="6:38" x14ac:dyDescent="0.2">
      <c r="F387" t="str">
        <f t="shared" si="45"/>
        <v/>
      </c>
      <c r="L387" s="7" t="str">
        <f t="shared" si="46"/>
        <v/>
      </c>
      <c r="N387" s="7" t="str">
        <f t="shared" si="47"/>
        <v/>
      </c>
      <c r="O387" t="str">
        <f t="shared" si="48"/>
        <v/>
      </c>
      <c r="P387" t="str">
        <f t="shared" si="49"/>
        <v/>
      </c>
      <c r="Q387" t="str">
        <f t="shared" si="50"/>
        <v/>
      </c>
      <c r="S387" t="str">
        <f>""</f>
        <v/>
      </c>
      <c r="AL387" s="18" t="str">
        <f>IF(COUNTIF($A$2:A386, A386) = 1, A386, "")</f>
        <v/>
      </c>
    </row>
    <row r="388" spans="6:38" x14ac:dyDescent="0.2">
      <c r="F388" t="str">
        <f t="shared" si="45"/>
        <v/>
      </c>
      <c r="L388" s="7" t="str">
        <f t="shared" si="46"/>
        <v/>
      </c>
      <c r="N388" s="7" t="str">
        <f t="shared" si="47"/>
        <v/>
      </c>
      <c r="O388" t="str">
        <f t="shared" si="48"/>
        <v/>
      </c>
      <c r="P388" t="str">
        <f t="shared" si="49"/>
        <v/>
      </c>
      <c r="Q388" t="str">
        <f t="shared" si="50"/>
        <v/>
      </c>
      <c r="S388" t="str">
        <f>""</f>
        <v/>
      </c>
      <c r="AL388" s="18" t="str">
        <f>IF(COUNTIF($A$2:A387, A387) = 1, A387, "")</f>
        <v/>
      </c>
    </row>
    <row r="389" spans="6:38" x14ac:dyDescent="0.2">
      <c r="F389" t="str">
        <f t="shared" si="45"/>
        <v/>
      </c>
      <c r="L389" s="7" t="str">
        <f t="shared" si="46"/>
        <v/>
      </c>
      <c r="N389" s="7" t="str">
        <f t="shared" si="47"/>
        <v/>
      </c>
      <c r="O389" t="str">
        <f t="shared" si="48"/>
        <v/>
      </c>
      <c r="P389" t="str">
        <f t="shared" si="49"/>
        <v/>
      </c>
      <c r="Q389" t="str">
        <f t="shared" si="50"/>
        <v/>
      </c>
      <c r="S389" t="str">
        <f>""</f>
        <v/>
      </c>
      <c r="AL389" s="18" t="str">
        <f>IF(COUNTIF($A$2:A388, A388) = 1, A388, "")</f>
        <v/>
      </c>
    </row>
    <row r="390" spans="6:38" x14ac:dyDescent="0.2">
      <c r="F390" t="str">
        <f t="shared" si="45"/>
        <v/>
      </c>
      <c r="L390" s="7" t="str">
        <f t="shared" si="46"/>
        <v/>
      </c>
      <c r="N390" s="7" t="str">
        <f t="shared" si="47"/>
        <v/>
      </c>
      <c r="O390" t="str">
        <f t="shared" si="48"/>
        <v/>
      </c>
      <c r="P390" t="str">
        <f t="shared" si="49"/>
        <v/>
      </c>
      <c r="Q390" t="str">
        <f t="shared" si="50"/>
        <v/>
      </c>
      <c r="S390" t="str">
        <f>""</f>
        <v/>
      </c>
      <c r="AL390" s="18" t="str">
        <f>IF(COUNTIF($A$2:A389, A389) = 1, A389, "")</f>
        <v/>
      </c>
    </row>
    <row r="391" spans="6:38" x14ac:dyDescent="0.2">
      <c r="F391" t="str">
        <f t="shared" si="45"/>
        <v/>
      </c>
      <c r="L391" s="7" t="str">
        <f t="shared" si="46"/>
        <v/>
      </c>
      <c r="N391" s="7" t="str">
        <f t="shared" si="47"/>
        <v/>
      </c>
      <c r="O391" t="str">
        <f t="shared" si="48"/>
        <v/>
      </c>
      <c r="P391" t="str">
        <f t="shared" si="49"/>
        <v/>
      </c>
      <c r="Q391" t="str">
        <f t="shared" si="50"/>
        <v/>
      </c>
      <c r="S391" t="str">
        <f>""</f>
        <v/>
      </c>
      <c r="AL391" s="18" t="str">
        <f>IF(COUNTIF($A$2:A390, A390) = 1, A390, "")</f>
        <v/>
      </c>
    </row>
    <row r="392" spans="6:38" x14ac:dyDescent="0.2">
      <c r="F392" t="str">
        <f t="shared" si="45"/>
        <v/>
      </c>
      <c r="L392" s="7" t="str">
        <f t="shared" si="46"/>
        <v/>
      </c>
      <c r="N392" s="7" t="str">
        <f t="shared" si="47"/>
        <v/>
      </c>
      <c r="O392" t="str">
        <f t="shared" si="48"/>
        <v/>
      </c>
      <c r="P392" t="str">
        <f t="shared" si="49"/>
        <v/>
      </c>
      <c r="Q392" t="str">
        <f t="shared" si="50"/>
        <v/>
      </c>
      <c r="S392" t="str">
        <f>""</f>
        <v/>
      </c>
      <c r="AL392" s="18" t="str">
        <f>IF(COUNTIF($A$2:A391, A391) = 1, A391, "")</f>
        <v/>
      </c>
    </row>
    <row r="393" spans="6:38" x14ac:dyDescent="0.2">
      <c r="F393" t="str">
        <f t="shared" si="45"/>
        <v/>
      </c>
      <c r="L393" s="7" t="str">
        <f t="shared" si="46"/>
        <v/>
      </c>
      <c r="N393" s="7" t="str">
        <f t="shared" si="47"/>
        <v/>
      </c>
      <c r="O393" t="str">
        <f t="shared" si="48"/>
        <v/>
      </c>
      <c r="P393" t="str">
        <f t="shared" si="49"/>
        <v/>
      </c>
      <c r="Q393" t="str">
        <f t="shared" si="50"/>
        <v/>
      </c>
      <c r="S393" t="str">
        <f>""</f>
        <v/>
      </c>
      <c r="AL393" s="18" t="str">
        <f>IF(COUNTIF($A$2:A392, A392) = 1, A392, "")</f>
        <v/>
      </c>
    </row>
    <row r="394" spans="6:38" x14ac:dyDescent="0.2">
      <c r="F394" t="str">
        <f t="shared" si="45"/>
        <v/>
      </c>
      <c r="L394" s="7" t="str">
        <f t="shared" si="46"/>
        <v/>
      </c>
      <c r="N394" s="7" t="str">
        <f t="shared" si="47"/>
        <v/>
      </c>
      <c r="O394" t="str">
        <f t="shared" si="48"/>
        <v/>
      </c>
      <c r="P394" t="str">
        <f t="shared" si="49"/>
        <v/>
      </c>
      <c r="Q394" t="str">
        <f t="shared" si="50"/>
        <v/>
      </c>
      <c r="S394" t="str">
        <f>""</f>
        <v/>
      </c>
      <c r="AL394" s="18" t="str">
        <f>IF(COUNTIF($A$2:A393, A393) = 1, A393, "")</f>
        <v/>
      </c>
    </row>
    <row r="395" spans="6:38" x14ac:dyDescent="0.2">
      <c r="F395" t="str">
        <f t="shared" si="45"/>
        <v/>
      </c>
      <c r="L395" s="7" t="str">
        <f t="shared" si="46"/>
        <v/>
      </c>
      <c r="N395" s="7" t="str">
        <f t="shared" si="47"/>
        <v/>
      </c>
      <c r="O395" t="str">
        <f t="shared" si="48"/>
        <v/>
      </c>
      <c r="P395" t="str">
        <f t="shared" si="49"/>
        <v/>
      </c>
      <c r="Q395" t="str">
        <f t="shared" si="50"/>
        <v/>
      </c>
      <c r="S395" t="str">
        <f>""</f>
        <v/>
      </c>
      <c r="AL395" s="18" t="str">
        <f>IF(COUNTIF($A$2:A394, A394) = 1, A394, "")</f>
        <v/>
      </c>
    </row>
    <row r="396" spans="6:38" x14ac:dyDescent="0.2">
      <c r="F396" t="str">
        <f t="shared" si="45"/>
        <v/>
      </c>
      <c r="L396" s="7" t="str">
        <f t="shared" si="46"/>
        <v/>
      </c>
      <c r="N396" s="7" t="str">
        <f t="shared" si="47"/>
        <v/>
      </c>
      <c r="O396" t="str">
        <f t="shared" si="48"/>
        <v/>
      </c>
      <c r="P396" t="str">
        <f t="shared" si="49"/>
        <v/>
      </c>
      <c r="Q396" t="str">
        <f t="shared" si="50"/>
        <v/>
      </c>
      <c r="S396" t="str">
        <f>""</f>
        <v/>
      </c>
      <c r="AL396" s="18" t="str">
        <f>IF(COUNTIF($A$2:A395, A395) = 1, A395, "")</f>
        <v/>
      </c>
    </row>
    <row r="397" spans="6:38" x14ac:dyDescent="0.2">
      <c r="F397" t="str">
        <f t="shared" si="45"/>
        <v/>
      </c>
      <c r="L397" s="7" t="str">
        <f t="shared" si="46"/>
        <v/>
      </c>
      <c r="N397" s="7" t="str">
        <f t="shared" si="47"/>
        <v/>
      </c>
      <c r="O397" t="str">
        <f t="shared" si="48"/>
        <v/>
      </c>
      <c r="P397" t="str">
        <f t="shared" si="49"/>
        <v/>
      </c>
      <c r="Q397" t="str">
        <f t="shared" si="50"/>
        <v/>
      </c>
      <c r="S397" t="str">
        <f>""</f>
        <v/>
      </c>
      <c r="AL397" s="18" t="str">
        <f>IF(COUNTIF($A$2:A396, A396) = 1, A396, "")</f>
        <v/>
      </c>
    </row>
    <row r="398" spans="6:38" x14ac:dyDescent="0.2">
      <c r="F398" t="str">
        <f t="shared" si="45"/>
        <v/>
      </c>
      <c r="L398" s="7" t="str">
        <f t="shared" si="46"/>
        <v/>
      </c>
      <c r="N398" s="7" t="str">
        <f t="shared" si="47"/>
        <v/>
      </c>
      <c r="O398" t="str">
        <f t="shared" si="48"/>
        <v/>
      </c>
      <c r="P398" t="str">
        <f t="shared" si="49"/>
        <v/>
      </c>
      <c r="Q398" t="str">
        <f t="shared" si="50"/>
        <v/>
      </c>
      <c r="S398" t="str">
        <f>""</f>
        <v/>
      </c>
      <c r="AL398" s="18" t="str">
        <f>IF(COUNTIF($A$2:A397, A397) = 1, A397, "")</f>
        <v/>
      </c>
    </row>
    <row r="399" spans="6:38" x14ac:dyDescent="0.2">
      <c r="F399" t="str">
        <f t="shared" si="45"/>
        <v/>
      </c>
      <c r="L399" s="7" t="str">
        <f t="shared" si="46"/>
        <v/>
      </c>
      <c r="N399" s="7" t="str">
        <f t="shared" si="47"/>
        <v/>
      </c>
      <c r="O399" t="str">
        <f t="shared" si="48"/>
        <v/>
      </c>
      <c r="P399" t="str">
        <f t="shared" si="49"/>
        <v/>
      </c>
      <c r="Q399" t="str">
        <f t="shared" si="50"/>
        <v/>
      </c>
      <c r="S399" t="str">
        <f>""</f>
        <v/>
      </c>
      <c r="AL399" s="18" t="str">
        <f>IF(COUNTIF($A$2:A398, A398) = 1, A398, "")</f>
        <v/>
      </c>
    </row>
    <row r="400" spans="6:38" x14ac:dyDescent="0.2">
      <c r="F400" t="str">
        <f t="shared" ref="F400:F463" si="51">IF(OR(O400="", P400=""), "", SUM(IF((O400&lt;&gt;"None")*(O400&lt;&gt;""),LEN(O400)-LEN(SUBSTITUTE(O400,",",""))+1,0)) + SUM(IF((P400&lt;&gt;"None")*(P400&lt;&gt;""),LEN(P400)-LEN(SUBSTITUTE(P400,",",""))+1,0)))</f>
        <v/>
      </c>
      <c r="L400" s="7" t="str">
        <f t="shared" ref="L400:L463" si="52">IF(LEN(E400)=0, "", IFERROR(IF(E400&gt;=0, K400 * (1 + E400/100) - K400, K400 / (ABS(E400)/100))+K400, ""))</f>
        <v/>
      </c>
      <c r="N400" s="7" t="str">
        <f t="shared" ref="N400:N463" si="53">IF(M400="Yes",L400-K400,IF(M400="No",-K400,""))</f>
        <v/>
      </c>
      <c r="O400" t="str">
        <f t="shared" ref="O400:O463" si="54">IF(AND(G400="No",H400="No"), "None", "")</f>
        <v/>
      </c>
      <c r="P400" t="str">
        <f t="shared" ref="P400:P463" si="55">IF(I400="No", "None", "")</f>
        <v/>
      </c>
      <c r="Q400" t="str">
        <f t="shared" ref="Q400:Q463" si="56">IF(AND(D400="Straight", M400 = "No"),IF(O400="None",P400,IF(P400="None",O400) ),"")</f>
        <v/>
      </c>
      <c r="S400" t="str">
        <f>""</f>
        <v/>
      </c>
      <c r="AL400" s="18" t="str">
        <f>IF(COUNTIF($A$2:A399, A399) = 1, A399, "")</f>
        <v/>
      </c>
    </row>
    <row r="401" spans="6:38" x14ac:dyDescent="0.2">
      <c r="F401" t="str">
        <f t="shared" si="51"/>
        <v/>
      </c>
      <c r="L401" s="7" t="str">
        <f t="shared" si="52"/>
        <v/>
      </c>
      <c r="N401" s="7" t="str">
        <f t="shared" si="53"/>
        <v/>
      </c>
      <c r="O401" t="str">
        <f t="shared" si="54"/>
        <v/>
      </c>
      <c r="P401" t="str">
        <f t="shared" si="55"/>
        <v/>
      </c>
      <c r="Q401" t="str">
        <f t="shared" si="56"/>
        <v/>
      </c>
      <c r="S401" t="str">
        <f>""</f>
        <v/>
      </c>
      <c r="AL401" s="18" t="str">
        <f>IF(COUNTIF($A$2:A400, A400) = 1, A400, "")</f>
        <v/>
      </c>
    </row>
    <row r="402" spans="6:38" x14ac:dyDescent="0.2">
      <c r="F402" t="str">
        <f t="shared" si="51"/>
        <v/>
      </c>
      <c r="L402" s="7" t="str">
        <f t="shared" si="52"/>
        <v/>
      </c>
      <c r="N402" s="7" t="str">
        <f t="shared" si="53"/>
        <v/>
      </c>
      <c r="O402" t="str">
        <f t="shared" si="54"/>
        <v/>
      </c>
      <c r="P402" t="str">
        <f t="shared" si="55"/>
        <v/>
      </c>
      <c r="Q402" t="str">
        <f t="shared" si="56"/>
        <v/>
      </c>
      <c r="S402" t="str">
        <f>""</f>
        <v/>
      </c>
      <c r="AL402" s="18" t="str">
        <f>IF(COUNTIF($A$2:A401, A401) = 1, A401, "")</f>
        <v/>
      </c>
    </row>
    <row r="403" spans="6:38" x14ac:dyDescent="0.2">
      <c r="F403" t="str">
        <f t="shared" si="51"/>
        <v/>
      </c>
      <c r="L403" s="7" t="str">
        <f t="shared" si="52"/>
        <v/>
      </c>
      <c r="N403" s="7" t="str">
        <f t="shared" si="53"/>
        <v/>
      </c>
      <c r="O403" t="str">
        <f t="shared" si="54"/>
        <v/>
      </c>
      <c r="P403" t="str">
        <f t="shared" si="55"/>
        <v/>
      </c>
      <c r="Q403" t="str">
        <f t="shared" si="56"/>
        <v/>
      </c>
      <c r="S403" t="str">
        <f>""</f>
        <v/>
      </c>
      <c r="AL403" s="18" t="str">
        <f>IF(COUNTIF($A$2:A402, A402) = 1, A402, "")</f>
        <v/>
      </c>
    </row>
    <row r="404" spans="6:38" x14ac:dyDescent="0.2">
      <c r="F404" t="str">
        <f t="shared" si="51"/>
        <v/>
      </c>
      <c r="L404" s="7" t="str">
        <f t="shared" si="52"/>
        <v/>
      </c>
      <c r="N404" s="7" t="str">
        <f t="shared" si="53"/>
        <v/>
      </c>
      <c r="O404" t="str">
        <f t="shared" si="54"/>
        <v/>
      </c>
      <c r="P404" t="str">
        <f t="shared" si="55"/>
        <v/>
      </c>
      <c r="Q404" t="str">
        <f t="shared" si="56"/>
        <v/>
      </c>
      <c r="S404" t="str">
        <f>""</f>
        <v/>
      </c>
      <c r="AL404" s="18" t="str">
        <f>IF(COUNTIF($A$2:A403, A403) = 1, A403, "")</f>
        <v/>
      </c>
    </row>
    <row r="405" spans="6:38" x14ac:dyDescent="0.2">
      <c r="F405" t="str">
        <f t="shared" si="51"/>
        <v/>
      </c>
      <c r="L405" s="7" t="str">
        <f t="shared" si="52"/>
        <v/>
      </c>
      <c r="N405" s="7" t="str">
        <f t="shared" si="53"/>
        <v/>
      </c>
      <c r="O405" t="str">
        <f t="shared" si="54"/>
        <v/>
      </c>
      <c r="P405" t="str">
        <f t="shared" si="55"/>
        <v/>
      </c>
      <c r="Q405" t="str">
        <f t="shared" si="56"/>
        <v/>
      </c>
      <c r="S405" t="str">
        <f>""</f>
        <v/>
      </c>
      <c r="AL405" s="18" t="str">
        <f>IF(COUNTIF($A$2:A404, A404) = 1, A404, "")</f>
        <v/>
      </c>
    </row>
    <row r="406" spans="6:38" x14ac:dyDescent="0.2">
      <c r="F406" t="str">
        <f t="shared" si="51"/>
        <v/>
      </c>
      <c r="L406" s="7" t="str">
        <f t="shared" si="52"/>
        <v/>
      </c>
      <c r="N406" s="7" t="str">
        <f t="shared" si="53"/>
        <v/>
      </c>
      <c r="O406" t="str">
        <f t="shared" si="54"/>
        <v/>
      </c>
      <c r="P406" t="str">
        <f t="shared" si="55"/>
        <v/>
      </c>
      <c r="Q406" t="str">
        <f t="shared" si="56"/>
        <v/>
      </c>
      <c r="S406" t="str">
        <f>""</f>
        <v/>
      </c>
      <c r="AL406" s="18" t="str">
        <f>IF(COUNTIF($A$2:A405, A405) = 1, A405, "")</f>
        <v/>
      </c>
    </row>
    <row r="407" spans="6:38" x14ac:dyDescent="0.2">
      <c r="F407" t="str">
        <f t="shared" si="51"/>
        <v/>
      </c>
      <c r="L407" s="7" t="str">
        <f t="shared" si="52"/>
        <v/>
      </c>
      <c r="N407" s="7" t="str">
        <f t="shared" si="53"/>
        <v/>
      </c>
      <c r="O407" t="str">
        <f t="shared" si="54"/>
        <v/>
      </c>
      <c r="P407" t="str">
        <f t="shared" si="55"/>
        <v/>
      </c>
      <c r="Q407" t="str">
        <f t="shared" si="56"/>
        <v/>
      </c>
      <c r="S407" t="str">
        <f>""</f>
        <v/>
      </c>
      <c r="AL407" s="18" t="str">
        <f>IF(COUNTIF($A$2:A406, A406) = 1, A406, "")</f>
        <v/>
      </c>
    </row>
    <row r="408" spans="6:38" x14ac:dyDescent="0.2">
      <c r="F408" t="str">
        <f t="shared" si="51"/>
        <v/>
      </c>
      <c r="L408" s="7" t="str">
        <f t="shared" si="52"/>
        <v/>
      </c>
      <c r="N408" s="7" t="str">
        <f t="shared" si="53"/>
        <v/>
      </c>
      <c r="O408" t="str">
        <f t="shared" si="54"/>
        <v/>
      </c>
      <c r="P408" t="str">
        <f t="shared" si="55"/>
        <v/>
      </c>
      <c r="Q408" t="str">
        <f t="shared" si="56"/>
        <v/>
      </c>
      <c r="S408" t="str">
        <f>""</f>
        <v/>
      </c>
      <c r="AL408" s="18" t="str">
        <f>IF(COUNTIF($A$2:A407, A407) = 1, A407, "")</f>
        <v/>
      </c>
    </row>
    <row r="409" spans="6:38" x14ac:dyDescent="0.2">
      <c r="F409" t="str">
        <f t="shared" si="51"/>
        <v/>
      </c>
      <c r="L409" s="7" t="str">
        <f t="shared" si="52"/>
        <v/>
      </c>
      <c r="N409" s="7" t="str">
        <f t="shared" si="53"/>
        <v/>
      </c>
      <c r="O409" t="str">
        <f t="shared" si="54"/>
        <v/>
      </c>
      <c r="P409" t="str">
        <f t="shared" si="55"/>
        <v/>
      </c>
      <c r="Q409" t="str">
        <f t="shared" si="56"/>
        <v/>
      </c>
      <c r="S409" t="str">
        <f>""</f>
        <v/>
      </c>
      <c r="AL409" s="18" t="str">
        <f>IF(COUNTIF($A$2:A408, A408) = 1, A408, "")</f>
        <v/>
      </c>
    </row>
    <row r="410" spans="6:38" x14ac:dyDescent="0.2">
      <c r="F410" t="str">
        <f t="shared" si="51"/>
        <v/>
      </c>
      <c r="L410" s="7" t="str">
        <f t="shared" si="52"/>
        <v/>
      </c>
      <c r="N410" s="7" t="str">
        <f t="shared" si="53"/>
        <v/>
      </c>
      <c r="O410" t="str">
        <f t="shared" si="54"/>
        <v/>
      </c>
      <c r="P410" t="str">
        <f t="shared" si="55"/>
        <v/>
      </c>
      <c r="Q410" t="str">
        <f t="shared" si="56"/>
        <v/>
      </c>
      <c r="S410" t="str">
        <f>""</f>
        <v/>
      </c>
      <c r="AL410" s="18" t="str">
        <f>IF(COUNTIF($A$2:A409, A409) = 1, A409, "")</f>
        <v/>
      </c>
    </row>
    <row r="411" spans="6:38" x14ac:dyDescent="0.2">
      <c r="F411" t="str">
        <f t="shared" si="51"/>
        <v/>
      </c>
      <c r="L411" s="7" t="str">
        <f t="shared" si="52"/>
        <v/>
      </c>
      <c r="N411" s="7" t="str">
        <f t="shared" si="53"/>
        <v/>
      </c>
      <c r="O411" t="str">
        <f t="shared" si="54"/>
        <v/>
      </c>
      <c r="P411" t="str">
        <f t="shared" si="55"/>
        <v/>
      </c>
      <c r="Q411" t="str">
        <f t="shared" si="56"/>
        <v/>
      </c>
      <c r="S411" t="str">
        <f>""</f>
        <v/>
      </c>
      <c r="AL411" s="18" t="str">
        <f>IF(COUNTIF($A$2:A410, A410) = 1, A410, "")</f>
        <v/>
      </c>
    </row>
    <row r="412" spans="6:38" x14ac:dyDescent="0.2">
      <c r="F412" t="str">
        <f t="shared" si="51"/>
        <v/>
      </c>
      <c r="L412" s="7" t="str">
        <f t="shared" si="52"/>
        <v/>
      </c>
      <c r="N412" s="7" t="str">
        <f t="shared" si="53"/>
        <v/>
      </c>
      <c r="O412" t="str">
        <f t="shared" si="54"/>
        <v/>
      </c>
      <c r="P412" t="str">
        <f t="shared" si="55"/>
        <v/>
      </c>
      <c r="Q412" t="str">
        <f t="shared" si="56"/>
        <v/>
      </c>
      <c r="S412" t="str">
        <f>""</f>
        <v/>
      </c>
      <c r="AL412" s="18" t="str">
        <f>IF(COUNTIF($A$2:A411, A411) = 1, A411, "")</f>
        <v/>
      </c>
    </row>
    <row r="413" spans="6:38" x14ac:dyDescent="0.2">
      <c r="F413" t="str">
        <f t="shared" si="51"/>
        <v/>
      </c>
      <c r="L413" s="7" t="str">
        <f t="shared" si="52"/>
        <v/>
      </c>
      <c r="N413" s="7" t="str">
        <f t="shared" si="53"/>
        <v/>
      </c>
      <c r="O413" t="str">
        <f t="shared" si="54"/>
        <v/>
      </c>
      <c r="P413" t="str">
        <f t="shared" si="55"/>
        <v/>
      </c>
      <c r="Q413" t="str">
        <f t="shared" si="56"/>
        <v/>
      </c>
      <c r="S413" t="str">
        <f>""</f>
        <v/>
      </c>
      <c r="AL413" s="18" t="str">
        <f>IF(COUNTIF($A$2:A412, A412) = 1, A412, "")</f>
        <v/>
      </c>
    </row>
    <row r="414" spans="6:38" x14ac:dyDescent="0.2">
      <c r="F414" t="str">
        <f t="shared" si="51"/>
        <v/>
      </c>
      <c r="L414" s="7" t="str">
        <f t="shared" si="52"/>
        <v/>
      </c>
      <c r="N414" s="7" t="str">
        <f t="shared" si="53"/>
        <v/>
      </c>
      <c r="O414" t="str">
        <f t="shared" si="54"/>
        <v/>
      </c>
      <c r="P414" t="str">
        <f t="shared" si="55"/>
        <v/>
      </c>
      <c r="Q414" t="str">
        <f t="shared" si="56"/>
        <v/>
      </c>
      <c r="S414" t="str">
        <f>""</f>
        <v/>
      </c>
      <c r="AL414" s="18" t="str">
        <f>IF(COUNTIF($A$2:A413, A413) = 1, A413, "")</f>
        <v/>
      </c>
    </row>
    <row r="415" spans="6:38" x14ac:dyDescent="0.2">
      <c r="F415" t="str">
        <f t="shared" si="51"/>
        <v/>
      </c>
      <c r="L415" s="7" t="str">
        <f t="shared" si="52"/>
        <v/>
      </c>
      <c r="N415" s="7" t="str">
        <f t="shared" si="53"/>
        <v/>
      </c>
      <c r="O415" t="str">
        <f t="shared" si="54"/>
        <v/>
      </c>
      <c r="P415" t="str">
        <f t="shared" si="55"/>
        <v/>
      </c>
      <c r="Q415" t="str">
        <f t="shared" si="56"/>
        <v/>
      </c>
      <c r="S415" t="str">
        <f>""</f>
        <v/>
      </c>
      <c r="AL415" s="18" t="str">
        <f>IF(COUNTIF($A$2:A414, A414) = 1, A414, "")</f>
        <v/>
      </c>
    </row>
    <row r="416" spans="6:38" x14ac:dyDescent="0.2">
      <c r="F416" t="str">
        <f t="shared" si="51"/>
        <v/>
      </c>
      <c r="L416" s="7" t="str">
        <f t="shared" si="52"/>
        <v/>
      </c>
      <c r="N416" s="7" t="str">
        <f t="shared" si="53"/>
        <v/>
      </c>
      <c r="O416" t="str">
        <f t="shared" si="54"/>
        <v/>
      </c>
      <c r="P416" t="str">
        <f t="shared" si="55"/>
        <v/>
      </c>
      <c r="Q416" t="str">
        <f t="shared" si="56"/>
        <v/>
      </c>
      <c r="S416" t="str">
        <f>""</f>
        <v/>
      </c>
      <c r="AL416" s="18" t="str">
        <f>IF(COUNTIF($A$2:A415, A415) = 1, A415, "")</f>
        <v/>
      </c>
    </row>
    <row r="417" spans="6:38" x14ac:dyDescent="0.2">
      <c r="F417" t="str">
        <f t="shared" si="51"/>
        <v/>
      </c>
      <c r="L417" s="7" t="str">
        <f t="shared" si="52"/>
        <v/>
      </c>
      <c r="N417" s="7" t="str">
        <f t="shared" si="53"/>
        <v/>
      </c>
      <c r="O417" t="str">
        <f t="shared" si="54"/>
        <v/>
      </c>
      <c r="P417" t="str">
        <f t="shared" si="55"/>
        <v/>
      </c>
      <c r="Q417" t="str">
        <f t="shared" si="56"/>
        <v/>
      </c>
      <c r="S417" t="str">
        <f>""</f>
        <v/>
      </c>
      <c r="AL417" s="18" t="str">
        <f>IF(COUNTIF($A$2:A416, A416) = 1, A416, "")</f>
        <v/>
      </c>
    </row>
    <row r="418" spans="6:38" x14ac:dyDescent="0.2">
      <c r="F418" t="str">
        <f t="shared" si="51"/>
        <v/>
      </c>
      <c r="L418" s="7" t="str">
        <f t="shared" si="52"/>
        <v/>
      </c>
      <c r="N418" s="7" t="str">
        <f t="shared" si="53"/>
        <v/>
      </c>
      <c r="O418" t="str">
        <f t="shared" si="54"/>
        <v/>
      </c>
      <c r="P418" t="str">
        <f t="shared" si="55"/>
        <v/>
      </c>
      <c r="Q418" t="str">
        <f t="shared" si="56"/>
        <v/>
      </c>
      <c r="S418" t="str">
        <f>""</f>
        <v/>
      </c>
      <c r="AL418" s="18" t="str">
        <f>IF(COUNTIF($A$2:A417, A417) = 1, A417, "")</f>
        <v/>
      </c>
    </row>
    <row r="419" spans="6:38" x14ac:dyDescent="0.2">
      <c r="F419" t="str">
        <f t="shared" si="51"/>
        <v/>
      </c>
      <c r="L419" s="7" t="str">
        <f t="shared" si="52"/>
        <v/>
      </c>
      <c r="N419" s="7" t="str">
        <f t="shared" si="53"/>
        <v/>
      </c>
      <c r="O419" t="str">
        <f t="shared" si="54"/>
        <v/>
      </c>
      <c r="P419" t="str">
        <f t="shared" si="55"/>
        <v/>
      </c>
      <c r="Q419" t="str">
        <f t="shared" si="56"/>
        <v/>
      </c>
      <c r="S419" t="str">
        <f>""</f>
        <v/>
      </c>
      <c r="AL419" s="18" t="str">
        <f>IF(COUNTIF($A$2:A418, A418) = 1, A418, "")</f>
        <v/>
      </c>
    </row>
    <row r="420" spans="6:38" x14ac:dyDescent="0.2">
      <c r="F420" t="str">
        <f t="shared" si="51"/>
        <v/>
      </c>
      <c r="L420" s="7" t="str">
        <f t="shared" si="52"/>
        <v/>
      </c>
      <c r="N420" s="7" t="str">
        <f t="shared" si="53"/>
        <v/>
      </c>
      <c r="O420" t="str">
        <f t="shared" si="54"/>
        <v/>
      </c>
      <c r="P420" t="str">
        <f t="shared" si="55"/>
        <v/>
      </c>
      <c r="Q420" t="str">
        <f t="shared" si="56"/>
        <v/>
      </c>
      <c r="S420" t="str">
        <f>""</f>
        <v/>
      </c>
      <c r="AL420" s="18" t="str">
        <f>IF(COUNTIF($A$2:A419, A419) = 1, A419, "")</f>
        <v/>
      </c>
    </row>
    <row r="421" spans="6:38" x14ac:dyDescent="0.2">
      <c r="F421" t="str">
        <f t="shared" si="51"/>
        <v/>
      </c>
      <c r="L421" s="7" t="str">
        <f t="shared" si="52"/>
        <v/>
      </c>
      <c r="N421" s="7" t="str">
        <f t="shared" si="53"/>
        <v/>
      </c>
      <c r="O421" t="str">
        <f t="shared" si="54"/>
        <v/>
      </c>
      <c r="P421" t="str">
        <f t="shared" si="55"/>
        <v/>
      </c>
      <c r="Q421" t="str">
        <f t="shared" si="56"/>
        <v/>
      </c>
      <c r="S421" t="str">
        <f>""</f>
        <v/>
      </c>
      <c r="AL421" s="18" t="str">
        <f>IF(COUNTIF($A$2:A420, A420) = 1, A420, "")</f>
        <v/>
      </c>
    </row>
    <row r="422" spans="6:38" x14ac:dyDescent="0.2">
      <c r="F422" t="str">
        <f t="shared" si="51"/>
        <v/>
      </c>
      <c r="L422" s="7" t="str">
        <f t="shared" si="52"/>
        <v/>
      </c>
      <c r="N422" s="7" t="str">
        <f t="shared" si="53"/>
        <v/>
      </c>
      <c r="O422" t="str">
        <f t="shared" si="54"/>
        <v/>
      </c>
      <c r="P422" t="str">
        <f t="shared" si="55"/>
        <v/>
      </c>
      <c r="Q422" t="str">
        <f t="shared" si="56"/>
        <v/>
      </c>
      <c r="S422" t="str">
        <f>""</f>
        <v/>
      </c>
      <c r="AL422" s="18" t="str">
        <f>IF(COUNTIF($A$2:A421, A421) = 1, A421, "")</f>
        <v/>
      </c>
    </row>
    <row r="423" spans="6:38" x14ac:dyDescent="0.2">
      <c r="F423" t="str">
        <f t="shared" si="51"/>
        <v/>
      </c>
      <c r="L423" s="7" t="str">
        <f t="shared" si="52"/>
        <v/>
      </c>
      <c r="N423" s="7" t="str">
        <f t="shared" si="53"/>
        <v/>
      </c>
      <c r="O423" t="str">
        <f t="shared" si="54"/>
        <v/>
      </c>
      <c r="P423" t="str">
        <f t="shared" si="55"/>
        <v/>
      </c>
      <c r="Q423" t="str">
        <f t="shared" si="56"/>
        <v/>
      </c>
      <c r="S423" t="str">
        <f>""</f>
        <v/>
      </c>
      <c r="AL423" s="18" t="str">
        <f>IF(COUNTIF($A$2:A422, A422) = 1, A422, "")</f>
        <v/>
      </c>
    </row>
    <row r="424" spans="6:38" x14ac:dyDescent="0.2">
      <c r="F424" t="str">
        <f t="shared" si="51"/>
        <v/>
      </c>
      <c r="L424" s="7" t="str">
        <f t="shared" si="52"/>
        <v/>
      </c>
      <c r="N424" s="7" t="str">
        <f t="shared" si="53"/>
        <v/>
      </c>
      <c r="O424" t="str">
        <f t="shared" si="54"/>
        <v/>
      </c>
      <c r="P424" t="str">
        <f t="shared" si="55"/>
        <v/>
      </c>
      <c r="Q424" t="str">
        <f t="shared" si="56"/>
        <v/>
      </c>
      <c r="S424" t="str">
        <f>""</f>
        <v/>
      </c>
      <c r="AL424" s="18" t="str">
        <f>IF(COUNTIF($A$2:A423, A423) = 1, A423, "")</f>
        <v/>
      </c>
    </row>
    <row r="425" spans="6:38" x14ac:dyDescent="0.2">
      <c r="F425" t="str">
        <f t="shared" si="51"/>
        <v/>
      </c>
      <c r="L425" s="7" t="str">
        <f t="shared" si="52"/>
        <v/>
      </c>
      <c r="N425" s="7" t="str">
        <f t="shared" si="53"/>
        <v/>
      </c>
      <c r="O425" t="str">
        <f t="shared" si="54"/>
        <v/>
      </c>
      <c r="P425" t="str">
        <f t="shared" si="55"/>
        <v/>
      </c>
      <c r="Q425" t="str">
        <f t="shared" si="56"/>
        <v/>
      </c>
      <c r="S425" t="str">
        <f>""</f>
        <v/>
      </c>
      <c r="AL425" s="18" t="str">
        <f>IF(COUNTIF($A$2:A424, A424) = 1, A424, "")</f>
        <v/>
      </c>
    </row>
    <row r="426" spans="6:38" x14ac:dyDescent="0.2">
      <c r="F426" t="str">
        <f t="shared" si="51"/>
        <v/>
      </c>
      <c r="L426" s="7" t="str">
        <f t="shared" si="52"/>
        <v/>
      </c>
      <c r="N426" s="7" t="str">
        <f t="shared" si="53"/>
        <v/>
      </c>
      <c r="O426" t="str">
        <f t="shared" si="54"/>
        <v/>
      </c>
      <c r="P426" t="str">
        <f t="shared" si="55"/>
        <v/>
      </c>
      <c r="Q426" t="str">
        <f t="shared" si="56"/>
        <v/>
      </c>
      <c r="S426" t="str">
        <f>""</f>
        <v/>
      </c>
      <c r="AL426" s="18" t="str">
        <f>IF(COUNTIF($A$2:A425, A425) = 1, A425, "")</f>
        <v/>
      </c>
    </row>
    <row r="427" spans="6:38" x14ac:dyDescent="0.2">
      <c r="F427" t="str">
        <f t="shared" si="51"/>
        <v/>
      </c>
      <c r="L427" s="7" t="str">
        <f t="shared" si="52"/>
        <v/>
      </c>
      <c r="N427" s="7" t="str">
        <f t="shared" si="53"/>
        <v/>
      </c>
      <c r="O427" t="str">
        <f t="shared" si="54"/>
        <v/>
      </c>
      <c r="P427" t="str">
        <f t="shared" si="55"/>
        <v/>
      </c>
      <c r="Q427" t="str">
        <f t="shared" si="56"/>
        <v/>
      </c>
      <c r="S427" t="str">
        <f>""</f>
        <v/>
      </c>
      <c r="AL427" s="18" t="str">
        <f>IF(COUNTIF($A$2:A426, A426) = 1, A426, "")</f>
        <v/>
      </c>
    </row>
    <row r="428" spans="6:38" x14ac:dyDescent="0.2">
      <c r="F428" t="str">
        <f t="shared" si="51"/>
        <v/>
      </c>
      <c r="L428" s="7" t="str">
        <f t="shared" si="52"/>
        <v/>
      </c>
      <c r="N428" s="7" t="str">
        <f t="shared" si="53"/>
        <v/>
      </c>
      <c r="O428" t="str">
        <f t="shared" si="54"/>
        <v/>
      </c>
      <c r="P428" t="str">
        <f t="shared" si="55"/>
        <v/>
      </c>
      <c r="Q428" t="str">
        <f t="shared" si="56"/>
        <v/>
      </c>
      <c r="S428" t="str">
        <f>""</f>
        <v/>
      </c>
      <c r="AL428" s="18" t="str">
        <f>IF(COUNTIF($A$2:A427, A427) = 1, A427, "")</f>
        <v/>
      </c>
    </row>
    <row r="429" spans="6:38" x14ac:dyDescent="0.2">
      <c r="F429" t="str">
        <f t="shared" si="51"/>
        <v/>
      </c>
      <c r="L429" s="7" t="str">
        <f t="shared" si="52"/>
        <v/>
      </c>
      <c r="N429" s="7" t="str">
        <f t="shared" si="53"/>
        <v/>
      </c>
      <c r="O429" t="str">
        <f t="shared" si="54"/>
        <v/>
      </c>
      <c r="P429" t="str">
        <f t="shared" si="55"/>
        <v/>
      </c>
      <c r="Q429" t="str">
        <f t="shared" si="56"/>
        <v/>
      </c>
      <c r="S429" t="str">
        <f>""</f>
        <v/>
      </c>
      <c r="AL429" s="18" t="str">
        <f>IF(COUNTIF($A$2:A428, A428) = 1, A428, "")</f>
        <v/>
      </c>
    </row>
    <row r="430" spans="6:38" x14ac:dyDescent="0.2">
      <c r="F430" t="str">
        <f t="shared" si="51"/>
        <v/>
      </c>
      <c r="L430" s="7" t="str">
        <f t="shared" si="52"/>
        <v/>
      </c>
      <c r="N430" s="7" t="str">
        <f t="shared" si="53"/>
        <v/>
      </c>
      <c r="O430" t="str">
        <f t="shared" si="54"/>
        <v/>
      </c>
      <c r="P430" t="str">
        <f t="shared" si="55"/>
        <v/>
      </c>
      <c r="Q430" t="str">
        <f t="shared" si="56"/>
        <v/>
      </c>
      <c r="S430" t="str">
        <f>""</f>
        <v/>
      </c>
      <c r="AL430" s="18" t="str">
        <f>IF(COUNTIF($A$2:A429, A429) = 1, A429, "")</f>
        <v/>
      </c>
    </row>
    <row r="431" spans="6:38" x14ac:dyDescent="0.2">
      <c r="F431" t="str">
        <f t="shared" si="51"/>
        <v/>
      </c>
      <c r="L431" s="7" t="str">
        <f t="shared" si="52"/>
        <v/>
      </c>
      <c r="N431" s="7" t="str">
        <f t="shared" si="53"/>
        <v/>
      </c>
      <c r="O431" t="str">
        <f t="shared" si="54"/>
        <v/>
      </c>
      <c r="P431" t="str">
        <f t="shared" si="55"/>
        <v/>
      </c>
      <c r="Q431" t="str">
        <f t="shared" si="56"/>
        <v/>
      </c>
      <c r="S431" t="str">
        <f>""</f>
        <v/>
      </c>
      <c r="AL431" s="18" t="str">
        <f>IF(COUNTIF($A$2:A430, A430) = 1, A430, "")</f>
        <v/>
      </c>
    </row>
    <row r="432" spans="6:38" x14ac:dyDescent="0.2">
      <c r="F432" t="str">
        <f t="shared" si="51"/>
        <v/>
      </c>
      <c r="L432" s="7" t="str">
        <f t="shared" si="52"/>
        <v/>
      </c>
      <c r="N432" s="7" t="str">
        <f t="shared" si="53"/>
        <v/>
      </c>
      <c r="O432" t="str">
        <f t="shared" si="54"/>
        <v/>
      </c>
      <c r="P432" t="str">
        <f t="shared" si="55"/>
        <v/>
      </c>
      <c r="Q432" t="str">
        <f t="shared" si="56"/>
        <v/>
      </c>
      <c r="S432" t="str">
        <f>""</f>
        <v/>
      </c>
      <c r="AL432" s="18" t="str">
        <f>IF(COUNTIF($A$2:A431, A431) = 1, A431, "")</f>
        <v/>
      </c>
    </row>
    <row r="433" spans="6:38" x14ac:dyDescent="0.2">
      <c r="F433" t="str">
        <f t="shared" si="51"/>
        <v/>
      </c>
      <c r="L433" s="7" t="str">
        <f t="shared" si="52"/>
        <v/>
      </c>
      <c r="N433" s="7" t="str">
        <f t="shared" si="53"/>
        <v/>
      </c>
      <c r="O433" t="str">
        <f t="shared" si="54"/>
        <v/>
      </c>
      <c r="P433" t="str">
        <f t="shared" si="55"/>
        <v/>
      </c>
      <c r="Q433" t="str">
        <f t="shared" si="56"/>
        <v/>
      </c>
      <c r="S433" t="str">
        <f>""</f>
        <v/>
      </c>
      <c r="AL433" s="18" t="str">
        <f>IF(COUNTIF($A$2:A432, A432) = 1, A432, "")</f>
        <v/>
      </c>
    </row>
    <row r="434" spans="6:38" x14ac:dyDescent="0.2">
      <c r="F434" t="str">
        <f t="shared" si="51"/>
        <v/>
      </c>
      <c r="L434" s="7" t="str">
        <f t="shared" si="52"/>
        <v/>
      </c>
      <c r="N434" s="7" t="str">
        <f t="shared" si="53"/>
        <v/>
      </c>
      <c r="O434" t="str">
        <f t="shared" si="54"/>
        <v/>
      </c>
      <c r="P434" t="str">
        <f t="shared" si="55"/>
        <v/>
      </c>
      <c r="Q434" t="str">
        <f t="shared" si="56"/>
        <v/>
      </c>
      <c r="S434" t="str">
        <f>""</f>
        <v/>
      </c>
      <c r="AL434" s="18" t="str">
        <f>IF(COUNTIF($A$2:A433, A433) = 1, A433, "")</f>
        <v/>
      </c>
    </row>
    <row r="435" spans="6:38" x14ac:dyDescent="0.2">
      <c r="F435" t="str">
        <f t="shared" si="51"/>
        <v/>
      </c>
      <c r="L435" s="7" t="str">
        <f t="shared" si="52"/>
        <v/>
      </c>
      <c r="N435" s="7" t="str">
        <f t="shared" si="53"/>
        <v/>
      </c>
      <c r="O435" t="str">
        <f t="shared" si="54"/>
        <v/>
      </c>
      <c r="P435" t="str">
        <f t="shared" si="55"/>
        <v/>
      </c>
      <c r="Q435" t="str">
        <f t="shared" si="56"/>
        <v/>
      </c>
      <c r="S435" t="str">
        <f>""</f>
        <v/>
      </c>
      <c r="AL435" s="18" t="str">
        <f>IF(COUNTIF($A$2:A434, A434) = 1, A434, "")</f>
        <v/>
      </c>
    </row>
    <row r="436" spans="6:38" x14ac:dyDescent="0.2">
      <c r="F436" t="str">
        <f t="shared" si="51"/>
        <v/>
      </c>
      <c r="L436" s="7" t="str">
        <f t="shared" si="52"/>
        <v/>
      </c>
      <c r="N436" s="7" t="str">
        <f t="shared" si="53"/>
        <v/>
      </c>
      <c r="O436" t="str">
        <f t="shared" si="54"/>
        <v/>
      </c>
      <c r="P436" t="str">
        <f t="shared" si="55"/>
        <v/>
      </c>
      <c r="Q436" t="str">
        <f t="shared" si="56"/>
        <v/>
      </c>
      <c r="S436" t="str">
        <f>""</f>
        <v/>
      </c>
      <c r="AL436" s="18" t="str">
        <f>IF(COUNTIF($A$2:A435, A435) = 1, A435, "")</f>
        <v/>
      </c>
    </row>
    <row r="437" spans="6:38" x14ac:dyDescent="0.2">
      <c r="F437" t="str">
        <f t="shared" si="51"/>
        <v/>
      </c>
      <c r="L437" s="7" t="str">
        <f t="shared" si="52"/>
        <v/>
      </c>
      <c r="N437" s="7" t="str">
        <f t="shared" si="53"/>
        <v/>
      </c>
      <c r="O437" t="str">
        <f t="shared" si="54"/>
        <v/>
      </c>
      <c r="P437" t="str">
        <f t="shared" si="55"/>
        <v/>
      </c>
      <c r="Q437" t="str">
        <f t="shared" si="56"/>
        <v/>
      </c>
      <c r="S437" t="str">
        <f>""</f>
        <v/>
      </c>
      <c r="AL437" s="18" t="str">
        <f>IF(COUNTIF($A$2:A436, A436) = 1, A436, "")</f>
        <v/>
      </c>
    </row>
    <row r="438" spans="6:38" x14ac:dyDescent="0.2">
      <c r="F438" t="str">
        <f t="shared" si="51"/>
        <v/>
      </c>
      <c r="L438" s="7" t="str">
        <f t="shared" si="52"/>
        <v/>
      </c>
      <c r="N438" s="7" t="str">
        <f t="shared" si="53"/>
        <v/>
      </c>
      <c r="O438" t="str">
        <f t="shared" si="54"/>
        <v/>
      </c>
      <c r="P438" t="str">
        <f t="shared" si="55"/>
        <v/>
      </c>
      <c r="Q438" t="str">
        <f t="shared" si="56"/>
        <v/>
      </c>
      <c r="S438" t="str">
        <f>""</f>
        <v/>
      </c>
      <c r="AL438" s="18" t="str">
        <f>IF(COUNTIF($A$2:A437, A437) = 1, A437, "")</f>
        <v/>
      </c>
    </row>
    <row r="439" spans="6:38" x14ac:dyDescent="0.2">
      <c r="F439" t="str">
        <f t="shared" si="51"/>
        <v/>
      </c>
      <c r="L439" s="7" t="str">
        <f t="shared" si="52"/>
        <v/>
      </c>
      <c r="N439" s="7" t="str">
        <f t="shared" si="53"/>
        <v/>
      </c>
      <c r="O439" t="str">
        <f t="shared" si="54"/>
        <v/>
      </c>
      <c r="P439" t="str">
        <f t="shared" si="55"/>
        <v/>
      </c>
      <c r="Q439" t="str">
        <f t="shared" si="56"/>
        <v/>
      </c>
      <c r="S439" t="str">
        <f>""</f>
        <v/>
      </c>
      <c r="AL439" s="18" t="str">
        <f>IF(COUNTIF($A$2:A438, A438) = 1, A438, "")</f>
        <v/>
      </c>
    </row>
    <row r="440" spans="6:38" x14ac:dyDescent="0.2">
      <c r="F440" t="str">
        <f t="shared" si="51"/>
        <v/>
      </c>
      <c r="L440" s="7" t="str">
        <f t="shared" si="52"/>
        <v/>
      </c>
      <c r="N440" s="7" t="str">
        <f t="shared" si="53"/>
        <v/>
      </c>
      <c r="O440" t="str">
        <f t="shared" si="54"/>
        <v/>
      </c>
      <c r="P440" t="str">
        <f t="shared" si="55"/>
        <v/>
      </c>
      <c r="Q440" t="str">
        <f t="shared" si="56"/>
        <v/>
      </c>
      <c r="S440" t="str">
        <f>""</f>
        <v/>
      </c>
      <c r="AL440" s="18" t="str">
        <f>IF(COUNTIF($A$2:A439, A439) = 1, A439, "")</f>
        <v/>
      </c>
    </row>
    <row r="441" spans="6:38" x14ac:dyDescent="0.2">
      <c r="F441" t="str">
        <f t="shared" si="51"/>
        <v/>
      </c>
      <c r="L441" s="7" t="str">
        <f t="shared" si="52"/>
        <v/>
      </c>
      <c r="N441" s="7" t="str">
        <f t="shared" si="53"/>
        <v/>
      </c>
      <c r="O441" t="str">
        <f t="shared" si="54"/>
        <v/>
      </c>
      <c r="P441" t="str">
        <f t="shared" si="55"/>
        <v/>
      </c>
      <c r="Q441" t="str">
        <f t="shared" si="56"/>
        <v/>
      </c>
      <c r="S441" t="str">
        <f>""</f>
        <v/>
      </c>
      <c r="AL441" s="18" t="str">
        <f>IF(COUNTIF($A$2:A440, A440) = 1, A440, "")</f>
        <v/>
      </c>
    </row>
    <row r="442" spans="6:38" x14ac:dyDescent="0.2">
      <c r="F442" t="str">
        <f t="shared" si="51"/>
        <v/>
      </c>
      <c r="L442" s="7" t="str">
        <f t="shared" si="52"/>
        <v/>
      </c>
      <c r="N442" s="7" t="str">
        <f t="shared" si="53"/>
        <v/>
      </c>
      <c r="O442" t="str">
        <f t="shared" si="54"/>
        <v/>
      </c>
      <c r="P442" t="str">
        <f t="shared" si="55"/>
        <v/>
      </c>
      <c r="Q442" t="str">
        <f t="shared" si="56"/>
        <v/>
      </c>
      <c r="S442" t="str">
        <f>""</f>
        <v/>
      </c>
      <c r="AL442" s="18" t="str">
        <f>IF(COUNTIF($A$2:A441, A441) = 1, A441, "")</f>
        <v/>
      </c>
    </row>
    <row r="443" spans="6:38" x14ac:dyDescent="0.2">
      <c r="F443" t="str">
        <f t="shared" si="51"/>
        <v/>
      </c>
      <c r="L443" s="7" t="str">
        <f t="shared" si="52"/>
        <v/>
      </c>
      <c r="N443" s="7" t="str">
        <f t="shared" si="53"/>
        <v/>
      </c>
      <c r="O443" t="str">
        <f t="shared" si="54"/>
        <v/>
      </c>
      <c r="P443" t="str">
        <f t="shared" si="55"/>
        <v/>
      </c>
      <c r="Q443" t="str">
        <f t="shared" si="56"/>
        <v/>
      </c>
      <c r="S443" t="str">
        <f>""</f>
        <v/>
      </c>
      <c r="AL443" s="18" t="str">
        <f>IF(COUNTIF($A$2:A442, A442) = 1, A442, "")</f>
        <v/>
      </c>
    </row>
    <row r="444" spans="6:38" x14ac:dyDescent="0.2">
      <c r="F444" t="str">
        <f t="shared" si="51"/>
        <v/>
      </c>
      <c r="L444" s="7" t="str">
        <f t="shared" si="52"/>
        <v/>
      </c>
      <c r="N444" s="7" t="str">
        <f t="shared" si="53"/>
        <v/>
      </c>
      <c r="O444" t="str">
        <f t="shared" si="54"/>
        <v/>
      </c>
      <c r="P444" t="str">
        <f t="shared" si="55"/>
        <v/>
      </c>
      <c r="Q444" t="str">
        <f t="shared" si="56"/>
        <v/>
      </c>
      <c r="S444" t="str">
        <f>""</f>
        <v/>
      </c>
      <c r="AL444" s="18" t="str">
        <f>IF(COUNTIF($A$2:A443, A443) = 1, A443, "")</f>
        <v/>
      </c>
    </row>
    <row r="445" spans="6:38" x14ac:dyDescent="0.2">
      <c r="F445" t="str">
        <f t="shared" si="51"/>
        <v/>
      </c>
      <c r="L445" s="7" t="str">
        <f t="shared" si="52"/>
        <v/>
      </c>
      <c r="N445" s="7" t="str">
        <f t="shared" si="53"/>
        <v/>
      </c>
      <c r="O445" t="str">
        <f t="shared" si="54"/>
        <v/>
      </c>
      <c r="P445" t="str">
        <f t="shared" si="55"/>
        <v/>
      </c>
      <c r="Q445" t="str">
        <f t="shared" si="56"/>
        <v/>
      </c>
      <c r="S445" t="str">
        <f>""</f>
        <v/>
      </c>
      <c r="AL445" s="18" t="str">
        <f>IF(COUNTIF($A$2:A444, A444) = 1, A444, "")</f>
        <v/>
      </c>
    </row>
    <row r="446" spans="6:38" x14ac:dyDescent="0.2">
      <c r="F446" t="str">
        <f t="shared" si="51"/>
        <v/>
      </c>
      <c r="L446" s="7" t="str">
        <f t="shared" si="52"/>
        <v/>
      </c>
      <c r="N446" s="7" t="str">
        <f t="shared" si="53"/>
        <v/>
      </c>
      <c r="O446" t="str">
        <f t="shared" si="54"/>
        <v/>
      </c>
      <c r="P446" t="str">
        <f t="shared" si="55"/>
        <v/>
      </c>
      <c r="Q446" t="str">
        <f t="shared" si="56"/>
        <v/>
      </c>
      <c r="S446" t="str">
        <f>""</f>
        <v/>
      </c>
      <c r="AL446" s="18" t="str">
        <f>IF(COUNTIF($A$2:A445, A445) = 1, A445, "")</f>
        <v/>
      </c>
    </row>
    <row r="447" spans="6:38" x14ac:dyDescent="0.2">
      <c r="F447" t="str">
        <f t="shared" si="51"/>
        <v/>
      </c>
      <c r="L447" s="7" t="str">
        <f t="shared" si="52"/>
        <v/>
      </c>
      <c r="N447" s="7" t="str">
        <f t="shared" si="53"/>
        <v/>
      </c>
      <c r="O447" t="str">
        <f t="shared" si="54"/>
        <v/>
      </c>
      <c r="P447" t="str">
        <f t="shared" si="55"/>
        <v/>
      </c>
      <c r="Q447" t="str">
        <f t="shared" si="56"/>
        <v/>
      </c>
      <c r="S447" t="str">
        <f>""</f>
        <v/>
      </c>
      <c r="AL447" s="18" t="str">
        <f>IF(COUNTIF($A$2:A446, A446) = 1, A446, "")</f>
        <v/>
      </c>
    </row>
    <row r="448" spans="6:38" x14ac:dyDescent="0.2">
      <c r="F448" t="str">
        <f t="shared" si="51"/>
        <v/>
      </c>
      <c r="L448" s="7" t="str">
        <f t="shared" si="52"/>
        <v/>
      </c>
      <c r="N448" s="7" t="str">
        <f t="shared" si="53"/>
        <v/>
      </c>
      <c r="O448" t="str">
        <f t="shared" si="54"/>
        <v/>
      </c>
      <c r="P448" t="str">
        <f t="shared" si="55"/>
        <v/>
      </c>
      <c r="Q448" t="str">
        <f t="shared" si="56"/>
        <v/>
      </c>
      <c r="S448" t="str">
        <f>""</f>
        <v/>
      </c>
      <c r="AL448" s="18" t="str">
        <f>IF(COUNTIF($A$2:A447, A447) = 1, A447, "")</f>
        <v/>
      </c>
    </row>
    <row r="449" spans="6:38" x14ac:dyDescent="0.2">
      <c r="F449" t="str">
        <f t="shared" si="51"/>
        <v/>
      </c>
      <c r="L449" s="7" t="str">
        <f t="shared" si="52"/>
        <v/>
      </c>
      <c r="N449" s="7" t="str">
        <f t="shared" si="53"/>
        <v/>
      </c>
      <c r="O449" t="str">
        <f t="shared" si="54"/>
        <v/>
      </c>
      <c r="P449" t="str">
        <f t="shared" si="55"/>
        <v/>
      </c>
      <c r="Q449" t="str">
        <f t="shared" si="56"/>
        <v/>
      </c>
      <c r="S449" t="str">
        <f>""</f>
        <v/>
      </c>
      <c r="AL449" s="18" t="str">
        <f>IF(COUNTIF($A$2:A448, A448) = 1, A448, "")</f>
        <v/>
      </c>
    </row>
    <row r="450" spans="6:38" x14ac:dyDescent="0.2">
      <c r="F450" t="str">
        <f t="shared" si="51"/>
        <v/>
      </c>
      <c r="L450" s="7" t="str">
        <f t="shared" si="52"/>
        <v/>
      </c>
      <c r="N450" s="7" t="str">
        <f t="shared" si="53"/>
        <v/>
      </c>
      <c r="O450" t="str">
        <f t="shared" si="54"/>
        <v/>
      </c>
      <c r="P450" t="str">
        <f t="shared" si="55"/>
        <v/>
      </c>
      <c r="Q450" t="str">
        <f t="shared" si="56"/>
        <v/>
      </c>
      <c r="S450" t="str">
        <f>""</f>
        <v/>
      </c>
      <c r="AL450" s="18" t="str">
        <f>IF(COUNTIF($A$2:A449, A449) = 1, A449, "")</f>
        <v/>
      </c>
    </row>
    <row r="451" spans="6:38" x14ac:dyDescent="0.2">
      <c r="F451" t="str">
        <f t="shared" si="51"/>
        <v/>
      </c>
      <c r="L451" s="7" t="str">
        <f t="shared" si="52"/>
        <v/>
      </c>
      <c r="N451" s="7" t="str">
        <f t="shared" si="53"/>
        <v/>
      </c>
      <c r="O451" t="str">
        <f t="shared" si="54"/>
        <v/>
      </c>
      <c r="P451" t="str">
        <f t="shared" si="55"/>
        <v/>
      </c>
      <c r="Q451" t="str">
        <f t="shared" si="56"/>
        <v/>
      </c>
      <c r="S451" t="str">
        <f>""</f>
        <v/>
      </c>
      <c r="AL451" s="18" t="str">
        <f>IF(COUNTIF($A$2:A450, A450) = 1, A450, "")</f>
        <v/>
      </c>
    </row>
    <row r="452" spans="6:38" x14ac:dyDescent="0.2">
      <c r="F452" t="str">
        <f t="shared" si="51"/>
        <v/>
      </c>
      <c r="L452" s="7" t="str">
        <f t="shared" si="52"/>
        <v/>
      </c>
      <c r="N452" s="7" t="str">
        <f t="shared" si="53"/>
        <v/>
      </c>
      <c r="O452" t="str">
        <f t="shared" si="54"/>
        <v/>
      </c>
      <c r="P452" t="str">
        <f t="shared" si="55"/>
        <v/>
      </c>
      <c r="Q452" t="str">
        <f t="shared" si="56"/>
        <v/>
      </c>
      <c r="S452" t="str">
        <f>""</f>
        <v/>
      </c>
      <c r="AL452" s="18" t="str">
        <f>IF(COUNTIF($A$2:A451, A451) = 1, A451, "")</f>
        <v/>
      </c>
    </row>
    <row r="453" spans="6:38" x14ac:dyDescent="0.2">
      <c r="F453" t="str">
        <f t="shared" si="51"/>
        <v/>
      </c>
      <c r="L453" s="7" t="str">
        <f t="shared" si="52"/>
        <v/>
      </c>
      <c r="N453" s="7" t="str">
        <f t="shared" si="53"/>
        <v/>
      </c>
      <c r="O453" t="str">
        <f t="shared" si="54"/>
        <v/>
      </c>
      <c r="P453" t="str">
        <f t="shared" si="55"/>
        <v/>
      </c>
      <c r="Q453" t="str">
        <f t="shared" si="56"/>
        <v/>
      </c>
      <c r="S453" t="str">
        <f>""</f>
        <v/>
      </c>
      <c r="AL453" s="18" t="str">
        <f>IF(COUNTIF($A$2:A452, A452) = 1, A452, "")</f>
        <v/>
      </c>
    </row>
    <row r="454" spans="6:38" x14ac:dyDescent="0.2">
      <c r="F454" t="str">
        <f t="shared" si="51"/>
        <v/>
      </c>
      <c r="L454" s="7" t="str">
        <f t="shared" si="52"/>
        <v/>
      </c>
      <c r="N454" s="7" t="str">
        <f t="shared" si="53"/>
        <v/>
      </c>
      <c r="O454" t="str">
        <f t="shared" si="54"/>
        <v/>
      </c>
      <c r="P454" t="str">
        <f t="shared" si="55"/>
        <v/>
      </c>
      <c r="Q454" t="str">
        <f t="shared" si="56"/>
        <v/>
      </c>
      <c r="S454" t="str">
        <f>""</f>
        <v/>
      </c>
      <c r="AL454" s="18" t="str">
        <f>IF(COUNTIF($A$2:A453, A453) = 1, A453, "")</f>
        <v/>
      </c>
    </row>
    <row r="455" spans="6:38" x14ac:dyDescent="0.2">
      <c r="F455" t="str">
        <f t="shared" si="51"/>
        <v/>
      </c>
      <c r="L455" s="7" t="str">
        <f t="shared" si="52"/>
        <v/>
      </c>
      <c r="N455" s="7" t="str">
        <f t="shared" si="53"/>
        <v/>
      </c>
      <c r="O455" t="str">
        <f t="shared" si="54"/>
        <v/>
      </c>
      <c r="P455" t="str">
        <f t="shared" si="55"/>
        <v/>
      </c>
      <c r="Q455" t="str">
        <f t="shared" si="56"/>
        <v/>
      </c>
      <c r="S455" t="str">
        <f>""</f>
        <v/>
      </c>
      <c r="AL455" s="18" t="str">
        <f>IF(COUNTIF($A$2:A454, A454) = 1, A454, "")</f>
        <v/>
      </c>
    </row>
    <row r="456" spans="6:38" x14ac:dyDescent="0.2">
      <c r="F456" t="str">
        <f t="shared" si="51"/>
        <v/>
      </c>
      <c r="L456" s="7" t="str">
        <f t="shared" si="52"/>
        <v/>
      </c>
      <c r="N456" s="7" t="str">
        <f t="shared" si="53"/>
        <v/>
      </c>
      <c r="O456" t="str">
        <f t="shared" si="54"/>
        <v/>
      </c>
      <c r="P456" t="str">
        <f t="shared" si="55"/>
        <v/>
      </c>
      <c r="Q456" t="str">
        <f t="shared" si="56"/>
        <v/>
      </c>
      <c r="S456" t="str">
        <f>""</f>
        <v/>
      </c>
      <c r="AL456" s="18" t="str">
        <f>IF(COUNTIF($A$2:A455, A455) = 1, A455, "")</f>
        <v/>
      </c>
    </row>
    <row r="457" spans="6:38" x14ac:dyDescent="0.2">
      <c r="F457" t="str">
        <f t="shared" si="51"/>
        <v/>
      </c>
      <c r="L457" s="7" t="str">
        <f t="shared" si="52"/>
        <v/>
      </c>
      <c r="N457" s="7" t="str">
        <f t="shared" si="53"/>
        <v/>
      </c>
      <c r="O457" t="str">
        <f t="shared" si="54"/>
        <v/>
      </c>
      <c r="P457" t="str">
        <f t="shared" si="55"/>
        <v/>
      </c>
      <c r="Q457" t="str">
        <f t="shared" si="56"/>
        <v/>
      </c>
      <c r="S457" t="str">
        <f>""</f>
        <v/>
      </c>
      <c r="AL457" s="18" t="str">
        <f>IF(COUNTIF($A$2:A456, A456) = 1, A456, "")</f>
        <v/>
      </c>
    </row>
    <row r="458" spans="6:38" x14ac:dyDescent="0.2">
      <c r="F458" t="str">
        <f t="shared" si="51"/>
        <v/>
      </c>
      <c r="L458" s="7" t="str">
        <f t="shared" si="52"/>
        <v/>
      </c>
      <c r="N458" s="7" t="str">
        <f t="shared" si="53"/>
        <v/>
      </c>
      <c r="O458" t="str">
        <f t="shared" si="54"/>
        <v/>
      </c>
      <c r="P458" t="str">
        <f t="shared" si="55"/>
        <v/>
      </c>
      <c r="Q458" t="str">
        <f t="shared" si="56"/>
        <v/>
      </c>
      <c r="S458" t="str">
        <f>""</f>
        <v/>
      </c>
      <c r="AL458" s="18" t="str">
        <f>IF(COUNTIF($A$2:A457, A457) = 1, A457, "")</f>
        <v/>
      </c>
    </row>
    <row r="459" spans="6:38" x14ac:dyDescent="0.2">
      <c r="F459" t="str">
        <f t="shared" si="51"/>
        <v/>
      </c>
      <c r="L459" s="7" t="str">
        <f t="shared" si="52"/>
        <v/>
      </c>
      <c r="N459" s="7" t="str">
        <f t="shared" si="53"/>
        <v/>
      </c>
      <c r="O459" t="str">
        <f t="shared" si="54"/>
        <v/>
      </c>
      <c r="P459" t="str">
        <f t="shared" si="55"/>
        <v/>
      </c>
      <c r="Q459" t="str">
        <f t="shared" si="56"/>
        <v/>
      </c>
      <c r="S459" t="str">
        <f>""</f>
        <v/>
      </c>
      <c r="AL459" s="18" t="str">
        <f>IF(COUNTIF($A$2:A458, A458) = 1, A458, "")</f>
        <v/>
      </c>
    </row>
    <row r="460" spans="6:38" x14ac:dyDescent="0.2">
      <c r="F460" t="str">
        <f t="shared" si="51"/>
        <v/>
      </c>
      <c r="L460" s="7" t="str">
        <f t="shared" si="52"/>
        <v/>
      </c>
      <c r="N460" s="7" t="str">
        <f t="shared" si="53"/>
        <v/>
      </c>
      <c r="O460" t="str">
        <f t="shared" si="54"/>
        <v/>
      </c>
      <c r="P460" t="str">
        <f t="shared" si="55"/>
        <v/>
      </c>
      <c r="Q460" t="str">
        <f t="shared" si="56"/>
        <v/>
      </c>
      <c r="S460" t="str">
        <f>""</f>
        <v/>
      </c>
      <c r="AL460" s="18" t="str">
        <f>IF(COUNTIF($A$2:A459, A459) = 1, A459, "")</f>
        <v/>
      </c>
    </row>
    <row r="461" spans="6:38" x14ac:dyDescent="0.2">
      <c r="F461" t="str">
        <f t="shared" si="51"/>
        <v/>
      </c>
      <c r="L461" s="7" t="str">
        <f t="shared" si="52"/>
        <v/>
      </c>
      <c r="N461" s="7" t="str">
        <f t="shared" si="53"/>
        <v/>
      </c>
      <c r="O461" t="str">
        <f t="shared" si="54"/>
        <v/>
      </c>
      <c r="P461" t="str">
        <f t="shared" si="55"/>
        <v/>
      </c>
      <c r="Q461" t="str">
        <f t="shared" si="56"/>
        <v/>
      </c>
      <c r="S461" t="str">
        <f>""</f>
        <v/>
      </c>
      <c r="AL461" s="18" t="str">
        <f>IF(COUNTIF($A$2:A460, A460) = 1, A460, "")</f>
        <v/>
      </c>
    </row>
    <row r="462" spans="6:38" x14ac:dyDescent="0.2">
      <c r="F462" t="str">
        <f t="shared" si="51"/>
        <v/>
      </c>
      <c r="L462" s="7" t="str">
        <f t="shared" si="52"/>
        <v/>
      </c>
      <c r="N462" s="7" t="str">
        <f t="shared" si="53"/>
        <v/>
      </c>
      <c r="O462" t="str">
        <f t="shared" si="54"/>
        <v/>
      </c>
      <c r="P462" t="str">
        <f t="shared" si="55"/>
        <v/>
      </c>
      <c r="Q462" t="str">
        <f t="shared" si="56"/>
        <v/>
      </c>
      <c r="S462" t="str">
        <f>""</f>
        <v/>
      </c>
      <c r="AL462" s="18" t="str">
        <f>IF(COUNTIF($A$2:A461, A461) = 1, A461, "")</f>
        <v/>
      </c>
    </row>
    <row r="463" spans="6:38" x14ac:dyDescent="0.2">
      <c r="F463" t="str">
        <f t="shared" si="51"/>
        <v/>
      </c>
      <c r="L463" s="7" t="str">
        <f t="shared" si="52"/>
        <v/>
      </c>
      <c r="N463" s="7" t="str">
        <f t="shared" si="53"/>
        <v/>
      </c>
      <c r="O463" t="str">
        <f t="shared" si="54"/>
        <v/>
      </c>
      <c r="P463" t="str">
        <f t="shared" si="55"/>
        <v/>
      </c>
      <c r="Q463" t="str">
        <f t="shared" si="56"/>
        <v/>
      </c>
      <c r="S463" t="str">
        <f>""</f>
        <v/>
      </c>
      <c r="AL463" s="18" t="str">
        <f>IF(COUNTIF($A$2:A462, A462) = 1, A462, "")</f>
        <v/>
      </c>
    </row>
    <row r="464" spans="6:38" x14ac:dyDescent="0.2">
      <c r="F464" t="str">
        <f t="shared" ref="F464:F527" si="57">IF(OR(O464="", P464=""), "", SUM(IF((O464&lt;&gt;"None")*(O464&lt;&gt;""),LEN(O464)-LEN(SUBSTITUTE(O464,",",""))+1,0)) + SUM(IF((P464&lt;&gt;"None")*(P464&lt;&gt;""),LEN(P464)-LEN(SUBSTITUTE(P464,",",""))+1,0)))</f>
        <v/>
      </c>
      <c r="L464" s="7" t="str">
        <f t="shared" ref="L464:L527" si="58">IF(LEN(E464)=0, "", IFERROR(IF(E464&gt;=0, K464 * (1 + E464/100) - K464, K464 / (ABS(E464)/100))+K464, ""))</f>
        <v/>
      </c>
      <c r="N464" s="7" t="str">
        <f t="shared" ref="N464:N527" si="59">IF(M464="Yes",L464-K464,IF(M464="No",-K464,""))</f>
        <v/>
      </c>
      <c r="O464" t="str">
        <f t="shared" ref="O464:O527" si="60">IF(AND(G464="No",H464="No"), "None", "")</f>
        <v/>
      </c>
      <c r="P464" t="str">
        <f t="shared" ref="P464:P527" si="61">IF(I464="No", "None", "")</f>
        <v/>
      </c>
      <c r="Q464" t="str">
        <f t="shared" ref="Q464:Q527" si="62">IF(AND(D464="Straight", M464 = "No"),IF(O464="None",P464,IF(P464="None",O464) ),"")</f>
        <v/>
      </c>
      <c r="S464" t="str">
        <f>""</f>
        <v/>
      </c>
      <c r="AL464" s="18" t="str">
        <f>IF(COUNTIF($A$2:A463, A463) = 1, A463, "")</f>
        <v/>
      </c>
    </row>
    <row r="465" spans="6:38" x14ac:dyDescent="0.2">
      <c r="F465" t="str">
        <f t="shared" si="57"/>
        <v/>
      </c>
      <c r="L465" s="7" t="str">
        <f t="shared" si="58"/>
        <v/>
      </c>
      <c r="N465" s="7" t="str">
        <f t="shared" si="59"/>
        <v/>
      </c>
      <c r="O465" t="str">
        <f t="shared" si="60"/>
        <v/>
      </c>
      <c r="P465" t="str">
        <f t="shared" si="61"/>
        <v/>
      </c>
      <c r="Q465" t="str">
        <f t="shared" si="62"/>
        <v/>
      </c>
      <c r="S465" t="str">
        <f>""</f>
        <v/>
      </c>
      <c r="AL465" s="18" t="str">
        <f>IF(COUNTIF($A$2:A464, A464) = 1, A464, "")</f>
        <v/>
      </c>
    </row>
    <row r="466" spans="6:38" x14ac:dyDescent="0.2">
      <c r="F466" t="str">
        <f t="shared" si="57"/>
        <v/>
      </c>
      <c r="L466" s="7" t="str">
        <f t="shared" si="58"/>
        <v/>
      </c>
      <c r="N466" s="7" t="str">
        <f t="shared" si="59"/>
        <v/>
      </c>
      <c r="O466" t="str">
        <f t="shared" si="60"/>
        <v/>
      </c>
      <c r="P466" t="str">
        <f t="shared" si="61"/>
        <v/>
      </c>
      <c r="Q466" t="str">
        <f t="shared" si="62"/>
        <v/>
      </c>
      <c r="S466" t="str">
        <f>""</f>
        <v/>
      </c>
      <c r="AL466" s="18" t="str">
        <f>IF(COUNTIF($A$2:A465, A465) = 1, A465, "")</f>
        <v/>
      </c>
    </row>
    <row r="467" spans="6:38" x14ac:dyDescent="0.2">
      <c r="F467" t="str">
        <f t="shared" si="57"/>
        <v/>
      </c>
      <c r="L467" s="7" t="str">
        <f t="shared" si="58"/>
        <v/>
      </c>
      <c r="N467" s="7" t="str">
        <f t="shared" si="59"/>
        <v/>
      </c>
      <c r="O467" t="str">
        <f t="shared" si="60"/>
        <v/>
      </c>
      <c r="P467" t="str">
        <f t="shared" si="61"/>
        <v/>
      </c>
      <c r="Q467" t="str">
        <f t="shared" si="62"/>
        <v/>
      </c>
      <c r="S467" t="str">
        <f>""</f>
        <v/>
      </c>
      <c r="AL467" s="18" t="str">
        <f>IF(COUNTIF($A$2:A466, A466) = 1, A466, "")</f>
        <v/>
      </c>
    </row>
    <row r="468" spans="6:38" x14ac:dyDescent="0.2">
      <c r="F468" t="str">
        <f t="shared" si="57"/>
        <v/>
      </c>
      <c r="L468" s="7" t="str">
        <f t="shared" si="58"/>
        <v/>
      </c>
      <c r="N468" s="7" t="str">
        <f t="shared" si="59"/>
        <v/>
      </c>
      <c r="O468" t="str">
        <f t="shared" si="60"/>
        <v/>
      </c>
      <c r="P468" t="str">
        <f t="shared" si="61"/>
        <v/>
      </c>
      <c r="Q468" t="str">
        <f t="shared" si="62"/>
        <v/>
      </c>
      <c r="S468" t="str">
        <f>""</f>
        <v/>
      </c>
      <c r="AL468" s="18" t="str">
        <f>IF(COUNTIF($A$2:A467, A467) = 1, A467, "")</f>
        <v/>
      </c>
    </row>
    <row r="469" spans="6:38" x14ac:dyDescent="0.2">
      <c r="F469" t="str">
        <f t="shared" si="57"/>
        <v/>
      </c>
      <c r="L469" s="7" t="str">
        <f t="shared" si="58"/>
        <v/>
      </c>
      <c r="N469" s="7" t="str">
        <f t="shared" si="59"/>
        <v/>
      </c>
      <c r="O469" t="str">
        <f t="shared" si="60"/>
        <v/>
      </c>
      <c r="P469" t="str">
        <f t="shared" si="61"/>
        <v/>
      </c>
      <c r="Q469" t="str">
        <f t="shared" si="62"/>
        <v/>
      </c>
      <c r="S469" t="str">
        <f>""</f>
        <v/>
      </c>
      <c r="AL469" s="18" t="str">
        <f>IF(COUNTIF($A$2:A468, A468) = 1, A468, "")</f>
        <v/>
      </c>
    </row>
    <row r="470" spans="6:38" x14ac:dyDescent="0.2">
      <c r="F470" t="str">
        <f t="shared" si="57"/>
        <v/>
      </c>
      <c r="L470" s="7" t="str">
        <f t="shared" si="58"/>
        <v/>
      </c>
      <c r="N470" s="7" t="str">
        <f t="shared" si="59"/>
        <v/>
      </c>
      <c r="O470" t="str">
        <f t="shared" si="60"/>
        <v/>
      </c>
      <c r="P470" t="str">
        <f t="shared" si="61"/>
        <v/>
      </c>
      <c r="Q470" t="str">
        <f t="shared" si="62"/>
        <v/>
      </c>
      <c r="S470" t="str">
        <f>""</f>
        <v/>
      </c>
      <c r="AL470" s="18" t="str">
        <f>IF(COUNTIF($A$2:A469, A469) = 1, A469, "")</f>
        <v/>
      </c>
    </row>
    <row r="471" spans="6:38" x14ac:dyDescent="0.2">
      <c r="F471" t="str">
        <f t="shared" si="57"/>
        <v/>
      </c>
      <c r="L471" s="7" t="str">
        <f t="shared" si="58"/>
        <v/>
      </c>
      <c r="N471" s="7" t="str">
        <f t="shared" si="59"/>
        <v/>
      </c>
      <c r="O471" t="str">
        <f t="shared" si="60"/>
        <v/>
      </c>
      <c r="P471" t="str">
        <f t="shared" si="61"/>
        <v/>
      </c>
      <c r="Q471" t="str">
        <f t="shared" si="62"/>
        <v/>
      </c>
      <c r="S471" t="str">
        <f>""</f>
        <v/>
      </c>
      <c r="AL471" s="18" t="str">
        <f>IF(COUNTIF($A$2:A470, A470) = 1, A470, "")</f>
        <v/>
      </c>
    </row>
    <row r="472" spans="6:38" x14ac:dyDescent="0.2">
      <c r="F472" t="str">
        <f t="shared" si="57"/>
        <v/>
      </c>
      <c r="L472" s="7" t="str">
        <f t="shared" si="58"/>
        <v/>
      </c>
      <c r="N472" s="7" t="str">
        <f t="shared" si="59"/>
        <v/>
      </c>
      <c r="O472" t="str">
        <f t="shared" si="60"/>
        <v/>
      </c>
      <c r="P472" t="str">
        <f t="shared" si="61"/>
        <v/>
      </c>
      <c r="Q472" t="str">
        <f t="shared" si="62"/>
        <v/>
      </c>
      <c r="S472" t="str">
        <f>""</f>
        <v/>
      </c>
      <c r="AL472" s="18" t="str">
        <f>IF(COUNTIF($A$2:A471, A471) = 1, A471, "")</f>
        <v/>
      </c>
    </row>
    <row r="473" spans="6:38" x14ac:dyDescent="0.2">
      <c r="F473" t="str">
        <f t="shared" si="57"/>
        <v/>
      </c>
      <c r="L473" s="7" t="str">
        <f t="shared" si="58"/>
        <v/>
      </c>
      <c r="N473" s="7" t="str">
        <f t="shared" si="59"/>
        <v/>
      </c>
      <c r="O473" t="str">
        <f t="shared" si="60"/>
        <v/>
      </c>
      <c r="P473" t="str">
        <f t="shared" si="61"/>
        <v/>
      </c>
      <c r="Q473" t="str">
        <f t="shared" si="62"/>
        <v/>
      </c>
      <c r="S473" t="str">
        <f>""</f>
        <v/>
      </c>
      <c r="AL473" s="18" t="str">
        <f>IF(COUNTIF($A$2:A472, A472) = 1, A472, "")</f>
        <v/>
      </c>
    </row>
    <row r="474" spans="6:38" x14ac:dyDescent="0.2">
      <c r="F474" t="str">
        <f t="shared" si="57"/>
        <v/>
      </c>
      <c r="L474" s="7" t="str">
        <f t="shared" si="58"/>
        <v/>
      </c>
      <c r="N474" s="7" t="str">
        <f t="shared" si="59"/>
        <v/>
      </c>
      <c r="O474" t="str">
        <f t="shared" si="60"/>
        <v/>
      </c>
      <c r="P474" t="str">
        <f t="shared" si="61"/>
        <v/>
      </c>
      <c r="Q474" t="str">
        <f t="shared" si="62"/>
        <v/>
      </c>
      <c r="S474" t="str">
        <f>""</f>
        <v/>
      </c>
      <c r="AL474" s="18" t="str">
        <f>IF(COUNTIF($A$2:A473, A473) = 1, A473, "")</f>
        <v/>
      </c>
    </row>
    <row r="475" spans="6:38" x14ac:dyDescent="0.2">
      <c r="F475" t="str">
        <f t="shared" si="57"/>
        <v/>
      </c>
      <c r="L475" s="7" t="str">
        <f t="shared" si="58"/>
        <v/>
      </c>
      <c r="N475" s="7" t="str">
        <f t="shared" si="59"/>
        <v/>
      </c>
      <c r="O475" t="str">
        <f t="shared" si="60"/>
        <v/>
      </c>
      <c r="P475" t="str">
        <f t="shared" si="61"/>
        <v/>
      </c>
      <c r="Q475" t="str">
        <f t="shared" si="62"/>
        <v/>
      </c>
      <c r="S475" t="str">
        <f>""</f>
        <v/>
      </c>
      <c r="AL475" s="18" t="str">
        <f>IF(COUNTIF($A$2:A474, A474) = 1, A474, "")</f>
        <v/>
      </c>
    </row>
    <row r="476" spans="6:38" x14ac:dyDescent="0.2">
      <c r="F476" t="str">
        <f t="shared" si="57"/>
        <v/>
      </c>
      <c r="L476" s="7" t="str">
        <f t="shared" si="58"/>
        <v/>
      </c>
      <c r="N476" s="7" t="str">
        <f t="shared" si="59"/>
        <v/>
      </c>
      <c r="O476" t="str">
        <f t="shared" si="60"/>
        <v/>
      </c>
      <c r="P476" t="str">
        <f t="shared" si="61"/>
        <v/>
      </c>
      <c r="Q476" t="str">
        <f t="shared" si="62"/>
        <v/>
      </c>
      <c r="S476" t="str">
        <f>""</f>
        <v/>
      </c>
      <c r="AL476" s="18" t="str">
        <f>IF(COUNTIF($A$2:A475, A475) = 1, A475, "")</f>
        <v/>
      </c>
    </row>
    <row r="477" spans="6:38" x14ac:dyDescent="0.2">
      <c r="F477" t="str">
        <f t="shared" si="57"/>
        <v/>
      </c>
      <c r="L477" s="7" t="str">
        <f t="shared" si="58"/>
        <v/>
      </c>
      <c r="N477" s="7" t="str">
        <f t="shared" si="59"/>
        <v/>
      </c>
      <c r="O477" t="str">
        <f t="shared" si="60"/>
        <v/>
      </c>
      <c r="P477" t="str">
        <f t="shared" si="61"/>
        <v/>
      </c>
      <c r="Q477" t="str">
        <f t="shared" si="62"/>
        <v/>
      </c>
      <c r="S477" t="str">
        <f>""</f>
        <v/>
      </c>
      <c r="AL477" s="18" t="str">
        <f>IF(COUNTIF($A$2:A476, A476) = 1, A476, "")</f>
        <v/>
      </c>
    </row>
    <row r="478" spans="6:38" x14ac:dyDescent="0.2">
      <c r="F478" t="str">
        <f t="shared" si="57"/>
        <v/>
      </c>
      <c r="L478" s="7" t="str">
        <f t="shared" si="58"/>
        <v/>
      </c>
      <c r="N478" s="7" t="str">
        <f t="shared" si="59"/>
        <v/>
      </c>
      <c r="O478" t="str">
        <f t="shared" si="60"/>
        <v/>
      </c>
      <c r="P478" t="str">
        <f t="shared" si="61"/>
        <v/>
      </c>
      <c r="Q478" t="str">
        <f t="shared" si="62"/>
        <v/>
      </c>
      <c r="S478" t="str">
        <f>""</f>
        <v/>
      </c>
      <c r="AL478" s="18" t="str">
        <f>IF(COUNTIF($A$2:A477, A477) = 1, A477, "")</f>
        <v/>
      </c>
    </row>
    <row r="479" spans="6:38" x14ac:dyDescent="0.2">
      <c r="F479" t="str">
        <f t="shared" si="57"/>
        <v/>
      </c>
      <c r="L479" s="7" t="str">
        <f t="shared" si="58"/>
        <v/>
      </c>
      <c r="N479" s="7" t="str">
        <f t="shared" si="59"/>
        <v/>
      </c>
      <c r="O479" t="str">
        <f t="shared" si="60"/>
        <v/>
      </c>
      <c r="P479" t="str">
        <f t="shared" si="61"/>
        <v/>
      </c>
      <c r="Q479" t="str">
        <f t="shared" si="62"/>
        <v/>
      </c>
      <c r="S479" t="str">
        <f>""</f>
        <v/>
      </c>
      <c r="AL479" s="18" t="str">
        <f>IF(COUNTIF($A$2:A478, A478) = 1, A478, "")</f>
        <v/>
      </c>
    </row>
    <row r="480" spans="6:38" x14ac:dyDescent="0.2">
      <c r="F480" t="str">
        <f t="shared" si="57"/>
        <v/>
      </c>
      <c r="L480" s="7" t="str">
        <f t="shared" si="58"/>
        <v/>
      </c>
      <c r="N480" s="7" t="str">
        <f t="shared" si="59"/>
        <v/>
      </c>
      <c r="O480" t="str">
        <f t="shared" si="60"/>
        <v/>
      </c>
      <c r="P480" t="str">
        <f t="shared" si="61"/>
        <v/>
      </c>
      <c r="Q480" t="str">
        <f t="shared" si="62"/>
        <v/>
      </c>
      <c r="S480" t="str">
        <f>""</f>
        <v/>
      </c>
      <c r="AL480" s="18" t="str">
        <f>IF(COUNTIF($A$2:A479, A479) = 1, A479, "")</f>
        <v/>
      </c>
    </row>
    <row r="481" spans="6:38" x14ac:dyDescent="0.2">
      <c r="F481" t="str">
        <f t="shared" si="57"/>
        <v/>
      </c>
      <c r="L481" s="7" t="str">
        <f t="shared" si="58"/>
        <v/>
      </c>
      <c r="N481" s="7" t="str">
        <f t="shared" si="59"/>
        <v/>
      </c>
      <c r="O481" t="str">
        <f t="shared" si="60"/>
        <v/>
      </c>
      <c r="P481" t="str">
        <f t="shared" si="61"/>
        <v/>
      </c>
      <c r="Q481" t="str">
        <f t="shared" si="62"/>
        <v/>
      </c>
      <c r="S481" t="str">
        <f>""</f>
        <v/>
      </c>
      <c r="AL481" s="18" t="str">
        <f>IF(COUNTIF($A$2:A480, A480) = 1, A480, "")</f>
        <v/>
      </c>
    </row>
    <row r="482" spans="6:38" x14ac:dyDescent="0.2">
      <c r="F482" t="str">
        <f t="shared" si="57"/>
        <v/>
      </c>
      <c r="L482" s="7" t="str">
        <f t="shared" si="58"/>
        <v/>
      </c>
      <c r="N482" s="7" t="str">
        <f t="shared" si="59"/>
        <v/>
      </c>
      <c r="O482" t="str">
        <f t="shared" si="60"/>
        <v/>
      </c>
      <c r="P482" t="str">
        <f t="shared" si="61"/>
        <v/>
      </c>
      <c r="Q482" t="str">
        <f t="shared" si="62"/>
        <v/>
      </c>
      <c r="S482" t="str">
        <f>""</f>
        <v/>
      </c>
      <c r="AL482" s="18" t="str">
        <f>IF(COUNTIF($A$2:A481, A481) = 1, A481, "")</f>
        <v/>
      </c>
    </row>
    <row r="483" spans="6:38" x14ac:dyDescent="0.2">
      <c r="F483" t="str">
        <f t="shared" si="57"/>
        <v/>
      </c>
      <c r="L483" s="7" t="str">
        <f t="shared" si="58"/>
        <v/>
      </c>
      <c r="N483" s="7" t="str">
        <f t="shared" si="59"/>
        <v/>
      </c>
      <c r="O483" t="str">
        <f t="shared" si="60"/>
        <v/>
      </c>
      <c r="P483" t="str">
        <f t="shared" si="61"/>
        <v/>
      </c>
      <c r="Q483" t="str">
        <f t="shared" si="62"/>
        <v/>
      </c>
      <c r="S483" t="str">
        <f>""</f>
        <v/>
      </c>
      <c r="AL483" s="18" t="str">
        <f>IF(COUNTIF($A$2:A482, A482) = 1, A482, "")</f>
        <v/>
      </c>
    </row>
    <row r="484" spans="6:38" x14ac:dyDescent="0.2">
      <c r="F484" t="str">
        <f t="shared" si="57"/>
        <v/>
      </c>
      <c r="L484" s="7" t="str">
        <f t="shared" si="58"/>
        <v/>
      </c>
      <c r="N484" s="7" t="str">
        <f t="shared" si="59"/>
        <v/>
      </c>
      <c r="O484" t="str">
        <f t="shared" si="60"/>
        <v/>
      </c>
      <c r="P484" t="str">
        <f t="shared" si="61"/>
        <v/>
      </c>
      <c r="Q484" t="str">
        <f t="shared" si="62"/>
        <v/>
      </c>
      <c r="S484" t="str">
        <f>""</f>
        <v/>
      </c>
      <c r="AL484" s="18" t="str">
        <f>IF(COUNTIF($A$2:A483, A483) = 1, A483, "")</f>
        <v/>
      </c>
    </row>
    <row r="485" spans="6:38" x14ac:dyDescent="0.2">
      <c r="F485" t="str">
        <f t="shared" si="57"/>
        <v/>
      </c>
      <c r="L485" s="7" t="str">
        <f t="shared" si="58"/>
        <v/>
      </c>
      <c r="N485" s="7" t="str">
        <f t="shared" si="59"/>
        <v/>
      </c>
      <c r="O485" t="str">
        <f t="shared" si="60"/>
        <v/>
      </c>
      <c r="P485" t="str">
        <f t="shared" si="61"/>
        <v/>
      </c>
      <c r="Q485" t="str">
        <f t="shared" si="62"/>
        <v/>
      </c>
      <c r="S485" t="str">
        <f>""</f>
        <v/>
      </c>
      <c r="AL485" s="18" t="str">
        <f>IF(COUNTIF($A$2:A484, A484) = 1, A484, "")</f>
        <v/>
      </c>
    </row>
    <row r="486" spans="6:38" x14ac:dyDescent="0.2">
      <c r="F486" t="str">
        <f t="shared" si="57"/>
        <v/>
      </c>
      <c r="L486" s="7" t="str">
        <f t="shared" si="58"/>
        <v/>
      </c>
      <c r="N486" s="7" t="str">
        <f t="shared" si="59"/>
        <v/>
      </c>
      <c r="O486" t="str">
        <f t="shared" si="60"/>
        <v/>
      </c>
      <c r="P486" t="str">
        <f t="shared" si="61"/>
        <v/>
      </c>
      <c r="Q486" t="str">
        <f t="shared" si="62"/>
        <v/>
      </c>
      <c r="S486" t="str">
        <f>""</f>
        <v/>
      </c>
      <c r="AL486" s="18" t="str">
        <f>IF(COUNTIF($A$2:A485, A485) = 1, A485, "")</f>
        <v/>
      </c>
    </row>
    <row r="487" spans="6:38" x14ac:dyDescent="0.2">
      <c r="F487" t="str">
        <f t="shared" si="57"/>
        <v/>
      </c>
      <c r="L487" s="7" t="str">
        <f t="shared" si="58"/>
        <v/>
      </c>
      <c r="N487" s="7" t="str">
        <f t="shared" si="59"/>
        <v/>
      </c>
      <c r="O487" t="str">
        <f t="shared" si="60"/>
        <v/>
      </c>
      <c r="P487" t="str">
        <f t="shared" si="61"/>
        <v/>
      </c>
      <c r="Q487" t="str">
        <f t="shared" si="62"/>
        <v/>
      </c>
      <c r="S487" t="str">
        <f>""</f>
        <v/>
      </c>
      <c r="AL487" s="18" t="str">
        <f>IF(COUNTIF($A$2:A486, A486) = 1, A486, "")</f>
        <v/>
      </c>
    </row>
    <row r="488" spans="6:38" x14ac:dyDescent="0.2">
      <c r="F488" t="str">
        <f t="shared" si="57"/>
        <v/>
      </c>
      <c r="L488" s="7" t="str">
        <f t="shared" si="58"/>
        <v/>
      </c>
      <c r="N488" s="7" t="str">
        <f t="shared" si="59"/>
        <v/>
      </c>
      <c r="O488" t="str">
        <f t="shared" si="60"/>
        <v/>
      </c>
      <c r="P488" t="str">
        <f t="shared" si="61"/>
        <v/>
      </c>
      <c r="Q488" t="str">
        <f t="shared" si="62"/>
        <v/>
      </c>
      <c r="S488" t="str">
        <f>""</f>
        <v/>
      </c>
      <c r="AL488" s="18" t="str">
        <f>IF(COUNTIF($A$2:A487, A487) = 1, A487, "")</f>
        <v/>
      </c>
    </row>
    <row r="489" spans="6:38" x14ac:dyDescent="0.2">
      <c r="F489" t="str">
        <f t="shared" si="57"/>
        <v/>
      </c>
      <c r="L489" s="7" t="str">
        <f t="shared" si="58"/>
        <v/>
      </c>
      <c r="N489" s="7" t="str">
        <f t="shared" si="59"/>
        <v/>
      </c>
      <c r="O489" t="str">
        <f t="shared" si="60"/>
        <v/>
      </c>
      <c r="P489" t="str">
        <f t="shared" si="61"/>
        <v/>
      </c>
      <c r="Q489" t="str">
        <f t="shared" si="62"/>
        <v/>
      </c>
      <c r="S489" t="str">
        <f>""</f>
        <v/>
      </c>
      <c r="AL489" s="18" t="str">
        <f>IF(COUNTIF($A$2:A488, A488) = 1, A488, "")</f>
        <v/>
      </c>
    </row>
    <row r="490" spans="6:38" x14ac:dyDescent="0.2">
      <c r="F490" t="str">
        <f t="shared" si="57"/>
        <v/>
      </c>
      <c r="L490" s="7" t="str">
        <f t="shared" si="58"/>
        <v/>
      </c>
      <c r="N490" s="7" t="str">
        <f t="shared" si="59"/>
        <v/>
      </c>
      <c r="O490" t="str">
        <f t="shared" si="60"/>
        <v/>
      </c>
      <c r="P490" t="str">
        <f t="shared" si="61"/>
        <v/>
      </c>
      <c r="Q490" t="str">
        <f t="shared" si="62"/>
        <v/>
      </c>
      <c r="S490" t="str">
        <f>""</f>
        <v/>
      </c>
      <c r="AL490" s="18" t="str">
        <f>IF(COUNTIF($A$2:A489, A489) = 1, A489, "")</f>
        <v/>
      </c>
    </row>
    <row r="491" spans="6:38" x14ac:dyDescent="0.2">
      <c r="F491" t="str">
        <f t="shared" si="57"/>
        <v/>
      </c>
      <c r="L491" s="7" t="str">
        <f t="shared" si="58"/>
        <v/>
      </c>
      <c r="N491" s="7" t="str">
        <f t="shared" si="59"/>
        <v/>
      </c>
      <c r="O491" t="str">
        <f t="shared" si="60"/>
        <v/>
      </c>
      <c r="P491" t="str">
        <f t="shared" si="61"/>
        <v/>
      </c>
      <c r="Q491" t="str">
        <f t="shared" si="62"/>
        <v/>
      </c>
      <c r="S491" t="str">
        <f>""</f>
        <v/>
      </c>
      <c r="AL491" s="18" t="str">
        <f>IF(COUNTIF($A$2:A490, A490) = 1, A490, "")</f>
        <v/>
      </c>
    </row>
    <row r="492" spans="6:38" x14ac:dyDescent="0.2">
      <c r="F492" t="str">
        <f t="shared" si="57"/>
        <v/>
      </c>
      <c r="L492" s="7" t="str">
        <f t="shared" si="58"/>
        <v/>
      </c>
      <c r="N492" s="7" t="str">
        <f t="shared" si="59"/>
        <v/>
      </c>
      <c r="O492" t="str">
        <f t="shared" si="60"/>
        <v/>
      </c>
      <c r="P492" t="str">
        <f t="shared" si="61"/>
        <v/>
      </c>
      <c r="Q492" t="str">
        <f t="shared" si="62"/>
        <v/>
      </c>
      <c r="S492" t="str">
        <f>""</f>
        <v/>
      </c>
      <c r="AL492" s="18" t="str">
        <f>IF(COUNTIF($A$2:A491, A491) = 1, A491, "")</f>
        <v/>
      </c>
    </row>
    <row r="493" spans="6:38" x14ac:dyDescent="0.2">
      <c r="F493" t="str">
        <f t="shared" si="57"/>
        <v/>
      </c>
      <c r="L493" s="7" t="str">
        <f t="shared" si="58"/>
        <v/>
      </c>
      <c r="N493" s="7" t="str">
        <f t="shared" si="59"/>
        <v/>
      </c>
      <c r="O493" t="str">
        <f t="shared" si="60"/>
        <v/>
      </c>
      <c r="P493" t="str">
        <f t="shared" si="61"/>
        <v/>
      </c>
      <c r="Q493" t="str">
        <f t="shared" si="62"/>
        <v/>
      </c>
      <c r="S493" t="str">
        <f>""</f>
        <v/>
      </c>
      <c r="AL493" s="18" t="str">
        <f>IF(COUNTIF($A$2:A492, A492) = 1, A492, "")</f>
        <v/>
      </c>
    </row>
    <row r="494" spans="6:38" x14ac:dyDescent="0.2">
      <c r="F494" t="str">
        <f t="shared" si="57"/>
        <v/>
      </c>
      <c r="L494" s="7" t="str">
        <f t="shared" si="58"/>
        <v/>
      </c>
      <c r="N494" s="7" t="str">
        <f t="shared" si="59"/>
        <v/>
      </c>
      <c r="O494" t="str">
        <f t="shared" si="60"/>
        <v/>
      </c>
      <c r="P494" t="str">
        <f t="shared" si="61"/>
        <v/>
      </c>
      <c r="Q494" t="str">
        <f t="shared" si="62"/>
        <v/>
      </c>
      <c r="S494" t="str">
        <f>""</f>
        <v/>
      </c>
      <c r="AL494" s="18" t="str">
        <f>IF(COUNTIF($A$2:A493, A493) = 1, A493, "")</f>
        <v/>
      </c>
    </row>
    <row r="495" spans="6:38" x14ac:dyDescent="0.2">
      <c r="F495" t="str">
        <f t="shared" si="57"/>
        <v/>
      </c>
      <c r="L495" s="7" t="str">
        <f t="shared" si="58"/>
        <v/>
      </c>
      <c r="N495" s="7" t="str">
        <f t="shared" si="59"/>
        <v/>
      </c>
      <c r="O495" t="str">
        <f t="shared" si="60"/>
        <v/>
      </c>
      <c r="P495" t="str">
        <f t="shared" si="61"/>
        <v/>
      </c>
      <c r="Q495" t="str">
        <f t="shared" si="62"/>
        <v/>
      </c>
      <c r="S495" t="str">
        <f>""</f>
        <v/>
      </c>
      <c r="AL495" s="18" t="str">
        <f>IF(COUNTIF($A$2:A494, A494) = 1, A494, "")</f>
        <v/>
      </c>
    </row>
    <row r="496" spans="6:38" x14ac:dyDescent="0.2">
      <c r="F496" t="str">
        <f t="shared" si="57"/>
        <v/>
      </c>
      <c r="L496" s="7" t="str">
        <f t="shared" si="58"/>
        <v/>
      </c>
      <c r="N496" s="7" t="str">
        <f t="shared" si="59"/>
        <v/>
      </c>
      <c r="O496" t="str">
        <f t="shared" si="60"/>
        <v/>
      </c>
      <c r="P496" t="str">
        <f t="shared" si="61"/>
        <v/>
      </c>
      <c r="Q496" t="str">
        <f t="shared" si="62"/>
        <v/>
      </c>
      <c r="S496" t="str">
        <f>""</f>
        <v/>
      </c>
      <c r="AL496" s="18" t="str">
        <f>IF(COUNTIF($A$2:A495, A495) = 1, A495, "")</f>
        <v/>
      </c>
    </row>
    <row r="497" spans="6:38" x14ac:dyDescent="0.2">
      <c r="F497" t="str">
        <f t="shared" si="57"/>
        <v/>
      </c>
      <c r="L497" s="7" t="str">
        <f t="shared" si="58"/>
        <v/>
      </c>
      <c r="N497" s="7" t="str">
        <f t="shared" si="59"/>
        <v/>
      </c>
      <c r="O497" t="str">
        <f t="shared" si="60"/>
        <v/>
      </c>
      <c r="P497" t="str">
        <f t="shared" si="61"/>
        <v/>
      </c>
      <c r="Q497" t="str">
        <f t="shared" si="62"/>
        <v/>
      </c>
      <c r="S497" t="str">
        <f>""</f>
        <v/>
      </c>
      <c r="AL497" s="18" t="str">
        <f>IF(COUNTIF($A$2:A496, A496) = 1, A496, "")</f>
        <v/>
      </c>
    </row>
    <row r="498" spans="6:38" x14ac:dyDescent="0.2">
      <c r="F498" t="str">
        <f t="shared" si="57"/>
        <v/>
      </c>
      <c r="L498" s="7" t="str">
        <f t="shared" si="58"/>
        <v/>
      </c>
      <c r="N498" s="7" t="str">
        <f t="shared" si="59"/>
        <v/>
      </c>
      <c r="O498" t="str">
        <f t="shared" si="60"/>
        <v/>
      </c>
      <c r="P498" t="str">
        <f t="shared" si="61"/>
        <v/>
      </c>
      <c r="Q498" t="str">
        <f t="shared" si="62"/>
        <v/>
      </c>
      <c r="S498" t="str">
        <f>""</f>
        <v/>
      </c>
      <c r="AL498" s="18" t="str">
        <f>IF(COUNTIF($A$2:A497, A497) = 1, A497, "")</f>
        <v/>
      </c>
    </row>
    <row r="499" spans="6:38" x14ac:dyDescent="0.2">
      <c r="F499" t="str">
        <f t="shared" si="57"/>
        <v/>
      </c>
      <c r="L499" s="7" t="str">
        <f t="shared" si="58"/>
        <v/>
      </c>
      <c r="N499" s="7" t="str">
        <f t="shared" si="59"/>
        <v/>
      </c>
      <c r="O499" t="str">
        <f t="shared" si="60"/>
        <v/>
      </c>
      <c r="P499" t="str">
        <f t="shared" si="61"/>
        <v/>
      </c>
      <c r="Q499" t="str">
        <f t="shared" si="62"/>
        <v/>
      </c>
      <c r="S499" t="str">
        <f>""</f>
        <v/>
      </c>
      <c r="AL499" s="18" t="str">
        <f>IF(COUNTIF($A$2:A498, A498) = 1, A498, "")</f>
        <v/>
      </c>
    </row>
    <row r="500" spans="6:38" x14ac:dyDescent="0.2">
      <c r="F500" t="str">
        <f t="shared" si="57"/>
        <v/>
      </c>
      <c r="L500" s="7" t="str">
        <f t="shared" si="58"/>
        <v/>
      </c>
      <c r="N500" s="7" t="str">
        <f t="shared" si="59"/>
        <v/>
      </c>
      <c r="O500" t="str">
        <f t="shared" si="60"/>
        <v/>
      </c>
      <c r="P500" t="str">
        <f t="shared" si="61"/>
        <v/>
      </c>
      <c r="Q500" t="str">
        <f t="shared" si="62"/>
        <v/>
      </c>
      <c r="S500" t="str">
        <f>""</f>
        <v/>
      </c>
      <c r="AL500" s="18" t="str">
        <f>IF(COUNTIF($A$2:A499, A499) = 1, A499, "")</f>
        <v/>
      </c>
    </row>
    <row r="501" spans="6:38" x14ac:dyDescent="0.2">
      <c r="F501" t="str">
        <f t="shared" si="57"/>
        <v/>
      </c>
      <c r="L501" s="7" t="str">
        <f t="shared" si="58"/>
        <v/>
      </c>
      <c r="N501" s="7" t="str">
        <f t="shared" si="59"/>
        <v/>
      </c>
      <c r="O501" t="str">
        <f t="shared" si="60"/>
        <v/>
      </c>
      <c r="P501" t="str">
        <f t="shared" si="61"/>
        <v/>
      </c>
      <c r="Q501" t="str">
        <f t="shared" si="62"/>
        <v/>
      </c>
      <c r="S501" t="str">
        <f>""</f>
        <v/>
      </c>
      <c r="AL501" s="18" t="str">
        <f>IF(COUNTIF($A$2:A500, A500) = 1, A500, "")</f>
        <v/>
      </c>
    </row>
    <row r="502" spans="6:38" x14ac:dyDescent="0.2">
      <c r="F502" t="str">
        <f t="shared" si="57"/>
        <v/>
      </c>
      <c r="L502" s="7" t="str">
        <f t="shared" si="58"/>
        <v/>
      </c>
      <c r="N502" s="7" t="str">
        <f t="shared" si="59"/>
        <v/>
      </c>
      <c r="O502" t="str">
        <f t="shared" si="60"/>
        <v/>
      </c>
      <c r="P502" t="str">
        <f t="shared" si="61"/>
        <v/>
      </c>
      <c r="Q502" t="str">
        <f t="shared" si="62"/>
        <v/>
      </c>
      <c r="S502" t="str">
        <f>""</f>
        <v/>
      </c>
      <c r="AL502" s="18" t="str">
        <f>IF(COUNTIF($A$2:A501, A501) = 1, A501, "")</f>
        <v/>
      </c>
    </row>
    <row r="503" spans="6:38" x14ac:dyDescent="0.2">
      <c r="F503" t="str">
        <f t="shared" si="57"/>
        <v/>
      </c>
      <c r="L503" s="7" t="str">
        <f t="shared" si="58"/>
        <v/>
      </c>
      <c r="N503" s="7" t="str">
        <f t="shared" si="59"/>
        <v/>
      </c>
      <c r="O503" t="str">
        <f t="shared" si="60"/>
        <v/>
      </c>
      <c r="P503" t="str">
        <f t="shared" si="61"/>
        <v/>
      </c>
      <c r="Q503" t="str">
        <f t="shared" si="62"/>
        <v/>
      </c>
      <c r="S503" t="str">
        <f>""</f>
        <v/>
      </c>
      <c r="AL503" s="18" t="str">
        <f>IF(COUNTIF($A$2:A502, A502) = 1, A502, "")</f>
        <v/>
      </c>
    </row>
    <row r="504" spans="6:38" x14ac:dyDescent="0.2">
      <c r="F504" t="str">
        <f t="shared" si="57"/>
        <v/>
      </c>
      <c r="L504" s="7" t="str">
        <f t="shared" si="58"/>
        <v/>
      </c>
      <c r="N504" s="7" t="str">
        <f t="shared" si="59"/>
        <v/>
      </c>
      <c r="O504" t="str">
        <f t="shared" si="60"/>
        <v/>
      </c>
      <c r="P504" t="str">
        <f t="shared" si="61"/>
        <v/>
      </c>
      <c r="Q504" t="str">
        <f t="shared" si="62"/>
        <v/>
      </c>
      <c r="S504" t="str">
        <f>""</f>
        <v/>
      </c>
      <c r="AL504" s="18" t="str">
        <f>IF(COUNTIF($A$2:A503, A503) = 1, A503, "")</f>
        <v/>
      </c>
    </row>
    <row r="505" spans="6:38" x14ac:dyDescent="0.2">
      <c r="F505" t="str">
        <f t="shared" si="57"/>
        <v/>
      </c>
      <c r="L505" s="7" t="str">
        <f t="shared" si="58"/>
        <v/>
      </c>
      <c r="N505" s="7" t="str">
        <f t="shared" si="59"/>
        <v/>
      </c>
      <c r="O505" t="str">
        <f t="shared" si="60"/>
        <v/>
      </c>
      <c r="P505" t="str">
        <f t="shared" si="61"/>
        <v/>
      </c>
      <c r="Q505" t="str">
        <f t="shared" si="62"/>
        <v/>
      </c>
      <c r="S505" t="str">
        <f>""</f>
        <v/>
      </c>
      <c r="AL505" s="18" t="str">
        <f>IF(COUNTIF($A$2:A504, A504) = 1, A504, "")</f>
        <v/>
      </c>
    </row>
    <row r="506" spans="6:38" x14ac:dyDescent="0.2">
      <c r="F506" t="str">
        <f t="shared" si="57"/>
        <v/>
      </c>
      <c r="L506" s="7" t="str">
        <f t="shared" si="58"/>
        <v/>
      </c>
      <c r="N506" s="7" t="str">
        <f t="shared" si="59"/>
        <v/>
      </c>
      <c r="O506" t="str">
        <f t="shared" si="60"/>
        <v/>
      </c>
      <c r="P506" t="str">
        <f t="shared" si="61"/>
        <v/>
      </c>
      <c r="Q506" t="str">
        <f t="shared" si="62"/>
        <v/>
      </c>
      <c r="S506" t="str">
        <f>""</f>
        <v/>
      </c>
      <c r="AL506" s="18" t="str">
        <f>IF(COUNTIF($A$2:A505, A505) = 1, A505, "")</f>
        <v/>
      </c>
    </row>
    <row r="507" spans="6:38" x14ac:dyDescent="0.2">
      <c r="F507" t="str">
        <f t="shared" si="57"/>
        <v/>
      </c>
      <c r="L507" s="7" t="str">
        <f t="shared" si="58"/>
        <v/>
      </c>
      <c r="N507" s="7" t="str">
        <f t="shared" si="59"/>
        <v/>
      </c>
      <c r="O507" t="str">
        <f t="shared" si="60"/>
        <v/>
      </c>
      <c r="P507" t="str">
        <f t="shared" si="61"/>
        <v/>
      </c>
      <c r="Q507" t="str">
        <f t="shared" si="62"/>
        <v/>
      </c>
      <c r="S507" t="str">
        <f>""</f>
        <v/>
      </c>
      <c r="AL507" s="18" t="str">
        <f>IF(COUNTIF($A$2:A506, A506) = 1, A506, "")</f>
        <v/>
      </c>
    </row>
    <row r="508" spans="6:38" x14ac:dyDescent="0.2">
      <c r="F508" t="str">
        <f t="shared" si="57"/>
        <v/>
      </c>
      <c r="L508" s="7" t="str">
        <f t="shared" si="58"/>
        <v/>
      </c>
      <c r="N508" s="7" t="str">
        <f t="shared" si="59"/>
        <v/>
      </c>
      <c r="O508" t="str">
        <f t="shared" si="60"/>
        <v/>
      </c>
      <c r="P508" t="str">
        <f t="shared" si="61"/>
        <v/>
      </c>
      <c r="Q508" t="str">
        <f t="shared" si="62"/>
        <v/>
      </c>
      <c r="S508" t="str">
        <f>""</f>
        <v/>
      </c>
      <c r="AL508" s="18" t="str">
        <f>IF(COUNTIF($A$2:A507, A507) = 1, A507, "")</f>
        <v/>
      </c>
    </row>
    <row r="509" spans="6:38" x14ac:dyDescent="0.2">
      <c r="F509" t="str">
        <f t="shared" si="57"/>
        <v/>
      </c>
      <c r="L509" s="7" t="str">
        <f t="shared" si="58"/>
        <v/>
      </c>
      <c r="N509" s="7" t="str">
        <f t="shared" si="59"/>
        <v/>
      </c>
      <c r="O509" t="str">
        <f t="shared" si="60"/>
        <v/>
      </c>
      <c r="P509" t="str">
        <f t="shared" si="61"/>
        <v/>
      </c>
      <c r="Q509" t="str">
        <f t="shared" si="62"/>
        <v/>
      </c>
      <c r="S509" t="str">
        <f>""</f>
        <v/>
      </c>
      <c r="AL509" s="18" t="str">
        <f>IF(COUNTIF($A$2:A508, A508) = 1, A508, "")</f>
        <v/>
      </c>
    </row>
    <row r="510" spans="6:38" x14ac:dyDescent="0.2">
      <c r="F510" t="str">
        <f t="shared" si="57"/>
        <v/>
      </c>
      <c r="L510" s="7" t="str">
        <f t="shared" si="58"/>
        <v/>
      </c>
      <c r="N510" s="7" t="str">
        <f t="shared" si="59"/>
        <v/>
      </c>
      <c r="O510" t="str">
        <f t="shared" si="60"/>
        <v/>
      </c>
      <c r="P510" t="str">
        <f t="shared" si="61"/>
        <v/>
      </c>
      <c r="Q510" t="str">
        <f t="shared" si="62"/>
        <v/>
      </c>
      <c r="S510" t="str">
        <f>""</f>
        <v/>
      </c>
      <c r="AL510" s="18" t="str">
        <f>IF(COUNTIF($A$2:A509, A509) = 1, A509, "")</f>
        <v/>
      </c>
    </row>
    <row r="511" spans="6:38" x14ac:dyDescent="0.2">
      <c r="F511" t="str">
        <f t="shared" si="57"/>
        <v/>
      </c>
      <c r="L511" s="7" t="str">
        <f t="shared" si="58"/>
        <v/>
      </c>
      <c r="N511" s="7" t="str">
        <f t="shared" si="59"/>
        <v/>
      </c>
      <c r="O511" t="str">
        <f t="shared" si="60"/>
        <v/>
      </c>
      <c r="P511" t="str">
        <f t="shared" si="61"/>
        <v/>
      </c>
      <c r="Q511" t="str">
        <f t="shared" si="62"/>
        <v/>
      </c>
      <c r="S511" t="str">
        <f>""</f>
        <v/>
      </c>
      <c r="AL511" s="18" t="str">
        <f>IF(COUNTIF($A$2:A510, A510) = 1, A510, "")</f>
        <v/>
      </c>
    </row>
    <row r="512" spans="6:38" x14ac:dyDescent="0.2">
      <c r="F512" t="str">
        <f t="shared" si="57"/>
        <v/>
      </c>
      <c r="L512" s="7" t="str">
        <f t="shared" si="58"/>
        <v/>
      </c>
      <c r="N512" s="7" t="str">
        <f t="shared" si="59"/>
        <v/>
      </c>
      <c r="O512" t="str">
        <f t="shared" si="60"/>
        <v/>
      </c>
      <c r="P512" t="str">
        <f t="shared" si="61"/>
        <v/>
      </c>
      <c r="Q512" t="str">
        <f t="shared" si="62"/>
        <v/>
      </c>
      <c r="S512" t="str">
        <f>""</f>
        <v/>
      </c>
      <c r="AL512" s="18" t="str">
        <f>IF(COUNTIF($A$2:A511, A511) = 1, A511, "")</f>
        <v/>
      </c>
    </row>
    <row r="513" spans="6:38" x14ac:dyDescent="0.2">
      <c r="F513" t="str">
        <f t="shared" si="57"/>
        <v/>
      </c>
      <c r="L513" s="7" t="str">
        <f t="shared" si="58"/>
        <v/>
      </c>
      <c r="N513" s="7" t="str">
        <f t="shared" si="59"/>
        <v/>
      </c>
      <c r="O513" t="str">
        <f t="shared" si="60"/>
        <v/>
      </c>
      <c r="P513" t="str">
        <f t="shared" si="61"/>
        <v/>
      </c>
      <c r="Q513" t="str">
        <f t="shared" si="62"/>
        <v/>
      </c>
      <c r="S513" t="str">
        <f>""</f>
        <v/>
      </c>
      <c r="AL513" s="18" t="str">
        <f>IF(COUNTIF($A$2:A512, A512) = 1, A512, "")</f>
        <v/>
      </c>
    </row>
    <row r="514" spans="6:38" x14ac:dyDescent="0.2">
      <c r="F514" t="str">
        <f t="shared" si="57"/>
        <v/>
      </c>
      <c r="L514" s="7" t="str">
        <f t="shared" si="58"/>
        <v/>
      </c>
      <c r="N514" s="7" t="str">
        <f t="shared" si="59"/>
        <v/>
      </c>
      <c r="O514" t="str">
        <f t="shared" si="60"/>
        <v/>
      </c>
      <c r="P514" t="str">
        <f t="shared" si="61"/>
        <v/>
      </c>
      <c r="Q514" t="str">
        <f t="shared" si="62"/>
        <v/>
      </c>
      <c r="S514" t="str">
        <f>""</f>
        <v/>
      </c>
      <c r="AL514" s="18" t="str">
        <f>IF(COUNTIF($A$2:A513, A513) = 1, A513, "")</f>
        <v/>
      </c>
    </row>
    <row r="515" spans="6:38" x14ac:dyDescent="0.2">
      <c r="F515" t="str">
        <f t="shared" si="57"/>
        <v/>
      </c>
      <c r="L515" s="7" t="str">
        <f t="shared" si="58"/>
        <v/>
      </c>
      <c r="N515" s="7" t="str">
        <f t="shared" si="59"/>
        <v/>
      </c>
      <c r="O515" t="str">
        <f t="shared" si="60"/>
        <v/>
      </c>
      <c r="P515" t="str">
        <f t="shared" si="61"/>
        <v/>
      </c>
      <c r="Q515" t="str">
        <f t="shared" si="62"/>
        <v/>
      </c>
      <c r="S515" t="str">
        <f>""</f>
        <v/>
      </c>
      <c r="AL515" s="18" t="str">
        <f>IF(COUNTIF($A$2:A514, A514) = 1, A514, "")</f>
        <v/>
      </c>
    </row>
    <row r="516" spans="6:38" x14ac:dyDescent="0.2">
      <c r="F516" t="str">
        <f t="shared" si="57"/>
        <v/>
      </c>
      <c r="L516" s="7" t="str">
        <f t="shared" si="58"/>
        <v/>
      </c>
      <c r="N516" s="7" t="str">
        <f t="shared" si="59"/>
        <v/>
      </c>
      <c r="O516" t="str">
        <f t="shared" si="60"/>
        <v/>
      </c>
      <c r="P516" t="str">
        <f t="shared" si="61"/>
        <v/>
      </c>
      <c r="Q516" t="str">
        <f t="shared" si="62"/>
        <v/>
      </c>
      <c r="S516" t="str">
        <f>""</f>
        <v/>
      </c>
      <c r="AL516" s="18" t="str">
        <f>IF(COUNTIF($A$2:A515, A515) = 1, A515, "")</f>
        <v/>
      </c>
    </row>
    <row r="517" spans="6:38" x14ac:dyDescent="0.2">
      <c r="F517" t="str">
        <f t="shared" si="57"/>
        <v/>
      </c>
      <c r="L517" s="7" t="str">
        <f t="shared" si="58"/>
        <v/>
      </c>
      <c r="N517" s="7" t="str">
        <f t="shared" si="59"/>
        <v/>
      </c>
      <c r="O517" t="str">
        <f t="shared" si="60"/>
        <v/>
      </c>
      <c r="P517" t="str">
        <f t="shared" si="61"/>
        <v/>
      </c>
      <c r="Q517" t="str">
        <f t="shared" si="62"/>
        <v/>
      </c>
      <c r="S517" t="str">
        <f>""</f>
        <v/>
      </c>
      <c r="AL517" s="18" t="str">
        <f>IF(COUNTIF($A$2:A516, A516) = 1, A516, "")</f>
        <v/>
      </c>
    </row>
    <row r="518" spans="6:38" x14ac:dyDescent="0.2">
      <c r="F518" t="str">
        <f t="shared" si="57"/>
        <v/>
      </c>
      <c r="L518" s="7" t="str">
        <f t="shared" si="58"/>
        <v/>
      </c>
      <c r="N518" s="7" t="str">
        <f t="shared" si="59"/>
        <v/>
      </c>
      <c r="O518" t="str">
        <f t="shared" si="60"/>
        <v/>
      </c>
      <c r="P518" t="str">
        <f t="shared" si="61"/>
        <v/>
      </c>
      <c r="Q518" t="str">
        <f t="shared" si="62"/>
        <v/>
      </c>
      <c r="S518" t="str">
        <f>""</f>
        <v/>
      </c>
      <c r="AL518" s="18" t="str">
        <f>IF(COUNTIF($A$2:A517, A517) = 1, A517, "")</f>
        <v/>
      </c>
    </row>
    <row r="519" spans="6:38" x14ac:dyDescent="0.2">
      <c r="F519" t="str">
        <f t="shared" si="57"/>
        <v/>
      </c>
      <c r="L519" s="7" t="str">
        <f t="shared" si="58"/>
        <v/>
      </c>
      <c r="N519" s="7" t="str">
        <f t="shared" si="59"/>
        <v/>
      </c>
      <c r="O519" t="str">
        <f t="shared" si="60"/>
        <v/>
      </c>
      <c r="P519" t="str">
        <f t="shared" si="61"/>
        <v/>
      </c>
      <c r="Q519" t="str">
        <f t="shared" si="62"/>
        <v/>
      </c>
      <c r="S519" t="str">
        <f>""</f>
        <v/>
      </c>
      <c r="AL519" s="18" t="str">
        <f>IF(COUNTIF($A$2:A518, A518) = 1, A518, "")</f>
        <v/>
      </c>
    </row>
    <row r="520" spans="6:38" x14ac:dyDescent="0.2">
      <c r="F520" t="str">
        <f t="shared" si="57"/>
        <v/>
      </c>
      <c r="L520" s="7" t="str">
        <f t="shared" si="58"/>
        <v/>
      </c>
      <c r="N520" s="7" t="str">
        <f t="shared" si="59"/>
        <v/>
      </c>
      <c r="O520" t="str">
        <f t="shared" si="60"/>
        <v/>
      </c>
      <c r="P520" t="str">
        <f t="shared" si="61"/>
        <v/>
      </c>
      <c r="Q520" t="str">
        <f t="shared" si="62"/>
        <v/>
      </c>
      <c r="S520" t="str">
        <f>""</f>
        <v/>
      </c>
      <c r="AL520" s="18" t="str">
        <f>IF(COUNTIF($A$2:A519, A519) = 1, A519, "")</f>
        <v/>
      </c>
    </row>
    <row r="521" spans="6:38" x14ac:dyDescent="0.2">
      <c r="F521" t="str">
        <f t="shared" si="57"/>
        <v/>
      </c>
      <c r="L521" s="7" t="str">
        <f t="shared" si="58"/>
        <v/>
      </c>
      <c r="N521" s="7" t="str">
        <f t="shared" si="59"/>
        <v/>
      </c>
      <c r="O521" t="str">
        <f t="shared" si="60"/>
        <v/>
      </c>
      <c r="P521" t="str">
        <f t="shared" si="61"/>
        <v/>
      </c>
      <c r="Q521" t="str">
        <f t="shared" si="62"/>
        <v/>
      </c>
      <c r="S521" t="str">
        <f>""</f>
        <v/>
      </c>
      <c r="AL521" s="18" t="str">
        <f>IF(COUNTIF($A$2:A520, A520) = 1, A520, "")</f>
        <v/>
      </c>
    </row>
    <row r="522" spans="6:38" x14ac:dyDescent="0.2">
      <c r="F522" t="str">
        <f t="shared" si="57"/>
        <v/>
      </c>
      <c r="L522" s="7" t="str">
        <f t="shared" si="58"/>
        <v/>
      </c>
      <c r="N522" s="7" t="str">
        <f t="shared" si="59"/>
        <v/>
      </c>
      <c r="O522" t="str">
        <f t="shared" si="60"/>
        <v/>
      </c>
      <c r="P522" t="str">
        <f t="shared" si="61"/>
        <v/>
      </c>
      <c r="Q522" t="str">
        <f t="shared" si="62"/>
        <v/>
      </c>
      <c r="S522" t="str">
        <f>""</f>
        <v/>
      </c>
      <c r="AL522" s="18" t="str">
        <f>IF(COUNTIF($A$2:A521, A521) = 1, A521, "")</f>
        <v/>
      </c>
    </row>
    <row r="523" spans="6:38" x14ac:dyDescent="0.2">
      <c r="F523" t="str">
        <f t="shared" si="57"/>
        <v/>
      </c>
      <c r="L523" s="7" t="str">
        <f t="shared" si="58"/>
        <v/>
      </c>
      <c r="N523" s="7" t="str">
        <f t="shared" si="59"/>
        <v/>
      </c>
      <c r="O523" t="str">
        <f t="shared" si="60"/>
        <v/>
      </c>
      <c r="P523" t="str">
        <f t="shared" si="61"/>
        <v/>
      </c>
      <c r="Q523" t="str">
        <f t="shared" si="62"/>
        <v/>
      </c>
      <c r="S523" t="str">
        <f>""</f>
        <v/>
      </c>
      <c r="AL523" s="18" t="str">
        <f>IF(COUNTIF($A$2:A522, A522) = 1, A522, "")</f>
        <v/>
      </c>
    </row>
    <row r="524" spans="6:38" x14ac:dyDescent="0.2">
      <c r="F524" t="str">
        <f t="shared" si="57"/>
        <v/>
      </c>
      <c r="L524" s="7" t="str">
        <f t="shared" si="58"/>
        <v/>
      </c>
      <c r="N524" s="7" t="str">
        <f t="shared" si="59"/>
        <v/>
      </c>
      <c r="O524" t="str">
        <f t="shared" si="60"/>
        <v/>
      </c>
      <c r="P524" t="str">
        <f t="shared" si="61"/>
        <v/>
      </c>
      <c r="Q524" t="str">
        <f t="shared" si="62"/>
        <v/>
      </c>
      <c r="S524" t="str">
        <f>""</f>
        <v/>
      </c>
      <c r="AL524" s="18" t="str">
        <f>IF(COUNTIF($A$2:A523, A523) = 1, A523, "")</f>
        <v/>
      </c>
    </row>
    <row r="525" spans="6:38" x14ac:dyDescent="0.2">
      <c r="F525" t="str">
        <f t="shared" si="57"/>
        <v/>
      </c>
      <c r="L525" s="7" t="str">
        <f t="shared" si="58"/>
        <v/>
      </c>
      <c r="N525" s="7" t="str">
        <f t="shared" si="59"/>
        <v/>
      </c>
      <c r="O525" t="str">
        <f t="shared" si="60"/>
        <v/>
      </c>
      <c r="P525" t="str">
        <f t="shared" si="61"/>
        <v/>
      </c>
      <c r="Q525" t="str">
        <f t="shared" si="62"/>
        <v/>
      </c>
      <c r="S525" t="str">
        <f>""</f>
        <v/>
      </c>
      <c r="AL525" s="18" t="str">
        <f>IF(COUNTIF($A$2:A524, A524) = 1, A524, "")</f>
        <v/>
      </c>
    </row>
    <row r="526" spans="6:38" x14ac:dyDescent="0.2">
      <c r="F526" t="str">
        <f t="shared" si="57"/>
        <v/>
      </c>
      <c r="L526" s="7" t="str">
        <f t="shared" si="58"/>
        <v/>
      </c>
      <c r="N526" s="7" t="str">
        <f t="shared" si="59"/>
        <v/>
      </c>
      <c r="O526" t="str">
        <f t="shared" si="60"/>
        <v/>
      </c>
      <c r="P526" t="str">
        <f t="shared" si="61"/>
        <v/>
      </c>
      <c r="Q526" t="str">
        <f t="shared" si="62"/>
        <v/>
      </c>
      <c r="S526" t="str">
        <f>""</f>
        <v/>
      </c>
      <c r="AL526" s="18" t="str">
        <f>IF(COUNTIF($A$2:A525, A525) = 1, A525, "")</f>
        <v/>
      </c>
    </row>
    <row r="527" spans="6:38" x14ac:dyDescent="0.2">
      <c r="F527" t="str">
        <f t="shared" si="57"/>
        <v/>
      </c>
      <c r="L527" s="7" t="str">
        <f t="shared" si="58"/>
        <v/>
      </c>
      <c r="N527" s="7" t="str">
        <f t="shared" si="59"/>
        <v/>
      </c>
      <c r="O527" t="str">
        <f t="shared" si="60"/>
        <v/>
      </c>
      <c r="P527" t="str">
        <f t="shared" si="61"/>
        <v/>
      </c>
      <c r="Q527" t="str">
        <f t="shared" si="62"/>
        <v/>
      </c>
      <c r="S527" t="str">
        <f>""</f>
        <v/>
      </c>
      <c r="AL527" s="18" t="str">
        <f>IF(COUNTIF($A$2:A526, A526) = 1, A526, "")</f>
        <v/>
      </c>
    </row>
    <row r="528" spans="6:38" x14ac:dyDescent="0.2">
      <c r="F528" t="str">
        <f t="shared" ref="F528:F536" si="63">IF(OR(O528="", P528=""), "", SUM(IF((O528&lt;&gt;"None")*(O528&lt;&gt;""),LEN(O528)-LEN(SUBSTITUTE(O528,",",""))+1,0)) + SUM(IF((P528&lt;&gt;"None")*(P528&lt;&gt;""),LEN(P528)-LEN(SUBSTITUTE(P528,",",""))+1,0)))</f>
        <v/>
      </c>
      <c r="L528" s="7" t="str">
        <f t="shared" ref="L528:L536" si="64">IF(LEN(E528)=0, "", IFERROR(IF(E528&gt;=0, K528 * (1 + E528/100) - K528, K528 / (ABS(E528)/100))+K528, ""))</f>
        <v/>
      </c>
      <c r="N528" s="7" t="str">
        <f t="shared" ref="N528:N536" si="65">IF(M528="Yes",L528-K528,IF(M528="No",-K528,""))</f>
        <v/>
      </c>
      <c r="O528" t="str">
        <f t="shared" ref="O528:O536" si="66">IF(AND(G528="No",H528="No"), "None", "")</f>
        <v/>
      </c>
      <c r="P528" t="str">
        <f t="shared" ref="P528:P536" si="67">IF(I528="No", "None", "")</f>
        <v/>
      </c>
      <c r="Q528" t="str">
        <f t="shared" ref="Q528:Q536" si="68">IF(AND(D528="Straight", M528 = "No"),IF(O528="None",P528,IF(P528="None",O528) ),"")</f>
        <v/>
      </c>
      <c r="S528" t="str">
        <f>""</f>
        <v/>
      </c>
      <c r="AL528" s="18" t="str">
        <f>IF(COUNTIF($A$2:A527, A527) = 1, A527, "")</f>
        <v/>
      </c>
    </row>
    <row r="529" spans="6:38" x14ac:dyDescent="0.2">
      <c r="F529" t="str">
        <f t="shared" si="63"/>
        <v/>
      </c>
      <c r="L529" s="7" t="str">
        <f t="shared" si="64"/>
        <v/>
      </c>
      <c r="N529" s="7" t="str">
        <f t="shared" si="65"/>
        <v/>
      </c>
      <c r="O529" t="str">
        <f t="shared" si="66"/>
        <v/>
      </c>
      <c r="P529" t="str">
        <f t="shared" si="67"/>
        <v/>
      </c>
      <c r="Q529" t="str">
        <f t="shared" si="68"/>
        <v/>
      </c>
      <c r="S529" t="str">
        <f>""</f>
        <v/>
      </c>
      <c r="AL529" s="18" t="str">
        <f>IF(COUNTIF($A$2:A528, A528) = 1, A528, "")</f>
        <v/>
      </c>
    </row>
    <row r="530" spans="6:38" x14ac:dyDescent="0.2">
      <c r="F530" t="str">
        <f t="shared" si="63"/>
        <v/>
      </c>
      <c r="L530" s="7" t="str">
        <f t="shared" si="64"/>
        <v/>
      </c>
      <c r="N530" s="7" t="str">
        <f t="shared" si="65"/>
        <v/>
      </c>
      <c r="O530" t="str">
        <f t="shared" si="66"/>
        <v/>
      </c>
      <c r="P530" t="str">
        <f t="shared" si="67"/>
        <v/>
      </c>
      <c r="Q530" t="str">
        <f t="shared" si="68"/>
        <v/>
      </c>
      <c r="S530" t="str">
        <f>""</f>
        <v/>
      </c>
      <c r="AL530" s="18" t="str">
        <f>IF(COUNTIF($A$2:A529, A529) = 1, A529, "")</f>
        <v/>
      </c>
    </row>
    <row r="531" spans="6:38" x14ac:dyDescent="0.2">
      <c r="F531" t="str">
        <f t="shared" si="63"/>
        <v/>
      </c>
      <c r="L531" s="7" t="str">
        <f t="shared" si="64"/>
        <v/>
      </c>
      <c r="N531" s="7" t="str">
        <f t="shared" si="65"/>
        <v/>
      </c>
      <c r="O531" t="str">
        <f t="shared" si="66"/>
        <v/>
      </c>
      <c r="P531" t="str">
        <f t="shared" si="67"/>
        <v/>
      </c>
      <c r="Q531" t="str">
        <f t="shared" si="68"/>
        <v/>
      </c>
      <c r="S531" t="str">
        <f>""</f>
        <v/>
      </c>
      <c r="AL531" s="18" t="str">
        <f>IF(COUNTIF($A$2:A530, A530) = 1, A530, "")</f>
        <v/>
      </c>
    </row>
    <row r="532" spans="6:38" x14ac:dyDescent="0.2">
      <c r="F532" t="str">
        <f t="shared" si="63"/>
        <v/>
      </c>
      <c r="L532" s="7" t="str">
        <f t="shared" si="64"/>
        <v/>
      </c>
      <c r="N532" s="7" t="str">
        <f t="shared" si="65"/>
        <v/>
      </c>
      <c r="O532" t="str">
        <f t="shared" si="66"/>
        <v/>
      </c>
      <c r="P532" t="str">
        <f t="shared" si="67"/>
        <v/>
      </c>
      <c r="Q532" t="str">
        <f t="shared" si="68"/>
        <v/>
      </c>
      <c r="S532" t="str">
        <f>""</f>
        <v/>
      </c>
      <c r="AL532" s="18" t="str">
        <f>IF(COUNTIF($A$2:A531, A531) = 1, A531, "")</f>
        <v/>
      </c>
    </row>
    <row r="533" spans="6:38" x14ac:dyDescent="0.2">
      <c r="F533" t="str">
        <f t="shared" si="63"/>
        <v/>
      </c>
      <c r="L533" s="7" t="str">
        <f t="shared" si="64"/>
        <v/>
      </c>
      <c r="N533" s="7" t="str">
        <f t="shared" si="65"/>
        <v/>
      </c>
      <c r="O533" t="str">
        <f t="shared" si="66"/>
        <v/>
      </c>
      <c r="P533" t="str">
        <f t="shared" si="67"/>
        <v/>
      </c>
      <c r="Q533" t="str">
        <f t="shared" si="68"/>
        <v/>
      </c>
      <c r="S533" t="str">
        <f>""</f>
        <v/>
      </c>
      <c r="AL533" s="18" t="str">
        <f>IF(COUNTIF($A$2:A532, A532) = 1, A532, "")</f>
        <v/>
      </c>
    </row>
    <row r="534" spans="6:38" x14ac:dyDescent="0.2">
      <c r="F534" t="str">
        <f t="shared" si="63"/>
        <v/>
      </c>
      <c r="L534" s="7" t="str">
        <f t="shared" si="64"/>
        <v/>
      </c>
      <c r="N534" s="7" t="str">
        <f t="shared" si="65"/>
        <v/>
      </c>
      <c r="O534" t="str">
        <f t="shared" si="66"/>
        <v/>
      </c>
      <c r="P534" t="str">
        <f t="shared" si="67"/>
        <v/>
      </c>
      <c r="Q534" t="str">
        <f t="shared" si="68"/>
        <v/>
      </c>
      <c r="S534" t="str">
        <f>""</f>
        <v/>
      </c>
      <c r="AL534" s="18" t="str">
        <f>IF(COUNTIF($A$2:A533, A533) = 1, A533, "")</f>
        <v/>
      </c>
    </row>
    <row r="535" spans="6:38" x14ac:dyDescent="0.2">
      <c r="F535" t="str">
        <f t="shared" si="63"/>
        <v/>
      </c>
      <c r="L535" s="7" t="str">
        <f t="shared" si="64"/>
        <v/>
      </c>
      <c r="N535" s="7" t="str">
        <f t="shared" si="65"/>
        <v/>
      </c>
      <c r="O535" t="str">
        <f t="shared" si="66"/>
        <v/>
      </c>
      <c r="P535" t="str">
        <f t="shared" si="67"/>
        <v/>
      </c>
      <c r="Q535" t="str">
        <f t="shared" si="68"/>
        <v/>
      </c>
      <c r="S535" t="str">
        <f>""</f>
        <v/>
      </c>
      <c r="AL535" s="18" t="str">
        <f>IF(COUNTIF($A$2:A534, A534) = 1, A534, "")</f>
        <v/>
      </c>
    </row>
    <row r="536" spans="6:38" x14ac:dyDescent="0.2">
      <c r="F536" t="str">
        <f t="shared" si="63"/>
        <v/>
      </c>
      <c r="L536" s="7" t="str">
        <f t="shared" si="64"/>
        <v/>
      </c>
      <c r="N536" s="7" t="str">
        <f t="shared" si="65"/>
        <v/>
      </c>
      <c r="O536" t="str">
        <f t="shared" si="66"/>
        <v/>
      </c>
      <c r="P536" t="str">
        <f t="shared" si="67"/>
        <v/>
      </c>
      <c r="Q536" t="str">
        <f t="shared" si="68"/>
        <v/>
      </c>
      <c r="S536" t="str">
        <f>""</f>
        <v/>
      </c>
      <c r="AL536" s="18" t="str">
        <f>IF(COUNTIF($A$2:A535, A535) = 1, A535, "")</f>
        <v/>
      </c>
    </row>
    <row r="537" spans="6:38" x14ac:dyDescent="0.2">
      <c r="AL537" s="18" t="str">
        <f>IF(COUNTIF($A$2:A536, A536) = 1, A536, "")</f>
        <v/>
      </c>
    </row>
    <row r="538" spans="6:38" x14ac:dyDescent="0.2">
      <c r="AL538" s="18" t="str">
        <f>IF(COUNTIF($A$2:A537, A537) = 1, A537, "")</f>
        <v/>
      </c>
    </row>
    <row r="539" spans="6:38" x14ac:dyDescent="0.2">
      <c r="AL539" s="18" t="str">
        <f>IF(COUNTIF($A$2:A538, A538) = 1, A538, "")</f>
        <v/>
      </c>
    </row>
    <row r="540" spans="6:38" x14ac:dyDescent="0.2">
      <c r="AL540" s="18" t="str">
        <f>IF(COUNTIF($A$2:A539, A539) = 1, A539, "")</f>
        <v/>
      </c>
    </row>
    <row r="541" spans="6:38" x14ac:dyDescent="0.2">
      <c r="AL541" s="18" t="str">
        <f>IF(COUNTIF($A$2:A540, A540) = 1, A540, "")</f>
        <v/>
      </c>
    </row>
    <row r="542" spans="6:38" x14ac:dyDescent="0.2">
      <c r="AL542" s="18" t="str">
        <f>IF(COUNTIF($A$2:A541, A541) = 1, A541, "")</f>
        <v/>
      </c>
    </row>
    <row r="543" spans="6:38" x14ac:dyDescent="0.2">
      <c r="AL543" s="18" t="str">
        <f>IF(COUNTIF($A$2:A542, A542) = 1, A542, "")</f>
        <v/>
      </c>
    </row>
    <row r="544" spans="6:38" x14ac:dyDescent="0.2">
      <c r="AL544" s="18" t="str">
        <f>IF(COUNTIF($A$2:A543, A543) = 1, A543, "")</f>
        <v/>
      </c>
    </row>
    <row r="545" spans="38:38" x14ac:dyDescent="0.2">
      <c r="AL545" s="18" t="str">
        <f>IF(COUNTIF($A$2:A544, A544) = 1, A544, "")</f>
        <v/>
      </c>
    </row>
    <row r="546" spans="38:38" x14ac:dyDescent="0.2">
      <c r="AL546" s="18" t="str">
        <f>IF(COUNTIF($A$2:A545, A545) = 1, A545, "")</f>
        <v/>
      </c>
    </row>
    <row r="547" spans="38:38" x14ac:dyDescent="0.2">
      <c r="AL547" s="18" t="str">
        <f>IF(COUNTIF($A$2:A546, A546) = 1, A546, "")</f>
        <v/>
      </c>
    </row>
    <row r="548" spans="38:38" x14ac:dyDescent="0.2">
      <c r="AL548" s="18" t="str">
        <f>IF(COUNTIF($A$2:A547, A547) = 1, A547, "")</f>
        <v/>
      </c>
    </row>
    <row r="549" spans="38:38" x14ac:dyDescent="0.2">
      <c r="AL549" s="18" t="str">
        <f>IF(COUNTIF($A$2:A548, A548) = 1, A548, "")</f>
        <v/>
      </c>
    </row>
    <row r="550" spans="38:38" x14ac:dyDescent="0.2">
      <c r="AL550" s="18" t="str">
        <f>IF(COUNTIF($A$2:A549, A549) = 1, A549, "")</f>
        <v/>
      </c>
    </row>
    <row r="551" spans="38:38" x14ac:dyDescent="0.2">
      <c r="AL551" s="18" t="str">
        <f>IF(COUNTIF($A$2:A550, A550) = 1, A550, "")</f>
        <v/>
      </c>
    </row>
    <row r="552" spans="38:38" x14ac:dyDescent="0.2">
      <c r="AL552" s="18" t="str">
        <f>IF(COUNTIF($A$2:A551, A551) = 1, A551, "")</f>
        <v/>
      </c>
    </row>
    <row r="553" spans="38:38" x14ac:dyDescent="0.2">
      <c r="AL553" s="18" t="str">
        <f>IF(COUNTIF($A$2:A552, A552) = 1, A552, "")</f>
        <v/>
      </c>
    </row>
    <row r="554" spans="38:38" x14ac:dyDescent="0.2">
      <c r="AL554" s="18" t="str">
        <f>IF(COUNTIF($A$2:A553, A553) = 1, A553, "")</f>
        <v/>
      </c>
    </row>
    <row r="555" spans="38:38" x14ac:dyDescent="0.2">
      <c r="AL555" s="18" t="str">
        <f>IF(COUNTIF($A$2:A554, A554) = 1, A554, "")</f>
        <v/>
      </c>
    </row>
    <row r="556" spans="38:38" x14ac:dyDescent="0.2">
      <c r="AL556" s="18" t="str">
        <f>IF(COUNTIF($A$2:A555, A555) = 1, A555, "")</f>
        <v/>
      </c>
    </row>
    <row r="557" spans="38:38" x14ac:dyDescent="0.2">
      <c r="AL557" s="18" t="str">
        <f>IF(COUNTIF($A$2:A556, A556) = 1, A556, "")</f>
        <v/>
      </c>
    </row>
    <row r="558" spans="38:38" x14ac:dyDescent="0.2">
      <c r="AL558" s="18" t="str">
        <f>IF(COUNTIF($A$2:A557, A557) = 1, A557, "")</f>
        <v/>
      </c>
    </row>
    <row r="559" spans="38:38" x14ac:dyDescent="0.2">
      <c r="AL559" s="18" t="str">
        <f>IF(COUNTIF($A$2:A558, A558) = 1, A558, "")</f>
        <v/>
      </c>
    </row>
    <row r="560" spans="38:38" x14ac:dyDescent="0.2">
      <c r="AL560" s="18" t="str">
        <f>IF(COUNTIF($A$2:A559, A559) = 1, A559, "")</f>
        <v/>
      </c>
    </row>
    <row r="561" spans="38:38" x14ac:dyDescent="0.2">
      <c r="AL561" s="18" t="str">
        <f>IF(COUNTIF($A$2:A560, A560) = 1, A560, "")</f>
        <v/>
      </c>
    </row>
    <row r="562" spans="38:38" x14ac:dyDescent="0.2">
      <c r="AL562" s="18" t="str">
        <f>IF(COUNTIF($A$2:A561, A561) = 1, A561, "")</f>
        <v/>
      </c>
    </row>
    <row r="563" spans="38:38" x14ac:dyDescent="0.2">
      <c r="AL563" s="18" t="str">
        <f>IF(COUNTIF($A$2:A562, A562) = 1, A562, "")</f>
        <v/>
      </c>
    </row>
    <row r="564" spans="38:38" x14ac:dyDescent="0.2">
      <c r="AL564" s="18" t="str">
        <f>IF(COUNTIF($A$2:A563, A563) = 1, A563, "")</f>
        <v/>
      </c>
    </row>
    <row r="565" spans="38:38" x14ac:dyDescent="0.2">
      <c r="AL565" s="18" t="str">
        <f>IF(COUNTIF($A$2:A564, A564) = 1, A564, "")</f>
        <v/>
      </c>
    </row>
    <row r="566" spans="38:38" x14ac:dyDescent="0.2">
      <c r="AL566" s="18" t="str">
        <f>IF(COUNTIF($A$2:A565, A565) = 1, A565, "")</f>
        <v/>
      </c>
    </row>
    <row r="567" spans="38:38" x14ac:dyDescent="0.2">
      <c r="AL567" s="18" t="str">
        <f>IF(COUNTIF($A$2:A566, A566) = 1, A566, "")</f>
        <v/>
      </c>
    </row>
    <row r="568" spans="38:38" x14ac:dyDescent="0.2">
      <c r="AL568" s="18" t="str">
        <f>IF(COUNTIF($A$2:A567, A567) = 1, A567, "")</f>
        <v/>
      </c>
    </row>
    <row r="569" spans="38:38" x14ac:dyDescent="0.2">
      <c r="AL569" s="18" t="str">
        <f>IF(COUNTIF($A$2:A568, A568) = 1, A568, "")</f>
        <v/>
      </c>
    </row>
    <row r="570" spans="38:38" x14ac:dyDescent="0.2">
      <c r="AL570" s="18" t="str">
        <f>IF(COUNTIF($A$2:A569, A569) = 1, A569, "")</f>
        <v/>
      </c>
    </row>
    <row r="571" spans="38:38" x14ac:dyDescent="0.2">
      <c r="AL571" s="18" t="str">
        <f>IF(COUNTIF($A$2:A570, A570) = 1, A570, "")</f>
        <v/>
      </c>
    </row>
    <row r="572" spans="38:38" x14ac:dyDescent="0.2">
      <c r="AL572" s="18" t="str">
        <f>IF(COUNTIF($A$2:A571, A571) = 1, A571, "")</f>
        <v/>
      </c>
    </row>
    <row r="573" spans="38:38" x14ac:dyDescent="0.2">
      <c r="AL573" s="18" t="str">
        <f>IF(COUNTIF($A$2:A572, A572) = 1, A572, "")</f>
        <v/>
      </c>
    </row>
    <row r="574" spans="38:38" x14ac:dyDescent="0.2">
      <c r="AL574" s="18" t="str">
        <f>IF(COUNTIF($A$2:A573, A573) = 1, A573, "")</f>
        <v/>
      </c>
    </row>
    <row r="575" spans="38:38" x14ac:dyDescent="0.2">
      <c r="AL575" s="18" t="str">
        <f>IF(COUNTIF($A$2:A574, A574) = 1, A574, "")</f>
        <v/>
      </c>
    </row>
    <row r="576" spans="38:38" x14ac:dyDescent="0.2">
      <c r="AL576" s="18" t="str">
        <f>IF(COUNTIF($A$2:A575, A575) = 1, A575, "")</f>
        <v/>
      </c>
    </row>
    <row r="577" spans="38:38" x14ac:dyDescent="0.2">
      <c r="AL577" s="18" t="str">
        <f>IF(COUNTIF($A$2:A576, A576) = 1, A576, "")</f>
        <v/>
      </c>
    </row>
    <row r="578" spans="38:38" x14ac:dyDescent="0.2">
      <c r="AL578" s="18" t="str">
        <f>IF(COUNTIF($A$2:A577, A577) = 1, A577, "")</f>
        <v/>
      </c>
    </row>
    <row r="579" spans="38:38" x14ac:dyDescent="0.2">
      <c r="AL579" s="18" t="str">
        <f>IF(COUNTIF($A$2:A578, A578) = 1, A578, "")</f>
        <v/>
      </c>
    </row>
    <row r="580" spans="38:38" x14ac:dyDescent="0.2">
      <c r="AL580" s="18" t="str">
        <f>IF(COUNTIF($A$2:A579, A579) = 1, A579, "")</f>
        <v/>
      </c>
    </row>
    <row r="581" spans="38:38" x14ac:dyDescent="0.2">
      <c r="AL581" s="18" t="str">
        <f>IF(COUNTIF($A$2:A580, A580) = 1, A580, "")</f>
        <v/>
      </c>
    </row>
  </sheetData>
  <mergeCells count="19">
    <mergeCell ref="T2:U2"/>
    <mergeCell ref="T3:U3"/>
    <mergeCell ref="T4:U4"/>
    <mergeCell ref="T6:U6"/>
    <mergeCell ref="T19:U19"/>
    <mergeCell ref="T20:U20"/>
    <mergeCell ref="T21:U21"/>
    <mergeCell ref="T22:U22"/>
    <mergeCell ref="T7:U7"/>
    <mergeCell ref="T8:U8"/>
    <mergeCell ref="T9:U9"/>
    <mergeCell ref="T10:U10"/>
    <mergeCell ref="T11:V11"/>
    <mergeCell ref="T12:U12"/>
    <mergeCell ref="T14:U14"/>
    <mergeCell ref="T15:U15"/>
    <mergeCell ref="T16:U16"/>
    <mergeCell ref="T17:V17"/>
    <mergeCell ref="T13:U13"/>
  </mergeCells>
  <conditionalFormatting sqref="N1:N1048576">
    <cfRule type="dataBar" priority="63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{1542458F-BC4B-7D44-8303-CAB6066EA786}</x14:id>
        </ext>
      </extLst>
    </cfRule>
  </conditionalFormatting>
  <conditionalFormatting sqref="V4">
    <cfRule type="colorScale" priority="56">
      <colorScale>
        <cfvo type="num" val="-50"/>
        <cfvo type="num" val="0"/>
        <cfvo type="num" val="50"/>
        <color rgb="FFC00000"/>
        <color theme="0"/>
        <color rgb="FF00B050"/>
      </colorScale>
    </cfRule>
  </conditionalFormatting>
  <conditionalFormatting sqref="V9">
    <cfRule type="dataBar" priority="55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{5A729715-B365-D545-95E2-634A4FEB0A6C}</x14:id>
        </ext>
      </extLst>
    </cfRule>
  </conditionalFormatting>
  <conditionalFormatting sqref="V15">
    <cfRule type="dataBar" priority="54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{DD7A42E4-79DA-9944-BE99-D3C9BE86A385}</x14:id>
        </ext>
      </extLst>
    </cfRule>
  </conditionalFormatting>
  <conditionalFormatting sqref="V10">
    <cfRule type="dataBar" priority="38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{3EBBD4CA-6D55-4243-8E77-2398E3627FAF}</x14:id>
        </ext>
      </extLst>
    </cfRule>
    <cfRule type="colorScale" priority="39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V16">
    <cfRule type="dataBar" priority="36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{5CCB7675-D161-1843-B109-027311C0DAF6}</x14:id>
        </ext>
      </extLst>
    </cfRule>
    <cfRule type="colorScale" priority="37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12:Y18">
    <cfRule type="dataBar" priority="16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{0489812A-8FBB-3B41-841C-A9DD6B162A5A}</x14:id>
        </ext>
      </extLst>
    </cfRule>
    <cfRule type="colorScale" priority="17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A41:AA43 AA26:AA31 AA3:AA9 AA34:AA38 AA12:AA18 AA21:AA23">
    <cfRule type="dataBar" priority="11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{B198D23B-C9C4-0442-B36A-C0846ECCFAF4}</x14:id>
        </ext>
      </extLst>
    </cfRule>
  </conditionalFormatting>
  <conditionalFormatting sqref="AA46:AA47">
    <cfRule type="dataBar" priority="10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{833497D4-A154-AC40-ACEA-AA3AB6CAFA84}</x14:id>
        </ext>
      </extLst>
    </cfRule>
  </conditionalFormatting>
  <conditionalFormatting sqref="Z2:Z47">
    <cfRule type="dataBar" priority="9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{E4AD1B0D-8121-9D49-96D8-84BB842E00F8}</x14:id>
        </ext>
      </extLst>
    </cfRule>
  </conditionalFormatting>
  <conditionalFormatting sqref="AE3:AE50">
    <cfRule type="dataBar" priority="12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{83FED056-AC1C-C24D-B43C-F9964FA6BD81}</x14:id>
        </ext>
      </extLst>
    </cfRule>
    <cfRule type="colorScale" priority="13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D3:AD50">
    <cfRule type="dataBar" priority="14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{CB067221-716C-E24C-870A-FB45607E6627}</x14:id>
        </ext>
      </extLst>
    </cfRule>
    <cfRule type="colorScale" priority="15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3:Y9">
    <cfRule type="dataBar" priority="7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{AC56F133-975B-BB4F-A9E2-F8867F58E5D0}</x14:id>
        </ext>
      </extLst>
    </cfRule>
    <cfRule type="colorScale" priority="8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21:Y47">
    <cfRule type="dataBar" priority="5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{2DEF56E9-E9EA-784B-9D26-207FB26C744F}</x14:id>
        </ext>
      </extLst>
    </cfRule>
    <cfRule type="colorScale" priority="6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A50:AA58">
    <cfRule type="dataBar" priority="4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{229B404E-555D-1440-AEA4-0868A7417C12}</x14:id>
        </ext>
      </extLst>
    </cfRule>
  </conditionalFormatting>
  <conditionalFormatting sqref="Z49:Z58">
    <cfRule type="dataBar" priority="3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{4B2084AC-FDDF-904E-B42C-0A2893986980}</x14:id>
        </ext>
      </extLst>
    </cfRule>
  </conditionalFormatting>
  <conditionalFormatting sqref="Y49:Y58">
    <cfRule type="dataBar" priority="1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{7CC29D3F-1BF6-0C4F-932A-DAE49D08C36B}</x14:id>
        </ext>
      </extLst>
    </cfRule>
    <cfRule type="colorScale" priority="2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dataValidations count="3">
    <dataValidation type="list" allowBlank="1" showInputMessage="1" showErrorMessage="1" sqref="G2:J536 M2:M536" xr:uid="{162FACC7-94F7-3A4A-82E6-C6609BE91A5E}">
      <formula1>"Yes, No"</formula1>
    </dataValidation>
    <dataValidation type="list" allowBlank="1" showInputMessage="1" showErrorMessage="1" sqref="D2:D536" xr:uid="{90C6A61C-4134-994E-8516-8A506F9E563F}">
      <formula1>"Straight, Parlay, Boost"</formula1>
    </dataValidation>
    <dataValidation type="list" allowBlank="1" showInputMessage="1" showErrorMessage="1" sqref="R2:R1048576" xr:uid="{2EFAFE96-0CCF-9C44-B398-A1159082CB55}">
      <formula1>$X$50:$X$58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42458F-BC4B-7D44-8303-CAB6066EA78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N1:N1048576</xm:sqref>
        </x14:conditionalFormatting>
        <x14:conditionalFormatting xmlns:xm="http://schemas.microsoft.com/office/excel/2006/main">
          <x14:cfRule type="dataBar" id="{5A729715-B365-D545-95E2-634A4FEB0A6C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DD7A42E4-79DA-9944-BE99-D3C9BE86A385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3EBBD4CA-6D55-4243-8E77-2398E3627FA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5CCB7675-D161-1843-B109-027311C0DAF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0489812A-8FBB-3B41-841C-A9DD6B162A5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Y12:Y18</xm:sqref>
        </x14:conditionalFormatting>
        <x14:conditionalFormatting xmlns:xm="http://schemas.microsoft.com/office/excel/2006/main">
          <x14:cfRule type="dataBar" id="{B198D23B-C9C4-0442-B36A-C0846ECCFAF4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AA41:AA43 AA26:AA31 AA3:AA9 AA34:AA38 AA12:AA18 AA21:AA23</xm:sqref>
        </x14:conditionalFormatting>
        <x14:conditionalFormatting xmlns:xm="http://schemas.microsoft.com/office/excel/2006/main">
          <x14:cfRule type="dataBar" id="{833497D4-A154-AC40-ACEA-AA3AB6CAFA84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AA46:AA47</xm:sqref>
        </x14:conditionalFormatting>
        <x14:conditionalFormatting xmlns:xm="http://schemas.microsoft.com/office/excel/2006/main">
          <x14:cfRule type="dataBar" id="{E4AD1B0D-8121-9D49-96D8-84BB842E00F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Z2:Z47</xm:sqref>
        </x14:conditionalFormatting>
        <x14:conditionalFormatting xmlns:xm="http://schemas.microsoft.com/office/excel/2006/main">
          <x14:cfRule type="dataBar" id="{83FED056-AC1C-C24D-B43C-F9964FA6BD8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AE3:AE50</xm:sqref>
        </x14:conditionalFormatting>
        <x14:conditionalFormatting xmlns:xm="http://schemas.microsoft.com/office/excel/2006/main">
          <x14:cfRule type="dataBar" id="{CB067221-716C-E24C-870A-FB45607E662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AD3:AD50</xm:sqref>
        </x14:conditionalFormatting>
        <x14:conditionalFormatting xmlns:xm="http://schemas.microsoft.com/office/excel/2006/main">
          <x14:cfRule type="dataBar" id="{AC56F133-975B-BB4F-A9E2-F8867F58E5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Y3:Y9</xm:sqref>
        </x14:conditionalFormatting>
        <x14:conditionalFormatting xmlns:xm="http://schemas.microsoft.com/office/excel/2006/main">
          <x14:cfRule type="dataBar" id="{2DEF56E9-E9EA-784B-9D26-207FB26C744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Y21:Y47</xm:sqref>
        </x14:conditionalFormatting>
        <x14:conditionalFormatting xmlns:xm="http://schemas.microsoft.com/office/excel/2006/main">
          <x14:cfRule type="dataBar" id="{229B404E-555D-1440-AEA4-0868A7417C12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AA50:AA58</xm:sqref>
        </x14:conditionalFormatting>
        <x14:conditionalFormatting xmlns:xm="http://schemas.microsoft.com/office/excel/2006/main">
          <x14:cfRule type="dataBar" id="{4B2084AC-FDDF-904E-B42C-0A28939869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Z49:Z58</xm:sqref>
        </x14:conditionalFormatting>
        <x14:conditionalFormatting xmlns:xm="http://schemas.microsoft.com/office/excel/2006/main">
          <x14:cfRule type="dataBar" id="{7CC29D3F-1BF6-0C4F-932A-DAE49D08C36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Y49:Y58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DFFEB-7A2F-8D43-8CA1-D30927DB7DFA}">
  <sheetPr codeName="Sheet11"/>
  <dimension ref="A1:AL581"/>
  <sheetViews>
    <sheetView topLeftCell="D1" zoomScale="80" zoomScaleNormal="80" workbookViewId="0">
      <pane ySplit="1" topLeftCell="A3" activePane="bottomLeft" state="frozen"/>
      <selection pane="bottomLeft" activeCell="B2" sqref="B2:B1048576"/>
    </sheetView>
  </sheetViews>
  <sheetFormatPr baseColWidth="10" defaultRowHeight="16" x14ac:dyDescent="0.2"/>
  <cols>
    <col min="1" max="1" width="11.5" style="18" bestFit="1" customWidth="1"/>
    <col min="4" max="4" width="11.5" bestFit="1" customWidth="1"/>
    <col min="6" max="6" width="14.83203125" bestFit="1" customWidth="1"/>
    <col min="8" max="8" width="12.5" bestFit="1" customWidth="1"/>
    <col min="11" max="11" width="10.83203125" style="7"/>
    <col min="14" max="14" width="13.5" bestFit="1" customWidth="1"/>
    <col min="15" max="15" width="21.1640625" bestFit="1" customWidth="1"/>
    <col min="16" max="16" width="31.33203125" customWidth="1"/>
    <col min="17" max="17" width="30.5" customWidth="1"/>
    <col min="18" max="18" width="11.5" customWidth="1"/>
    <col min="19" max="19" width="19.33203125" customWidth="1"/>
    <col min="20" max="20" width="11.6640625" bestFit="1" customWidth="1"/>
    <col min="22" max="22" width="12.6640625" bestFit="1" customWidth="1"/>
    <col min="24" max="24" width="14.83203125" style="32" bestFit="1" customWidth="1"/>
    <col min="26" max="26" width="10.83203125" hidden="1" customWidth="1"/>
    <col min="29" max="29" width="10.83203125" style="18"/>
    <col min="30" max="30" width="11" customWidth="1"/>
    <col min="31" max="31" width="10.1640625" bestFit="1" customWidth="1"/>
    <col min="38" max="38" width="0" hidden="1" customWidth="1"/>
  </cols>
  <sheetData>
    <row r="1" spans="1:38" ht="17" thickBot="1" x14ac:dyDescent="0.25">
      <c r="A1" s="56" t="s">
        <v>15</v>
      </c>
      <c r="B1" s="57" t="s">
        <v>10</v>
      </c>
      <c r="C1" s="57" t="s">
        <v>11</v>
      </c>
      <c r="D1" s="57" t="s">
        <v>50</v>
      </c>
      <c r="E1" s="57" t="s">
        <v>12</v>
      </c>
      <c r="F1" s="57" t="s">
        <v>3</v>
      </c>
      <c r="G1" s="57" t="s">
        <v>4</v>
      </c>
      <c r="H1" s="57" t="s">
        <v>60</v>
      </c>
      <c r="I1" s="57" t="s">
        <v>6</v>
      </c>
      <c r="J1" s="57" t="s">
        <v>69</v>
      </c>
      <c r="K1" s="57" t="s">
        <v>7</v>
      </c>
      <c r="L1" s="57" t="s">
        <v>8</v>
      </c>
      <c r="M1" s="57" t="s">
        <v>21</v>
      </c>
      <c r="N1" s="57" t="s">
        <v>9</v>
      </c>
      <c r="O1" s="57" t="s">
        <v>51</v>
      </c>
      <c r="P1" s="57" t="s">
        <v>13</v>
      </c>
      <c r="Q1" s="57" t="s">
        <v>14</v>
      </c>
      <c r="R1" s="57" t="s">
        <v>89</v>
      </c>
      <c r="S1" s="57" t="s">
        <v>61</v>
      </c>
    </row>
    <row r="2" spans="1:38" ht="17" thickBot="1" x14ac:dyDescent="0.25">
      <c r="A2" s="55" t="s">
        <v>86</v>
      </c>
      <c r="F2" t="str">
        <f t="shared" ref="F2:F65" si="0">IF(OR(O2="", P2=""), "", SUM(IF((O2&lt;&gt;"None")*(O2&lt;&gt;""),LEN(O2)-LEN(SUBSTITUTE(O2,",",""))+1,0)) + SUM(IF((P2&lt;&gt;"None")*(P2&lt;&gt;""),LEN(P2)-LEN(SUBSTITUTE(P2,",",""))+1,0)))</f>
        <v/>
      </c>
      <c r="L2" s="7" t="str">
        <f t="shared" ref="L2:L65" si="1">IF(LEN(E2)=0, "", IFERROR(IF(E2&gt;=0, K2 * (1 + E2/100) - K2, K2 / (ABS(E2)/100))+K2, ""))</f>
        <v/>
      </c>
      <c r="N2" s="7" t="str">
        <f t="shared" ref="N2:N65" si="2">IF(M2="Yes",L2-K2,IF(M2="No",-K2,""))</f>
        <v/>
      </c>
      <c r="O2" t="str">
        <f t="shared" ref="O2:O65" si="3">IF(AND(G2="No",H2="No"), "None", "")</f>
        <v/>
      </c>
      <c r="P2" t="str">
        <f t="shared" ref="P2:P17" si="4">IF(I2="No", "None", "")</f>
        <v/>
      </c>
      <c r="Q2" t="str">
        <f t="shared" ref="Q2:Q65" si="5">IF(AND(D2="Straight", M2 = "No"),IF(O2="None",P2,IF(P2="None",O2) ),"")</f>
        <v/>
      </c>
      <c r="S2" t="str">
        <f>""</f>
        <v/>
      </c>
      <c r="T2" s="109" t="s">
        <v>0</v>
      </c>
      <c r="U2" s="110"/>
      <c r="V2" s="4">
        <f>'Aug 2025'!V3</f>
        <v>0</v>
      </c>
      <c r="X2" s="79" t="s">
        <v>10</v>
      </c>
      <c r="Y2" s="80" t="s">
        <v>9</v>
      </c>
      <c r="Z2" s="81" t="s">
        <v>84</v>
      </c>
      <c r="AA2" s="82" t="s">
        <v>39</v>
      </c>
      <c r="AC2" s="86" t="s">
        <v>70</v>
      </c>
      <c r="AD2" s="87" t="s">
        <v>9</v>
      </c>
      <c r="AE2" s="88" t="s">
        <v>71</v>
      </c>
    </row>
    <row r="3" spans="1:38" x14ac:dyDescent="0.2">
      <c r="F3" t="str">
        <f t="shared" si="0"/>
        <v/>
      </c>
      <c r="L3" s="7" t="str">
        <f t="shared" si="1"/>
        <v/>
      </c>
      <c r="N3" s="7" t="str">
        <f t="shared" si="2"/>
        <v/>
      </c>
      <c r="O3" t="str">
        <f t="shared" si="3"/>
        <v/>
      </c>
      <c r="P3" t="str">
        <f t="shared" si="4"/>
        <v/>
      </c>
      <c r="Q3" t="str">
        <f t="shared" si="5"/>
        <v/>
      </c>
      <c r="S3" t="str">
        <f>""</f>
        <v/>
      </c>
      <c r="T3" s="101" t="s">
        <v>1</v>
      </c>
      <c r="U3" s="102"/>
      <c r="V3" s="5">
        <f>V2+V4</f>
        <v>0</v>
      </c>
      <c r="X3" s="47" t="s">
        <v>16</v>
      </c>
      <c r="Y3" s="45">
        <f>SUMIF($B:B,X3,N:N)</f>
        <v>0</v>
      </c>
      <c r="Z3" s="40">
        <f t="shared" ref="Z3:Z9" si="6">COUNTIF(B:B,X3)</f>
        <v>0</v>
      </c>
      <c r="AA3" s="41">
        <f t="shared" ref="AA3:AA9" si="7">IFERROR(COUNTIFS(B:B, X3)/COUNTA($B$2:$B$994),0)</f>
        <v>0</v>
      </c>
      <c r="AC3" s="17" t="str" cm="1">
        <f t="array" ref="AC3">IFERROR(INDEX($AL$2:$AL$300, MATCH(0, COUNTIF($AC$2:AC2, $AL$2:$AL$300) + IF($AL$2:$AL$300="", 1, 0), 0)), "")</f>
        <v/>
      </c>
      <c r="AD3" s="9">
        <f t="shared" ref="AD3:AD25" si="8">IF(ISBLANK(AC3),"",SUMIF(A:A,AC3,N:N))</f>
        <v>0</v>
      </c>
      <c r="AE3" s="19">
        <f>SUM(AD$3:AD3)</f>
        <v>0</v>
      </c>
      <c r="AL3" s="18" t="str">
        <f>IF(COUNTIF($A$2:A2, A2) = 1, A2, "")</f>
        <v/>
      </c>
    </row>
    <row r="4" spans="1:38" ht="17" thickBot="1" x14ac:dyDescent="0.25">
      <c r="F4" t="str">
        <f t="shared" ref="F4" si="9">IF(OR(O4="", P4=""), "", SUM(IF((O4&lt;&gt;"None")*(O4&lt;&gt;""),LEN(O4)-LEN(SUBSTITUTE(O4,",",""))+1,0)) + SUM(IF((P4&lt;&gt;"None")*(P4&lt;&gt;""),LEN(P4)-LEN(SUBSTITUTE(P4,",",""))+1,0)))</f>
        <v/>
      </c>
      <c r="L4" s="7" t="str">
        <f t="shared" ref="L4" si="10">IF(LEN(E4)=0, "", IFERROR(IF(E4&gt;=0, K4 * (1 + E4/100) - K4, K4 / (ABS(E4)/100))+K4, ""))</f>
        <v/>
      </c>
      <c r="N4" s="7" t="str">
        <f t="shared" ref="N4" si="11">IF(M4="Yes",L4-K4,IF(M4="No",-K4,""))</f>
        <v/>
      </c>
      <c r="O4" t="str">
        <f t="shared" ref="O4" si="12">IF(AND(G4="No",H4="No"), "None", "")</f>
        <v/>
      </c>
      <c r="P4" t="str">
        <f t="shared" ref="P4" si="13">IF(I4="No", "None", "")</f>
        <v/>
      </c>
      <c r="Q4" t="str">
        <f t="shared" ref="Q4" si="14">IF(AND(D4="Straight", M4 = "No"),IF(O4="None",P4,IF(P4="None",O4) ),"")</f>
        <v/>
      </c>
      <c r="S4" t="str">
        <f>""</f>
        <v/>
      </c>
      <c r="T4" s="96" t="s">
        <v>2</v>
      </c>
      <c r="U4" s="97"/>
      <c r="V4" s="10">
        <f>SUM(N2:N1048576)</f>
        <v>0</v>
      </c>
      <c r="X4" s="48" t="s">
        <v>23</v>
      </c>
      <c r="Y4" s="45">
        <f>SUMIF($B:B,X4,N:N)</f>
        <v>0</v>
      </c>
      <c r="Z4" s="34">
        <f t="shared" si="6"/>
        <v>0</v>
      </c>
      <c r="AA4" s="38">
        <f t="shared" si="7"/>
        <v>0</v>
      </c>
      <c r="AC4" s="17" t="str" cm="1">
        <f t="array" ref="AC4">IFERROR(INDEX($AL$2:$AL$300, MATCH(0, COUNTIF($AC$2:AC3, $AL$2:$AL$300) + IF($AL$2:$AL$300="", 1, 0), 0)), "")</f>
        <v/>
      </c>
      <c r="AD4" s="9">
        <f t="shared" si="8"/>
        <v>0</v>
      </c>
      <c r="AE4" s="19">
        <f>SUM(AD$3:AD4)</f>
        <v>0</v>
      </c>
      <c r="AL4" s="18" t="str">
        <f>IF(COUNTIF($A$2:A3, A3) = 1, A3, "")</f>
        <v/>
      </c>
    </row>
    <row r="5" spans="1:38" ht="17" thickBot="1" x14ac:dyDescent="0.25">
      <c r="F5" t="str">
        <f t="shared" si="0"/>
        <v/>
      </c>
      <c r="L5" s="7" t="str">
        <f t="shared" si="1"/>
        <v/>
      </c>
      <c r="N5" s="7" t="str">
        <f t="shared" si="2"/>
        <v/>
      </c>
      <c r="O5" t="str">
        <f t="shared" si="3"/>
        <v/>
      </c>
      <c r="P5" t="str">
        <f t="shared" si="4"/>
        <v/>
      </c>
      <c r="Q5" t="str">
        <f t="shared" si="5"/>
        <v/>
      </c>
      <c r="S5" t="str">
        <f>""</f>
        <v/>
      </c>
      <c r="X5" s="48" t="s">
        <v>24</v>
      </c>
      <c r="Y5" s="45">
        <f>SUMIF($B:B,X5,N:N)</f>
        <v>0</v>
      </c>
      <c r="Z5" s="34">
        <f t="shared" si="6"/>
        <v>0</v>
      </c>
      <c r="AA5" s="38">
        <f t="shared" si="7"/>
        <v>0</v>
      </c>
      <c r="AC5" s="17" t="str" cm="1">
        <f t="array" ref="AC5">IFERROR(INDEX($AL$2:$AL$300, MATCH(0, COUNTIF($AC$2:AC4, $AL$2:$AL$300) + IF($AL$2:$AL$300="", 1, 0), 0)), "")</f>
        <v/>
      </c>
      <c r="AD5" s="9">
        <f t="shared" si="8"/>
        <v>0</v>
      </c>
      <c r="AE5" s="19">
        <f>SUM(AD$3:AD5)</f>
        <v>0</v>
      </c>
      <c r="AL5" s="18" t="str">
        <f>IF(COUNTIF($A$2:A4, A4) = 1, A4, "")</f>
        <v/>
      </c>
    </row>
    <row r="6" spans="1:38" x14ac:dyDescent="0.2">
      <c r="F6" t="str">
        <f t="shared" si="0"/>
        <v/>
      </c>
      <c r="L6" s="7" t="str">
        <f t="shared" si="1"/>
        <v/>
      </c>
      <c r="N6" s="7" t="str">
        <f t="shared" si="2"/>
        <v/>
      </c>
      <c r="O6" t="str">
        <f t="shared" si="3"/>
        <v/>
      </c>
      <c r="P6" t="str">
        <f t="shared" si="4"/>
        <v/>
      </c>
      <c r="Q6" t="str">
        <f t="shared" si="5"/>
        <v/>
      </c>
      <c r="S6" t="str">
        <f>""</f>
        <v/>
      </c>
      <c r="T6" s="109" t="s">
        <v>27</v>
      </c>
      <c r="U6" s="110"/>
      <c r="V6" s="58" t="str">
        <f>Master!D6</f>
        <v>Lions</v>
      </c>
      <c r="X6" s="48" t="s">
        <v>52</v>
      </c>
      <c r="Y6" s="45">
        <f>SUMIF($B:B,X6,N:N)</f>
        <v>0</v>
      </c>
      <c r="Z6" s="34">
        <f t="shared" si="6"/>
        <v>0</v>
      </c>
      <c r="AA6" s="38">
        <f t="shared" si="7"/>
        <v>0</v>
      </c>
      <c r="AC6" s="17" t="str" cm="1">
        <f t="array" ref="AC6">IFERROR(INDEX($AL$2:$AL$300, MATCH(0, COUNTIF($AC$2:AC5, $AL$2:$AL$300) + IF($AL$2:$AL$300="", 1, 0), 0)), "")</f>
        <v/>
      </c>
      <c r="AD6" s="9">
        <f t="shared" si="8"/>
        <v>0</v>
      </c>
      <c r="AE6" s="19">
        <f>SUM(AD$3:AD6)</f>
        <v>0</v>
      </c>
      <c r="AL6" s="18" t="str">
        <f>IF(COUNTIF($A$2:A5, A5) = 1, A5, "")</f>
        <v/>
      </c>
    </row>
    <row r="7" spans="1:38" x14ac:dyDescent="0.2">
      <c r="F7" t="str">
        <f t="shared" si="0"/>
        <v/>
      </c>
      <c r="L7" s="7" t="str">
        <f t="shared" si="1"/>
        <v/>
      </c>
      <c r="N7" s="7" t="str">
        <f t="shared" si="2"/>
        <v/>
      </c>
      <c r="O7" t="str">
        <f t="shared" si="3"/>
        <v/>
      </c>
      <c r="P7" t="str">
        <f t="shared" si="4"/>
        <v/>
      </c>
      <c r="Q7" t="str">
        <f t="shared" si="5"/>
        <v/>
      </c>
      <c r="S7" t="str">
        <f>""</f>
        <v/>
      </c>
      <c r="T7" s="111" t="s">
        <v>99</v>
      </c>
      <c r="U7" s="112"/>
      <c r="V7" s="8" cm="1">
        <f t="array" ref="V7">SUM(IF(ISNUMBER(SEARCH(V6, SUBSTITUTE($O$2:$O$998, ",", ""))), 1, 0))</f>
        <v>0</v>
      </c>
      <c r="X7" s="48" t="s">
        <v>87</v>
      </c>
      <c r="Y7" s="45">
        <f>SUMIF($B:B,X7,N:N)</f>
        <v>0</v>
      </c>
      <c r="Z7" s="34">
        <f t="shared" si="6"/>
        <v>0</v>
      </c>
      <c r="AA7" s="38">
        <f t="shared" si="7"/>
        <v>0</v>
      </c>
      <c r="AC7" s="17" t="str" cm="1">
        <f t="array" ref="AC7">IFERROR(INDEX($AL$2:$AL$300, MATCH(0, COUNTIF($AC$2:AC6, $AL$2:$AL$300) + IF($AL$2:$AL$300="", 1, 0), 0)), "")</f>
        <v/>
      </c>
      <c r="AD7" s="9">
        <f t="shared" si="8"/>
        <v>0</v>
      </c>
      <c r="AE7" s="20">
        <f>SUM(AD$3:AD7)</f>
        <v>0</v>
      </c>
      <c r="AL7" s="18" t="str">
        <f>IF(COUNTIF($A$2:A6, A6) = 1, A6, "")</f>
        <v/>
      </c>
    </row>
    <row r="8" spans="1:38" x14ac:dyDescent="0.2">
      <c r="F8" t="str">
        <f t="shared" si="0"/>
        <v/>
      </c>
      <c r="L8" s="7" t="str">
        <f t="shared" si="1"/>
        <v/>
      </c>
      <c r="N8" s="7" t="str">
        <f t="shared" si="2"/>
        <v/>
      </c>
      <c r="O8" t="str">
        <f t="shared" si="3"/>
        <v/>
      </c>
      <c r="P8" t="str">
        <f t="shared" si="4"/>
        <v/>
      </c>
      <c r="Q8" t="str">
        <f t="shared" si="5"/>
        <v/>
      </c>
      <c r="S8" t="str">
        <f>""</f>
        <v/>
      </c>
      <c r="T8" s="111" t="s">
        <v>100</v>
      </c>
      <c r="U8" s="112"/>
      <c r="V8" s="8" cm="1">
        <f t="array" ref="V8">SUM(IF(ISNUMBER(SEARCH(V6, SUBSTITUTE($Q$2:$Q$998, ",", ""))), 1, 0))</f>
        <v>0</v>
      </c>
      <c r="X8" s="48" t="s">
        <v>85</v>
      </c>
      <c r="Y8" s="45">
        <f>SUMIF($B:B,X8,N:N)</f>
        <v>0</v>
      </c>
      <c r="Z8" s="34">
        <f t="shared" si="6"/>
        <v>0</v>
      </c>
      <c r="AA8" s="38">
        <f t="shared" si="7"/>
        <v>0</v>
      </c>
      <c r="AC8" s="17" t="str" cm="1">
        <f t="array" ref="AC8">IFERROR(INDEX($AL$2:$AL$300, MATCH(0, COUNTIF($AC$2:AC7, $AL$2:$AL$300) + IF($AL$2:$AL$300="", 1, 0), 0)), "")</f>
        <v/>
      </c>
      <c r="AD8" s="9">
        <f t="shared" si="8"/>
        <v>0</v>
      </c>
      <c r="AE8" s="19">
        <f>SUM(AD$3:AD8)</f>
        <v>0</v>
      </c>
      <c r="AL8" s="18" t="str">
        <f>IF(COUNTIF($A$2:A7, A7) = 1, A7, "")</f>
        <v/>
      </c>
    </row>
    <row r="9" spans="1:38" ht="17" thickBot="1" x14ac:dyDescent="0.25">
      <c r="F9" t="str">
        <f t="shared" si="0"/>
        <v/>
      </c>
      <c r="L9" s="7" t="str">
        <f t="shared" si="1"/>
        <v/>
      </c>
      <c r="N9" s="7" t="str">
        <f t="shared" si="2"/>
        <v/>
      </c>
      <c r="O9" t="str">
        <f t="shared" si="3"/>
        <v/>
      </c>
      <c r="P9" t="str">
        <f t="shared" si="4"/>
        <v/>
      </c>
      <c r="Q9" t="str">
        <f t="shared" si="5"/>
        <v/>
      </c>
      <c r="S9" t="str">
        <f>""</f>
        <v/>
      </c>
      <c r="T9" s="101" t="s">
        <v>28</v>
      </c>
      <c r="U9" s="102"/>
      <c r="V9" s="51" t="e">
        <f>1-(V8/V7)</f>
        <v>#DIV/0!</v>
      </c>
      <c r="X9" s="50" t="s">
        <v>53</v>
      </c>
      <c r="Y9" s="44">
        <f>SUMIF($B:B,X9,N:N)</f>
        <v>0</v>
      </c>
      <c r="Z9" s="35">
        <f t="shared" si="6"/>
        <v>0</v>
      </c>
      <c r="AA9" s="39">
        <f t="shared" si="7"/>
        <v>0</v>
      </c>
      <c r="AC9" s="17" t="str" cm="1">
        <f t="array" ref="AC9">IFERROR(INDEX($AL$2:$AL$300, MATCH(0, COUNTIF($AC$2:AC8, $AL$2:$AL$300) + IF($AL$2:$AL$300="", 1, 0), 0)), "")</f>
        <v/>
      </c>
      <c r="AD9" s="9">
        <f t="shared" si="8"/>
        <v>0</v>
      </c>
      <c r="AE9" s="19">
        <f>SUM(AD$3:AD9)</f>
        <v>0</v>
      </c>
      <c r="AL9" s="18" t="str">
        <f>IF(COUNTIF($A$2:A8, A8) = 1, A8, "")</f>
        <v/>
      </c>
    </row>
    <row r="10" spans="1:38" ht="17" thickBot="1" x14ac:dyDescent="0.25">
      <c r="F10" t="str">
        <f t="shared" si="0"/>
        <v/>
      </c>
      <c r="L10" s="7" t="str">
        <f t="shared" si="1"/>
        <v/>
      </c>
      <c r="N10" s="7" t="str">
        <f t="shared" si="2"/>
        <v/>
      </c>
      <c r="O10" t="str">
        <f t="shared" si="3"/>
        <v/>
      </c>
      <c r="P10" t="str">
        <f t="shared" si="4"/>
        <v/>
      </c>
      <c r="Q10" t="str">
        <f t="shared" si="5"/>
        <v/>
      </c>
      <c r="S10" t="str">
        <f>""</f>
        <v/>
      </c>
      <c r="T10" s="115" t="s">
        <v>9</v>
      </c>
      <c r="U10" s="116"/>
      <c r="V10" s="45" cm="1">
        <f t="array" ref="V10">SUMPRODUCT(--($D$2:$D$998="Straight"), --ISNUMBER(SEARCH(V6, SUBSTITUTE($O$2:$O$998, ",", ""))), $N$2:$N$998)</f>
        <v>0</v>
      </c>
      <c r="Y10" s="7"/>
      <c r="AC10" s="17" t="str" cm="1">
        <f t="array" ref="AC10">IFERROR(INDEX($AL$2:$AL$300, MATCH(0, COUNTIF($AC$2:AC9, $AL$2:$AL$300) + IF($AL$2:$AL$300="", 1, 0), 0)), "")</f>
        <v/>
      </c>
      <c r="AD10" s="9">
        <f t="shared" si="8"/>
        <v>0</v>
      </c>
      <c r="AE10" s="19">
        <f>SUM(AD$3:AD10)</f>
        <v>0</v>
      </c>
      <c r="AL10" s="18" t="str">
        <f>IF(COUNTIF($A$2:A9, A9) = 1, A9, "")</f>
        <v/>
      </c>
    </row>
    <row r="11" spans="1:38" ht="17" thickBot="1" x14ac:dyDescent="0.25">
      <c r="F11" t="str">
        <f t="shared" si="0"/>
        <v/>
      </c>
      <c r="L11" s="7" t="str">
        <f t="shared" si="1"/>
        <v/>
      </c>
      <c r="N11" s="7" t="str">
        <f t="shared" si="2"/>
        <v/>
      </c>
      <c r="O11" t="str">
        <f t="shared" si="3"/>
        <v/>
      </c>
      <c r="P11" t="str">
        <f t="shared" si="4"/>
        <v/>
      </c>
      <c r="Q11" t="str">
        <f t="shared" si="5"/>
        <v/>
      </c>
      <c r="S11" t="str">
        <f>""</f>
        <v/>
      </c>
      <c r="T11" s="117" t="s">
        <v>57</v>
      </c>
      <c r="U11" s="118"/>
      <c r="V11" s="119"/>
      <c r="X11" s="79" t="s">
        <v>11</v>
      </c>
      <c r="Y11" s="83" t="s">
        <v>9</v>
      </c>
      <c r="Z11" s="81" t="s">
        <v>84</v>
      </c>
      <c r="AA11" s="82" t="s">
        <v>39</v>
      </c>
      <c r="AC11" s="17" t="str" cm="1">
        <f t="array" ref="AC11">IFERROR(INDEX($AL$2:$AL$300, MATCH(0, COUNTIF($AC$2:AC10, $AL$2:$AL$300) + IF($AL$2:$AL$300="", 1, 0), 0)), "")</f>
        <v/>
      </c>
      <c r="AD11" s="9">
        <f t="shared" si="8"/>
        <v>0</v>
      </c>
      <c r="AE11" s="20">
        <f>SUM(AD$3:AD11)</f>
        <v>0</v>
      </c>
      <c r="AL11" s="18" t="str">
        <f>IF(COUNTIF($A$2:A10, A10) = 1, A10, "")</f>
        <v/>
      </c>
    </row>
    <row r="12" spans="1:38" x14ac:dyDescent="0.2">
      <c r="F12" t="str">
        <f t="shared" si="0"/>
        <v/>
      </c>
      <c r="L12" s="7" t="str">
        <f t="shared" si="1"/>
        <v/>
      </c>
      <c r="N12" s="7" t="str">
        <f t="shared" si="2"/>
        <v/>
      </c>
      <c r="O12" t="str">
        <f t="shared" si="3"/>
        <v/>
      </c>
      <c r="P12" t="str">
        <f t="shared" si="4"/>
        <v/>
      </c>
      <c r="Q12" t="str">
        <f t="shared" si="5"/>
        <v/>
      </c>
      <c r="S12" t="str">
        <f>""</f>
        <v/>
      </c>
      <c r="T12" s="109" t="s">
        <v>22</v>
      </c>
      <c r="U12" s="110"/>
      <c r="V12" s="58" t="str">
        <f>Master!D12</f>
        <v>Josh Allen</v>
      </c>
      <c r="X12" s="47" t="s">
        <v>17</v>
      </c>
      <c r="Y12" s="45">
        <f t="shared" ref="Y12:Y18" si="15">SUMIF(C:C,X12,N:N)</f>
        <v>0</v>
      </c>
      <c r="Z12" s="40">
        <f t="shared" ref="Z12:Z18" si="16">COUNTIF(C:C,X12)</f>
        <v>0</v>
      </c>
      <c r="AA12" s="41">
        <f t="shared" ref="AA12:AA18" si="17">IFERROR(COUNTIFS(C:C, X12)/COUNTA($C$2:$C$994),0)</f>
        <v>0</v>
      </c>
      <c r="AC12" s="17" t="str" cm="1">
        <f t="array" ref="AC12">IFERROR(INDEX($AL$2:$AL$300, MATCH(0, COUNTIF($AC$2:AC11, $AL$2:$AL$300) + IF($AL$2:$AL$300="", 1, 0), 0)), "")</f>
        <v/>
      </c>
      <c r="AD12" s="9">
        <f t="shared" si="8"/>
        <v>0</v>
      </c>
      <c r="AE12" s="19">
        <f>SUM(AD$3:AD12)</f>
        <v>0</v>
      </c>
      <c r="AL12" s="18" t="str">
        <f>IF(COUNTIF($A$2:A11, A11) = 1, A11, "")</f>
        <v/>
      </c>
    </row>
    <row r="13" spans="1:38" x14ac:dyDescent="0.2">
      <c r="F13" t="str">
        <f t="shared" si="0"/>
        <v/>
      </c>
      <c r="L13" s="7" t="str">
        <f t="shared" si="1"/>
        <v/>
      </c>
      <c r="N13" s="7" t="str">
        <f t="shared" si="2"/>
        <v/>
      </c>
      <c r="O13" t="str">
        <f t="shared" si="3"/>
        <v/>
      </c>
      <c r="P13" t="str">
        <f t="shared" si="4"/>
        <v/>
      </c>
      <c r="Q13" t="str">
        <f t="shared" si="5"/>
        <v/>
      </c>
      <c r="S13" t="str">
        <f>""</f>
        <v/>
      </c>
      <c r="T13" s="111" t="s">
        <v>99</v>
      </c>
      <c r="U13" s="112"/>
      <c r="V13" s="8" cm="1">
        <f t="array" ref="V13">SUM(IF(ISNUMBER(SEARCH(V12, SUBSTITUTE($P$2:$P$998, ",", ""))), 1, 0))</f>
        <v>0</v>
      </c>
      <c r="X13" s="48" t="s">
        <v>19</v>
      </c>
      <c r="Y13" s="43">
        <f t="shared" si="15"/>
        <v>0</v>
      </c>
      <c r="Z13" s="34">
        <f t="shared" si="16"/>
        <v>0</v>
      </c>
      <c r="AA13" s="41">
        <f t="shared" si="17"/>
        <v>0</v>
      </c>
      <c r="AC13" s="17" t="str" cm="1">
        <f t="array" ref="AC13">IFERROR(INDEX($AL$2:$AL$300, MATCH(0, COUNTIF($AC$2:AC12, $AL$2:$AL$300) + IF($AL$2:$AL$300="", 1, 0), 0)), "")</f>
        <v/>
      </c>
      <c r="AD13" s="9">
        <f t="shared" si="8"/>
        <v>0</v>
      </c>
      <c r="AE13" s="19">
        <f>SUM(AD$3:AD13)</f>
        <v>0</v>
      </c>
      <c r="AL13" s="18" t="str">
        <f>IF(COUNTIF($A$2:A12, A12) = 1, A12, "")</f>
        <v/>
      </c>
    </row>
    <row r="14" spans="1:38" x14ac:dyDescent="0.2">
      <c r="F14" t="str">
        <f t="shared" si="0"/>
        <v/>
      </c>
      <c r="L14" s="7" t="str">
        <f t="shared" si="1"/>
        <v/>
      </c>
      <c r="N14" s="7" t="str">
        <f t="shared" si="2"/>
        <v/>
      </c>
      <c r="O14" t="str">
        <f t="shared" si="3"/>
        <v/>
      </c>
      <c r="P14" t="str">
        <f t="shared" si="4"/>
        <v/>
      </c>
      <c r="Q14" t="str">
        <f t="shared" si="5"/>
        <v/>
      </c>
      <c r="S14" t="str">
        <f>""</f>
        <v/>
      </c>
      <c r="T14" s="111" t="s">
        <v>100</v>
      </c>
      <c r="U14" s="112"/>
      <c r="V14" s="8" cm="1">
        <f t="array" ref="V14">SUM(IF(ISNUMBER(SEARCH(V12, SUBSTITUTE($Q$2:$Q$998, ",", ""))), 1, 0))</f>
        <v>0</v>
      </c>
      <c r="X14" s="48" t="s">
        <v>25</v>
      </c>
      <c r="Y14" s="43">
        <f t="shared" si="15"/>
        <v>0</v>
      </c>
      <c r="Z14" s="34">
        <f t="shared" si="16"/>
        <v>0</v>
      </c>
      <c r="AA14" s="41">
        <f t="shared" si="17"/>
        <v>0</v>
      </c>
      <c r="AC14" s="17" t="str" cm="1">
        <f t="array" ref="AC14">IFERROR(INDEX($AL$2:$AL$300, MATCH(0, COUNTIF($AC$2:AC13, $AL$2:$AL$300) + IF($AL$2:$AL$300="", 1, 0), 0)), "")</f>
        <v/>
      </c>
      <c r="AD14" s="9">
        <f t="shared" si="8"/>
        <v>0</v>
      </c>
      <c r="AE14" s="19">
        <f>SUM(AD$3:AD14)</f>
        <v>0</v>
      </c>
      <c r="AL14" s="18" t="str">
        <f>IF(COUNTIF($A$2:A13, A13) = 1, A13, "")</f>
        <v/>
      </c>
    </row>
    <row r="15" spans="1:38" x14ac:dyDescent="0.2">
      <c r="F15" t="str">
        <f t="shared" si="0"/>
        <v/>
      </c>
      <c r="L15" s="7" t="str">
        <f t="shared" si="1"/>
        <v/>
      </c>
      <c r="N15" s="7" t="str">
        <f t="shared" si="2"/>
        <v/>
      </c>
      <c r="O15" t="str">
        <f t="shared" si="3"/>
        <v/>
      </c>
      <c r="P15" t="str">
        <f t="shared" si="4"/>
        <v/>
      </c>
      <c r="Q15" t="str">
        <f t="shared" si="5"/>
        <v/>
      </c>
      <c r="S15" t="str">
        <f>""</f>
        <v/>
      </c>
      <c r="T15" s="101" t="s">
        <v>28</v>
      </c>
      <c r="U15" s="102"/>
      <c r="V15" s="51" t="e">
        <f>1-(V14/V13)</f>
        <v>#DIV/0!</v>
      </c>
      <c r="X15" s="47" t="s">
        <v>26</v>
      </c>
      <c r="Y15" s="43">
        <f t="shared" si="15"/>
        <v>0</v>
      </c>
      <c r="Z15" s="34">
        <f t="shared" si="16"/>
        <v>0</v>
      </c>
      <c r="AA15" s="41">
        <f t="shared" si="17"/>
        <v>0</v>
      </c>
      <c r="AC15" s="17" t="str" cm="1">
        <f t="array" ref="AC15">IFERROR(INDEX($AL$2:$AL$300, MATCH(0, COUNTIF($AC$2:AC14, $AL$2:$AL$300) + IF($AL$2:$AL$300="", 1, 0), 0)), "")</f>
        <v/>
      </c>
      <c r="AD15" s="9">
        <f t="shared" si="8"/>
        <v>0</v>
      </c>
      <c r="AE15" s="20">
        <f>SUM(AD$3:AD15)</f>
        <v>0</v>
      </c>
      <c r="AL15" s="18" t="str">
        <f>IF(COUNTIF($A$2:A14, A14) = 1, A14, "")</f>
        <v/>
      </c>
    </row>
    <row r="16" spans="1:38" ht="17" thickBot="1" x14ac:dyDescent="0.25">
      <c r="F16" t="str">
        <f t="shared" si="0"/>
        <v/>
      </c>
      <c r="L16" s="7" t="str">
        <f t="shared" si="1"/>
        <v/>
      </c>
      <c r="N16" s="7" t="str">
        <f t="shared" si="2"/>
        <v/>
      </c>
      <c r="O16" t="str">
        <f t="shared" si="3"/>
        <v/>
      </c>
      <c r="P16" t="str">
        <f t="shared" si="4"/>
        <v/>
      </c>
      <c r="Q16" t="str">
        <f t="shared" si="5"/>
        <v/>
      </c>
      <c r="S16" t="str">
        <f>""</f>
        <v/>
      </c>
      <c r="T16" s="115" t="s">
        <v>9</v>
      </c>
      <c r="U16" s="116"/>
      <c r="V16" s="45" cm="1">
        <f t="array" ref="V16">SUMPRODUCT(--($D$2:$D$998="Straight"), --ISNUMBER(SEARCH(V12, SUBSTITUTE($P$2:$P$998, ",", ""))), $N$2:$N$998)</f>
        <v>0</v>
      </c>
      <c r="X16" s="48" t="s">
        <v>29</v>
      </c>
      <c r="Y16" s="43">
        <f t="shared" si="15"/>
        <v>0</v>
      </c>
      <c r="Z16" s="34">
        <f t="shared" si="16"/>
        <v>0</v>
      </c>
      <c r="AA16" s="41">
        <f t="shared" si="17"/>
        <v>0</v>
      </c>
      <c r="AC16" s="17" t="str" cm="1">
        <f t="array" ref="AC16">IFERROR(INDEX($AL$2:$AL$300, MATCH(0, COUNTIF($AC$2:AC15, $AL$2:$AL$300) + IF($AL$2:$AL$300="", 1, 0), 0)), "")</f>
        <v/>
      </c>
      <c r="AD16" s="9">
        <f t="shared" si="8"/>
        <v>0</v>
      </c>
      <c r="AE16" s="19">
        <f>SUM(AD$3:AD16)</f>
        <v>0</v>
      </c>
      <c r="AL16" s="18" t="str">
        <f>IF(COUNTIF($A$2:A15, A15) = 1, A15, "")</f>
        <v/>
      </c>
    </row>
    <row r="17" spans="6:38" ht="17" thickBot="1" x14ac:dyDescent="0.25">
      <c r="F17" t="str">
        <f t="shared" si="0"/>
        <v/>
      </c>
      <c r="L17" s="7" t="str">
        <f t="shared" si="1"/>
        <v/>
      </c>
      <c r="N17" s="7" t="str">
        <f t="shared" si="2"/>
        <v/>
      </c>
      <c r="O17" t="str">
        <f t="shared" si="3"/>
        <v/>
      </c>
      <c r="P17" t="str">
        <f t="shared" si="4"/>
        <v/>
      </c>
      <c r="Q17" t="str">
        <f t="shared" si="5"/>
        <v/>
      </c>
      <c r="S17" t="str">
        <f>""</f>
        <v/>
      </c>
      <c r="T17" s="117" t="s">
        <v>57</v>
      </c>
      <c r="U17" s="118"/>
      <c r="V17" s="119"/>
      <c r="X17" s="48" t="s">
        <v>30</v>
      </c>
      <c r="Y17" s="43">
        <f t="shared" si="15"/>
        <v>0</v>
      </c>
      <c r="Z17" s="34">
        <f t="shared" si="16"/>
        <v>0</v>
      </c>
      <c r="AA17" s="41">
        <f t="shared" si="17"/>
        <v>0</v>
      </c>
      <c r="AC17" s="17" t="str" cm="1">
        <f t="array" ref="AC17">IFERROR(INDEX($AL$2:$AL$300, MATCH(0, COUNTIF($AC$2:AC16, $AL$2:$AL$300) + IF($AL$2:$AL$300="", 1, 0), 0)), "")</f>
        <v/>
      </c>
      <c r="AD17" s="9">
        <f t="shared" si="8"/>
        <v>0</v>
      </c>
      <c r="AE17" s="19">
        <f>SUM(AD$3:AD17)</f>
        <v>0</v>
      </c>
      <c r="AL17" s="18" t="str">
        <f>IF(COUNTIF($A$2:A16, A16) = 1, A16, "")</f>
        <v/>
      </c>
    </row>
    <row r="18" spans="6:38" ht="17" thickBot="1" x14ac:dyDescent="0.25">
      <c r="F18" t="str">
        <f t="shared" si="0"/>
        <v/>
      </c>
      <c r="L18" s="7" t="str">
        <f t="shared" si="1"/>
        <v/>
      </c>
      <c r="N18" s="7" t="str">
        <f t="shared" si="2"/>
        <v/>
      </c>
      <c r="O18" t="str">
        <f t="shared" si="3"/>
        <v/>
      </c>
      <c r="P18" t="str">
        <f>IF(I18="No", "None", "")</f>
        <v/>
      </c>
      <c r="Q18" t="str">
        <f t="shared" si="5"/>
        <v/>
      </c>
      <c r="S18" t="str">
        <f>""</f>
        <v/>
      </c>
      <c r="X18" s="50" t="s">
        <v>82</v>
      </c>
      <c r="Y18" s="44">
        <f t="shared" si="15"/>
        <v>0</v>
      </c>
      <c r="Z18" s="35">
        <f t="shared" si="16"/>
        <v>0</v>
      </c>
      <c r="AA18" s="52">
        <f t="shared" si="17"/>
        <v>0</v>
      </c>
      <c r="AC18" s="17" t="str" cm="1">
        <f t="array" ref="AC18">IFERROR(INDEX($AL$2:$AL$300, MATCH(0, COUNTIF($AC$2:AC17, $AL$2:$AL$300) + IF($AL$2:$AL$300="", 1, 0), 0)), "")</f>
        <v/>
      </c>
      <c r="AD18" s="9">
        <f t="shared" si="8"/>
        <v>0</v>
      </c>
      <c r="AE18" s="19">
        <f>SUM(AD$3:AD18)</f>
        <v>0</v>
      </c>
      <c r="AL18" s="18" t="str">
        <f>IF(COUNTIF($A$2:A17, A17) = 1, A17, "")</f>
        <v/>
      </c>
    </row>
    <row r="19" spans="6:38" ht="17" thickBot="1" x14ac:dyDescent="0.25">
      <c r="F19" t="str">
        <f t="shared" si="0"/>
        <v/>
      </c>
      <c r="L19" s="7" t="str">
        <f t="shared" si="1"/>
        <v/>
      </c>
      <c r="N19" s="7" t="str">
        <f t="shared" si="2"/>
        <v/>
      </c>
      <c r="O19" t="str">
        <f t="shared" si="3"/>
        <v/>
      </c>
      <c r="P19" t="str">
        <f t="shared" ref="P19:P82" si="18">IF(I19="No", "None", "")</f>
        <v/>
      </c>
      <c r="Q19" t="str">
        <f t="shared" si="5"/>
        <v/>
      </c>
      <c r="S19" t="str">
        <f>""</f>
        <v/>
      </c>
      <c r="T19" s="103" t="s">
        <v>62</v>
      </c>
      <c r="U19" s="104"/>
      <c r="V19" s="13">
        <f>COUNTA(B:B) - 1</f>
        <v>0</v>
      </c>
      <c r="Y19" s="7"/>
      <c r="AC19" s="17" t="str" cm="1">
        <f t="array" ref="AC19">IFERROR(INDEX($AL$2:$AL$300, MATCH(0, COUNTIF($AC$2:AC18, $AL$2:$AL$300) + IF($AL$2:$AL$300="", 1, 0), 0)), "")</f>
        <v/>
      </c>
      <c r="AD19" s="9">
        <f t="shared" si="8"/>
        <v>0</v>
      </c>
      <c r="AE19" s="20">
        <f>SUM(AD$3:AD19)</f>
        <v>0</v>
      </c>
      <c r="AL19" s="18" t="str">
        <f>IF(COUNTIF($A$2:A18, A18) = 1, A18, "")</f>
        <v/>
      </c>
    </row>
    <row r="20" spans="6:38" ht="17" thickBot="1" x14ac:dyDescent="0.25">
      <c r="F20" t="str">
        <f t="shared" si="0"/>
        <v/>
      </c>
      <c r="L20" s="7" t="str">
        <f t="shared" si="1"/>
        <v/>
      </c>
      <c r="N20" s="7" t="str">
        <f t="shared" si="2"/>
        <v/>
      </c>
      <c r="O20" t="str">
        <f t="shared" si="3"/>
        <v/>
      </c>
      <c r="P20" t="str">
        <f t="shared" si="18"/>
        <v/>
      </c>
      <c r="Q20" t="str">
        <f t="shared" si="5"/>
        <v/>
      </c>
      <c r="S20" t="str">
        <f>""</f>
        <v/>
      </c>
      <c r="T20" s="111" t="s">
        <v>64</v>
      </c>
      <c r="U20" s="112"/>
      <c r="V20" s="24">
        <f>COUNTIF(M:M, "Yes")</f>
        <v>0</v>
      </c>
      <c r="X20" s="79" t="s">
        <v>50</v>
      </c>
      <c r="Y20" s="83" t="s">
        <v>9</v>
      </c>
      <c r="Z20" s="81" t="s">
        <v>84</v>
      </c>
      <c r="AA20" s="82" t="s">
        <v>39</v>
      </c>
      <c r="AC20" s="17" t="str" cm="1">
        <f t="array" ref="AC20">IFERROR(INDEX($AL$2:$AL$300, MATCH(0, COUNTIF($AC$2:AC19, $AL$2:$AL$300) + IF($AL$2:$AL$300="", 1, 0), 0)), "")</f>
        <v/>
      </c>
      <c r="AD20" s="9">
        <f t="shared" si="8"/>
        <v>0</v>
      </c>
      <c r="AE20" s="19">
        <f>SUM(AD$3:AD20)</f>
        <v>0</v>
      </c>
      <c r="AL20" s="18" t="str">
        <f>IF(COUNTIF($A$2:A19, A19) = 1, A19, "")</f>
        <v/>
      </c>
    </row>
    <row r="21" spans="6:38" x14ac:dyDescent="0.2">
      <c r="F21" t="str">
        <f t="shared" si="0"/>
        <v/>
      </c>
      <c r="L21" s="7" t="str">
        <f t="shared" si="1"/>
        <v/>
      </c>
      <c r="N21" s="7" t="str">
        <f t="shared" si="2"/>
        <v/>
      </c>
      <c r="O21" t="str">
        <f t="shared" si="3"/>
        <v/>
      </c>
      <c r="P21" t="str">
        <f t="shared" si="18"/>
        <v/>
      </c>
      <c r="Q21" t="str">
        <f t="shared" si="5"/>
        <v/>
      </c>
      <c r="S21" t="str">
        <f>""</f>
        <v/>
      </c>
      <c r="T21" s="111" t="s">
        <v>65</v>
      </c>
      <c r="U21" s="112"/>
      <c r="V21" s="25">
        <f>COUNTIF(M:M, "No")</f>
        <v>0</v>
      </c>
      <c r="X21" s="47" t="s">
        <v>20</v>
      </c>
      <c r="Y21" s="45">
        <f>SUMIF(D:D,X21,N:N)</f>
        <v>0</v>
      </c>
      <c r="Z21" s="40">
        <f>COUNTIF(D:D,X21)</f>
        <v>0</v>
      </c>
      <c r="AA21" s="41">
        <f>IFERROR(COUNTIFS(D:D, X21)/COUNTA($D$2:$D$994),0)</f>
        <v>0</v>
      </c>
      <c r="AC21" s="17" t="str" cm="1">
        <f t="array" ref="AC21">IFERROR(INDEX($AL$2:$AL$300, MATCH(0, COUNTIF($AC$2:AC20, $AL$2:$AL$300) + IF($AL$2:$AL$300="", 1, 0), 0)), "")</f>
        <v/>
      </c>
      <c r="AD21" s="9">
        <f t="shared" si="8"/>
        <v>0</v>
      </c>
      <c r="AE21" s="19">
        <f>SUM(AD$3:AD21)</f>
        <v>0</v>
      </c>
      <c r="AL21" s="18" t="str">
        <f>IF(COUNTIF($A$2:A20, A20) = 1, A20, "")</f>
        <v/>
      </c>
    </row>
    <row r="22" spans="6:38" ht="17" thickBot="1" x14ac:dyDescent="0.25">
      <c r="F22" t="str">
        <f t="shared" si="0"/>
        <v/>
      </c>
      <c r="L22" s="7" t="str">
        <f t="shared" si="1"/>
        <v/>
      </c>
      <c r="N22" s="7" t="str">
        <f t="shared" si="2"/>
        <v/>
      </c>
      <c r="O22" t="str">
        <f t="shared" si="3"/>
        <v/>
      </c>
      <c r="P22" t="str">
        <f t="shared" si="18"/>
        <v/>
      </c>
      <c r="Q22" t="str">
        <f t="shared" si="5"/>
        <v/>
      </c>
      <c r="S22" t="str">
        <f>""</f>
        <v/>
      </c>
      <c r="T22" s="107" t="s">
        <v>76</v>
      </c>
      <c r="U22" s="108"/>
      <c r="V22" s="14">
        <f>V19-V20-V21</f>
        <v>0</v>
      </c>
      <c r="X22" s="48" t="s">
        <v>18</v>
      </c>
      <c r="Y22" s="45">
        <f>SUMIF(D:D,X22,N:N)</f>
        <v>0</v>
      </c>
      <c r="Z22" s="34">
        <f>COUNTIF(D:D,X22)</f>
        <v>0</v>
      </c>
      <c r="AA22" s="41">
        <f>IFERROR(COUNTIFS(D:D, X22)/COUNTA($D$2:$D$994),0)</f>
        <v>0</v>
      </c>
      <c r="AC22" s="17" t="str" cm="1">
        <f t="array" ref="AC22">IFERROR(INDEX($AL$2:$AL$300, MATCH(0, COUNTIF($AC$2:AC21, $AL$2:$AL$300) + IF($AL$2:$AL$300="", 1, 0), 0)), "")</f>
        <v/>
      </c>
      <c r="AD22" s="9">
        <f t="shared" si="8"/>
        <v>0</v>
      </c>
      <c r="AE22" s="19">
        <f>SUM(AD$3:AD22)</f>
        <v>0</v>
      </c>
      <c r="AL22" s="18" t="str">
        <f>IF(COUNTIF($A$2:A21, A21) = 1, A21, "")</f>
        <v/>
      </c>
    </row>
    <row r="23" spans="6:38" ht="17" thickBot="1" x14ac:dyDescent="0.25">
      <c r="F23" t="str">
        <f t="shared" si="0"/>
        <v/>
      </c>
      <c r="L23" s="7" t="str">
        <f t="shared" si="1"/>
        <v/>
      </c>
      <c r="N23" s="7" t="str">
        <f t="shared" si="2"/>
        <v/>
      </c>
      <c r="O23" t="str">
        <f t="shared" si="3"/>
        <v/>
      </c>
      <c r="P23" t="str">
        <f t="shared" si="18"/>
        <v/>
      </c>
      <c r="Q23" t="str">
        <f t="shared" si="5"/>
        <v/>
      </c>
      <c r="S23" t="str">
        <f>""</f>
        <v/>
      </c>
      <c r="X23" s="50" t="s">
        <v>31</v>
      </c>
      <c r="Y23" s="44">
        <f>SUMIF(D:D,X23,N:N)</f>
        <v>0</v>
      </c>
      <c r="Z23" s="35">
        <f>COUNTIF(D:D,X23)</f>
        <v>0</v>
      </c>
      <c r="AA23" s="52">
        <f>IFERROR(COUNTIFS(D:D, X23)/COUNTA($D$2:$D$994),0)</f>
        <v>0</v>
      </c>
      <c r="AC23" s="17" t="str" cm="1">
        <f t="array" ref="AC23">IFERROR(INDEX($AL$2:$AL$300, MATCH(0, COUNTIF($AC$2:AC22, $AL$2:$AL$300) + IF($AL$2:$AL$300="", 1, 0), 0)), "")</f>
        <v/>
      </c>
      <c r="AD23" s="9">
        <f t="shared" si="8"/>
        <v>0</v>
      </c>
      <c r="AE23" s="20">
        <f>SUM(AD$3:AD23)</f>
        <v>0</v>
      </c>
      <c r="AL23" s="18" t="str">
        <f>IF(COUNTIF($A$2:A22, A22) = 1, A22, "")</f>
        <v/>
      </c>
    </row>
    <row r="24" spans="6:38" ht="17" thickBot="1" x14ac:dyDescent="0.25">
      <c r="F24" t="str">
        <f t="shared" si="0"/>
        <v/>
      </c>
      <c r="L24" s="7" t="str">
        <f t="shared" si="1"/>
        <v/>
      </c>
      <c r="N24" s="7" t="str">
        <f t="shared" si="2"/>
        <v/>
      </c>
      <c r="O24" t="str">
        <f t="shared" si="3"/>
        <v/>
      </c>
      <c r="P24" t="str">
        <f t="shared" si="18"/>
        <v/>
      </c>
      <c r="Q24" t="str">
        <f t="shared" si="5"/>
        <v/>
      </c>
      <c r="S24" t="str">
        <f>""</f>
        <v/>
      </c>
      <c r="Y24" s="60"/>
      <c r="AC24" s="17" t="str" cm="1">
        <f t="array" ref="AC24">IFERROR(INDEX($AL$2:$AL$300, MATCH(0, COUNTIF($AC$2:AC23, $AL$2:$AL$300) + IF($AL$2:$AL$300="", 1, 0), 0)), "")</f>
        <v/>
      </c>
      <c r="AD24" s="9">
        <f t="shared" si="8"/>
        <v>0</v>
      </c>
      <c r="AE24" s="19">
        <f>SUM(AD$3:AD24)</f>
        <v>0</v>
      </c>
      <c r="AL24" s="18" t="str">
        <f>IF(COUNTIF($A$2:A23, A23) = 1, A23, "")</f>
        <v/>
      </c>
    </row>
    <row r="25" spans="6:38" ht="17" thickBot="1" x14ac:dyDescent="0.25">
      <c r="F25" t="str">
        <f t="shared" si="0"/>
        <v/>
      </c>
      <c r="L25" s="7" t="str">
        <f t="shared" si="1"/>
        <v/>
      </c>
      <c r="N25" s="7" t="str">
        <f t="shared" si="2"/>
        <v/>
      </c>
      <c r="O25" t="str">
        <f t="shared" si="3"/>
        <v/>
      </c>
      <c r="P25" t="str">
        <f t="shared" si="18"/>
        <v/>
      </c>
      <c r="Q25" t="str">
        <f t="shared" si="5"/>
        <v/>
      </c>
      <c r="S25" t="str">
        <f>""</f>
        <v/>
      </c>
      <c r="X25" s="79" t="s">
        <v>12</v>
      </c>
      <c r="Y25" s="83" t="s">
        <v>9</v>
      </c>
      <c r="Z25" s="81" t="s">
        <v>84</v>
      </c>
      <c r="AA25" s="82" t="s">
        <v>39</v>
      </c>
      <c r="AC25" s="21" t="str" cm="1">
        <f t="array" ref="AC25">IFERROR(INDEX($AL$2:$AL$300, MATCH(0, COUNTIF($AC$2:AC24, $AL$2:$AL$300) + IF($AL$2:$AL$300="", 1, 0), 0)), "")</f>
        <v/>
      </c>
      <c r="AD25" s="22">
        <f t="shared" si="8"/>
        <v>0</v>
      </c>
      <c r="AE25" s="23">
        <f>SUM(AD$3:AD25)</f>
        <v>0</v>
      </c>
      <c r="AL25" s="18" t="str">
        <f>IF(COUNTIF($A$2:A24, A24) = 1, A24, "")</f>
        <v/>
      </c>
    </row>
    <row r="26" spans="6:38" x14ac:dyDescent="0.2">
      <c r="F26" t="str">
        <f t="shared" si="0"/>
        <v/>
      </c>
      <c r="L26" s="7" t="str">
        <f t="shared" si="1"/>
        <v/>
      </c>
      <c r="N26" s="7" t="str">
        <f t="shared" si="2"/>
        <v/>
      </c>
      <c r="O26" t="str">
        <f t="shared" si="3"/>
        <v/>
      </c>
      <c r="P26" t="str">
        <f t="shared" si="18"/>
        <v/>
      </c>
      <c r="Q26" t="str">
        <f t="shared" si="5"/>
        <v/>
      </c>
      <c r="S26" t="str">
        <f>""</f>
        <v/>
      </c>
      <c r="X26" s="47" t="s">
        <v>32</v>
      </c>
      <c r="Y26" s="45">
        <f>SUMIFS(N:N, E:E, "&lt;-150")</f>
        <v>0</v>
      </c>
      <c r="Z26" s="40">
        <f>COUNTIFS(E:E, "&lt; -150")</f>
        <v>0</v>
      </c>
      <c r="AA26" s="41">
        <f>IFERROR(COUNTIFS(E:E, "&lt; -150")/COUNTA($E$2:$E$993),0)</f>
        <v>0</v>
      </c>
      <c r="AC26" s="59"/>
      <c r="AD26" s="7"/>
      <c r="AE26" s="7"/>
      <c r="AL26" s="18" t="str">
        <f>IF(COUNTIF($A$2:A25, A25) = 1, A25, "")</f>
        <v/>
      </c>
    </row>
    <row r="27" spans="6:38" x14ac:dyDescent="0.2">
      <c r="F27" t="str">
        <f t="shared" si="0"/>
        <v/>
      </c>
      <c r="L27" s="7" t="str">
        <f t="shared" si="1"/>
        <v/>
      </c>
      <c r="N27" s="7" t="str">
        <f t="shared" si="2"/>
        <v/>
      </c>
      <c r="O27" t="str">
        <f t="shared" si="3"/>
        <v/>
      </c>
      <c r="P27" t="str">
        <f t="shared" si="18"/>
        <v/>
      </c>
      <c r="Q27" t="str">
        <f t="shared" si="5"/>
        <v/>
      </c>
      <c r="S27" t="str">
        <f>""</f>
        <v/>
      </c>
      <c r="X27" s="48" t="s">
        <v>33</v>
      </c>
      <c r="Y27" s="45">
        <f>SUMIFS(N:N, E:E, "&gt;=-150", E:E, "&lt;100")</f>
        <v>0</v>
      </c>
      <c r="Z27" s="34">
        <f>COUNTIFS(E:E, "&lt; 100", E:E, "&gt;=-150")</f>
        <v>0</v>
      </c>
      <c r="AA27" s="38">
        <f>IFERROR(COUNTIFS(E:E, "&lt; 100", E:E, "&gt;=-150")/COUNTA($E$2:$E$6993),0)</f>
        <v>0</v>
      </c>
      <c r="AC27" s="59"/>
      <c r="AD27" s="7"/>
      <c r="AE27" s="7"/>
      <c r="AL27" s="18" t="str">
        <f>IF(COUNTIF($A$2:A26, A26) = 1, A26, "")</f>
        <v/>
      </c>
    </row>
    <row r="28" spans="6:38" x14ac:dyDescent="0.2">
      <c r="F28" t="str">
        <f t="shared" si="0"/>
        <v/>
      </c>
      <c r="L28" s="7" t="str">
        <f t="shared" si="1"/>
        <v/>
      </c>
      <c r="N28" s="7" t="str">
        <f t="shared" si="2"/>
        <v/>
      </c>
      <c r="O28" t="str">
        <f t="shared" si="3"/>
        <v/>
      </c>
      <c r="P28" t="str">
        <f t="shared" si="18"/>
        <v/>
      </c>
      <c r="Q28" t="str">
        <f t="shared" si="5"/>
        <v/>
      </c>
      <c r="S28" t="str">
        <f>""</f>
        <v/>
      </c>
      <c r="X28" s="48" t="s">
        <v>34</v>
      </c>
      <c r="Y28" s="45">
        <f>SUMIFS(N:N, E:E, "&gt;=100", E:E, "&lt;125")</f>
        <v>0</v>
      </c>
      <c r="Z28" s="34">
        <f>COUNTIFS(E:E, "&lt; 125", E:E, "&gt;=100")</f>
        <v>0</v>
      </c>
      <c r="AA28" s="38">
        <f>IFERROR(COUNTIFS(E:E, "&lt; 125", E:E, "&gt;=100")/COUNTA($E$2:$E$6993),0)</f>
        <v>0</v>
      </c>
      <c r="AC28" s="59"/>
      <c r="AD28" s="7"/>
      <c r="AE28" s="7"/>
      <c r="AL28" s="18" t="str">
        <f>IF(COUNTIF($A$2:A27, A27) = 1, A27, "")</f>
        <v/>
      </c>
    </row>
    <row r="29" spans="6:38" x14ac:dyDescent="0.2">
      <c r="F29" t="str">
        <f t="shared" si="0"/>
        <v/>
      </c>
      <c r="L29" s="7" t="str">
        <f t="shared" si="1"/>
        <v/>
      </c>
      <c r="N29" s="7" t="str">
        <f t="shared" si="2"/>
        <v/>
      </c>
      <c r="O29" t="str">
        <f t="shared" si="3"/>
        <v/>
      </c>
      <c r="P29" t="str">
        <f t="shared" si="18"/>
        <v/>
      </c>
      <c r="Q29" t="str">
        <f t="shared" si="5"/>
        <v/>
      </c>
      <c r="S29" t="str">
        <f>""</f>
        <v/>
      </c>
      <c r="X29" s="47" t="s">
        <v>35</v>
      </c>
      <c r="Y29" s="45">
        <f>SUMIFS(N:N, E:E, "&gt;=125", E:E, "&lt;150")</f>
        <v>0</v>
      </c>
      <c r="Z29" s="40">
        <f>COUNTIFS(E:E, "&lt; 150", E:E, "&gt;=125")</f>
        <v>0</v>
      </c>
      <c r="AA29" s="41">
        <f>IFERROR(COUNTIFS(E:E, "&lt; 150", E:E, "&gt;=125")/COUNTA($E$2:$E$6993),0)</f>
        <v>0</v>
      </c>
      <c r="AC29" s="59"/>
      <c r="AD29" s="7"/>
      <c r="AE29" s="7"/>
      <c r="AL29" s="18" t="str">
        <f>IF(COUNTIF($A$2:A28, A28) = 1, A28, "")</f>
        <v/>
      </c>
    </row>
    <row r="30" spans="6:38" x14ac:dyDescent="0.2">
      <c r="F30" t="str">
        <f t="shared" si="0"/>
        <v/>
      </c>
      <c r="L30" s="7" t="str">
        <f t="shared" si="1"/>
        <v/>
      </c>
      <c r="N30" s="7" t="str">
        <f t="shared" si="2"/>
        <v/>
      </c>
      <c r="O30" t="str">
        <f t="shared" si="3"/>
        <v/>
      </c>
      <c r="P30" t="str">
        <f t="shared" si="18"/>
        <v/>
      </c>
      <c r="Q30" t="str">
        <f t="shared" si="5"/>
        <v/>
      </c>
      <c r="S30" t="str">
        <f>""</f>
        <v/>
      </c>
      <c r="X30" s="48" t="s">
        <v>36</v>
      </c>
      <c r="Y30" s="45">
        <f>SUMIFS(N:N, E:E, "&gt;=150", E:E, "&lt;200")</f>
        <v>0</v>
      </c>
      <c r="Z30" s="34">
        <f>COUNTIFS(E:E, "&lt; 200", E:E, "&gt;=150")</f>
        <v>0</v>
      </c>
      <c r="AA30" s="38">
        <f>IFERROR(COUNTIFS(E:E, "&lt; 200", E:E, "&gt;=150")/COUNTA($E$2:$E$6993),0)</f>
        <v>0</v>
      </c>
      <c r="AC30" s="59"/>
      <c r="AD30" s="7"/>
      <c r="AE30" s="7"/>
      <c r="AL30" s="18" t="str">
        <f>IF(COUNTIF($A$2:A29, A29) = 1, A29, "")</f>
        <v/>
      </c>
    </row>
    <row r="31" spans="6:38" ht="17" thickBot="1" x14ac:dyDescent="0.25">
      <c r="F31" t="str">
        <f t="shared" si="0"/>
        <v/>
      </c>
      <c r="L31" s="7" t="str">
        <f t="shared" si="1"/>
        <v/>
      </c>
      <c r="N31" s="7" t="str">
        <f t="shared" si="2"/>
        <v/>
      </c>
      <c r="O31" t="str">
        <f t="shared" si="3"/>
        <v/>
      </c>
      <c r="P31" t="str">
        <f t="shared" si="18"/>
        <v/>
      </c>
      <c r="Q31" t="str">
        <f t="shared" si="5"/>
        <v/>
      </c>
      <c r="S31" t="str">
        <f>""</f>
        <v/>
      </c>
      <c r="X31" s="49" t="s">
        <v>37</v>
      </c>
      <c r="Y31" s="44">
        <f>SUMIFS(N:N, E:E, "&gt;=200")</f>
        <v>0</v>
      </c>
      <c r="Z31" s="35">
        <f>COUNTIFS(E:E, "&gt;=200")</f>
        <v>0</v>
      </c>
      <c r="AA31" s="39">
        <f>IFERROR(COUNTIFS(E:E, "&gt;=200")/COUNTA($E$2:$E$69993),0)</f>
        <v>0</v>
      </c>
      <c r="AC31" s="59"/>
      <c r="AD31" s="7"/>
      <c r="AE31" s="7"/>
      <c r="AL31" s="18" t="str">
        <f>IF(COUNTIF($A$2:A30, A30) = 1, A30, "")</f>
        <v/>
      </c>
    </row>
    <row r="32" spans="6:38" ht="17" thickBot="1" x14ac:dyDescent="0.25">
      <c r="F32" t="str">
        <f t="shared" si="0"/>
        <v/>
      </c>
      <c r="L32" s="7" t="str">
        <f t="shared" si="1"/>
        <v/>
      </c>
      <c r="N32" s="7" t="str">
        <f t="shared" si="2"/>
        <v/>
      </c>
      <c r="O32" t="str">
        <f t="shared" si="3"/>
        <v/>
      </c>
      <c r="P32" t="str">
        <f t="shared" si="18"/>
        <v/>
      </c>
      <c r="Q32" t="str">
        <f t="shared" si="5"/>
        <v/>
      </c>
      <c r="S32" t="str">
        <f>""</f>
        <v/>
      </c>
      <c r="Y32" s="60"/>
      <c r="AC32" s="59"/>
      <c r="AD32" s="7"/>
      <c r="AE32" s="7"/>
      <c r="AL32" s="18" t="str">
        <f>IF(COUNTIF($A$2:A31, A31) = 1, A31, "")</f>
        <v/>
      </c>
    </row>
    <row r="33" spans="6:38" ht="17" thickBot="1" x14ac:dyDescent="0.25">
      <c r="F33" t="str">
        <f t="shared" si="0"/>
        <v/>
      </c>
      <c r="L33" s="7" t="str">
        <f t="shared" si="1"/>
        <v/>
      </c>
      <c r="N33" s="7" t="str">
        <f t="shared" si="2"/>
        <v/>
      </c>
      <c r="O33" t="str">
        <f t="shared" si="3"/>
        <v/>
      </c>
      <c r="P33" t="str">
        <f t="shared" si="18"/>
        <v/>
      </c>
      <c r="Q33" t="str">
        <f t="shared" si="5"/>
        <v/>
      </c>
      <c r="S33" t="str">
        <f>""</f>
        <v/>
      </c>
      <c r="X33" s="79" t="s">
        <v>3</v>
      </c>
      <c r="Y33" s="83" t="s">
        <v>9</v>
      </c>
      <c r="Z33" s="81" t="s">
        <v>84</v>
      </c>
      <c r="AA33" s="82" t="s">
        <v>39</v>
      </c>
      <c r="AC33" s="59"/>
      <c r="AD33" s="7"/>
      <c r="AE33" s="7"/>
      <c r="AL33" s="18" t="str">
        <f>IF(COUNTIF($A$2:A32, A32) = 1, A32, "")</f>
        <v/>
      </c>
    </row>
    <row r="34" spans="6:38" x14ac:dyDescent="0.2">
      <c r="F34" t="str">
        <f t="shared" si="0"/>
        <v/>
      </c>
      <c r="L34" s="7" t="str">
        <f t="shared" si="1"/>
        <v/>
      </c>
      <c r="N34" s="7" t="str">
        <f t="shared" si="2"/>
        <v/>
      </c>
      <c r="O34" t="str">
        <f t="shared" si="3"/>
        <v/>
      </c>
      <c r="P34" t="str">
        <f t="shared" si="18"/>
        <v/>
      </c>
      <c r="Q34" t="str">
        <f t="shared" si="5"/>
        <v/>
      </c>
      <c r="S34" t="str">
        <f>""</f>
        <v/>
      </c>
      <c r="X34" s="47">
        <v>1</v>
      </c>
      <c r="Y34" s="45">
        <f>SUMIFS(N:N, F:F, X34)</f>
        <v>0</v>
      </c>
      <c r="Z34" s="40">
        <f>COUNTIF(F:F,X34)</f>
        <v>0</v>
      </c>
      <c r="AA34" s="41">
        <f>IFERROR(COUNTIFS(F:F, X34)/COUNTA($E$2:$E$993),0)</f>
        <v>0</v>
      </c>
      <c r="AC34" s="59"/>
      <c r="AD34" s="7"/>
      <c r="AE34" s="7"/>
      <c r="AL34" s="18" t="str">
        <f>IF(COUNTIF($A$2:A33, A33) = 1, A33, "")</f>
        <v/>
      </c>
    </row>
    <row r="35" spans="6:38" x14ac:dyDescent="0.2">
      <c r="F35" t="str">
        <f t="shared" si="0"/>
        <v/>
      </c>
      <c r="L35" s="7" t="str">
        <f t="shared" si="1"/>
        <v/>
      </c>
      <c r="N35" s="7" t="str">
        <f t="shared" si="2"/>
        <v/>
      </c>
      <c r="O35" t="str">
        <f t="shared" si="3"/>
        <v/>
      </c>
      <c r="P35" t="str">
        <f t="shared" si="18"/>
        <v/>
      </c>
      <c r="Q35" t="str">
        <f t="shared" si="5"/>
        <v/>
      </c>
      <c r="S35" t="str">
        <f>""</f>
        <v/>
      </c>
      <c r="X35" s="48">
        <v>2</v>
      </c>
      <c r="Y35" s="45">
        <f>SUMIFS(N:N, F:F, X35)</f>
        <v>0</v>
      </c>
      <c r="Z35" s="34">
        <f>COUNTIF(F:F,X35)</f>
        <v>0</v>
      </c>
      <c r="AA35" s="41">
        <f>IFERROR(COUNTIFS(F:F, X35)/COUNTA($E$2:$E$993),0)</f>
        <v>0</v>
      </c>
      <c r="AC35" s="59"/>
      <c r="AD35" s="7"/>
      <c r="AE35" s="7"/>
      <c r="AL35" s="18" t="str">
        <f>IF(COUNTIF($A$2:A34, A34) = 1, A34, "")</f>
        <v/>
      </c>
    </row>
    <row r="36" spans="6:38" x14ac:dyDescent="0.2">
      <c r="F36" t="str">
        <f t="shared" si="0"/>
        <v/>
      </c>
      <c r="L36" s="7" t="str">
        <f t="shared" si="1"/>
        <v/>
      </c>
      <c r="N36" s="7" t="str">
        <f t="shared" si="2"/>
        <v/>
      </c>
      <c r="O36" t="str">
        <f t="shared" si="3"/>
        <v/>
      </c>
      <c r="P36" t="str">
        <f t="shared" si="18"/>
        <v/>
      </c>
      <c r="Q36" t="str">
        <f t="shared" si="5"/>
        <v/>
      </c>
      <c r="S36" t="str">
        <f>""</f>
        <v/>
      </c>
      <c r="X36" s="48">
        <v>3</v>
      </c>
      <c r="Y36" s="45">
        <f>SUMIFS(N:N, F:F, X36)</f>
        <v>0</v>
      </c>
      <c r="Z36" s="34">
        <f>COUNTIF(F:F,X36)</f>
        <v>0</v>
      </c>
      <c r="AA36" s="41">
        <f>IFERROR(COUNTIFS(F:F, X36)/COUNTA($E$2:$E$993),0)</f>
        <v>0</v>
      </c>
      <c r="AD36" s="7"/>
      <c r="AE36" s="7"/>
      <c r="AL36" s="18" t="str">
        <f>IF(COUNTIF($A$2:A35, A35) = 1, A35, "")</f>
        <v/>
      </c>
    </row>
    <row r="37" spans="6:38" x14ac:dyDescent="0.2">
      <c r="F37" t="str">
        <f t="shared" si="0"/>
        <v/>
      </c>
      <c r="L37" s="7" t="str">
        <f t="shared" si="1"/>
        <v/>
      </c>
      <c r="N37" s="7" t="str">
        <f t="shared" si="2"/>
        <v/>
      </c>
      <c r="O37" t="str">
        <f t="shared" si="3"/>
        <v/>
      </c>
      <c r="P37" t="str">
        <f t="shared" si="18"/>
        <v/>
      </c>
      <c r="Q37" t="str">
        <f t="shared" si="5"/>
        <v/>
      </c>
      <c r="S37" t="str">
        <f>""</f>
        <v/>
      </c>
      <c r="X37" s="47">
        <v>4</v>
      </c>
      <c r="Y37" s="45">
        <f>SUMIFS(N:N, F:F, X37)</f>
        <v>0</v>
      </c>
      <c r="Z37" s="34">
        <f>COUNTIF(F:F,X37)</f>
        <v>0</v>
      </c>
      <c r="AA37" s="41">
        <f>IFERROR(COUNTIFS(F:F, X37)/COUNTA($E$2:$E$993),0)</f>
        <v>0</v>
      </c>
      <c r="AD37" s="7"/>
      <c r="AE37" s="7"/>
      <c r="AL37" s="18" t="str">
        <f>IF(COUNTIF($A$2:A36, A36) = 1, A36, "")</f>
        <v/>
      </c>
    </row>
    <row r="38" spans="6:38" ht="17" thickBot="1" x14ac:dyDescent="0.25">
      <c r="F38" t="str">
        <f t="shared" si="0"/>
        <v/>
      </c>
      <c r="L38" s="7" t="str">
        <f t="shared" si="1"/>
        <v/>
      </c>
      <c r="N38" s="7" t="str">
        <f t="shared" si="2"/>
        <v/>
      </c>
      <c r="O38" t="str">
        <f t="shared" si="3"/>
        <v/>
      </c>
      <c r="P38" t="str">
        <f t="shared" si="18"/>
        <v/>
      </c>
      <c r="Q38" t="str">
        <f t="shared" si="5"/>
        <v/>
      </c>
      <c r="S38" t="str">
        <f>""</f>
        <v/>
      </c>
      <c r="X38" s="49" t="s">
        <v>88</v>
      </c>
      <c r="Y38" s="44">
        <f>SUMIFS(N:N, F:F, "&gt;4")</f>
        <v>0</v>
      </c>
      <c r="Z38" s="35">
        <f>COUNTIF(F:F,"&gt;4")</f>
        <v>0</v>
      </c>
      <c r="AA38" s="52">
        <f>IFERROR(COUNTIFS(F:F, X38)/COUNTA($E$2:$E$993),0)</f>
        <v>0</v>
      </c>
      <c r="AD38" s="7"/>
      <c r="AE38" s="7"/>
      <c r="AL38" s="18" t="str">
        <f>IF(COUNTIF($A$2:A37, A37) = 1, A37, "")</f>
        <v/>
      </c>
    </row>
    <row r="39" spans="6:38" ht="17" thickBot="1" x14ac:dyDescent="0.25">
      <c r="F39" t="str">
        <f t="shared" si="0"/>
        <v/>
      </c>
      <c r="L39" s="7" t="str">
        <f t="shared" si="1"/>
        <v/>
      </c>
      <c r="N39" s="7" t="str">
        <f t="shared" si="2"/>
        <v/>
      </c>
      <c r="O39" t="str">
        <f t="shared" si="3"/>
        <v/>
      </c>
      <c r="P39" t="str">
        <f t="shared" si="18"/>
        <v/>
      </c>
      <c r="Q39" t="str">
        <f t="shared" si="5"/>
        <v/>
      </c>
      <c r="S39" t="str">
        <f>""</f>
        <v/>
      </c>
      <c r="Y39" s="60"/>
      <c r="AD39" s="7"/>
      <c r="AE39" s="7"/>
      <c r="AL39" s="18" t="str">
        <f>IF(COUNTIF($A$2:A38, A38) = 1, A38, "")</f>
        <v/>
      </c>
    </row>
    <row r="40" spans="6:38" ht="17" thickBot="1" x14ac:dyDescent="0.25">
      <c r="F40" t="str">
        <f t="shared" si="0"/>
        <v/>
      </c>
      <c r="L40" s="7" t="str">
        <f t="shared" si="1"/>
        <v/>
      </c>
      <c r="N40" s="7" t="str">
        <f t="shared" si="2"/>
        <v/>
      </c>
      <c r="O40" t="str">
        <f t="shared" si="3"/>
        <v/>
      </c>
      <c r="P40" t="str">
        <f t="shared" si="18"/>
        <v/>
      </c>
      <c r="Q40" t="str">
        <f t="shared" si="5"/>
        <v/>
      </c>
      <c r="S40" t="str">
        <f>""</f>
        <v/>
      </c>
      <c r="X40" s="79" t="s">
        <v>38</v>
      </c>
      <c r="Y40" s="83" t="s">
        <v>9</v>
      </c>
      <c r="Z40" s="81" t="s">
        <v>84</v>
      </c>
      <c r="AA40" s="82" t="s">
        <v>39</v>
      </c>
      <c r="AD40" s="7"/>
      <c r="AE40" s="7"/>
      <c r="AL40" s="18" t="str">
        <f>IF(COUNTIF($A$2:A39, A39) = 1, A39, "")</f>
        <v/>
      </c>
    </row>
    <row r="41" spans="6:38" x14ac:dyDescent="0.2">
      <c r="F41" t="str">
        <f t="shared" si="0"/>
        <v/>
      </c>
      <c r="L41" s="7" t="str">
        <f t="shared" si="1"/>
        <v/>
      </c>
      <c r="N41" s="7" t="str">
        <f t="shared" si="2"/>
        <v/>
      </c>
      <c r="O41" t="str">
        <f t="shared" si="3"/>
        <v/>
      </c>
      <c r="P41" t="str">
        <f t="shared" si="18"/>
        <v/>
      </c>
      <c r="Q41" t="str">
        <f t="shared" si="5"/>
        <v/>
      </c>
      <c r="S41" t="str">
        <f>""</f>
        <v/>
      </c>
      <c r="X41" s="47" t="s">
        <v>4</v>
      </c>
      <c r="Y41" s="45">
        <f>SUMIFS(N:N,G:G, "Yes")</f>
        <v>0</v>
      </c>
      <c r="Z41" s="40">
        <f>COUNTIF(G:G,"Yes")</f>
        <v>0</v>
      </c>
      <c r="AA41" s="41">
        <f>IFERROR(COUNTIFS(G:G, "Yes")/COUNTA($G$2:$G$994),0)</f>
        <v>0</v>
      </c>
      <c r="AD41" s="7"/>
      <c r="AE41" s="7"/>
      <c r="AL41" s="18" t="str">
        <f>IF(COUNTIF($A$2:A40, A40) = 1, A40, "")</f>
        <v/>
      </c>
    </row>
    <row r="42" spans="6:38" x14ac:dyDescent="0.2">
      <c r="F42" t="str">
        <f t="shared" si="0"/>
        <v/>
      </c>
      <c r="L42" s="7" t="str">
        <f t="shared" si="1"/>
        <v/>
      </c>
      <c r="N42" s="7" t="str">
        <f t="shared" si="2"/>
        <v/>
      </c>
      <c r="O42" t="str">
        <f t="shared" si="3"/>
        <v/>
      </c>
      <c r="P42" t="str">
        <f t="shared" si="18"/>
        <v/>
      </c>
      <c r="Q42" t="str">
        <f t="shared" si="5"/>
        <v/>
      </c>
      <c r="S42" t="str">
        <f>""</f>
        <v/>
      </c>
      <c r="X42" s="48" t="s">
        <v>5</v>
      </c>
      <c r="Y42" s="45">
        <f>SUMIFS(N:N,H:H, "Yes")</f>
        <v>0</v>
      </c>
      <c r="Z42" s="34">
        <f>COUNTIF(H:H,"Yes")</f>
        <v>0</v>
      </c>
      <c r="AA42" s="38">
        <f>IFERROR(COUNTIFS(H:H, "Yes")/COUNTA($G$2:$G$994),0)</f>
        <v>0</v>
      </c>
      <c r="AD42" s="7"/>
      <c r="AE42" s="7"/>
      <c r="AL42" s="18" t="str">
        <f>IF(COUNTIF($A$2:A41, A41) = 1, A41, "")</f>
        <v/>
      </c>
    </row>
    <row r="43" spans="6:38" ht="17" thickBot="1" x14ac:dyDescent="0.25">
      <c r="F43" t="str">
        <f t="shared" si="0"/>
        <v/>
      </c>
      <c r="L43" s="7" t="str">
        <f t="shared" si="1"/>
        <v/>
      </c>
      <c r="N43" s="7" t="str">
        <f t="shared" si="2"/>
        <v/>
      </c>
      <c r="O43" t="str">
        <f t="shared" si="3"/>
        <v/>
      </c>
      <c r="P43" t="str">
        <f t="shared" si="18"/>
        <v/>
      </c>
      <c r="Q43" t="str">
        <f t="shared" si="5"/>
        <v/>
      </c>
      <c r="S43" t="str">
        <f>""</f>
        <v/>
      </c>
      <c r="X43" s="50" t="s">
        <v>6</v>
      </c>
      <c r="Y43" s="45">
        <f>SUMIFS(N:N,I:I, "Yes")</f>
        <v>0</v>
      </c>
      <c r="Z43" s="42">
        <f>COUNTIF(I:I,"Yes")</f>
        <v>0</v>
      </c>
      <c r="AA43" s="39">
        <f>IFERROR(COUNTIFS(I:I, "Yes")/COUNTA($G$2:$G$994),0)</f>
        <v>0</v>
      </c>
      <c r="AD43" s="7"/>
      <c r="AE43" s="7"/>
      <c r="AL43" s="18" t="str">
        <f>IF(COUNTIF($A$2:A42, A42) = 1, A42, "")</f>
        <v/>
      </c>
    </row>
    <row r="44" spans="6:38" ht="17" thickBot="1" x14ac:dyDescent="0.25">
      <c r="F44" t="str">
        <f t="shared" si="0"/>
        <v/>
      </c>
      <c r="L44" s="7" t="str">
        <f t="shared" si="1"/>
        <v/>
      </c>
      <c r="N44" s="7" t="str">
        <f t="shared" si="2"/>
        <v/>
      </c>
      <c r="O44" t="str">
        <f t="shared" si="3"/>
        <v/>
      </c>
      <c r="P44" t="str">
        <f t="shared" si="18"/>
        <v/>
      </c>
      <c r="Q44" t="str">
        <f t="shared" si="5"/>
        <v/>
      </c>
      <c r="S44" t="str">
        <f>""</f>
        <v/>
      </c>
      <c r="Y44" s="60"/>
      <c r="AD44" s="7"/>
      <c r="AE44" s="7"/>
      <c r="AL44" s="18" t="str">
        <f>IF(COUNTIF($A$2:A43, A43) = 1, A43, "")</f>
        <v/>
      </c>
    </row>
    <row r="45" spans="6:38" ht="17" thickBot="1" x14ac:dyDescent="0.25">
      <c r="F45" t="str">
        <f t="shared" si="0"/>
        <v/>
      </c>
      <c r="L45" s="7" t="str">
        <f t="shared" si="1"/>
        <v/>
      </c>
      <c r="N45" s="7" t="str">
        <f t="shared" si="2"/>
        <v/>
      </c>
      <c r="O45" t="str">
        <f t="shared" si="3"/>
        <v/>
      </c>
      <c r="P45" t="str">
        <f t="shared" si="18"/>
        <v/>
      </c>
      <c r="Q45" t="str">
        <f t="shared" si="5"/>
        <v/>
      </c>
      <c r="S45" t="str">
        <f>""</f>
        <v/>
      </c>
      <c r="X45" s="79" t="s">
        <v>74</v>
      </c>
      <c r="Y45" s="83" t="s">
        <v>9</v>
      </c>
      <c r="Z45" s="81" t="s">
        <v>84</v>
      </c>
      <c r="AA45" s="82" t="s">
        <v>39</v>
      </c>
      <c r="AD45" s="7"/>
      <c r="AE45" s="7"/>
      <c r="AL45" s="18" t="str">
        <f>IF(COUNTIF($A$2:A44, A44) = 1, A44, "")</f>
        <v/>
      </c>
    </row>
    <row r="46" spans="6:38" x14ac:dyDescent="0.2">
      <c r="F46" t="str">
        <f t="shared" si="0"/>
        <v/>
      </c>
      <c r="L46" s="7" t="str">
        <f t="shared" si="1"/>
        <v/>
      </c>
      <c r="N46" s="7" t="str">
        <f t="shared" si="2"/>
        <v/>
      </c>
      <c r="O46" t="str">
        <f t="shared" si="3"/>
        <v/>
      </c>
      <c r="P46" t="str">
        <f t="shared" si="18"/>
        <v/>
      </c>
      <c r="Q46" t="str">
        <f t="shared" si="5"/>
        <v/>
      </c>
      <c r="S46" t="str">
        <f>""</f>
        <v/>
      </c>
      <c r="X46" s="47" t="s">
        <v>75</v>
      </c>
      <c r="Y46" s="45">
        <f>SUMIFS(N:N,J:J,"No")</f>
        <v>0</v>
      </c>
      <c r="Z46" s="40">
        <f>COUNTIF(J:J,"No")</f>
        <v>0</v>
      </c>
      <c r="AA46" s="46">
        <f>IFERROR(COUNTIFS($J$2:$J$1048576, "No")/COUNTA($G$2:$G$994), 0)</f>
        <v>0</v>
      </c>
      <c r="AD46" s="7"/>
      <c r="AE46" s="7"/>
      <c r="AL46" s="18" t="str">
        <f>IF(COUNTIF($A$2:A45, A45) = 1, A45, "")</f>
        <v/>
      </c>
    </row>
    <row r="47" spans="6:38" ht="17" thickBot="1" x14ac:dyDescent="0.25">
      <c r="F47" t="str">
        <f t="shared" si="0"/>
        <v/>
      </c>
      <c r="L47" s="7" t="str">
        <f t="shared" si="1"/>
        <v/>
      </c>
      <c r="N47" s="7" t="str">
        <f t="shared" si="2"/>
        <v/>
      </c>
      <c r="O47" t="str">
        <f t="shared" si="3"/>
        <v/>
      </c>
      <c r="P47" t="str">
        <f t="shared" si="18"/>
        <v/>
      </c>
      <c r="Q47" t="str">
        <f t="shared" si="5"/>
        <v/>
      </c>
      <c r="S47" t="str">
        <f>""</f>
        <v/>
      </c>
      <c r="X47" s="49" t="s">
        <v>69</v>
      </c>
      <c r="Y47" s="44">
        <f>SUMIFS(N:N,J:J,"Yes")</f>
        <v>0</v>
      </c>
      <c r="Z47" s="35">
        <f>COUNTIF(J:J,"Yes")</f>
        <v>0</v>
      </c>
      <c r="AA47" s="53">
        <f>IFERROR(COUNTIFS($J$2:$J$1048576, "Yes")/COUNTA($G$2:$G$994), 0)</f>
        <v>0</v>
      </c>
      <c r="AD47" s="7"/>
      <c r="AE47" s="7"/>
      <c r="AL47" s="18" t="str">
        <f>IF(COUNTIF($A$2:A46, A46) = 1, A46, "")</f>
        <v/>
      </c>
    </row>
    <row r="48" spans="6:38" ht="17" thickBot="1" x14ac:dyDescent="0.25">
      <c r="F48" t="str">
        <f t="shared" si="0"/>
        <v/>
      </c>
      <c r="L48" s="7" t="str">
        <f t="shared" si="1"/>
        <v/>
      </c>
      <c r="N48" s="7" t="str">
        <f t="shared" si="2"/>
        <v/>
      </c>
      <c r="O48" t="str">
        <f t="shared" si="3"/>
        <v/>
      </c>
      <c r="P48" t="str">
        <f t="shared" si="18"/>
        <v/>
      </c>
      <c r="Q48" t="str">
        <f t="shared" si="5"/>
        <v/>
      </c>
      <c r="S48" t="str">
        <f>""</f>
        <v/>
      </c>
      <c r="AD48" s="7"/>
      <c r="AE48" s="7"/>
      <c r="AL48" s="18" t="str">
        <f>IF(COUNTIF($A$2:A47, A47) = 1, A47, "")</f>
        <v/>
      </c>
    </row>
    <row r="49" spans="6:38" ht="17" thickBot="1" x14ac:dyDescent="0.25">
      <c r="F49" t="str">
        <f t="shared" si="0"/>
        <v/>
      </c>
      <c r="L49" s="7" t="str">
        <f t="shared" si="1"/>
        <v/>
      </c>
      <c r="N49" s="7" t="str">
        <f t="shared" si="2"/>
        <v/>
      </c>
      <c r="O49" t="str">
        <f t="shared" si="3"/>
        <v/>
      </c>
      <c r="P49" t="str">
        <f t="shared" si="18"/>
        <v/>
      </c>
      <c r="Q49" t="str">
        <f t="shared" si="5"/>
        <v/>
      </c>
      <c r="S49" t="str">
        <f>""</f>
        <v/>
      </c>
      <c r="X49" s="92" t="s">
        <v>89</v>
      </c>
      <c r="Y49" s="83" t="s">
        <v>9</v>
      </c>
      <c r="Z49" s="81" t="s">
        <v>84</v>
      </c>
      <c r="AA49" s="82" t="s">
        <v>39</v>
      </c>
      <c r="AD49" s="7"/>
      <c r="AE49" s="7"/>
      <c r="AL49" s="18" t="str">
        <f>IF(COUNTIF($A$2:A48, A48) = 1, A48, "")</f>
        <v/>
      </c>
    </row>
    <row r="50" spans="6:38" x14ac:dyDescent="0.2">
      <c r="F50" t="str">
        <f t="shared" si="0"/>
        <v/>
      </c>
      <c r="L50" s="7" t="str">
        <f t="shared" si="1"/>
        <v/>
      </c>
      <c r="N50" s="7" t="str">
        <f t="shared" si="2"/>
        <v/>
      </c>
      <c r="O50" t="str">
        <f t="shared" si="3"/>
        <v/>
      </c>
      <c r="P50" t="str">
        <f t="shared" si="18"/>
        <v/>
      </c>
      <c r="Q50" t="str">
        <f t="shared" si="5"/>
        <v/>
      </c>
      <c r="S50" t="str">
        <f>""</f>
        <v/>
      </c>
      <c r="X50" s="48" t="str">
        <f>Master!F50</f>
        <v>Source 1</v>
      </c>
      <c r="Y50" s="62">
        <f>SUMIFS(N:N,R:R,X50)</f>
        <v>0</v>
      </c>
      <c r="Z50" s="63">
        <f t="shared" ref="Z50:Z58" si="19">COUNTIF(R:R,X50)</f>
        <v>0</v>
      </c>
      <c r="AA50" s="54">
        <f>IFERROR(COUNTIFS(R:R, X50)/COUNTA($R$2:$R$994), 0)</f>
        <v>0</v>
      </c>
      <c r="AD50" s="7"/>
      <c r="AE50" s="7"/>
      <c r="AL50" s="18" t="str">
        <f>IF(COUNTIF($A$2:A49, A49) = 1, A49, "")</f>
        <v/>
      </c>
    </row>
    <row r="51" spans="6:38" x14ac:dyDescent="0.2">
      <c r="F51" t="str">
        <f t="shared" si="0"/>
        <v/>
      </c>
      <c r="L51" s="7" t="str">
        <f t="shared" si="1"/>
        <v/>
      </c>
      <c r="N51" s="7" t="str">
        <f t="shared" si="2"/>
        <v/>
      </c>
      <c r="O51" t="str">
        <f t="shared" si="3"/>
        <v/>
      </c>
      <c r="P51" t="str">
        <f t="shared" si="18"/>
        <v/>
      </c>
      <c r="Q51" t="str">
        <f t="shared" si="5"/>
        <v/>
      </c>
      <c r="S51" t="str">
        <f>""</f>
        <v/>
      </c>
      <c r="X51" s="48" t="str">
        <f>Master!F51</f>
        <v>Source 2</v>
      </c>
      <c r="Y51" s="45">
        <f t="shared" ref="Y51:Y58" si="20">SUMIFS(N:N,R:R,X51)</f>
        <v>0</v>
      </c>
      <c r="Z51" s="64">
        <f t="shared" si="19"/>
        <v>0</v>
      </c>
      <c r="AA51" s="46">
        <f t="shared" ref="AA51:AA56" si="21">IFERROR(COUNTIFS(R:R, X51)/COUNTA($R$2:$R$994), 0)</f>
        <v>0</v>
      </c>
      <c r="AD51" s="7"/>
      <c r="AE51" s="7"/>
      <c r="AL51" s="18" t="str">
        <f>IF(COUNTIF($A$2:A50, A50) = 1, A50, "")</f>
        <v/>
      </c>
    </row>
    <row r="52" spans="6:38" x14ac:dyDescent="0.2">
      <c r="F52" t="str">
        <f t="shared" si="0"/>
        <v/>
      </c>
      <c r="L52" s="7" t="str">
        <f t="shared" si="1"/>
        <v/>
      </c>
      <c r="N52" s="7" t="str">
        <f t="shared" si="2"/>
        <v/>
      </c>
      <c r="O52" t="str">
        <f t="shared" si="3"/>
        <v/>
      </c>
      <c r="P52" t="str">
        <f t="shared" si="18"/>
        <v/>
      </c>
      <c r="Q52" t="str">
        <f t="shared" si="5"/>
        <v/>
      </c>
      <c r="S52" t="str">
        <f>""</f>
        <v/>
      </c>
      <c r="X52" s="48" t="str">
        <f>Master!F52</f>
        <v>Source 3</v>
      </c>
      <c r="Y52" s="45">
        <f t="shared" si="20"/>
        <v>0</v>
      </c>
      <c r="Z52" s="64">
        <f t="shared" si="19"/>
        <v>0</v>
      </c>
      <c r="AA52" s="46">
        <f t="shared" si="21"/>
        <v>0</v>
      </c>
      <c r="AD52" s="7"/>
      <c r="AE52" s="7"/>
      <c r="AL52" s="18" t="str">
        <f>IF(COUNTIF($A$2:A51, A51) = 1, A51, "")</f>
        <v/>
      </c>
    </row>
    <row r="53" spans="6:38" x14ac:dyDescent="0.2">
      <c r="F53" t="str">
        <f t="shared" si="0"/>
        <v/>
      </c>
      <c r="L53" s="7" t="str">
        <f t="shared" si="1"/>
        <v/>
      </c>
      <c r="N53" s="7" t="str">
        <f t="shared" si="2"/>
        <v/>
      </c>
      <c r="O53" t="str">
        <f t="shared" si="3"/>
        <v/>
      </c>
      <c r="P53" t="str">
        <f t="shared" si="18"/>
        <v/>
      </c>
      <c r="Q53" t="str">
        <f t="shared" si="5"/>
        <v/>
      </c>
      <c r="S53" t="str">
        <f>""</f>
        <v/>
      </c>
      <c r="X53" s="48" t="str">
        <f>Master!F53</f>
        <v>Source 4</v>
      </c>
      <c r="Y53" s="45">
        <f t="shared" si="20"/>
        <v>0</v>
      </c>
      <c r="Z53" s="64">
        <f t="shared" si="19"/>
        <v>0</v>
      </c>
      <c r="AA53" s="46">
        <f t="shared" si="21"/>
        <v>0</v>
      </c>
      <c r="AD53" s="7"/>
      <c r="AE53" s="7"/>
      <c r="AL53" s="18" t="str">
        <f>IF(COUNTIF($A$2:A52, A52) = 1, A52, "")</f>
        <v/>
      </c>
    </row>
    <row r="54" spans="6:38" x14ac:dyDescent="0.2">
      <c r="F54" t="str">
        <f t="shared" si="0"/>
        <v/>
      </c>
      <c r="L54" s="7" t="str">
        <f t="shared" si="1"/>
        <v/>
      </c>
      <c r="N54" s="7" t="str">
        <f t="shared" si="2"/>
        <v/>
      </c>
      <c r="O54" t="str">
        <f t="shared" si="3"/>
        <v/>
      </c>
      <c r="P54" t="str">
        <f t="shared" si="18"/>
        <v/>
      </c>
      <c r="Q54" t="str">
        <f t="shared" si="5"/>
        <v/>
      </c>
      <c r="S54" t="str">
        <f>""</f>
        <v/>
      </c>
      <c r="X54" s="48" t="str">
        <f>Master!F54</f>
        <v>Source 5</v>
      </c>
      <c r="Y54" s="45">
        <f t="shared" si="20"/>
        <v>0</v>
      </c>
      <c r="Z54" s="64">
        <f t="shared" si="19"/>
        <v>0</v>
      </c>
      <c r="AA54" s="46">
        <f t="shared" si="21"/>
        <v>0</v>
      </c>
      <c r="AD54" s="7"/>
      <c r="AE54" s="7"/>
      <c r="AL54" s="18" t="str">
        <f>IF(COUNTIF($A$2:A53, A53) = 1, A53, "")</f>
        <v/>
      </c>
    </row>
    <row r="55" spans="6:38" x14ac:dyDescent="0.2">
      <c r="F55" t="str">
        <f t="shared" si="0"/>
        <v/>
      </c>
      <c r="L55" s="7" t="str">
        <f t="shared" si="1"/>
        <v/>
      </c>
      <c r="N55" s="7" t="str">
        <f t="shared" si="2"/>
        <v/>
      </c>
      <c r="O55" t="str">
        <f t="shared" si="3"/>
        <v/>
      </c>
      <c r="P55" t="str">
        <f t="shared" si="18"/>
        <v/>
      </c>
      <c r="Q55" t="str">
        <f t="shared" si="5"/>
        <v/>
      </c>
      <c r="S55" t="str">
        <f>""</f>
        <v/>
      </c>
      <c r="X55" s="48" t="str">
        <f>Master!F55</f>
        <v>Source 6</v>
      </c>
      <c r="Y55" s="45">
        <f t="shared" si="20"/>
        <v>0</v>
      </c>
      <c r="Z55" s="64">
        <f t="shared" si="19"/>
        <v>0</v>
      </c>
      <c r="AA55" s="46">
        <f>IFERROR(COUNTIFS(R:R, X55)/COUNTA($R$2:$R$994), 0)</f>
        <v>0</v>
      </c>
      <c r="AD55" s="7"/>
      <c r="AE55" s="7"/>
      <c r="AL55" s="18" t="str">
        <f>IF(COUNTIF($A$2:A54, A54) = 1, A54, "")</f>
        <v/>
      </c>
    </row>
    <row r="56" spans="6:38" x14ac:dyDescent="0.2">
      <c r="F56" t="str">
        <f t="shared" si="0"/>
        <v/>
      </c>
      <c r="L56" s="7" t="str">
        <f t="shared" si="1"/>
        <v/>
      </c>
      <c r="N56" s="7" t="str">
        <f t="shared" si="2"/>
        <v/>
      </c>
      <c r="O56" t="str">
        <f t="shared" si="3"/>
        <v/>
      </c>
      <c r="P56" t="str">
        <f t="shared" si="18"/>
        <v/>
      </c>
      <c r="Q56" t="str">
        <f t="shared" si="5"/>
        <v/>
      </c>
      <c r="S56" t="str">
        <f>""</f>
        <v/>
      </c>
      <c r="X56" s="48" t="str">
        <f>Master!F56</f>
        <v>Source 7</v>
      </c>
      <c r="Y56" s="45">
        <f t="shared" si="20"/>
        <v>0</v>
      </c>
      <c r="Z56" s="64">
        <f t="shared" si="19"/>
        <v>0</v>
      </c>
      <c r="AA56" s="46">
        <f t="shared" si="21"/>
        <v>0</v>
      </c>
      <c r="AD56" s="7"/>
      <c r="AE56" s="7"/>
      <c r="AL56" s="18" t="str">
        <f>IF(COUNTIF($A$2:A55, A55) = 1, A55, "")</f>
        <v/>
      </c>
    </row>
    <row r="57" spans="6:38" x14ac:dyDescent="0.2">
      <c r="F57" t="str">
        <f t="shared" si="0"/>
        <v/>
      </c>
      <c r="L57" s="7" t="str">
        <f t="shared" si="1"/>
        <v/>
      </c>
      <c r="N57" s="7" t="str">
        <f t="shared" si="2"/>
        <v/>
      </c>
      <c r="O57" t="str">
        <f t="shared" si="3"/>
        <v/>
      </c>
      <c r="P57" t="str">
        <f t="shared" si="18"/>
        <v/>
      </c>
      <c r="Q57" t="str">
        <f t="shared" si="5"/>
        <v/>
      </c>
      <c r="S57" t="str">
        <f>""</f>
        <v/>
      </c>
      <c r="X57" s="48" t="str">
        <f>Master!F57</f>
        <v>Source 8</v>
      </c>
      <c r="Y57" s="45">
        <f t="shared" si="20"/>
        <v>0</v>
      </c>
      <c r="Z57" s="64">
        <f t="shared" si="19"/>
        <v>0</v>
      </c>
      <c r="AA57" s="46">
        <f>IFERROR(COUNTIFS(R:R, X57)/COUNTA($R$2:$R$994), 0)</f>
        <v>0</v>
      </c>
      <c r="AD57" s="7"/>
      <c r="AE57" s="7"/>
      <c r="AL57" s="18" t="str">
        <f>IF(COUNTIF($A$2:A56, A56) = 1, A56, "")</f>
        <v/>
      </c>
    </row>
    <row r="58" spans="6:38" ht="17" thickBot="1" x14ac:dyDescent="0.25">
      <c r="F58" t="str">
        <f t="shared" si="0"/>
        <v/>
      </c>
      <c r="L58" s="7" t="str">
        <f t="shared" si="1"/>
        <v/>
      </c>
      <c r="N58" s="7" t="str">
        <f t="shared" si="2"/>
        <v/>
      </c>
      <c r="O58" t="str">
        <f t="shared" si="3"/>
        <v/>
      </c>
      <c r="P58" t="str">
        <f t="shared" si="18"/>
        <v/>
      </c>
      <c r="Q58" t="str">
        <f t="shared" si="5"/>
        <v/>
      </c>
      <c r="S58" t="str">
        <f>""</f>
        <v/>
      </c>
      <c r="X58" s="49" t="s">
        <v>90</v>
      </c>
      <c r="Y58" s="44">
        <f t="shared" si="20"/>
        <v>0</v>
      </c>
      <c r="Z58" s="65">
        <f t="shared" si="19"/>
        <v>0</v>
      </c>
      <c r="AA58" s="53">
        <f>IFERROR(COUNTIFS(R:R, X58)/COUNTA($R$2:$R$994), 0)</f>
        <v>0</v>
      </c>
      <c r="AD58" s="7"/>
      <c r="AE58" s="7"/>
      <c r="AL58" s="18" t="str">
        <f>IF(COUNTIF($A$2:A57, A57) = 1, A57, "")</f>
        <v/>
      </c>
    </row>
    <row r="59" spans="6:38" x14ac:dyDescent="0.2">
      <c r="F59" t="str">
        <f t="shared" si="0"/>
        <v/>
      </c>
      <c r="L59" s="7" t="str">
        <f t="shared" si="1"/>
        <v/>
      </c>
      <c r="N59" s="7" t="str">
        <f t="shared" si="2"/>
        <v/>
      </c>
      <c r="O59" t="str">
        <f t="shared" si="3"/>
        <v/>
      </c>
      <c r="P59" t="str">
        <f t="shared" si="18"/>
        <v/>
      </c>
      <c r="Q59" t="str">
        <f t="shared" si="5"/>
        <v/>
      </c>
      <c r="S59" t="str">
        <f>""</f>
        <v/>
      </c>
      <c r="AL59" s="18" t="str">
        <f>IF(COUNTIF($A$2:A58, A58) = 1, A58, "")</f>
        <v/>
      </c>
    </row>
    <row r="60" spans="6:38" x14ac:dyDescent="0.2">
      <c r="F60" t="str">
        <f t="shared" si="0"/>
        <v/>
      </c>
      <c r="L60" s="7" t="str">
        <f t="shared" si="1"/>
        <v/>
      </c>
      <c r="N60" s="7" t="str">
        <f t="shared" si="2"/>
        <v/>
      </c>
      <c r="O60" t="str">
        <f t="shared" si="3"/>
        <v/>
      </c>
      <c r="P60" t="str">
        <f t="shared" si="18"/>
        <v/>
      </c>
      <c r="Q60" t="str">
        <f t="shared" si="5"/>
        <v/>
      </c>
      <c r="S60" t="str">
        <f>""</f>
        <v/>
      </c>
      <c r="AL60" s="18" t="str">
        <f>IF(COUNTIF($A$2:A59, A59) = 1, A59, "")</f>
        <v/>
      </c>
    </row>
    <row r="61" spans="6:38" x14ac:dyDescent="0.2">
      <c r="F61" t="str">
        <f t="shared" si="0"/>
        <v/>
      </c>
      <c r="L61" s="7" t="str">
        <f t="shared" si="1"/>
        <v/>
      </c>
      <c r="N61" s="7" t="str">
        <f t="shared" si="2"/>
        <v/>
      </c>
      <c r="O61" t="str">
        <f t="shared" si="3"/>
        <v/>
      </c>
      <c r="P61" t="str">
        <f t="shared" si="18"/>
        <v/>
      </c>
      <c r="Q61" t="str">
        <f t="shared" si="5"/>
        <v/>
      </c>
      <c r="S61" t="str">
        <f>""</f>
        <v/>
      </c>
      <c r="AL61" s="18" t="str">
        <f>IF(COUNTIF($A$2:A60, A60) = 1, A60, "")</f>
        <v/>
      </c>
    </row>
    <row r="62" spans="6:38" x14ac:dyDescent="0.2">
      <c r="F62" t="str">
        <f t="shared" si="0"/>
        <v/>
      </c>
      <c r="L62" s="7" t="str">
        <f t="shared" si="1"/>
        <v/>
      </c>
      <c r="N62" s="7" t="str">
        <f t="shared" si="2"/>
        <v/>
      </c>
      <c r="O62" t="str">
        <f t="shared" si="3"/>
        <v/>
      </c>
      <c r="P62" t="str">
        <f t="shared" si="18"/>
        <v/>
      </c>
      <c r="Q62" t="str">
        <f t="shared" si="5"/>
        <v/>
      </c>
      <c r="S62" t="str">
        <f>""</f>
        <v/>
      </c>
      <c r="AL62" s="18" t="str">
        <f>IF(COUNTIF($A$2:A61, A61) = 1, A61, "")</f>
        <v/>
      </c>
    </row>
    <row r="63" spans="6:38" x14ac:dyDescent="0.2">
      <c r="F63" t="str">
        <f t="shared" si="0"/>
        <v/>
      </c>
      <c r="L63" s="7" t="str">
        <f t="shared" si="1"/>
        <v/>
      </c>
      <c r="N63" s="7" t="str">
        <f t="shared" si="2"/>
        <v/>
      </c>
      <c r="O63" t="str">
        <f t="shared" si="3"/>
        <v/>
      </c>
      <c r="P63" t="str">
        <f t="shared" si="18"/>
        <v/>
      </c>
      <c r="Q63" t="str">
        <f t="shared" si="5"/>
        <v/>
      </c>
      <c r="S63" t="str">
        <f>""</f>
        <v/>
      </c>
      <c r="AL63" s="18" t="str">
        <f>IF(COUNTIF($A$2:A62, A62) = 1, A62, "")</f>
        <v/>
      </c>
    </row>
    <row r="64" spans="6:38" x14ac:dyDescent="0.2">
      <c r="F64" t="str">
        <f t="shared" si="0"/>
        <v/>
      </c>
      <c r="L64" s="7" t="str">
        <f t="shared" si="1"/>
        <v/>
      </c>
      <c r="N64" s="7" t="str">
        <f t="shared" si="2"/>
        <v/>
      </c>
      <c r="O64" t="str">
        <f t="shared" si="3"/>
        <v/>
      </c>
      <c r="P64" t="str">
        <f t="shared" si="18"/>
        <v/>
      </c>
      <c r="Q64" t="str">
        <f t="shared" si="5"/>
        <v/>
      </c>
      <c r="S64" t="str">
        <f>""</f>
        <v/>
      </c>
      <c r="AL64" s="18" t="str">
        <f>IF(COUNTIF($A$2:A63, A63) = 1, A63, "")</f>
        <v/>
      </c>
    </row>
    <row r="65" spans="6:38" x14ac:dyDescent="0.2">
      <c r="F65" t="str">
        <f t="shared" si="0"/>
        <v/>
      </c>
      <c r="L65" s="7" t="str">
        <f t="shared" si="1"/>
        <v/>
      </c>
      <c r="N65" s="7" t="str">
        <f t="shared" si="2"/>
        <v/>
      </c>
      <c r="O65" t="str">
        <f t="shared" si="3"/>
        <v/>
      </c>
      <c r="P65" t="str">
        <f t="shared" si="18"/>
        <v/>
      </c>
      <c r="Q65" t="str">
        <f t="shared" si="5"/>
        <v/>
      </c>
      <c r="S65" t="str">
        <f>""</f>
        <v/>
      </c>
      <c r="AL65" s="18" t="str">
        <f>IF(COUNTIF($A$2:A64, A64) = 1, A64, "")</f>
        <v/>
      </c>
    </row>
    <row r="66" spans="6:38" x14ac:dyDescent="0.2">
      <c r="F66" t="str">
        <f t="shared" ref="F66:F129" si="22">IF(OR(O66="", P66=""), "", SUM(IF((O66&lt;&gt;"None")*(O66&lt;&gt;""),LEN(O66)-LEN(SUBSTITUTE(O66,",",""))+1,0)) + SUM(IF((P66&lt;&gt;"None")*(P66&lt;&gt;""),LEN(P66)-LEN(SUBSTITUTE(P66,",",""))+1,0)))</f>
        <v/>
      </c>
      <c r="L66" s="7" t="str">
        <f t="shared" ref="L66:L129" si="23">IF(LEN(E66)=0, "", IFERROR(IF(E66&gt;=0, K66 * (1 + E66/100) - K66, K66 / (ABS(E66)/100))+K66, ""))</f>
        <v/>
      </c>
      <c r="N66" s="7" t="str">
        <f t="shared" ref="N66:N129" si="24">IF(M66="Yes",L66-K66,IF(M66="No",-K66,""))</f>
        <v/>
      </c>
      <c r="O66" t="str">
        <f t="shared" ref="O66:O129" si="25">IF(AND(G66="No",H66="No"), "None", "")</f>
        <v/>
      </c>
      <c r="P66" t="str">
        <f t="shared" si="18"/>
        <v/>
      </c>
      <c r="Q66" t="str">
        <f t="shared" ref="Q66:Q129" si="26">IF(AND(D66="Straight", M66 = "No"),IF(O66="None",P66,IF(P66="None",O66) ),"")</f>
        <v/>
      </c>
      <c r="S66" t="str">
        <f>""</f>
        <v/>
      </c>
      <c r="AL66" s="18" t="str">
        <f>IF(COUNTIF($A$2:A65, A65) = 1, A65, "")</f>
        <v/>
      </c>
    </row>
    <row r="67" spans="6:38" x14ac:dyDescent="0.2">
      <c r="F67" t="str">
        <f t="shared" si="22"/>
        <v/>
      </c>
      <c r="L67" s="7" t="str">
        <f t="shared" si="23"/>
        <v/>
      </c>
      <c r="N67" s="7" t="str">
        <f t="shared" si="24"/>
        <v/>
      </c>
      <c r="O67" t="str">
        <f t="shared" si="25"/>
        <v/>
      </c>
      <c r="P67" t="str">
        <f t="shared" si="18"/>
        <v/>
      </c>
      <c r="Q67" t="str">
        <f t="shared" si="26"/>
        <v/>
      </c>
      <c r="S67" t="str">
        <f>""</f>
        <v/>
      </c>
      <c r="AL67" s="18" t="str">
        <f>IF(COUNTIF($A$2:A66, A66) = 1, A66, "")</f>
        <v/>
      </c>
    </row>
    <row r="68" spans="6:38" x14ac:dyDescent="0.2">
      <c r="F68" t="str">
        <f t="shared" si="22"/>
        <v/>
      </c>
      <c r="L68" s="7" t="str">
        <f t="shared" si="23"/>
        <v/>
      </c>
      <c r="N68" s="7" t="str">
        <f t="shared" si="24"/>
        <v/>
      </c>
      <c r="O68" t="str">
        <f t="shared" si="25"/>
        <v/>
      </c>
      <c r="P68" t="str">
        <f t="shared" si="18"/>
        <v/>
      </c>
      <c r="Q68" t="str">
        <f t="shared" si="26"/>
        <v/>
      </c>
      <c r="S68" t="str">
        <f>""</f>
        <v/>
      </c>
      <c r="AL68" s="18" t="str">
        <f>IF(COUNTIF($A$2:A67, A67) = 1, A67, "")</f>
        <v/>
      </c>
    </row>
    <row r="69" spans="6:38" x14ac:dyDescent="0.2">
      <c r="F69" t="str">
        <f t="shared" si="22"/>
        <v/>
      </c>
      <c r="L69" s="7" t="str">
        <f t="shared" si="23"/>
        <v/>
      </c>
      <c r="N69" s="7" t="str">
        <f t="shared" si="24"/>
        <v/>
      </c>
      <c r="O69" t="str">
        <f t="shared" si="25"/>
        <v/>
      </c>
      <c r="P69" t="str">
        <f t="shared" si="18"/>
        <v/>
      </c>
      <c r="Q69" t="str">
        <f t="shared" si="26"/>
        <v/>
      </c>
      <c r="S69" t="str">
        <f>""</f>
        <v/>
      </c>
      <c r="AL69" s="18" t="str">
        <f>IF(COUNTIF($A$2:A68, A68) = 1, A68, "")</f>
        <v/>
      </c>
    </row>
    <row r="70" spans="6:38" x14ac:dyDescent="0.2">
      <c r="F70" t="str">
        <f t="shared" si="22"/>
        <v/>
      </c>
      <c r="L70" s="7" t="str">
        <f t="shared" si="23"/>
        <v/>
      </c>
      <c r="N70" s="7" t="str">
        <f t="shared" si="24"/>
        <v/>
      </c>
      <c r="O70" t="str">
        <f t="shared" si="25"/>
        <v/>
      </c>
      <c r="P70" t="str">
        <f t="shared" si="18"/>
        <v/>
      </c>
      <c r="Q70" t="str">
        <f t="shared" si="26"/>
        <v/>
      </c>
      <c r="S70" t="str">
        <f>""</f>
        <v/>
      </c>
      <c r="AL70" s="18" t="str">
        <f>IF(COUNTIF($A$2:A69, A69) = 1, A69, "")</f>
        <v/>
      </c>
    </row>
    <row r="71" spans="6:38" x14ac:dyDescent="0.2">
      <c r="F71" t="str">
        <f t="shared" si="22"/>
        <v/>
      </c>
      <c r="L71" s="7" t="str">
        <f t="shared" si="23"/>
        <v/>
      </c>
      <c r="N71" s="7" t="str">
        <f t="shared" si="24"/>
        <v/>
      </c>
      <c r="O71" t="str">
        <f t="shared" si="25"/>
        <v/>
      </c>
      <c r="P71" t="str">
        <f t="shared" si="18"/>
        <v/>
      </c>
      <c r="Q71" t="str">
        <f t="shared" si="26"/>
        <v/>
      </c>
      <c r="S71" t="str">
        <f>""</f>
        <v/>
      </c>
      <c r="AL71" s="18" t="str">
        <f>IF(COUNTIF($A$2:A70, A70) = 1, A70, "")</f>
        <v/>
      </c>
    </row>
    <row r="72" spans="6:38" x14ac:dyDescent="0.2">
      <c r="F72" t="str">
        <f t="shared" si="22"/>
        <v/>
      </c>
      <c r="L72" s="7" t="str">
        <f t="shared" si="23"/>
        <v/>
      </c>
      <c r="N72" s="7" t="str">
        <f t="shared" si="24"/>
        <v/>
      </c>
      <c r="O72" t="str">
        <f t="shared" si="25"/>
        <v/>
      </c>
      <c r="P72" t="str">
        <f t="shared" si="18"/>
        <v/>
      </c>
      <c r="Q72" t="str">
        <f t="shared" si="26"/>
        <v/>
      </c>
      <c r="S72" t="str">
        <f>""</f>
        <v/>
      </c>
      <c r="AL72" s="18" t="str">
        <f>IF(COUNTIF($A$2:A71, A71) = 1, A71, "")</f>
        <v/>
      </c>
    </row>
    <row r="73" spans="6:38" x14ac:dyDescent="0.2">
      <c r="F73" t="str">
        <f t="shared" si="22"/>
        <v/>
      </c>
      <c r="L73" s="7" t="str">
        <f t="shared" si="23"/>
        <v/>
      </c>
      <c r="N73" s="7" t="str">
        <f t="shared" si="24"/>
        <v/>
      </c>
      <c r="O73" t="str">
        <f t="shared" si="25"/>
        <v/>
      </c>
      <c r="P73" t="str">
        <f t="shared" si="18"/>
        <v/>
      </c>
      <c r="Q73" t="str">
        <f t="shared" si="26"/>
        <v/>
      </c>
      <c r="S73" t="str">
        <f>""</f>
        <v/>
      </c>
      <c r="AL73" s="18" t="str">
        <f>IF(COUNTIF($A$2:A72, A72) = 1, A72, "")</f>
        <v/>
      </c>
    </row>
    <row r="74" spans="6:38" x14ac:dyDescent="0.2">
      <c r="F74" t="str">
        <f t="shared" si="22"/>
        <v/>
      </c>
      <c r="L74" s="7" t="str">
        <f t="shared" si="23"/>
        <v/>
      </c>
      <c r="N74" s="7" t="str">
        <f t="shared" si="24"/>
        <v/>
      </c>
      <c r="O74" t="str">
        <f t="shared" si="25"/>
        <v/>
      </c>
      <c r="P74" t="str">
        <f t="shared" si="18"/>
        <v/>
      </c>
      <c r="Q74" t="str">
        <f t="shared" si="26"/>
        <v/>
      </c>
      <c r="S74" t="str">
        <f>""</f>
        <v/>
      </c>
      <c r="AL74" s="18" t="str">
        <f>IF(COUNTIF($A$2:A73, A73) = 1, A73, "")</f>
        <v/>
      </c>
    </row>
    <row r="75" spans="6:38" x14ac:dyDescent="0.2">
      <c r="F75" t="str">
        <f t="shared" si="22"/>
        <v/>
      </c>
      <c r="L75" s="7" t="str">
        <f t="shared" si="23"/>
        <v/>
      </c>
      <c r="N75" s="7" t="str">
        <f t="shared" si="24"/>
        <v/>
      </c>
      <c r="O75" t="str">
        <f t="shared" si="25"/>
        <v/>
      </c>
      <c r="P75" t="str">
        <f t="shared" si="18"/>
        <v/>
      </c>
      <c r="Q75" t="str">
        <f t="shared" si="26"/>
        <v/>
      </c>
      <c r="S75" t="str">
        <f>""</f>
        <v/>
      </c>
      <c r="AL75" s="18" t="str">
        <f>IF(COUNTIF($A$2:A74, A74) = 1, A74, "")</f>
        <v/>
      </c>
    </row>
    <row r="76" spans="6:38" x14ac:dyDescent="0.2">
      <c r="F76" t="str">
        <f t="shared" si="22"/>
        <v/>
      </c>
      <c r="L76" s="7" t="str">
        <f t="shared" si="23"/>
        <v/>
      </c>
      <c r="N76" s="7" t="str">
        <f t="shared" si="24"/>
        <v/>
      </c>
      <c r="O76" t="str">
        <f t="shared" si="25"/>
        <v/>
      </c>
      <c r="P76" t="str">
        <f t="shared" si="18"/>
        <v/>
      </c>
      <c r="Q76" t="str">
        <f t="shared" si="26"/>
        <v/>
      </c>
      <c r="S76" t="str">
        <f>""</f>
        <v/>
      </c>
      <c r="AL76" s="18" t="str">
        <f>IF(COUNTIF($A$2:A75, A75) = 1, A75, "")</f>
        <v/>
      </c>
    </row>
    <row r="77" spans="6:38" x14ac:dyDescent="0.2">
      <c r="F77" t="str">
        <f t="shared" si="22"/>
        <v/>
      </c>
      <c r="L77" s="7" t="str">
        <f t="shared" si="23"/>
        <v/>
      </c>
      <c r="N77" s="7" t="str">
        <f t="shared" si="24"/>
        <v/>
      </c>
      <c r="O77" t="str">
        <f t="shared" si="25"/>
        <v/>
      </c>
      <c r="P77" t="str">
        <f t="shared" si="18"/>
        <v/>
      </c>
      <c r="Q77" t="str">
        <f t="shared" si="26"/>
        <v/>
      </c>
      <c r="S77" t="str">
        <f>""</f>
        <v/>
      </c>
      <c r="AL77" s="18" t="str">
        <f>IF(COUNTIF($A$2:A76, A76) = 1, A76, "")</f>
        <v/>
      </c>
    </row>
    <row r="78" spans="6:38" x14ac:dyDescent="0.2">
      <c r="F78" t="str">
        <f t="shared" si="22"/>
        <v/>
      </c>
      <c r="L78" s="7" t="str">
        <f t="shared" si="23"/>
        <v/>
      </c>
      <c r="N78" s="7" t="str">
        <f t="shared" si="24"/>
        <v/>
      </c>
      <c r="O78" t="str">
        <f t="shared" si="25"/>
        <v/>
      </c>
      <c r="P78" t="str">
        <f t="shared" si="18"/>
        <v/>
      </c>
      <c r="Q78" t="str">
        <f t="shared" si="26"/>
        <v/>
      </c>
      <c r="S78" t="str">
        <f>""</f>
        <v/>
      </c>
      <c r="AL78" s="18" t="str">
        <f>IF(COUNTIF($A$2:A77, A77) = 1, A77, "")</f>
        <v/>
      </c>
    </row>
    <row r="79" spans="6:38" x14ac:dyDescent="0.2">
      <c r="F79" t="str">
        <f t="shared" si="22"/>
        <v/>
      </c>
      <c r="L79" s="7" t="str">
        <f t="shared" si="23"/>
        <v/>
      </c>
      <c r="N79" s="7" t="str">
        <f t="shared" si="24"/>
        <v/>
      </c>
      <c r="O79" t="str">
        <f t="shared" si="25"/>
        <v/>
      </c>
      <c r="P79" t="str">
        <f t="shared" si="18"/>
        <v/>
      </c>
      <c r="Q79" t="str">
        <f t="shared" si="26"/>
        <v/>
      </c>
      <c r="S79" t="str">
        <f>""</f>
        <v/>
      </c>
      <c r="AL79" s="18" t="str">
        <f>IF(COUNTIF($A$2:A78, A78) = 1, A78, "")</f>
        <v/>
      </c>
    </row>
    <row r="80" spans="6:38" x14ac:dyDescent="0.2">
      <c r="F80" t="str">
        <f t="shared" si="22"/>
        <v/>
      </c>
      <c r="L80" s="7" t="str">
        <f t="shared" si="23"/>
        <v/>
      </c>
      <c r="N80" s="7" t="str">
        <f t="shared" si="24"/>
        <v/>
      </c>
      <c r="O80" t="str">
        <f t="shared" si="25"/>
        <v/>
      </c>
      <c r="P80" t="str">
        <f t="shared" si="18"/>
        <v/>
      </c>
      <c r="Q80" t="str">
        <f t="shared" si="26"/>
        <v/>
      </c>
      <c r="S80" t="str">
        <f>""</f>
        <v/>
      </c>
      <c r="AL80" s="18" t="str">
        <f>IF(COUNTIF($A$2:A79, A79) = 1, A79, "")</f>
        <v/>
      </c>
    </row>
    <row r="81" spans="6:38" x14ac:dyDescent="0.2">
      <c r="F81" t="str">
        <f t="shared" si="22"/>
        <v/>
      </c>
      <c r="L81" s="7" t="str">
        <f t="shared" si="23"/>
        <v/>
      </c>
      <c r="N81" s="7" t="str">
        <f t="shared" si="24"/>
        <v/>
      </c>
      <c r="O81" t="str">
        <f t="shared" si="25"/>
        <v/>
      </c>
      <c r="P81" t="str">
        <f t="shared" si="18"/>
        <v/>
      </c>
      <c r="Q81" t="str">
        <f t="shared" si="26"/>
        <v/>
      </c>
      <c r="S81" t="str">
        <f>""</f>
        <v/>
      </c>
      <c r="AL81" s="18" t="str">
        <f>IF(COUNTIF($A$2:A80, A80) = 1, A80, "")</f>
        <v/>
      </c>
    </row>
    <row r="82" spans="6:38" x14ac:dyDescent="0.2">
      <c r="F82" t="str">
        <f t="shared" si="22"/>
        <v/>
      </c>
      <c r="L82" s="7" t="str">
        <f t="shared" si="23"/>
        <v/>
      </c>
      <c r="N82" s="7" t="str">
        <f t="shared" si="24"/>
        <v/>
      </c>
      <c r="O82" t="str">
        <f t="shared" si="25"/>
        <v/>
      </c>
      <c r="P82" t="str">
        <f t="shared" si="18"/>
        <v/>
      </c>
      <c r="Q82" t="str">
        <f t="shared" si="26"/>
        <v/>
      </c>
      <c r="S82" t="str">
        <f>""</f>
        <v/>
      </c>
      <c r="AL82" s="18" t="str">
        <f>IF(COUNTIF($A$2:A81, A81) = 1, A81, "")</f>
        <v/>
      </c>
    </row>
    <row r="83" spans="6:38" x14ac:dyDescent="0.2">
      <c r="F83" t="str">
        <f t="shared" si="22"/>
        <v/>
      </c>
      <c r="L83" s="7" t="str">
        <f t="shared" si="23"/>
        <v/>
      </c>
      <c r="N83" s="7" t="str">
        <f t="shared" si="24"/>
        <v/>
      </c>
      <c r="O83" t="str">
        <f t="shared" si="25"/>
        <v/>
      </c>
      <c r="P83" t="str">
        <f t="shared" ref="P83:P143" si="27">IF(I83="No", "None", "")</f>
        <v/>
      </c>
      <c r="Q83" t="str">
        <f t="shared" si="26"/>
        <v/>
      </c>
      <c r="S83" t="str">
        <f>""</f>
        <v/>
      </c>
      <c r="AL83" s="18" t="str">
        <f>IF(COUNTIF($A$2:A82, A82) = 1, A82, "")</f>
        <v/>
      </c>
    </row>
    <row r="84" spans="6:38" x14ac:dyDescent="0.2">
      <c r="F84" t="str">
        <f t="shared" si="22"/>
        <v/>
      </c>
      <c r="L84" s="7" t="str">
        <f t="shared" si="23"/>
        <v/>
      </c>
      <c r="N84" s="7" t="str">
        <f t="shared" si="24"/>
        <v/>
      </c>
      <c r="O84" t="str">
        <f t="shared" si="25"/>
        <v/>
      </c>
      <c r="P84" t="str">
        <f t="shared" si="27"/>
        <v/>
      </c>
      <c r="Q84" t="str">
        <f t="shared" si="26"/>
        <v/>
      </c>
      <c r="S84" t="str">
        <f>""</f>
        <v/>
      </c>
      <c r="AL84" s="18" t="str">
        <f>IF(COUNTIF($A$2:A83, A83) = 1, A83, "")</f>
        <v/>
      </c>
    </row>
    <row r="85" spans="6:38" x14ac:dyDescent="0.2">
      <c r="F85" t="str">
        <f t="shared" si="22"/>
        <v/>
      </c>
      <c r="L85" s="7" t="str">
        <f t="shared" si="23"/>
        <v/>
      </c>
      <c r="N85" s="7" t="str">
        <f t="shared" si="24"/>
        <v/>
      </c>
      <c r="O85" t="str">
        <f t="shared" si="25"/>
        <v/>
      </c>
      <c r="P85" t="str">
        <f t="shared" si="27"/>
        <v/>
      </c>
      <c r="Q85" t="str">
        <f t="shared" si="26"/>
        <v/>
      </c>
      <c r="S85" t="str">
        <f>""</f>
        <v/>
      </c>
      <c r="AL85" s="18" t="str">
        <f>IF(COUNTIF($A$2:A84, A84) = 1, A84, "")</f>
        <v/>
      </c>
    </row>
    <row r="86" spans="6:38" x14ac:dyDescent="0.2">
      <c r="F86" t="str">
        <f t="shared" si="22"/>
        <v/>
      </c>
      <c r="L86" s="7" t="str">
        <f t="shared" si="23"/>
        <v/>
      </c>
      <c r="N86" s="7" t="str">
        <f t="shared" si="24"/>
        <v/>
      </c>
      <c r="O86" t="str">
        <f t="shared" si="25"/>
        <v/>
      </c>
      <c r="P86" t="str">
        <f t="shared" si="27"/>
        <v/>
      </c>
      <c r="Q86" t="str">
        <f t="shared" si="26"/>
        <v/>
      </c>
      <c r="S86" t="str">
        <f>""</f>
        <v/>
      </c>
      <c r="AL86" s="18" t="str">
        <f>IF(COUNTIF($A$2:A85, A85) = 1, A85, "")</f>
        <v/>
      </c>
    </row>
    <row r="87" spans="6:38" x14ac:dyDescent="0.2">
      <c r="F87" t="str">
        <f t="shared" si="22"/>
        <v/>
      </c>
      <c r="L87" s="7" t="str">
        <f t="shared" si="23"/>
        <v/>
      </c>
      <c r="N87" s="7" t="str">
        <f t="shared" si="24"/>
        <v/>
      </c>
      <c r="O87" t="str">
        <f t="shared" si="25"/>
        <v/>
      </c>
      <c r="P87" t="str">
        <f t="shared" si="27"/>
        <v/>
      </c>
      <c r="Q87" t="str">
        <f t="shared" si="26"/>
        <v/>
      </c>
      <c r="S87" t="str">
        <f>""</f>
        <v/>
      </c>
      <c r="AL87" s="18" t="str">
        <f>IF(COUNTIF($A$2:A86, A86) = 1, A86, "")</f>
        <v/>
      </c>
    </row>
    <row r="88" spans="6:38" x14ac:dyDescent="0.2">
      <c r="F88" t="str">
        <f t="shared" si="22"/>
        <v/>
      </c>
      <c r="L88" s="7" t="str">
        <f t="shared" si="23"/>
        <v/>
      </c>
      <c r="N88" s="7" t="str">
        <f t="shared" si="24"/>
        <v/>
      </c>
      <c r="O88" t="str">
        <f t="shared" si="25"/>
        <v/>
      </c>
      <c r="P88" t="str">
        <f t="shared" si="27"/>
        <v/>
      </c>
      <c r="Q88" t="str">
        <f t="shared" si="26"/>
        <v/>
      </c>
      <c r="S88" t="str">
        <f>""</f>
        <v/>
      </c>
      <c r="AL88" s="18" t="str">
        <f>IF(COUNTIF($A$2:A87, A87) = 1, A87, "")</f>
        <v/>
      </c>
    </row>
    <row r="89" spans="6:38" x14ac:dyDescent="0.2">
      <c r="F89" t="str">
        <f t="shared" si="22"/>
        <v/>
      </c>
      <c r="L89" s="7" t="str">
        <f t="shared" si="23"/>
        <v/>
      </c>
      <c r="N89" s="7" t="str">
        <f t="shared" si="24"/>
        <v/>
      </c>
      <c r="O89" t="str">
        <f t="shared" si="25"/>
        <v/>
      </c>
      <c r="P89" t="str">
        <f t="shared" si="27"/>
        <v/>
      </c>
      <c r="Q89" t="str">
        <f t="shared" si="26"/>
        <v/>
      </c>
      <c r="S89" t="str">
        <f>""</f>
        <v/>
      </c>
      <c r="AL89" s="18" t="str">
        <f>IF(COUNTIF($A$2:A88, A88) = 1, A88, "")</f>
        <v/>
      </c>
    </row>
    <row r="90" spans="6:38" x14ac:dyDescent="0.2">
      <c r="F90" t="str">
        <f t="shared" si="22"/>
        <v/>
      </c>
      <c r="L90" s="7" t="str">
        <f t="shared" si="23"/>
        <v/>
      </c>
      <c r="N90" s="7" t="str">
        <f t="shared" si="24"/>
        <v/>
      </c>
      <c r="O90" t="str">
        <f t="shared" si="25"/>
        <v/>
      </c>
      <c r="P90" t="str">
        <f t="shared" si="27"/>
        <v/>
      </c>
      <c r="Q90" t="str">
        <f t="shared" si="26"/>
        <v/>
      </c>
      <c r="S90" t="str">
        <f>""</f>
        <v/>
      </c>
      <c r="AL90" s="18" t="str">
        <f>IF(COUNTIF($A$2:A89, A89) = 1, A89, "")</f>
        <v/>
      </c>
    </row>
    <row r="91" spans="6:38" x14ac:dyDescent="0.2">
      <c r="F91" t="str">
        <f t="shared" si="22"/>
        <v/>
      </c>
      <c r="L91" s="7" t="str">
        <f t="shared" si="23"/>
        <v/>
      </c>
      <c r="N91" s="7" t="str">
        <f t="shared" si="24"/>
        <v/>
      </c>
      <c r="O91" t="str">
        <f t="shared" si="25"/>
        <v/>
      </c>
      <c r="P91" t="str">
        <f t="shared" si="27"/>
        <v/>
      </c>
      <c r="Q91" t="str">
        <f t="shared" si="26"/>
        <v/>
      </c>
      <c r="S91" t="str">
        <f>""</f>
        <v/>
      </c>
      <c r="AL91" s="18" t="str">
        <f>IF(COUNTIF($A$2:A90, A90) = 1, A90, "")</f>
        <v/>
      </c>
    </row>
    <row r="92" spans="6:38" x14ac:dyDescent="0.2">
      <c r="F92" t="str">
        <f t="shared" si="22"/>
        <v/>
      </c>
      <c r="L92" s="7" t="str">
        <f t="shared" si="23"/>
        <v/>
      </c>
      <c r="N92" s="7" t="str">
        <f t="shared" si="24"/>
        <v/>
      </c>
      <c r="O92" t="str">
        <f t="shared" si="25"/>
        <v/>
      </c>
      <c r="P92" t="str">
        <f t="shared" si="27"/>
        <v/>
      </c>
      <c r="Q92" t="str">
        <f t="shared" si="26"/>
        <v/>
      </c>
      <c r="S92" t="str">
        <f>""</f>
        <v/>
      </c>
      <c r="AL92" s="18" t="str">
        <f>IF(COUNTIF($A$2:A91, A91) = 1, A91, "")</f>
        <v/>
      </c>
    </row>
    <row r="93" spans="6:38" x14ac:dyDescent="0.2">
      <c r="F93" t="str">
        <f t="shared" si="22"/>
        <v/>
      </c>
      <c r="L93" s="7" t="str">
        <f t="shared" si="23"/>
        <v/>
      </c>
      <c r="N93" s="7" t="str">
        <f t="shared" si="24"/>
        <v/>
      </c>
      <c r="O93" t="str">
        <f t="shared" si="25"/>
        <v/>
      </c>
      <c r="P93" t="str">
        <f t="shared" si="27"/>
        <v/>
      </c>
      <c r="Q93" t="str">
        <f t="shared" si="26"/>
        <v/>
      </c>
      <c r="S93" t="str">
        <f>""</f>
        <v/>
      </c>
      <c r="AL93" s="18" t="str">
        <f>IF(COUNTIF($A$2:A92, A92) = 1, A92, "")</f>
        <v/>
      </c>
    </row>
    <row r="94" spans="6:38" x14ac:dyDescent="0.2">
      <c r="F94" t="str">
        <f t="shared" si="22"/>
        <v/>
      </c>
      <c r="L94" s="7" t="str">
        <f t="shared" si="23"/>
        <v/>
      </c>
      <c r="N94" s="7" t="str">
        <f t="shared" si="24"/>
        <v/>
      </c>
      <c r="O94" t="str">
        <f t="shared" si="25"/>
        <v/>
      </c>
      <c r="P94" t="str">
        <f t="shared" si="27"/>
        <v/>
      </c>
      <c r="Q94" t="str">
        <f t="shared" si="26"/>
        <v/>
      </c>
      <c r="S94" t="str">
        <f>""</f>
        <v/>
      </c>
      <c r="AL94" s="18" t="str">
        <f>IF(COUNTIF($A$2:A93, A93) = 1, A93, "")</f>
        <v/>
      </c>
    </row>
    <row r="95" spans="6:38" x14ac:dyDescent="0.2">
      <c r="F95" t="str">
        <f t="shared" si="22"/>
        <v/>
      </c>
      <c r="L95" s="7" t="str">
        <f t="shared" si="23"/>
        <v/>
      </c>
      <c r="N95" s="7" t="str">
        <f t="shared" si="24"/>
        <v/>
      </c>
      <c r="O95" t="str">
        <f t="shared" si="25"/>
        <v/>
      </c>
      <c r="P95" t="str">
        <f t="shared" si="27"/>
        <v/>
      </c>
      <c r="Q95" t="str">
        <f t="shared" si="26"/>
        <v/>
      </c>
      <c r="S95" t="str">
        <f>""</f>
        <v/>
      </c>
      <c r="AL95" s="18" t="str">
        <f>IF(COUNTIF($A$2:A94, A94) = 1, A94, "")</f>
        <v/>
      </c>
    </row>
    <row r="96" spans="6:38" x14ac:dyDescent="0.2">
      <c r="F96" t="str">
        <f t="shared" si="22"/>
        <v/>
      </c>
      <c r="L96" s="7" t="str">
        <f t="shared" si="23"/>
        <v/>
      </c>
      <c r="N96" s="7" t="str">
        <f t="shared" si="24"/>
        <v/>
      </c>
      <c r="O96" t="str">
        <f t="shared" si="25"/>
        <v/>
      </c>
      <c r="P96" t="str">
        <f t="shared" si="27"/>
        <v/>
      </c>
      <c r="Q96" t="str">
        <f t="shared" si="26"/>
        <v/>
      </c>
      <c r="S96" t="str">
        <f>""</f>
        <v/>
      </c>
      <c r="AL96" s="18" t="str">
        <f>IF(COUNTIF($A$2:A95, A95) = 1, A95, "")</f>
        <v/>
      </c>
    </row>
    <row r="97" spans="6:38" x14ac:dyDescent="0.2">
      <c r="F97" t="str">
        <f t="shared" si="22"/>
        <v/>
      </c>
      <c r="L97" s="7" t="str">
        <f t="shared" si="23"/>
        <v/>
      </c>
      <c r="N97" s="7" t="str">
        <f t="shared" si="24"/>
        <v/>
      </c>
      <c r="O97" t="str">
        <f t="shared" si="25"/>
        <v/>
      </c>
      <c r="P97" t="str">
        <f t="shared" si="27"/>
        <v/>
      </c>
      <c r="Q97" t="str">
        <f t="shared" si="26"/>
        <v/>
      </c>
      <c r="S97" t="str">
        <f>""</f>
        <v/>
      </c>
      <c r="AL97" s="18" t="str">
        <f>IF(COUNTIF($A$2:A96, A96) = 1, A96, "")</f>
        <v/>
      </c>
    </row>
    <row r="98" spans="6:38" x14ac:dyDescent="0.2">
      <c r="F98" t="str">
        <f t="shared" si="22"/>
        <v/>
      </c>
      <c r="L98" s="7" t="str">
        <f t="shared" si="23"/>
        <v/>
      </c>
      <c r="N98" s="7" t="str">
        <f t="shared" si="24"/>
        <v/>
      </c>
      <c r="O98" t="str">
        <f t="shared" si="25"/>
        <v/>
      </c>
      <c r="P98" t="str">
        <f t="shared" si="27"/>
        <v/>
      </c>
      <c r="Q98" t="str">
        <f t="shared" si="26"/>
        <v/>
      </c>
      <c r="S98" t="str">
        <f>""</f>
        <v/>
      </c>
      <c r="AL98" s="18" t="str">
        <f>IF(COUNTIF($A$2:A97, A97) = 1, A97, "")</f>
        <v/>
      </c>
    </row>
    <row r="99" spans="6:38" x14ac:dyDescent="0.2">
      <c r="F99" t="str">
        <f t="shared" si="22"/>
        <v/>
      </c>
      <c r="L99" s="7" t="str">
        <f t="shared" si="23"/>
        <v/>
      </c>
      <c r="N99" s="7" t="str">
        <f t="shared" si="24"/>
        <v/>
      </c>
      <c r="O99" t="str">
        <f t="shared" si="25"/>
        <v/>
      </c>
      <c r="P99" t="str">
        <f t="shared" si="27"/>
        <v/>
      </c>
      <c r="Q99" t="str">
        <f t="shared" si="26"/>
        <v/>
      </c>
      <c r="S99" t="str">
        <f>""</f>
        <v/>
      </c>
      <c r="AL99" s="18" t="str">
        <f>IF(COUNTIF($A$2:A98, A98) = 1, A98, "")</f>
        <v/>
      </c>
    </row>
    <row r="100" spans="6:38" x14ac:dyDescent="0.2">
      <c r="F100" t="str">
        <f t="shared" si="22"/>
        <v/>
      </c>
      <c r="L100" s="7" t="str">
        <f t="shared" si="23"/>
        <v/>
      </c>
      <c r="N100" s="7" t="str">
        <f t="shared" si="24"/>
        <v/>
      </c>
      <c r="O100" t="str">
        <f t="shared" si="25"/>
        <v/>
      </c>
      <c r="P100" t="str">
        <f t="shared" si="27"/>
        <v/>
      </c>
      <c r="Q100" t="str">
        <f t="shared" si="26"/>
        <v/>
      </c>
      <c r="S100" t="str">
        <f>""</f>
        <v/>
      </c>
      <c r="AL100" s="18" t="str">
        <f>IF(COUNTIF($A$2:A99, A99) = 1, A99, "")</f>
        <v/>
      </c>
    </row>
    <row r="101" spans="6:38" x14ac:dyDescent="0.2">
      <c r="F101" t="str">
        <f t="shared" si="22"/>
        <v/>
      </c>
      <c r="L101" s="7" t="str">
        <f t="shared" si="23"/>
        <v/>
      </c>
      <c r="N101" s="7" t="str">
        <f t="shared" si="24"/>
        <v/>
      </c>
      <c r="O101" t="str">
        <f t="shared" si="25"/>
        <v/>
      </c>
      <c r="P101" t="str">
        <f t="shared" si="27"/>
        <v/>
      </c>
      <c r="Q101" t="str">
        <f t="shared" si="26"/>
        <v/>
      </c>
      <c r="S101" t="str">
        <f>""</f>
        <v/>
      </c>
      <c r="AL101" s="18" t="str">
        <f>IF(COUNTIF($A$2:A100, A100) = 1, A100, "")</f>
        <v/>
      </c>
    </row>
    <row r="102" spans="6:38" x14ac:dyDescent="0.2">
      <c r="F102" t="str">
        <f t="shared" si="22"/>
        <v/>
      </c>
      <c r="L102" s="7" t="str">
        <f t="shared" si="23"/>
        <v/>
      </c>
      <c r="N102" s="7" t="str">
        <f t="shared" si="24"/>
        <v/>
      </c>
      <c r="O102" t="str">
        <f t="shared" si="25"/>
        <v/>
      </c>
      <c r="P102" t="str">
        <f t="shared" si="27"/>
        <v/>
      </c>
      <c r="Q102" t="str">
        <f t="shared" si="26"/>
        <v/>
      </c>
      <c r="S102" t="str">
        <f>""</f>
        <v/>
      </c>
      <c r="AL102" s="18" t="str">
        <f>IF(COUNTIF($A$2:A101, A101) = 1, A101, "")</f>
        <v/>
      </c>
    </row>
    <row r="103" spans="6:38" x14ac:dyDescent="0.2">
      <c r="F103" t="str">
        <f t="shared" si="22"/>
        <v/>
      </c>
      <c r="L103" s="7" t="str">
        <f t="shared" si="23"/>
        <v/>
      </c>
      <c r="N103" s="7" t="str">
        <f t="shared" si="24"/>
        <v/>
      </c>
      <c r="O103" t="str">
        <f t="shared" si="25"/>
        <v/>
      </c>
      <c r="P103" t="str">
        <f t="shared" si="27"/>
        <v/>
      </c>
      <c r="Q103" t="str">
        <f t="shared" si="26"/>
        <v/>
      </c>
      <c r="S103" t="str">
        <f>""</f>
        <v/>
      </c>
      <c r="AL103" s="18" t="str">
        <f>IF(COUNTIF($A$2:A102, A102) = 1, A102, "")</f>
        <v/>
      </c>
    </row>
    <row r="104" spans="6:38" x14ac:dyDescent="0.2">
      <c r="F104" t="str">
        <f t="shared" si="22"/>
        <v/>
      </c>
      <c r="L104" s="7" t="str">
        <f t="shared" si="23"/>
        <v/>
      </c>
      <c r="N104" s="7" t="str">
        <f t="shared" si="24"/>
        <v/>
      </c>
      <c r="O104" t="str">
        <f t="shared" si="25"/>
        <v/>
      </c>
      <c r="P104" t="str">
        <f t="shared" si="27"/>
        <v/>
      </c>
      <c r="Q104" t="str">
        <f t="shared" si="26"/>
        <v/>
      </c>
      <c r="S104" t="str">
        <f>""</f>
        <v/>
      </c>
      <c r="AL104" s="18" t="str">
        <f>IF(COUNTIF($A$2:A103, A103) = 1, A103, "")</f>
        <v/>
      </c>
    </row>
    <row r="105" spans="6:38" x14ac:dyDescent="0.2">
      <c r="F105" t="str">
        <f t="shared" si="22"/>
        <v/>
      </c>
      <c r="L105" s="7" t="str">
        <f t="shared" si="23"/>
        <v/>
      </c>
      <c r="N105" s="7" t="str">
        <f t="shared" si="24"/>
        <v/>
      </c>
      <c r="O105" t="str">
        <f t="shared" si="25"/>
        <v/>
      </c>
      <c r="P105" t="str">
        <f t="shared" si="27"/>
        <v/>
      </c>
      <c r="Q105" t="str">
        <f t="shared" si="26"/>
        <v/>
      </c>
      <c r="S105" t="str">
        <f>""</f>
        <v/>
      </c>
      <c r="AL105" s="18" t="str">
        <f>IF(COUNTIF($A$2:A104, A104) = 1, A104, "")</f>
        <v/>
      </c>
    </row>
    <row r="106" spans="6:38" x14ac:dyDescent="0.2">
      <c r="F106" t="str">
        <f t="shared" si="22"/>
        <v/>
      </c>
      <c r="L106" s="7" t="str">
        <f t="shared" si="23"/>
        <v/>
      </c>
      <c r="N106" s="7" t="str">
        <f t="shared" si="24"/>
        <v/>
      </c>
      <c r="O106" t="str">
        <f t="shared" si="25"/>
        <v/>
      </c>
      <c r="P106" t="str">
        <f t="shared" si="27"/>
        <v/>
      </c>
      <c r="Q106" t="str">
        <f t="shared" si="26"/>
        <v/>
      </c>
      <c r="S106" t="str">
        <f>""</f>
        <v/>
      </c>
      <c r="AL106" s="18" t="str">
        <f>IF(COUNTIF($A$2:A105, A105) = 1, A105, "")</f>
        <v/>
      </c>
    </row>
    <row r="107" spans="6:38" x14ac:dyDescent="0.2">
      <c r="F107" t="str">
        <f t="shared" si="22"/>
        <v/>
      </c>
      <c r="L107" s="7" t="str">
        <f t="shared" si="23"/>
        <v/>
      </c>
      <c r="N107" s="7" t="str">
        <f t="shared" si="24"/>
        <v/>
      </c>
      <c r="O107" t="str">
        <f t="shared" si="25"/>
        <v/>
      </c>
      <c r="P107" t="str">
        <f t="shared" si="27"/>
        <v/>
      </c>
      <c r="Q107" t="str">
        <f t="shared" si="26"/>
        <v/>
      </c>
      <c r="S107" t="str">
        <f>""</f>
        <v/>
      </c>
      <c r="AL107" s="18" t="str">
        <f>IF(COUNTIF($A$2:A106, A106) = 1, A106, "")</f>
        <v/>
      </c>
    </row>
    <row r="108" spans="6:38" x14ac:dyDescent="0.2">
      <c r="F108" t="str">
        <f t="shared" si="22"/>
        <v/>
      </c>
      <c r="L108" s="7" t="str">
        <f t="shared" si="23"/>
        <v/>
      </c>
      <c r="N108" s="7" t="str">
        <f t="shared" si="24"/>
        <v/>
      </c>
      <c r="O108" t="str">
        <f t="shared" si="25"/>
        <v/>
      </c>
      <c r="P108" t="str">
        <f t="shared" si="27"/>
        <v/>
      </c>
      <c r="Q108" t="str">
        <f t="shared" si="26"/>
        <v/>
      </c>
      <c r="S108" t="str">
        <f>""</f>
        <v/>
      </c>
      <c r="AL108" s="18" t="str">
        <f>IF(COUNTIF($A$2:A107, A107) = 1, A107, "")</f>
        <v/>
      </c>
    </row>
    <row r="109" spans="6:38" x14ac:dyDescent="0.2">
      <c r="F109" t="str">
        <f t="shared" si="22"/>
        <v/>
      </c>
      <c r="L109" s="7" t="str">
        <f t="shared" si="23"/>
        <v/>
      </c>
      <c r="N109" s="7" t="str">
        <f t="shared" si="24"/>
        <v/>
      </c>
      <c r="O109" t="str">
        <f t="shared" si="25"/>
        <v/>
      </c>
      <c r="P109" t="str">
        <f t="shared" si="27"/>
        <v/>
      </c>
      <c r="Q109" t="str">
        <f t="shared" si="26"/>
        <v/>
      </c>
      <c r="S109" t="str">
        <f>""</f>
        <v/>
      </c>
      <c r="AL109" s="18" t="str">
        <f>IF(COUNTIF($A$2:A108, A108) = 1, A108, "")</f>
        <v/>
      </c>
    </row>
    <row r="110" spans="6:38" x14ac:dyDescent="0.2">
      <c r="F110" t="str">
        <f t="shared" si="22"/>
        <v/>
      </c>
      <c r="L110" s="7" t="str">
        <f t="shared" si="23"/>
        <v/>
      </c>
      <c r="N110" s="7" t="str">
        <f t="shared" si="24"/>
        <v/>
      </c>
      <c r="O110" t="str">
        <f t="shared" si="25"/>
        <v/>
      </c>
      <c r="P110" t="str">
        <f t="shared" si="27"/>
        <v/>
      </c>
      <c r="Q110" t="str">
        <f t="shared" si="26"/>
        <v/>
      </c>
      <c r="S110" t="str">
        <f>""</f>
        <v/>
      </c>
      <c r="AL110" s="18" t="str">
        <f>IF(COUNTIF($A$2:A109, A109) = 1, A109, "")</f>
        <v/>
      </c>
    </row>
    <row r="111" spans="6:38" x14ac:dyDescent="0.2">
      <c r="F111" t="str">
        <f t="shared" si="22"/>
        <v/>
      </c>
      <c r="L111" s="7" t="str">
        <f t="shared" si="23"/>
        <v/>
      </c>
      <c r="N111" s="7" t="str">
        <f t="shared" si="24"/>
        <v/>
      </c>
      <c r="O111" t="str">
        <f t="shared" si="25"/>
        <v/>
      </c>
      <c r="P111" t="str">
        <f t="shared" si="27"/>
        <v/>
      </c>
      <c r="Q111" t="str">
        <f t="shared" si="26"/>
        <v/>
      </c>
      <c r="S111" t="str">
        <f>""</f>
        <v/>
      </c>
      <c r="AL111" s="18" t="str">
        <f>IF(COUNTIF($A$2:A110, A110) = 1, A110, "")</f>
        <v/>
      </c>
    </row>
    <row r="112" spans="6:38" x14ac:dyDescent="0.2">
      <c r="F112" t="str">
        <f t="shared" si="22"/>
        <v/>
      </c>
      <c r="L112" s="7" t="str">
        <f t="shared" si="23"/>
        <v/>
      </c>
      <c r="N112" s="7" t="str">
        <f t="shared" si="24"/>
        <v/>
      </c>
      <c r="O112" t="str">
        <f t="shared" si="25"/>
        <v/>
      </c>
      <c r="P112" t="str">
        <f t="shared" si="27"/>
        <v/>
      </c>
      <c r="Q112" t="str">
        <f t="shared" si="26"/>
        <v/>
      </c>
      <c r="S112" t="str">
        <f>""</f>
        <v/>
      </c>
      <c r="AL112" s="18" t="str">
        <f>IF(COUNTIF($A$2:A111, A111) = 1, A111, "")</f>
        <v/>
      </c>
    </row>
    <row r="113" spans="6:38" x14ac:dyDescent="0.2">
      <c r="F113" t="str">
        <f t="shared" si="22"/>
        <v/>
      </c>
      <c r="L113" s="7" t="str">
        <f t="shared" si="23"/>
        <v/>
      </c>
      <c r="N113" s="7" t="str">
        <f t="shared" si="24"/>
        <v/>
      </c>
      <c r="O113" t="str">
        <f t="shared" si="25"/>
        <v/>
      </c>
      <c r="P113" t="str">
        <f t="shared" si="27"/>
        <v/>
      </c>
      <c r="Q113" t="str">
        <f t="shared" si="26"/>
        <v/>
      </c>
      <c r="S113" t="str">
        <f>""</f>
        <v/>
      </c>
      <c r="AL113" s="18" t="str">
        <f>IF(COUNTIF($A$2:A112, A112) = 1, A112, "")</f>
        <v/>
      </c>
    </row>
    <row r="114" spans="6:38" x14ac:dyDescent="0.2">
      <c r="F114" t="str">
        <f t="shared" si="22"/>
        <v/>
      </c>
      <c r="L114" s="7" t="str">
        <f t="shared" si="23"/>
        <v/>
      </c>
      <c r="N114" s="7" t="str">
        <f t="shared" si="24"/>
        <v/>
      </c>
      <c r="O114" t="str">
        <f t="shared" si="25"/>
        <v/>
      </c>
      <c r="P114" t="str">
        <f t="shared" si="27"/>
        <v/>
      </c>
      <c r="Q114" t="str">
        <f t="shared" si="26"/>
        <v/>
      </c>
      <c r="S114" t="str">
        <f>""</f>
        <v/>
      </c>
      <c r="AL114" s="18" t="str">
        <f>IF(COUNTIF($A$2:A113, A113) = 1, A113, "")</f>
        <v/>
      </c>
    </row>
    <row r="115" spans="6:38" x14ac:dyDescent="0.2">
      <c r="F115" t="str">
        <f t="shared" si="22"/>
        <v/>
      </c>
      <c r="L115" s="7" t="str">
        <f t="shared" si="23"/>
        <v/>
      </c>
      <c r="N115" s="7" t="str">
        <f t="shared" si="24"/>
        <v/>
      </c>
      <c r="O115" t="str">
        <f t="shared" si="25"/>
        <v/>
      </c>
      <c r="P115" t="str">
        <f t="shared" si="27"/>
        <v/>
      </c>
      <c r="Q115" t="str">
        <f t="shared" si="26"/>
        <v/>
      </c>
      <c r="S115" t="str">
        <f>""</f>
        <v/>
      </c>
      <c r="AL115" s="18" t="str">
        <f>IF(COUNTIF($A$2:A114, A114) = 1, A114, "")</f>
        <v/>
      </c>
    </row>
    <row r="116" spans="6:38" x14ac:dyDescent="0.2">
      <c r="F116" t="str">
        <f t="shared" si="22"/>
        <v/>
      </c>
      <c r="L116" s="7" t="str">
        <f t="shared" si="23"/>
        <v/>
      </c>
      <c r="N116" s="7" t="str">
        <f t="shared" si="24"/>
        <v/>
      </c>
      <c r="O116" t="str">
        <f t="shared" si="25"/>
        <v/>
      </c>
      <c r="P116" t="str">
        <f t="shared" si="27"/>
        <v/>
      </c>
      <c r="Q116" t="str">
        <f t="shared" si="26"/>
        <v/>
      </c>
      <c r="S116" t="str">
        <f>""</f>
        <v/>
      </c>
      <c r="AL116" s="18" t="str">
        <f>IF(COUNTIF($A$2:A115, A115) = 1, A115, "")</f>
        <v/>
      </c>
    </row>
    <row r="117" spans="6:38" x14ac:dyDescent="0.2">
      <c r="F117" t="str">
        <f t="shared" si="22"/>
        <v/>
      </c>
      <c r="L117" s="7" t="str">
        <f t="shared" si="23"/>
        <v/>
      </c>
      <c r="N117" s="7" t="str">
        <f t="shared" si="24"/>
        <v/>
      </c>
      <c r="O117" t="str">
        <f t="shared" si="25"/>
        <v/>
      </c>
      <c r="P117" t="str">
        <f t="shared" si="27"/>
        <v/>
      </c>
      <c r="Q117" t="str">
        <f t="shared" si="26"/>
        <v/>
      </c>
      <c r="S117" t="str">
        <f>""</f>
        <v/>
      </c>
      <c r="AL117" s="18" t="str">
        <f>IF(COUNTIF($A$2:A116, A116) = 1, A116, "")</f>
        <v/>
      </c>
    </row>
    <row r="118" spans="6:38" x14ac:dyDescent="0.2">
      <c r="F118" t="str">
        <f t="shared" si="22"/>
        <v/>
      </c>
      <c r="L118" s="7" t="str">
        <f t="shared" si="23"/>
        <v/>
      </c>
      <c r="N118" s="7" t="str">
        <f t="shared" si="24"/>
        <v/>
      </c>
      <c r="O118" t="str">
        <f t="shared" si="25"/>
        <v/>
      </c>
      <c r="P118" t="str">
        <f t="shared" si="27"/>
        <v/>
      </c>
      <c r="Q118" t="str">
        <f t="shared" si="26"/>
        <v/>
      </c>
      <c r="S118" t="str">
        <f>""</f>
        <v/>
      </c>
      <c r="AL118" s="18" t="str">
        <f>IF(COUNTIF($A$2:A117, A117) = 1, A117, "")</f>
        <v/>
      </c>
    </row>
    <row r="119" spans="6:38" x14ac:dyDescent="0.2">
      <c r="F119" t="str">
        <f t="shared" si="22"/>
        <v/>
      </c>
      <c r="L119" s="7" t="str">
        <f t="shared" si="23"/>
        <v/>
      </c>
      <c r="N119" s="7" t="str">
        <f t="shared" si="24"/>
        <v/>
      </c>
      <c r="O119" t="str">
        <f t="shared" si="25"/>
        <v/>
      </c>
      <c r="P119" t="str">
        <f t="shared" si="27"/>
        <v/>
      </c>
      <c r="Q119" t="str">
        <f t="shared" si="26"/>
        <v/>
      </c>
      <c r="S119" t="str">
        <f>""</f>
        <v/>
      </c>
      <c r="AL119" s="18" t="str">
        <f>IF(COUNTIF($A$2:A118, A118) = 1, A118, "")</f>
        <v/>
      </c>
    </row>
    <row r="120" spans="6:38" x14ac:dyDescent="0.2">
      <c r="F120" t="str">
        <f t="shared" si="22"/>
        <v/>
      </c>
      <c r="L120" s="7" t="str">
        <f t="shared" si="23"/>
        <v/>
      </c>
      <c r="N120" s="7" t="str">
        <f t="shared" si="24"/>
        <v/>
      </c>
      <c r="O120" t="str">
        <f t="shared" si="25"/>
        <v/>
      </c>
      <c r="P120" t="str">
        <f t="shared" si="27"/>
        <v/>
      </c>
      <c r="Q120" t="str">
        <f t="shared" si="26"/>
        <v/>
      </c>
      <c r="S120" t="str">
        <f>""</f>
        <v/>
      </c>
      <c r="AL120" s="18" t="str">
        <f>IF(COUNTIF($A$2:A119, A119) = 1, A119, "")</f>
        <v/>
      </c>
    </row>
    <row r="121" spans="6:38" x14ac:dyDescent="0.2">
      <c r="F121" t="str">
        <f t="shared" si="22"/>
        <v/>
      </c>
      <c r="L121" s="7" t="str">
        <f t="shared" si="23"/>
        <v/>
      </c>
      <c r="N121" s="7" t="str">
        <f t="shared" si="24"/>
        <v/>
      </c>
      <c r="O121" t="str">
        <f t="shared" si="25"/>
        <v/>
      </c>
      <c r="P121" t="str">
        <f t="shared" si="27"/>
        <v/>
      </c>
      <c r="Q121" t="str">
        <f t="shared" si="26"/>
        <v/>
      </c>
      <c r="S121" t="str">
        <f>""</f>
        <v/>
      </c>
      <c r="AL121" s="18" t="str">
        <f>IF(COUNTIF($A$2:A120, A120) = 1, A120, "")</f>
        <v/>
      </c>
    </row>
    <row r="122" spans="6:38" x14ac:dyDescent="0.2">
      <c r="F122" t="str">
        <f t="shared" si="22"/>
        <v/>
      </c>
      <c r="L122" s="7" t="str">
        <f t="shared" si="23"/>
        <v/>
      </c>
      <c r="N122" s="7" t="str">
        <f t="shared" si="24"/>
        <v/>
      </c>
      <c r="O122" t="str">
        <f t="shared" si="25"/>
        <v/>
      </c>
      <c r="P122" t="str">
        <f t="shared" si="27"/>
        <v/>
      </c>
      <c r="Q122" t="str">
        <f t="shared" si="26"/>
        <v/>
      </c>
      <c r="S122" t="str">
        <f>""</f>
        <v/>
      </c>
      <c r="AL122" s="18" t="str">
        <f>IF(COUNTIF($A$2:A121, A121) = 1, A121, "")</f>
        <v/>
      </c>
    </row>
    <row r="123" spans="6:38" x14ac:dyDescent="0.2">
      <c r="F123" t="str">
        <f t="shared" si="22"/>
        <v/>
      </c>
      <c r="L123" s="7" t="str">
        <f t="shared" si="23"/>
        <v/>
      </c>
      <c r="N123" s="7" t="str">
        <f t="shared" si="24"/>
        <v/>
      </c>
      <c r="O123" t="str">
        <f t="shared" si="25"/>
        <v/>
      </c>
      <c r="P123" t="str">
        <f t="shared" si="27"/>
        <v/>
      </c>
      <c r="Q123" t="str">
        <f t="shared" si="26"/>
        <v/>
      </c>
      <c r="S123" t="str">
        <f>""</f>
        <v/>
      </c>
      <c r="AL123" s="18" t="str">
        <f>IF(COUNTIF($A$2:A122, A122) = 1, A122, "")</f>
        <v/>
      </c>
    </row>
    <row r="124" spans="6:38" x14ac:dyDescent="0.2">
      <c r="F124" t="str">
        <f t="shared" si="22"/>
        <v/>
      </c>
      <c r="L124" s="7" t="str">
        <f t="shared" si="23"/>
        <v/>
      </c>
      <c r="N124" s="7" t="str">
        <f t="shared" si="24"/>
        <v/>
      </c>
      <c r="O124" t="str">
        <f t="shared" si="25"/>
        <v/>
      </c>
      <c r="P124" t="str">
        <f t="shared" si="27"/>
        <v/>
      </c>
      <c r="Q124" t="str">
        <f t="shared" si="26"/>
        <v/>
      </c>
      <c r="S124" t="str">
        <f>""</f>
        <v/>
      </c>
      <c r="AL124" s="18" t="str">
        <f>IF(COUNTIF($A$2:A123, A123) = 1, A123, "")</f>
        <v/>
      </c>
    </row>
    <row r="125" spans="6:38" x14ac:dyDescent="0.2">
      <c r="F125" t="str">
        <f t="shared" si="22"/>
        <v/>
      </c>
      <c r="L125" s="7" t="str">
        <f t="shared" si="23"/>
        <v/>
      </c>
      <c r="N125" s="7" t="str">
        <f t="shared" si="24"/>
        <v/>
      </c>
      <c r="O125" t="str">
        <f t="shared" si="25"/>
        <v/>
      </c>
      <c r="P125" t="str">
        <f t="shared" si="27"/>
        <v/>
      </c>
      <c r="Q125" t="str">
        <f t="shared" si="26"/>
        <v/>
      </c>
      <c r="S125" t="str">
        <f>""</f>
        <v/>
      </c>
      <c r="AL125" s="18" t="str">
        <f>IF(COUNTIF($A$2:A124, A124) = 1, A124, "")</f>
        <v/>
      </c>
    </row>
    <row r="126" spans="6:38" x14ac:dyDescent="0.2">
      <c r="F126" t="str">
        <f t="shared" si="22"/>
        <v/>
      </c>
      <c r="L126" s="7" t="str">
        <f t="shared" si="23"/>
        <v/>
      </c>
      <c r="N126" s="7" t="str">
        <f t="shared" si="24"/>
        <v/>
      </c>
      <c r="O126" t="str">
        <f t="shared" si="25"/>
        <v/>
      </c>
      <c r="P126" t="str">
        <f t="shared" si="27"/>
        <v/>
      </c>
      <c r="Q126" t="str">
        <f t="shared" si="26"/>
        <v/>
      </c>
      <c r="S126" t="str">
        <f>""</f>
        <v/>
      </c>
      <c r="AL126" s="18" t="str">
        <f>IF(COUNTIF($A$2:A125, A125) = 1, A125, "")</f>
        <v/>
      </c>
    </row>
    <row r="127" spans="6:38" x14ac:dyDescent="0.2">
      <c r="F127" t="str">
        <f t="shared" si="22"/>
        <v/>
      </c>
      <c r="L127" s="7" t="str">
        <f t="shared" si="23"/>
        <v/>
      </c>
      <c r="N127" s="7" t="str">
        <f t="shared" si="24"/>
        <v/>
      </c>
      <c r="O127" t="str">
        <f t="shared" si="25"/>
        <v/>
      </c>
      <c r="P127" t="str">
        <f t="shared" si="27"/>
        <v/>
      </c>
      <c r="Q127" t="str">
        <f t="shared" si="26"/>
        <v/>
      </c>
      <c r="S127" t="str">
        <f>""</f>
        <v/>
      </c>
      <c r="AL127" s="18" t="str">
        <f>IF(COUNTIF($A$2:A126, A126) = 1, A126, "")</f>
        <v/>
      </c>
    </row>
    <row r="128" spans="6:38" x14ac:dyDescent="0.2">
      <c r="F128" t="str">
        <f t="shared" si="22"/>
        <v/>
      </c>
      <c r="L128" s="7" t="str">
        <f t="shared" si="23"/>
        <v/>
      </c>
      <c r="N128" s="7" t="str">
        <f t="shared" si="24"/>
        <v/>
      </c>
      <c r="O128" t="str">
        <f t="shared" si="25"/>
        <v/>
      </c>
      <c r="P128" t="str">
        <f t="shared" si="27"/>
        <v/>
      </c>
      <c r="Q128" t="str">
        <f t="shared" si="26"/>
        <v/>
      </c>
      <c r="S128" t="str">
        <f>""</f>
        <v/>
      </c>
      <c r="AL128" s="18" t="str">
        <f>IF(COUNTIF($A$2:A127, A127) = 1, A127, "")</f>
        <v/>
      </c>
    </row>
    <row r="129" spans="6:38" x14ac:dyDescent="0.2">
      <c r="F129" t="str">
        <f t="shared" si="22"/>
        <v/>
      </c>
      <c r="L129" s="7" t="str">
        <f t="shared" si="23"/>
        <v/>
      </c>
      <c r="N129" s="7" t="str">
        <f t="shared" si="24"/>
        <v/>
      </c>
      <c r="O129" t="str">
        <f t="shared" si="25"/>
        <v/>
      </c>
      <c r="P129" t="str">
        <f t="shared" si="27"/>
        <v/>
      </c>
      <c r="Q129" t="str">
        <f t="shared" si="26"/>
        <v/>
      </c>
      <c r="S129" t="str">
        <f>""</f>
        <v/>
      </c>
      <c r="AL129" s="18" t="str">
        <f>IF(COUNTIF($A$2:A128, A128) = 1, A128, "")</f>
        <v/>
      </c>
    </row>
    <row r="130" spans="6:38" x14ac:dyDescent="0.2">
      <c r="F130" t="str">
        <f t="shared" ref="F130:F143" si="28">IF(OR(O130="", P130=""), "", SUM(IF((O130&lt;&gt;"None")*(O130&lt;&gt;""),LEN(O130)-LEN(SUBSTITUTE(O130,",",""))+1,0)) + SUM(IF((P130&lt;&gt;"None")*(P130&lt;&gt;""),LEN(P130)-LEN(SUBSTITUTE(P130,",",""))+1,0)))</f>
        <v/>
      </c>
      <c r="L130" s="7" t="str">
        <f t="shared" ref="L130:L143" si="29">IF(LEN(E130)=0, "", IFERROR(IF(E130&gt;=0, K130 * (1 + E130/100) - K130, K130 / (ABS(E130)/100))+K130, ""))</f>
        <v/>
      </c>
      <c r="N130" s="7" t="str">
        <f t="shared" ref="N130:N143" si="30">IF(M130="Yes",L130-K130,IF(M130="No",-K130,""))</f>
        <v/>
      </c>
      <c r="O130" t="str">
        <f t="shared" ref="O130:O143" si="31">IF(AND(G130="No",H130="No"), "None", "")</f>
        <v/>
      </c>
      <c r="P130" t="str">
        <f t="shared" si="27"/>
        <v/>
      </c>
      <c r="Q130" t="str">
        <f t="shared" ref="Q130:Q143" si="32">IF(AND(D130="Straight", M130 = "No"),IF(O130="None",P130,IF(P130="None",O130) ),"")</f>
        <v/>
      </c>
      <c r="S130" t="str">
        <f>""</f>
        <v/>
      </c>
      <c r="AL130" s="18" t="str">
        <f>IF(COUNTIF($A$2:A129, A129) = 1, A129, "")</f>
        <v/>
      </c>
    </row>
    <row r="131" spans="6:38" x14ac:dyDescent="0.2">
      <c r="F131" t="str">
        <f t="shared" si="28"/>
        <v/>
      </c>
      <c r="L131" s="7" t="str">
        <f t="shared" si="29"/>
        <v/>
      </c>
      <c r="N131" s="7" t="str">
        <f t="shared" si="30"/>
        <v/>
      </c>
      <c r="O131" t="str">
        <f t="shared" si="31"/>
        <v/>
      </c>
      <c r="P131" t="str">
        <f t="shared" si="27"/>
        <v/>
      </c>
      <c r="Q131" t="str">
        <f t="shared" si="32"/>
        <v/>
      </c>
      <c r="S131" t="str">
        <f>""</f>
        <v/>
      </c>
      <c r="AL131" s="18" t="str">
        <f>IF(COUNTIF($A$2:A130, A130) = 1, A130, "")</f>
        <v/>
      </c>
    </row>
    <row r="132" spans="6:38" x14ac:dyDescent="0.2">
      <c r="F132" t="str">
        <f t="shared" si="28"/>
        <v/>
      </c>
      <c r="L132" s="7" t="str">
        <f t="shared" si="29"/>
        <v/>
      </c>
      <c r="N132" s="7" t="str">
        <f t="shared" si="30"/>
        <v/>
      </c>
      <c r="O132" t="str">
        <f t="shared" si="31"/>
        <v/>
      </c>
      <c r="P132" t="str">
        <f t="shared" si="27"/>
        <v/>
      </c>
      <c r="Q132" t="str">
        <f t="shared" si="32"/>
        <v/>
      </c>
      <c r="S132" t="str">
        <f>""</f>
        <v/>
      </c>
      <c r="AL132" s="18" t="str">
        <f>IF(COUNTIF($A$2:A131, A131) = 1, A131, "")</f>
        <v/>
      </c>
    </row>
    <row r="133" spans="6:38" x14ac:dyDescent="0.2">
      <c r="F133" t="str">
        <f t="shared" si="28"/>
        <v/>
      </c>
      <c r="L133" s="7" t="str">
        <f t="shared" si="29"/>
        <v/>
      </c>
      <c r="N133" s="7" t="str">
        <f t="shared" si="30"/>
        <v/>
      </c>
      <c r="O133" t="str">
        <f t="shared" si="31"/>
        <v/>
      </c>
      <c r="P133" t="str">
        <f t="shared" si="27"/>
        <v/>
      </c>
      <c r="Q133" t="str">
        <f t="shared" si="32"/>
        <v/>
      </c>
      <c r="S133" t="str">
        <f>""</f>
        <v/>
      </c>
      <c r="AL133" s="18" t="str">
        <f>IF(COUNTIF($A$2:A132, A132) = 1, A132, "")</f>
        <v/>
      </c>
    </row>
    <row r="134" spans="6:38" x14ac:dyDescent="0.2">
      <c r="F134" t="str">
        <f t="shared" si="28"/>
        <v/>
      </c>
      <c r="L134" s="7" t="str">
        <f t="shared" si="29"/>
        <v/>
      </c>
      <c r="N134" s="7" t="str">
        <f t="shared" si="30"/>
        <v/>
      </c>
      <c r="O134" t="str">
        <f t="shared" si="31"/>
        <v/>
      </c>
      <c r="P134" t="str">
        <f t="shared" si="27"/>
        <v/>
      </c>
      <c r="Q134" t="str">
        <f t="shared" si="32"/>
        <v/>
      </c>
      <c r="S134" t="str">
        <f>""</f>
        <v/>
      </c>
      <c r="AL134" s="18" t="str">
        <f>IF(COUNTIF($A$2:A133, A133) = 1, A133, "")</f>
        <v/>
      </c>
    </row>
    <row r="135" spans="6:38" x14ac:dyDescent="0.2">
      <c r="F135" t="str">
        <f t="shared" si="28"/>
        <v/>
      </c>
      <c r="L135" s="7" t="str">
        <f t="shared" si="29"/>
        <v/>
      </c>
      <c r="N135" s="7" t="str">
        <f t="shared" si="30"/>
        <v/>
      </c>
      <c r="O135" t="str">
        <f t="shared" si="31"/>
        <v/>
      </c>
      <c r="P135" t="str">
        <f t="shared" si="27"/>
        <v/>
      </c>
      <c r="Q135" t="str">
        <f t="shared" si="32"/>
        <v/>
      </c>
      <c r="S135" t="str">
        <f>""</f>
        <v/>
      </c>
      <c r="AL135" s="18" t="str">
        <f>IF(COUNTIF($A$2:A134, A134) = 1, A134, "")</f>
        <v/>
      </c>
    </row>
    <row r="136" spans="6:38" x14ac:dyDescent="0.2">
      <c r="F136" t="str">
        <f t="shared" si="28"/>
        <v/>
      </c>
      <c r="L136" s="7" t="str">
        <f t="shared" si="29"/>
        <v/>
      </c>
      <c r="N136" s="7" t="str">
        <f t="shared" si="30"/>
        <v/>
      </c>
      <c r="O136" t="str">
        <f t="shared" si="31"/>
        <v/>
      </c>
      <c r="P136" t="str">
        <f t="shared" si="27"/>
        <v/>
      </c>
      <c r="Q136" t="str">
        <f t="shared" si="32"/>
        <v/>
      </c>
      <c r="S136" t="str">
        <f>""</f>
        <v/>
      </c>
      <c r="AL136" s="18" t="str">
        <f>IF(COUNTIF($A$2:A135, A135) = 1, A135, "")</f>
        <v/>
      </c>
    </row>
    <row r="137" spans="6:38" x14ac:dyDescent="0.2">
      <c r="F137" t="str">
        <f t="shared" si="28"/>
        <v/>
      </c>
      <c r="L137" s="7" t="str">
        <f t="shared" si="29"/>
        <v/>
      </c>
      <c r="N137" s="7" t="str">
        <f t="shared" si="30"/>
        <v/>
      </c>
      <c r="O137" t="str">
        <f t="shared" si="31"/>
        <v/>
      </c>
      <c r="P137" t="str">
        <f t="shared" si="27"/>
        <v/>
      </c>
      <c r="Q137" t="str">
        <f t="shared" si="32"/>
        <v/>
      </c>
      <c r="S137" t="str">
        <f>""</f>
        <v/>
      </c>
      <c r="AL137" s="18" t="str">
        <f>IF(COUNTIF($A$2:A136, A136) = 1, A136, "")</f>
        <v/>
      </c>
    </row>
    <row r="138" spans="6:38" x14ac:dyDescent="0.2">
      <c r="F138" t="str">
        <f t="shared" si="28"/>
        <v/>
      </c>
      <c r="L138" s="7" t="str">
        <f t="shared" si="29"/>
        <v/>
      </c>
      <c r="N138" s="7" t="str">
        <f t="shared" si="30"/>
        <v/>
      </c>
      <c r="O138" t="str">
        <f t="shared" si="31"/>
        <v/>
      </c>
      <c r="P138" t="str">
        <f t="shared" si="27"/>
        <v/>
      </c>
      <c r="Q138" t="str">
        <f t="shared" si="32"/>
        <v/>
      </c>
      <c r="S138" t="str">
        <f>""</f>
        <v/>
      </c>
      <c r="AL138" s="18" t="str">
        <f>IF(COUNTIF($A$2:A137, A137) = 1, A137, "")</f>
        <v/>
      </c>
    </row>
    <row r="139" spans="6:38" x14ac:dyDescent="0.2">
      <c r="F139" t="str">
        <f t="shared" si="28"/>
        <v/>
      </c>
      <c r="L139" s="7" t="str">
        <f t="shared" si="29"/>
        <v/>
      </c>
      <c r="N139" s="7" t="str">
        <f t="shared" si="30"/>
        <v/>
      </c>
      <c r="O139" t="str">
        <f t="shared" si="31"/>
        <v/>
      </c>
      <c r="P139" t="str">
        <f t="shared" si="27"/>
        <v/>
      </c>
      <c r="Q139" t="str">
        <f t="shared" si="32"/>
        <v/>
      </c>
      <c r="S139" t="str">
        <f>""</f>
        <v/>
      </c>
      <c r="AL139" s="18" t="str">
        <f>IF(COUNTIF($A$2:A138, A138) = 1, A138, "")</f>
        <v/>
      </c>
    </row>
    <row r="140" spans="6:38" x14ac:dyDescent="0.2">
      <c r="F140" t="str">
        <f t="shared" si="28"/>
        <v/>
      </c>
      <c r="L140" s="7" t="str">
        <f t="shared" si="29"/>
        <v/>
      </c>
      <c r="N140" s="7" t="str">
        <f t="shared" si="30"/>
        <v/>
      </c>
      <c r="O140" t="str">
        <f t="shared" si="31"/>
        <v/>
      </c>
      <c r="P140" t="str">
        <f t="shared" si="27"/>
        <v/>
      </c>
      <c r="Q140" t="str">
        <f t="shared" si="32"/>
        <v/>
      </c>
      <c r="S140" t="str">
        <f>""</f>
        <v/>
      </c>
      <c r="AL140" s="18" t="str">
        <f>IF(COUNTIF($A$2:A139, A139) = 1, A139, "")</f>
        <v/>
      </c>
    </row>
    <row r="141" spans="6:38" x14ac:dyDescent="0.2">
      <c r="F141" t="str">
        <f t="shared" si="28"/>
        <v/>
      </c>
      <c r="L141" s="7" t="str">
        <f t="shared" si="29"/>
        <v/>
      </c>
      <c r="N141" s="7" t="str">
        <f t="shared" si="30"/>
        <v/>
      </c>
      <c r="O141" t="str">
        <f t="shared" si="31"/>
        <v/>
      </c>
      <c r="P141" t="str">
        <f t="shared" si="27"/>
        <v/>
      </c>
      <c r="Q141" t="str">
        <f t="shared" si="32"/>
        <v/>
      </c>
      <c r="S141" t="str">
        <f>""</f>
        <v/>
      </c>
      <c r="AL141" s="18" t="str">
        <f>IF(COUNTIF($A$2:A140, A140) = 1, A140, "")</f>
        <v/>
      </c>
    </row>
    <row r="142" spans="6:38" x14ac:dyDescent="0.2">
      <c r="F142" t="str">
        <f t="shared" si="28"/>
        <v/>
      </c>
      <c r="L142" s="7" t="str">
        <f t="shared" si="29"/>
        <v/>
      </c>
      <c r="N142" s="7" t="str">
        <f t="shared" si="30"/>
        <v/>
      </c>
      <c r="O142" t="str">
        <f t="shared" si="31"/>
        <v/>
      </c>
      <c r="P142" t="str">
        <f t="shared" si="27"/>
        <v/>
      </c>
      <c r="Q142" t="str">
        <f t="shared" si="32"/>
        <v/>
      </c>
      <c r="S142" t="str">
        <f>""</f>
        <v/>
      </c>
      <c r="AL142" s="18" t="str">
        <f>IF(COUNTIF($A$2:A141, A141) = 1, A141, "")</f>
        <v/>
      </c>
    </row>
    <row r="143" spans="6:38" x14ac:dyDescent="0.2">
      <c r="F143" t="str">
        <f t="shared" si="28"/>
        <v/>
      </c>
      <c r="L143" s="7" t="str">
        <f t="shared" si="29"/>
        <v/>
      </c>
      <c r="N143" s="7" t="str">
        <f t="shared" si="30"/>
        <v/>
      </c>
      <c r="O143" t="str">
        <f t="shared" si="31"/>
        <v/>
      </c>
      <c r="P143" t="str">
        <f t="shared" si="27"/>
        <v/>
      </c>
      <c r="Q143" t="str">
        <f t="shared" si="32"/>
        <v/>
      </c>
      <c r="S143" t="str">
        <f>""</f>
        <v/>
      </c>
      <c r="AL143" s="18" t="str">
        <f>IF(COUNTIF($A$2:A142, A142) = 1, A142, "")</f>
        <v/>
      </c>
    </row>
    <row r="144" spans="6:38" x14ac:dyDescent="0.2">
      <c r="F144" t="str">
        <f t="shared" ref="F144:F207" si="33">IF(OR(O144="", P144=""), "", SUM(IF((O144&lt;&gt;"None")*(O144&lt;&gt;""),LEN(O144)-LEN(SUBSTITUTE(O144,",",""))+1,0)) + SUM(IF((P144&lt;&gt;"None")*(P144&lt;&gt;""),LEN(P144)-LEN(SUBSTITUTE(P144,",",""))+1,0)))</f>
        <v/>
      </c>
      <c r="L144" s="7" t="str">
        <f t="shared" ref="L144:L207" si="34">IF(LEN(E144)=0, "", IFERROR(IF(E144&gt;=0, K144 * (1 + E144/100) - K144, K144 / (ABS(E144)/100))+K144, ""))</f>
        <v/>
      </c>
      <c r="N144" s="7" t="str">
        <f t="shared" ref="N144:N207" si="35">IF(M144="Yes",L144-K144,IF(M144="No",-K144,""))</f>
        <v/>
      </c>
      <c r="O144" t="str">
        <f t="shared" ref="O144:O207" si="36">IF(AND(G144="No",H144="No"), "None", "")</f>
        <v/>
      </c>
      <c r="P144" t="str">
        <f t="shared" ref="P144:P207" si="37">IF(I144="No", "None", "")</f>
        <v/>
      </c>
      <c r="Q144" t="str">
        <f t="shared" ref="Q144:Q207" si="38">IF(AND(D144="Straight", M144 = "No"),IF(O144="None",P144,IF(P144="None",O144) ),"")</f>
        <v/>
      </c>
      <c r="S144" t="str">
        <f>""</f>
        <v/>
      </c>
      <c r="AL144" s="18" t="str">
        <f>IF(COUNTIF($A$2:A143, A143) = 1, A143, "")</f>
        <v/>
      </c>
    </row>
    <row r="145" spans="6:38" x14ac:dyDescent="0.2">
      <c r="F145" t="str">
        <f t="shared" si="33"/>
        <v/>
      </c>
      <c r="L145" s="7" t="str">
        <f t="shared" si="34"/>
        <v/>
      </c>
      <c r="N145" s="7" t="str">
        <f t="shared" si="35"/>
        <v/>
      </c>
      <c r="O145" t="str">
        <f t="shared" si="36"/>
        <v/>
      </c>
      <c r="P145" t="str">
        <f t="shared" si="37"/>
        <v/>
      </c>
      <c r="Q145" t="str">
        <f t="shared" si="38"/>
        <v/>
      </c>
      <c r="S145" t="str">
        <f>""</f>
        <v/>
      </c>
      <c r="AL145" s="18" t="str">
        <f>IF(COUNTIF($A$2:A144, A144) = 1, A144, "")</f>
        <v/>
      </c>
    </row>
    <row r="146" spans="6:38" x14ac:dyDescent="0.2">
      <c r="F146" t="str">
        <f t="shared" si="33"/>
        <v/>
      </c>
      <c r="L146" s="7" t="str">
        <f t="shared" si="34"/>
        <v/>
      </c>
      <c r="N146" s="7" t="str">
        <f t="shared" si="35"/>
        <v/>
      </c>
      <c r="O146" t="str">
        <f t="shared" si="36"/>
        <v/>
      </c>
      <c r="P146" t="str">
        <f t="shared" si="37"/>
        <v/>
      </c>
      <c r="Q146" t="str">
        <f t="shared" si="38"/>
        <v/>
      </c>
      <c r="S146" t="str">
        <f>""</f>
        <v/>
      </c>
      <c r="AL146" s="18" t="str">
        <f>IF(COUNTIF($A$2:A145, A145) = 1, A145, "")</f>
        <v/>
      </c>
    </row>
    <row r="147" spans="6:38" x14ac:dyDescent="0.2">
      <c r="F147" t="str">
        <f t="shared" si="33"/>
        <v/>
      </c>
      <c r="L147" s="7" t="str">
        <f t="shared" si="34"/>
        <v/>
      </c>
      <c r="N147" s="7" t="str">
        <f t="shared" si="35"/>
        <v/>
      </c>
      <c r="O147" t="str">
        <f t="shared" si="36"/>
        <v/>
      </c>
      <c r="P147" t="str">
        <f t="shared" si="37"/>
        <v/>
      </c>
      <c r="Q147" t="str">
        <f t="shared" si="38"/>
        <v/>
      </c>
      <c r="S147" t="str">
        <f>""</f>
        <v/>
      </c>
      <c r="AL147" s="18" t="str">
        <f>IF(COUNTIF($A$2:A146, A146) = 1, A146, "")</f>
        <v/>
      </c>
    </row>
    <row r="148" spans="6:38" x14ac:dyDescent="0.2">
      <c r="F148" t="str">
        <f t="shared" si="33"/>
        <v/>
      </c>
      <c r="L148" s="7" t="str">
        <f t="shared" si="34"/>
        <v/>
      </c>
      <c r="N148" s="7" t="str">
        <f t="shared" si="35"/>
        <v/>
      </c>
      <c r="O148" t="str">
        <f t="shared" si="36"/>
        <v/>
      </c>
      <c r="P148" t="str">
        <f t="shared" si="37"/>
        <v/>
      </c>
      <c r="Q148" t="str">
        <f t="shared" si="38"/>
        <v/>
      </c>
      <c r="S148" t="str">
        <f>""</f>
        <v/>
      </c>
      <c r="AL148" s="18" t="str">
        <f>IF(COUNTIF($A$2:A147, A147) = 1, A147, "")</f>
        <v/>
      </c>
    </row>
    <row r="149" spans="6:38" x14ac:dyDescent="0.2">
      <c r="F149" t="str">
        <f t="shared" si="33"/>
        <v/>
      </c>
      <c r="L149" s="7" t="str">
        <f t="shared" si="34"/>
        <v/>
      </c>
      <c r="N149" s="7" t="str">
        <f t="shared" si="35"/>
        <v/>
      </c>
      <c r="O149" t="str">
        <f t="shared" si="36"/>
        <v/>
      </c>
      <c r="P149" t="str">
        <f t="shared" si="37"/>
        <v/>
      </c>
      <c r="Q149" t="str">
        <f t="shared" si="38"/>
        <v/>
      </c>
      <c r="S149" t="str">
        <f>""</f>
        <v/>
      </c>
      <c r="AL149" s="18" t="str">
        <f>IF(COUNTIF($A$2:A148, A148) = 1, A148, "")</f>
        <v/>
      </c>
    </row>
    <row r="150" spans="6:38" x14ac:dyDescent="0.2">
      <c r="F150" t="str">
        <f t="shared" si="33"/>
        <v/>
      </c>
      <c r="L150" s="7" t="str">
        <f t="shared" si="34"/>
        <v/>
      </c>
      <c r="N150" s="7" t="str">
        <f t="shared" si="35"/>
        <v/>
      </c>
      <c r="O150" t="str">
        <f t="shared" si="36"/>
        <v/>
      </c>
      <c r="P150" t="str">
        <f t="shared" si="37"/>
        <v/>
      </c>
      <c r="Q150" t="str">
        <f t="shared" si="38"/>
        <v/>
      </c>
      <c r="S150" t="str">
        <f>""</f>
        <v/>
      </c>
      <c r="AL150" s="18" t="str">
        <f>IF(COUNTIF($A$2:A149, A149) = 1, A149, "")</f>
        <v/>
      </c>
    </row>
    <row r="151" spans="6:38" x14ac:dyDescent="0.2">
      <c r="F151" t="str">
        <f t="shared" si="33"/>
        <v/>
      </c>
      <c r="L151" s="7" t="str">
        <f t="shared" si="34"/>
        <v/>
      </c>
      <c r="N151" s="7" t="str">
        <f t="shared" si="35"/>
        <v/>
      </c>
      <c r="O151" t="str">
        <f t="shared" si="36"/>
        <v/>
      </c>
      <c r="P151" t="str">
        <f t="shared" si="37"/>
        <v/>
      </c>
      <c r="Q151" t="str">
        <f t="shared" si="38"/>
        <v/>
      </c>
      <c r="S151" t="str">
        <f>""</f>
        <v/>
      </c>
      <c r="AL151" s="18" t="str">
        <f>IF(COUNTIF($A$2:A150, A150) = 1, A150, "")</f>
        <v/>
      </c>
    </row>
    <row r="152" spans="6:38" x14ac:dyDescent="0.2">
      <c r="F152" t="str">
        <f t="shared" si="33"/>
        <v/>
      </c>
      <c r="L152" s="7" t="str">
        <f t="shared" si="34"/>
        <v/>
      </c>
      <c r="N152" s="7" t="str">
        <f t="shared" si="35"/>
        <v/>
      </c>
      <c r="O152" t="str">
        <f t="shared" si="36"/>
        <v/>
      </c>
      <c r="P152" t="str">
        <f t="shared" si="37"/>
        <v/>
      </c>
      <c r="Q152" t="str">
        <f t="shared" si="38"/>
        <v/>
      </c>
      <c r="S152" t="str">
        <f>""</f>
        <v/>
      </c>
      <c r="AL152" s="18" t="str">
        <f>IF(COUNTIF($A$2:A151, A151) = 1, A151, "")</f>
        <v/>
      </c>
    </row>
    <row r="153" spans="6:38" x14ac:dyDescent="0.2">
      <c r="F153" t="str">
        <f t="shared" si="33"/>
        <v/>
      </c>
      <c r="L153" s="7" t="str">
        <f t="shared" si="34"/>
        <v/>
      </c>
      <c r="N153" s="7" t="str">
        <f t="shared" si="35"/>
        <v/>
      </c>
      <c r="O153" t="str">
        <f t="shared" si="36"/>
        <v/>
      </c>
      <c r="P153" t="str">
        <f t="shared" si="37"/>
        <v/>
      </c>
      <c r="Q153" t="str">
        <f t="shared" si="38"/>
        <v/>
      </c>
      <c r="S153" t="str">
        <f>""</f>
        <v/>
      </c>
      <c r="AL153" s="18" t="str">
        <f>IF(COUNTIF($A$2:A152, A152) = 1, A152, "")</f>
        <v/>
      </c>
    </row>
    <row r="154" spans="6:38" x14ac:dyDescent="0.2">
      <c r="F154" t="str">
        <f t="shared" si="33"/>
        <v/>
      </c>
      <c r="L154" s="7" t="str">
        <f t="shared" si="34"/>
        <v/>
      </c>
      <c r="N154" s="7" t="str">
        <f t="shared" si="35"/>
        <v/>
      </c>
      <c r="O154" t="str">
        <f t="shared" si="36"/>
        <v/>
      </c>
      <c r="P154" t="str">
        <f t="shared" si="37"/>
        <v/>
      </c>
      <c r="Q154" t="str">
        <f t="shared" si="38"/>
        <v/>
      </c>
      <c r="S154" t="str">
        <f>""</f>
        <v/>
      </c>
      <c r="AL154" s="18" t="str">
        <f>IF(COUNTIF($A$2:A153, A153) = 1, A153, "")</f>
        <v/>
      </c>
    </row>
    <row r="155" spans="6:38" x14ac:dyDescent="0.2">
      <c r="F155" t="str">
        <f t="shared" si="33"/>
        <v/>
      </c>
      <c r="L155" s="7" t="str">
        <f t="shared" si="34"/>
        <v/>
      </c>
      <c r="N155" s="7" t="str">
        <f t="shared" si="35"/>
        <v/>
      </c>
      <c r="O155" t="str">
        <f t="shared" si="36"/>
        <v/>
      </c>
      <c r="P155" t="str">
        <f t="shared" si="37"/>
        <v/>
      </c>
      <c r="Q155" t="str">
        <f t="shared" si="38"/>
        <v/>
      </c>
      <c r="S155" t="str">
        <f>""</f>
        <v/>
      </c>
      <c r="AL155" s="18" t="str">
        <f>IF(COUNTIF($A$2:A154, A154) = 1, A154, "")</f>
        <v/>
      </c>
    </row>
    <row r="156" spans="6:38" x14ac:dyDescent="0.2">
      <c r="F156" t="str">
        <f t="shared" si="33"/>
        <v/>
      </c>
      <c r="L156" s="7" t="str">
        <f t="shared" si="34"/>
        <v/>
      </c>
      <c r="N156" s="7" t="str">
        <f t="shared" si="35"/>
        <v/>
      </c>
      <c r="O156" t="str">
        <f t="shared" si="36"/>
        <v/>
      </c>
      <c r="P156" t="str">
        <f t="shared" si="37"/>
        <v/>
      </c>
      <c r="Q156" t="str">
        <f t="shared" si="38"/>
        <v/>
      </c>
      <c r="S156" t="str">
        <f>""</f>
        <v/>
      </c>
      <c r="AL156" s="18" t="str">
        <f>IF(COUNTIF($A$2:A155, A155) = 1, A155, "")</f>
        <v/>
      </c>
    </row>
    <row r="157" spans="6:38" x14ac:dyDescent="0.2">
      <c r="F157" t="str">
        <f t="shared" si="33"/>
        <v/>
      </c>
      <c r="L157" s="7" t="str">
        <f t="shared" si="34"/>
        <v/>
      </c>
      <c r="N157" s="7" t="str">
        <f t="shared" si="35"/>
        <v/>
      </c>
      <c r="O157" t="str">
        <f t="shared" si="36"/>
        <v/>
      </c>
      <c r="P157" t="str">
        <f t="shared" si="37"/>
        <v/>
      </c>
      <c r="Q157" t="str">
        <f t="shared" si="38"/>
        <v/>
      </c>
      <c r="S157" t="str">
        <f>""</f>
        <v/>
      </c>
      <c r="AL157" s="18" t="str">
        <f>IF(COUNTIF($A$2:A156, A156) = 1, A156, "")</f>
        <v/>
      </c>
    </row>
    <row r="158" spans="6:38" x14ac:dyDescent="0.2">
      <c r="F158" t="str">
        <f t="shared" si="33"/>
        <v/>
      </c>
      <c r="L158" s="7" t="str">
        <f t="shared" si="34"/>
        <v/>
      </c>
      <c r="N158" s="7" t="str">
        <f t="shared" si="35"/>
        <v/>
      </c>
      <c r="O158" t="str">
        <f t="shared" si="36"/>
        <v/>
      </c>
      <c r="P158" t="str">
        <f t="shared" si="37"/>
        <v/>
      </c>
      <c r="Q158" t="str">
        <f t="shared" si="38"/>
        <v/>
      </c>
      <c r="S158" t="str">
        <f>""</f>
        <v/>
      </c>
      <c r="AL158" s="18" t="str">
        <f>IF(COUNTIF($A$2:A157, A157) = 1, A157, "")</f>
        <v/>
      </c>
    </row>
    <row r="159" spans="6:38" x14ac:dyDescent="0.2">
      <c r="F159" t="str">
        <f t="shared" si="33"/>
        <v/>
      </c>
      <c r="L159" s="7" t="str">
        <f t="shared" si="34"/>
        <v/>
      </c>
      <c r="N159" s="7" t="str">
        <f t="shared" si="35"/>
        <v/>
      </c>
      <c r="O159" t="str">
        <f t="shared" si="36"/>
        <v/>
      </c>
      <c r="P159" t="str">
        <f t="shared" si="37"/>
        <v/>
      </c>
      <c r="Q159" t="str">
        <f t="shared" si="38"/>
        <v/>
      </c>
      <c r="S159" t="str">
        <f>""</f>
        <v/>
      </c>
      <c r="AL159" s="18" t="str">
        <f>IF(COUNTIF($A$2:A158, A158) = 1, A158, "")</f>
        <v/>
      </c>
    </row>
    <row r="160" spans="6:38" x14ac:dyDescent="0.2">
      <c r="F160" t="str">
        <f t="shared" si="33"/>
        <v/>
      </c>
      <c r="L160" s="7" t="str">
        <f t="shared" si="34"/>
        <v/>
      </c>
      <c r="N160" s="7" t="str">
        <f t="shared" si="35"/>
        <v/>
      </c>
      <c r="O160" t="str">
        <f t="shared" si="36"/>
        <v/>
      </c>
      <c r="P160" t="str">
        <f t="shared" si="37"/>
        <v/>
      </c>
      <c r="Q160" t="str">
        <f t="shared" si="38"/>
        <v/>
      </c>
      <c r="S160" t="str">
        <f>""</f>
        <v/>
      </c>
      <c r="AL160" s="18" t="str">
        <f>IF(COUNTIF($A$2:A159, A159) = 1, A159, "")</f>
        <v/>
      </c>
    </row>
    <row r="161" spans="6:38" x14ac:dyDescent="0.2">
      <c r="F161" t="str">
        <f t="shared" si="33"/>
        <v/>
      </c>
      <c r="L161" s="7" t="str">
        <f t="shared" si="34"/>
        <v/>
      </c>
      <c r="N161" s="7" t="str">
        <f t="shared" si="35"/>
        <v/>
      </c>
      <c r="O161" t="str">
        <f t="shared" si="36"/>
        <v/>
      </c>
      <c r="P161" t="str">
        <f t="shared" si="37"/>
        <v/>
      </c>
      <c r="Q161" t="str">
        <f t="shared" si="38"/>
        <v/>
      </c>
      <c r="S161" t="str">
        <f>""</f>
        <v/>
      </c>
      <c r="AL161" s="18" t="str">
        <f>IF(COUNTIF($A$2:A160, A160) = 1, A160, "")</f>
        <v/>
      </c>
    </row>
    <row r="162" spans="6:38" x14ac:dyDescent="0.2">
      <c r="F162" t="str">
        <f t="shared" si="33"/>
        <v/>
      </c>
      <c r="L162" s="7" t="str">
        <f t="shared" si="34"/>
        <v/>
      </c>
      <c r="N162" s="7" t="str">
        <f t="shared" si="35"/>
        <v/>
      </c>
      <c r="O162" t="str">
        <f t="shared" si="36"/>
        <v/>
      </c>
      <c r="P162" t="str">
        <f t="shared" si="37"/>
        <v/>
      </c>
      <c r="Q162" t="str">
        <f t="shared" si="38"/>
        <v/>
      </c>
      <c r="S162" t="str">
        <f>""</f>
        <v/>
      </c>
      <c r="AL162" s="18" t="str">
        <f>IF(COUNTIF($A$2:A161, A161) = 1, A161, "")</f>
        <v/>
      </c>
    </row>
    <row r="163" spans="6:38" x14ac:dyDescent="0.2">
      <c r="F163" t="str">
        <f t="shared" si="33"/>
        <v/>
      </c>
      <c r="L163" s="7" t="str">
        <f t="shared" si="34"/>
        <v/>
      </c>
      <c r="N163" s="7" t="str">
        <f t="shared" si="35"/>
        <v/>
      </c>
      <c r="O163" t="str">
        <f t="shared" si="36"/>
        <v/>
      </c>
      <c r="P163" t="str">
        <f t="shared" si="37"/>
        <v/>
      </c>
      <c r="Q163" t="str">
        <f t="shared" si="38"/>
        <v/>
      </c>
      <c r="S163" t="str">
        <f>""</f>
        <v/>
      </c>
      <c r="AL163" s="18" t="str">
        <f>IF(COUNTIF($A$2:A162, A162) = 1, A162, "")</f>
        <v/>
      </c>
    </row>
    <row r="164" spans="6:38" x14ac:dyDescent="0.2">
      <c r="F164" t="str">
        <f t="shared" si="33"/>
        <v/>
      </c>
      <c r="L164" s="7" t="str">
        <f t="shared" si="34"/>
        <v/>
      </c>
      <c r="N164" s="7" t="str">
        <f t="shared" si="35"/>
        <v/>
      </c>
      <c r="O164" t="str">
        <f t="shared" si="36"/>
        <v/>
      </c>
      <c r="P164" t="str">
        <f t="shared" si="37"/>
        <v/>
      </c>
      <c r="Q164" t="str">
        <f t="shared" si="38"/>
        <v/>
      </c>
      <c r="S164" t="str">
        <f>""</f>
        <v/>
      </c>
      <c r="AL164" s="18" t="str">
        <f>IF(COUNTIF($A$2:A163, A163) = 1, A163, "")</f>
        <v/>
      </c>
    </row>
    <row r="165" spans="6:38" x14ac:dyDescent="0.2">
      <c r="F165" t="str">
        <f t="shared" si="33"/>
        <v/>
      </c>
      <c r="L165" s="7" t="str">
        <f t="shared" si="34"/>
        <v/>
      </c>
      <c r="N165" s="7" t="str">
        <f t="shared" si="35"/>
        <v/>
      </c>
      <c r="O165" t="str">
        <f t="shared" si="36"/>
        <v/>
      </c>
      <c r="P165" t="str">
        <f t="shared" si="37"/>
        <v/>
      </c>
      <c r="Q165" t="str">
        <f t="shared" si="38"/>
        <v/>
      </c>
      <c r="S165" t="str">
        <f>""</f>
        <v/>
      </c>
      <c r="AL165" s="18" t="str">
        <f>IF(COUNTIF($A$2:A164, A164) = 1, A164, "")</f>
        <v/>
      </c>
    </row>
    <row r="166" spans="6:38" x14ac:dyDescent="0.2">
      <c r="F166" t="str">
        <f t="shared" si="33"/>
        <v/>
      </c>
      <c r="L166" s="7" t="str">
        <f t="shared" si="34"/>
        <v/>
      </c>
      <c r="N166" s="7" t="str">
        <f t="shared" si="35"/>
        <v/>
      </c>
      <c r="O166" t="str">
        <f t="shared" si="36"/>
        <v/>
      </c>
      <c r="P166" t="str">
        <f t="shared" si="37"/>
        <v/>
      </c>
      <c r="Q166" t="str">
        <f t="shared" si="38"/>
        <v/>
      </c>
      <c r="S166" t="str">
        <f>""</f>
        <v/>
      </c>
      <c r="AL166" s="18" t="str">
        <f>IF(COUNTIF($A$2:A165, A165) = 1, A165, "")</f>
        <v/>
      </c>
    </row>
    <row r="167" spans="6:38" x14ac:dyDescent="0.2">
      <c r="F167" t="str">
        <f t="shared" si="33"/>
        <v/>
      </c>
      <c r="L167" s="7" t="str">
        <f t="shared" si="34"/>
        <v/>
      </c>
      <c r="N167" s="7" t="str">
        <f t="shared" si="35"/>
        <v/>
      </c>
      <c r="O167" t="str">
        <f t="shared" si="36"/>
        <v/>
      </c>
      <c r="P167" t="str">
        <f t="shared" si="37"/>
        <v/>
      </c>
      <c r="Q167" t="str">
        <f t="shared" si="38"/>
        <v/>
      </c>
      <c r="S167" t="str">
        <f>""</f>
        <v/>
      </c>
      <c r="AL167" s="18" t="str">
        <f>IF(COUNTIF($A$2:A166, A166) = 1, A166, "")</f>
        <v/>
      </c>
    </row>
    <row r="168" spans="6:38" x14ac:dyDescent="0.2">
      <c r="F168" t="str">
        <f t="shared" si="33"/>
        <v/>
      </c>
      <c r="L168" s="7" t="str">
        <f t="shared" si="34"/>
        <v/>
      </c>
      <c r="N168" s="7" t="str">
        <f t="shared" si="35"/>
        <v/>
      </c>
      <c r="O168" t="str">
        <f t="shared" si="36"/>
        <v/>
      </c>
      <c r="P168" t="str">
        <f t="shared" si="37"/>
        <v/>
      </c>
      <c r="Q168" t="str">
        <f t="shared" si="38"/>
        <v/>
      </c>
      <c r="S168" t="str">
        <f>""</f>
        <v/>
      </c>
      <c r="AL168" s="18" t="str">
        <f>IF(COUNTIF($A$2:A167, A167) = 1, A167, "")</f>
        <v/>
      </c>
    </row>
    <row r="169" spans="6:38" x14ac:dyDescent="0.2">
      <c r="F169" t="str">
        <f t="shared" si="33"/>
        <v/>
      </c>
      <c r="L169" s="7" t="str">
        <f t="shared" si="34"/>
        <v/>
      </c>
      <c r="N169" s="7" t="str">
        <f t="shared" si="35"/>
        <v/>
      </c>
      <c r="O169" t="str">
        <f t="shared" si="36"/>
        <v/>
      </c>
      <c r="P169" t="str">
        <f t="shared" si="37"/>
        <v/>
      </c>
      <c r="Q169" t="str">
        <f t="shared" si="38"/>
        <v/>
      </c>
      <c r="S169" t="str">
        <f>""</f>
        <v/>
      </c>
      <c r="AL169" s="18" t="str">
        <f>IF(COUNTIF($A$2:A168, A168) = 1, A168, "")</f>
        <v/>
      </c>
    </row>
    <row r="170" spans="6:38" x14ac:dyDescent="0.2">
      <c r="F170" t="str">
        <f t="shared" si="33"/>
        <v/>
      </c>
      <c r="L170" s="7" t="str">
        <f t="shared" si="34"/>
        <v/>
      </c>
      <c r="N170" s="7" t="str">
        <f t="shared" si="35"/>
        <v/>
      </c>
      <c r="O170" t="str">
        <f t="shared" si="36"/>
        <v/>
      </c>
      <c r="P170" t="str">
        <f t="shared" si="37"/>
        <v/>
      </c>
      <c r="Q170" t="str">
        <f t="shared" si="38"/>
        <v/>
      </c>
      <c r="S170" t="str">
        <f>""</f>
        <v/>
      </c>
      <c r="AL170" s="18" t="str">
        <f>IF(COUNTIF($A$2:A169, A169) = 1, A169, "")</f>
        <v/>
      </c>
    </row>
    <row r="171" spans="6:38" x14ac:dyDescent="0.2">
      <c r="F171" t="str">
        <f t="shared" si="33"/>
        <v/>
      </c>
      <c r="L171" s="7" t="str">
        <f t="shared" si="34"/>
        <v/>
      </c>
      <c r="N171" s="7" t="str">
        <f t="shared" si="35"/>
        <v/>
      </c>
      <c r="O171" t="str">
        <f t="shared" si="36"/>
        <v/>
      </c>
      <c r="P171" t="str">
        <f t="shared" si="37"/>
        <v/>
      </c>
      <c r="Q171" t="str">
        <f t="shared" si="38"/>
        <v/>
      </c>
      <c r="S171" t="str">
        <f>""</f>
        <v/>
      </c>
      <c r="AL171" s="18" t="str">
        <f>IF(COUNTIF($A$2:A170, A170) = 1, A170, "")</f>
        <v/>
      </c>
    </row>
    <row r="172" spans="6:38" x14ac:dyDescent="0.2">
      <c r="F172" t="str">
        <f t="shared" si="33"/>
        <v/>
      </c>
      <c r="L172" s="7" t="str">
        <f t="shared" si="34"/>
        <v/>
      </c>
      <c r="N172" s="7" t="str">
        <f t="shared" si="35"/>
        <v/>
      </c>
      <c r="O172" t="str">
        <f t="shared" si="36"/>
        <v/>
      </c>
      <c r="P172" t="str">
        <f t="shared" si="37"/>
        <v/>
      </c>
      <c r="Q172" t="str">
        <f t="shared" si="38"/>
        <v/>
      </c>
      <c r="S172" t="str">
        <f>""</f>
        <v/>
      </c>
      <c r="AL172" s="18" t="str">
        <f>IF(COUNTIF($A$2:A171, A171) = 1, A171, "")</f>
        <v/>
      </c>
    </row>
    <row r="173" spans="6:38" x14ac:dyDescent="0.2">
      <c r="F173" t="str">
        <f t="shared" si="33"/>
        <v/>
      </c>
      <c r="L173" s="7" t="str">
        <f t="shared" si="34"/>
        <v/>
      </c>
      <c r="N173" s="7" t="str">
        <f t="shared" si="35"/>
        <v/>
      </c>
      <c r="O173" t="str">
        <f t="shared" si="36"/>
        <v/>
      </c>
      <c r="P173" t="str">
        <f t="shared" si="37"/>
        <v/>
      </c>
      <c r="Q173" t="str">
        <f t="shared" si="38"/>
        <v/>
      </c>
      <c r="S173" t="str">
        <f>""</f>
        <v/>
      </c>
      <c r="AL173" s="18" t="str">
        <f>IF(COUNTIF($A$2:A172, A172) = 1, A172, "")</f>
        <v/>
      </c>
    </row>
    <row r="174" spans="6:38" x14ac:dyDescent="0.2">
      <c r="F174" t="str">
        <f t="shared" si="33"/>
        <v/>
      </c>
      <c r="L174" s="7" t="str">
        <f t="shared" si="34"/>
        <v/>
      </c>
      <c r="N174" s="7" t="str">
        <f t="shared" si="35"/>
        <v/>
      </c>
      <c r="O174" t="str">
        <f t="shared" si="36"/>
        <v/>
      </c>
      <c r="P174" t="str">
        <f t="shared" si="37"/>
        <v/>
      </c>
      <c r="Q174" t="str">
        <f t="shared" si="38"/>
        <v/>
      </c>
      <c r="S174" t="str">
        <f>""</f>
        <v/>
      </c>
      <c r="AL174" s="18" t="str">
        <f>IF(COUNTIF($A$2:A173, A173) = 1, A173, "")</f>
        <v/>
      </c>
    </row>
    <row r="175" spans="6:38" x14ac:dyDescent="0.2">
      <c r="F175" t="str">
        <f t="shared" si="33"/>
        <v/>
      </c>
      <c r="L175" s="7" t="str">
        <f t="shared" si="34"/>
        <v/>
      </c>
      <c r="N175" s="7" t="str">
        <f t="shared" si="35"/>
        <v/>
      </c>
      <c r="O175" t="str">
        <f t="shared" si="36"/>
        <v/>
      </c>
      <c r="P175" t="str">
        <f t="shared" si="37"/>
        <v/>
      </c>
      <c r="Q175" t="str">
        <f t="shared" si="38"/>
        <v/>
      </c>
      <c r="S175" t="str">
        <f>""</f>
        <v/>
      </c>
      <c r="AL175" s="18" t="str">
        <f>IF(COUNTIF($A$2:A174, A174) = 1, A174, "")</f>
        <v/>
      </c>
    </row>
    <row r="176" spans="6:38" x14ac:dyDescent="0.2">
      <c r="F176" t="str">
        <f t="shared" si="33"/>
        <v/>
      </c>
      <c r="L176" s="7" t="str">
        <f t="shared" si="34"/>
        <v/>
      </c>
      <c r="N176" s="7" t="str">
        <f t="shared" si="35"/>
        <v/>
      </c>
      <c r="O176" t="str">
        <f t="shared" si="36"/>
        <v/>
      </c>
      <c r="P176" t="str">
        <f t="shared" si="37"/>
        <v/>
      </c>
      <c r="Q176" t="str">
        <f t="shared" si="38"/>
        <v/>
      </c>
      <c r="S176" t="str">
        <f>""</f>
        <v/>
      </c>
      <c r="AL176" s="18" t="str">
        <f>IF(COUNTIF($A$2:A175, A175) = 1, A175, "")</f>
        <v/>
      </c>
    </row>
    <row r="177" spans="6:38" x14ac:dyDescent="0.2">
      <c r="F177" t="str">
        <f t="shared" si="33"/>
        <v/>
      </c>
      <c r="L177" s="7" t="str">
        <f t="shared" si="34"/>
        <v/>
      </c>
      <c r="N177" s="7" t="str">
        <f t="shared" si="35"/>
        <v/>
      </c>
      <c r="O177" t="str">
        <f t="shared" si="36"/>
        <v/>
      </c>
      <c r="P177" t="str">
        <f t="shared" si="37"/>
        <v/>
      </c>
      <c r="Q177" t="str">
        <f t="shared" si="38"/>
        <v/>
      </c>
      <c r="S177" t="str">
        <f>""</f>
        <v/>
      </c>
      <c r="AL177" s="18" t="str">
        <f>IF(COUNTIF($A$2:A176, A176) = 1, A176, "")</f>
        <v/>
      </c>
    </row>
    <row r="178" spans="6:38" x14ac:dyDescent="0.2">
      <c r="F178" t="str">
        <f t="shared" si="33"/>
        <v/>
      </c>
      <c r="L178" s="7" t="str">
        <f t="shared" si="34"/>
        <v/>
      </c>
      <c r="N178" s="7" t="str">
        <f t="shared" si="35"/>
        <v/>
      </c>
      <c r="O178" t="str">
        <f t="shared" si="36"/>
        <v/>
      </c>
      <c r="P178" t="str">
        <f t="shared" si="37"/>
        <v/>
      </c>
      <c r="Q178" t="str">
        <f t="shared" si="38"/>
        <v/>
      </c>
      <c r="S178" t="str">
        <f>""</f>
        <v/>
      </c>
      <c r="AL178" s="18" t="str">
        <f>IF(COUNTIF($A$2:A177, A177) = 1, A177, "")</f>
        <v/>
      </c>
    </row>
    <row r="179" spans="6:38" x14ac:dyDescent="0.2">
      <c r="F179" t="str">
        <f t="shared" si="33"/>
        <v/>
      </c>
      <c r="L179" s="7" t="str">
        <f t="shared" si="34"/>
        <v/>
      </c>
      <c r="N179" s="7" t="str">
        <f t="shared" si="35"/>
        <v/>
      </c>
      <c r="O179" t="str">
        <f t="shared" si="36"/>
        <v/>
      </c>
      <c r="P179" t="str">
        <f t="shared" si="37"/>
        <v/>
      </c>
      <c r="Q179" t="str">
        <f t="shared" si="38"/>
        <v/>
      </c>
      <c r="S179" t="str">
        <f>""</f>
        <v/>
      </c>
      <c r="AL179" s="18" t="str">
        <f>IF(COUNTIF($A$2:A178, A178) = 1, A178, "")</f>
        <v/>
      </c>
    </row>
    <row r="180" spans="6:38" x14ac:dyDescent="0.2">
      <c r="F180" t="str">
        <f t="shared" si="33"/>
        <v/>
      </c>
      <c r="L180" s="7" t="str">
        <f t="shared" si="34"/>
        <v/>
      </c>
      <c r="N180" s="7" t="str">
        <f t="shared" si="35"/>
        <v/>
      </c>
      <c r="O180" t="str">
        <f t="shared" si="36"/>
        <v/>
      </c>
      <c r="P180" t="str">
        <f t="shared" si="37"/>
        <v/>
      </c>
      <c r="Q180" t="str">
        <f t="shared" si="38"/>
        <v/>
      </c>
      <c r="S180" t="str">
        <f>""</f>
        <v/>
      </c>
      <c r="AL180" s="18" t="str">
        <f>IF(COUNTIF($A$2:A179, A179) = 1, A179, "")</f>
        <v/>
      </c>
    </row>
    <row r="181" spans="6:38" x14ac:dyDescent="0.2">
      <c r="F181" t="str">
        <f t="shared" si="33"/>
        <v/>
      </c>
      <c r="L181" s="7" t="str">
        <f t="shared" si="34"/>
        <v/>
      </c>
      <c r="N181" s="7" t="str">
        <f t="shared" si="35"/>
        <v/>
      </c>
      <c r="O181" t="str">
        <f t="shared" si="36"/>
        <v/>
      </c>
      <c r="P181" t="str">
        <f t="shared" si="37"/>
        <v/>
      </c>
      <c r="Q181" t="str">
        <f t="shared" si="38"/>
        <v/>
      </c>
      <c r="S181" t="str">
        <f>""</f>
        <v/>
      </c>
      <c r="AL181" s="18" t="str">
        <f>IF(COUNTIF($A$2:A180, A180) = 1, A180, "")</f>
        <v/>
      </c>
    </row>
    <row r="182" spans="6:38" x14ac:dyDescent="0.2">
      <c r="F182" t="str">
        <f t="shared" si="33"/>
        <v/>
      </c>
      <c r="L182" s="7" t="str">
        <f t="shared" si="34"/>
        <v/>
      </c>
      <c r="N182" s="7" t="str">
        <f t="shared" si="35"/>
        <v/>
      </c>
      <c r="O182" t="str">
        <f t="shared" si="36"/>
        <v/>
      </c>
      <c r="P182" t="str">
        <f t="shared" si="37"/>
        <v/>
      </c>
      <c r="Q182" t="str">
        <f t="shared" si="38"/>
        <v/>
      </c>
      <c r="S182" t="str">
        <f>""</f>
        <v/>
      </c>
      <c r="AL182" s="18" t="str">
        <f>IF(COUNTIF($A$2:A181, A181) = 1, A181, "")</f>
        <v/>
      </c>
    </row>
    <row r="183" spans="6:38" x14ac:dyDescent="0.2">
      <c r="F183" t="str">
        <f t="shared" si="33"/>
        <v/>
      </c>
      <c r="L183" s="7" t="str">
        <f t="shared" si="34"/>
        <v/>
      </c>
      <c r="N183" s="7" t="str">
        <f t="shared" si="35"/>
        <v/>
      </c>
      <c r="O183" t="str">
        <f t="shared" si="36"/>
        <v/>
      </c>
      <c r="P183" t="str">
        <f t="shared" si="37"/>
        <v/>
      </c>
      <c r="Q183" t="str">
        <f t="shared" si="38"/>
        <v/>
      </c>
      <c r="S183" t="str">
        <f>""</f>
        <v/>
      </c>
      <c r="AL183" s="18" t="str">
        <f>IF(COUNTIF($A$2:A182, A182) = 1, A182, "")</f>
        <v/>
      </c>
    </row>
    <row r="184" spans="6:38" x14ac:dyDescent="0.2">
      <c r="F184" t="str">
        <f t="shared" si="33"/>
        <v/>
      </c>
      <c r="L184" s="7" t="str">
        <f t="shared" si="34"/>
        <v/>
      </c>
      <c r="N184" s="7" t="str">
        <f t="shared" si="35"/>
        <v/>
      </c>
      <c r="O184" t="str">
        <f t="shared" si="36"/>
        <v/>
      </c>
      <c r="P184" t="str">
        <f t="shared" si="37"/>
        <v/>
      </c>
      <c r="Q184" t="str">
        <f t="shared" si="38"/>
        <v/>
      </c>
      <c r="S184" t="str">
        <f>""</f>
        <v/>
      </c>
      <c r="AL184" s="18" t="str">
        <f>IF(COUNTIF($A$2:A183, A183) = 1, A183, "")</f>
        <v/>
      </c>
    </row>
    <row r="185" spans="6:38" x14ac:dyDescent="0.2">
      <c r="F185" t="str">
        <f t="shared" si="33"/>
        <v/>
      </c>
      <c r="L185" s="7" t="str">
        <f t="shared" si="34"/>
        <v/>
      </c>
      <c r="N185" s="7" t="str">
        <f t="shared" si="35"/>
        <v/>
      </c>
      <c r="O185" t="str">
        <f t="shared" si="36"/>
        <v/>
      </c>
      <c r="P185" t="str">
        <f t="shared" si="37"/>
        <v/>
      </c>
      <c r="Q185" t="str">
        <f t="shared" si="38"/>
        <v/>
      </c>
      <c r="S185" t="str">
        <f>""</f>
        <v/>
      </c>
      <c r="AL185" s="18" t="str">
        <f>IF(COUNTIF($A$2:A184, A184) = 1, A184, "")</f>
        <v/>
      </c>
    </row>
    <row r="186" spans="6:38" x14ac:dyDescent="0.2">
      <c r="F186" t="str">
        <f t="shared" si="33"/>
        <v/>
      </c>
      <c r="L186" s="7" t="str">
        <f t="shared" si="34"/>
        <v/>
      </c>
      <c r="N186" s="7" t="str">
        <f t="shared" si="35"/>
        <v/>
      </c>
      <c r="O186" t="str">
        <f t="shared" si="36"/>
        <v/>
      </c>
      <c r="P186" t="str">
        <f t="shared" si="37"/>
        <v/>
      </c>
      <c r="Q186" t="str">
        <f t="shared" si="38"/>
        <v/>
      </c>
      <c r="S186" t="str">
        <f>""</f>
        <v/>
      </c>
      <c r="AL186" s="18" t="str">
        <f>IF(COUNTIF($A$2:A185, A185) = 1, A185, "")</f>
        <v/>
      </c>
    </row>
    <row r="187" spans="6:38" x14ac:dyDescent="0.2">
      <c r="F187" t="str">
        <f t="shared" si="33"/>
        <v/>
      </c>
      <c r="L187" s="7" t="str">
        <f t="shared" si="34"/>
        <v/>
      </c>
      <c r="N187" s="7" t="str">
        <f t="shared" si="35"/>
        <v/>
      </c>
      <c r="O187" t="str">
        <f t="shared" si="36"/>
        <v/>
      </c>
      <c r="P187" t="str">
        <f t="shared" si="37"/>
        <v/>
      </c>
      <c r="Q187" t="str">
        <f t="shared" si="38"/>
        <v/>
      </c>
      <c r="S187" t="str">
        <f>""</f>
        <v/>
      </c>
      <c r="AL187" s="18" t="str">
        <f>IF(COUNTIF($A$2:A186, A186) = 1, A186, "")</f>
        <v/>
      </c>
    </row>
    <row r="188" spans="6:38" x14ac:dyDescent="0.2">
      <c r="F188" t="str">
        <f t="shared" si="33"/>
        <v/>
      </c>
      <c r="L188" s="7" t="str">
        <f t="shared" si="34"/>
        <v/>
      </c>
      <c r="N188" s="7" t="str">
        <f t="shared" si="35"/>
        <v/>
      </c>
      <c r="O188" t="str">
        <f t="shared" si="36"/>
        <v/>
      </c>
      <c r="P188" t="str">
        <f t="shared" si="37"/>
        <v/>
      </c>
      <c r="Q188" t="str">
        <f t="shared" si="38"/>
        <v/>
      </c>
      <c r="S188" t="str">
        <f>""</f>
        <v/>
      </c>
      <c r="AL188" s="18" t="str">
        <f>IF(COUNTIF($A$2:A187, A187) = 1, A187, "")</f>
        <v/>
      </c>
    </row>
    <row r="189" spans="6:38" x14ac:dyDescent="0.2">
      <c r="F189" t="str">
        <f t="shared" si="33"/>
        <v/>
      </c>
      <c r="L189" s="7" t="str">
        <f t="shared" si="34"/>
        <v/>
      </c>
      <c r="N189" s="7" t="str">
        <f t="shared" si="35"/>
        <v/>
      </c>
      <c r="O189" t="str">
        <f t="shared" si="36"/>
        <v/>
      </c>
      <c r="P189" t="str">
        <f t="shared" si="37"/>
        <v/>
      </c>
      <c r="Q189" t="str">
        <f t="shared" si="38"/>
        <v/>
      </c>
      <c r="S189" t="str">
        <f>""</f>
        <v/>
      </c>
      <c r="AL189" s="18" t="str">
        <f>IF(COUNTIF($A$2:A188, A188) = 1, A188, "")</f>
        <v/>
      </c>
    </row>
    <row r="190" spans="6:38" x14ac:dyDescent="0.2">
      <c r="F190" t="str">
        <f t="shared" si="33"/>
        <v/>
      </c>
      <c r="L190" s="7" t="str">
        <f t="shared" si="34"/>
        <v/>
      </c>
      <c r="N190" s="7" t="str">
        <f t="shared" si="35"/>
        <v/>
      </c>
      <c r="O190" t="str">
        <f t="shared" si="36"/>
        <v/>
      </c>
      <c r="P190" t="str">
        <f t="shared" si="37"/>
        <v/>
      </c>
      <c r="Q190" t="str">
        <f t="shared" si="38"/>
        <v/>
      </c>
      <c r="S190" t="str">
        <f>""</f>
        <v/>
      </c>
      <c r="AL190" s="18" t="str">
        <f>IF(COUNTIF($A$2:A189, A189) = 1, A189, "")</f>
        <v/>
      </c>
    </row>
    <row r="191" spans="6:38" x14ac:dyDescent="0.2">
      <c r="F191" t="str">
        <f t="shared" si="33"/>
        <v/>
      </c>
      <c r="L191" s="7" t="str">
        <f t="shared" si="34"/>
        <v/>
      </c>
      <c r="N191" s="7" t="str">
        <f t="shared" si="35"/>
        <v/>
      </c>
      <c r="O191" t="str">
        <f t="shared" si="36"/>
        <v/>
      </c>
      <c r="P191" t="str">
        <f t="shared" si="37"/>
        <v/>
      </c>
      <c r="Q191" t="str">
        <f t="shared" si="38"/>
        <v/>
      </c>
      <c r="S191" t="str">
        <f>""</f>
        <v/>
      </c>
      <c r="AL191" s="18" t="str">
        <f>IF(COUNTIF($A$2:A190, A190) = 1, A190, "")</f>
        <v/>
      </c>
    </row>
    <row r="192" spans="6:38" x14ac:dyDescent="0.2">
      <c r="F192" t="str">
        <f t="shared" si="33"/>
        <v/>
      </c>
      <c r="L192" s="7" t="str">
        <f t="shared" si="34"/>
        <v/>
      </c>
      <c r="N192" s="7" t="str">
        <f t="shared" si="35"/>
        <v/>
      </c>
      <c r="O192" t="str">
        <f t="shared" si="36"/>
        <v/>
      </c>
      <c r="P192" t="str">
        <f t="shared" si="37"/>
        <v/>
      </c>
      <c r="Q192" t="str">
        <f t="shared" si="38"/>
        <v/>
      </c>
      <c r="S192" t="str">
        <f>""</f>
        <v/>
      </c>
      <c r="AL192" s="18" t="str">
        <f>IF(COUNTIF($A$2:A191, A191) = 1, A191, "")</f>
        <v/>
      </c>
    </row>
    <row r="193" spans="6:38" x14ac:dyDescent="0.2">
      <c r="F193" t="str">
        <f t="shared" si="33"/>
        <v/>
      </c>
      <c r="L193" s="7" t="str">
        <f t="shared" si="34"/>
        <v/>
      </c>
      <c r="N193" s="7" t="str">
        <f t="shared" si="35"/>
        <v/>
      </c>
      <c r="O193" t="str">
        <f t="shared" si="36"/>
        <v/>
      </c>
      <c r="P193" t="str">
        <f t="shared" si="37"/>
        <v/>
      </c>
      <c r="Q193" t="str">
        <f t="shared" si="38"/>
        <v/>
      </c>
      <c r="S193" t="str">
        <f>""</f>
        <v/>
      </c>
      <c r="AL193" s="18" t="str">
        <f>IF(COUNTIF($A$2:A192, A192) = 1, A192, "")</f>
        <v/>
      </c>
    </row>
    <row r="194" spans="6:38" x14ac:dyDescent="0.2">
      <c r="F194" t="str">
        <f t="shared" si="33"/>
        <v/>
      </c>
      <c r="L194" s="7" t="str">
        <f t="shared" si="34"/>
        <v/>
      </c>
      <c r="N194" s="7" t="str">
        <f t="shared" si="35"/>
        <v/>
      </c>
      <c r="O194" t="str">
        <f t="shared" si="36"/>
        <v/>
      </c>
      <c r="P194" t="str">
        <f t="shared" si="37"/>
        <v/>
      </c>
      <c r="Q194" t="str">
        <f t="shared" si="38"/>
        <v/>
      </c>
      <c r="S194" t="str">
        <f>""</f>
        <v/>
      </c>
      <c r="AL194" s="18" t="str">
        <f>IF(COUNTIF($A$2:A193, A193) = 1, A193, "")</f>
        <v/>
      </c>
    </row>
    <row r="195" spans="6:38" x14ac:dyDescent="0.2">
      <c r="F195" t="str">
        <f t="shared" si="33"/>
        <v/>
      </c>
      <c r="L195" s="7" t="str">
        <f t="shared" si="34"/>
        <v/>
      </c>
      <c r="N195" s="7" t="str">
        <f t="shared" si="35"/>
        <v/>
      </c>
      <c r="O195" t="str">
        <f t="shared" si="36"/>
        <v/>
      </c>
      <c r="P195" t="str">
        <f t="shared" si="37"/>
        <v/>
      </c>
      <c r="Q195" t="str">
        <f t="shared" si="38"/>
        <v/>
      </c>
      <c r="S195" t="str">
        <f>""</f>
        <v/>
      </c>
      <c r="AL195" s="18" t="str">
        <f>IF(COUNTIF($A$2:A194, A194) = 1, A194, "")</f>
        <v/>
      </c>
    </row>
    <row r="196" spans="6:38" x14ac:dyDescent="0.2">
      <c r="F196" t="str">
        <f t="shared" si="33"/>
        <v/>
      </c>
      <c r="L196" s="7" t="str">
        <f t="shared" si="34"/>
        <v/>
      </c>
      <c r="N196" s="7" t="str">
        <f t="shared" si="35"/>
        <v/>
      </c>
      <c r="O196" t="str">
        <f t="shared" si="36"/>
        <v/>
      </c>
      <c r="P196" t="str">
        <f t="shared" si="37"/>
        <v/>
      </c>
      <c r="Q196" t="str">
        <f t="shared" si="38"/>
        <v/>
      </c>
      <c r="S196" t="str">
        <f>""</f>
        <v/>
      </c>
      <c r="AL196" s="18" t="str">
        <f>IF(COUNTIF($A$2:A195, A195) = 1, A195, "")</f>
        <v/>
      </c>
    </row>
    <row r="197" spans="6:38" x14ac:dyDescent="0.2">
      <c r="F197" t="str">
        <f t="shared" si="33"/>
        <v/>
      </c>
      <c r="L197" s="7" t="str">
        <f t="shared" si="34"/>
        <v/>
      </c>
      <c r="N197" s="7" t="str">
        <f t="shared" si="35"/>
        <v/>
      </c>
      <c r="O197" t="str">
        <f t="shared" si="36"/>
        <v/>
      </c>
      <c r="P197" t="str">
        <f t="shared" si="37"/>
        <v/>
      </c>
      <c r="Q197" t="str">
        <f t="shared" si="38"/>
        <v/>
      </c>
      <c r="S197" t="str">
        <f>""</f>
        <v/>
      </c>
      <c r="AL197" s="18" t="str">
        <f>IF(COUNTIF($A$2:A196, A196) = 1, A196, "")</f>
        <v/>
      </c>
    </row>
    <row r="198" spans="6:38" x14ac:dyDescent="0.2">
      <c r="F198" t="str">
        <f t="shared" si="33"/>
        <v/>
      </c>
      <c r="L198" s="7" t="str">
        <f t="shared" si="34"/>
        <v/>
      </c>
      <c r="N198" s="7" t="str">
        <f t="shared" si="35"/>
        <v/>
      </c>
      <c r="O198" t="str">
        <f t="shared" si="36"/>
        <v/>
      </c>
      <c r="P198" t="str">
        <f t="shared" si="37"/>
        <v/>
      </c>
      <c r="Q198" t="str">
        <f t="shared" si="38"/>
        <v/>
      </c>
      <c r="S198" t="str">
        <f>""</f>
        <v/>
      </c>
      <c r="AL198" s="18" t="str">
        <f>IF(COUNTIF($A$2:A197, A197) = 1, A197, "")</f>
        <v/>
      </c>
    </row>
    <row r="199" spans="6:38" x14ac:dyDescent="0.2">
      <c r="F199" t="str">
        <f t="shared" si="33"/>
        <v/>
      </c>
      <c r="L199" s="7" t="str">
        <f t="shared" si="34"/>
        <v/>
      </c>
      <c r="N199" s="7" t="str">
        <f t="shared" si="35"/>
        <v/>
      </c>
      <c r="O199" t="str">
        <f t="shared" si="36"/>
        <v/>
      </c>
      <c r="P199" t="str">
        <f t="shared" si="37"/>
        <v/>
      </c>
      <c r="Q199" t="str">
        <f t="shared" si="38"/>
        <v/>
      </c>
      <c r="S199" t="str">
        <f>""</f>
        <v/>
      </c>
      <c r="AL199" s="18" t="str">
        <f>IF(COUNTIF($A$2:A198, A198) = 1, A198, "")</f>
        <v/>
      </c>
    </row>
    <row r="200" spans="6:38" x14ac:dyDescent="0.2">
      <c r="F200" t="str">
        <f t="shared" si="33"/>
        <v/>
      </c>
      <c r="L200" s="7" t="str">
        <f t="shared" si="34"/>
        <v/>
      </c>
      <c r="N200" s="7" t="str">
        <f t="shared" si="35"/>
        <v/>
      </c>
      <c r="O200" t="str">
        <f t="shared" si="36"/>
        <v/>
      </c>
      <c r="P200" t="str">
        <f t="shared" si="37"/>
        <v/>
      </c>
      <c r="Q200" t="str">
        <f t="shared" si="38"/>
        <v/>
      </c>
      <c r="S200" t="str">
        <f>""</f>
        <v/>
      </c>
      <c r="AL200" s="18" t="str">
        <f>IF(COUNTIF($A$2:A199, A199) = 1, A199, "")</f>
        <v/>
      </c>
    </row>
    <row r="201" spans="6:38" x14ac:dyDescent="0.2">
      <c r="F201" t="str">
        <f t="shared" si="33"/>
        <v/>
      </c>
      <c r="L201" s="7" t="str">
        <f t="shared" si="34"/>
        <v/>
      </c>
      <c r="N201" s="7" t="str">
        <f t="shared" si="35"/>
        <v/>
      </c>
      <c r="O201" t="str">
        <f t="shared" si="36"/>
        <v/>
      </c>
      <c r="P201" t="str">
        <f t="shared" si="37"/>
        <v/>
      </c>
      <c r="Q201" t="str">
        <f t="shared" si="38"/>
        <v/>
      </c>
      <c r="S201" t="str">
        <f>""</f>
        <v/>
      </c>
      <c r="AL201" s="18" t="str">
        <f>IF(COUNTIF($A$2:A200, A200) = 1, A200, "")</f>
        <v/>
      </c>
    </row>
    <row r="202" spans="6:38" x14ac:dyDescent="0.2">
      <c r="F202" t="str">
        <f t="shared" si="33"/>
        <v/>
      </c>
      <c r="L202" s="7" t="str">
        <f t="shared" si="34"/>
        <v/>
      </c>
      <c r="N202" s="7" t="str">
        <f t="shared" si="35"/>
        <v/>
      </c>
      <c r="O202" t="str">
        <f t="shared" si="36"/>
        <v/>
      </c>
      <c r="P202" t="str">
        <f t="shared" si="37"/>
        <v/>
      </c>
      <c r="Q202" t="str">
        <f t="shared" si="38"/>
        <v/>
      </c>
      <c r="S202" t="str">
        <f>""</f>
        <v/>
      </c>
      <c r="AL202" s="18" t="str">
        <f>IF(COUNTIF($A$2:A201, A201) = 1, A201, "")</f>
        <v/>
      </c>
    </row>
    <row r="203" spans="6:38" x14ac:dyDescent="0.2">
      <c r="F203" t="str">
        <f t="shared" si="33"/>
        <v/>
      </c>
      <c r="L203" s="7" t="str">
        <f t="shared" si="34"/>
        <v/>
      </c>
      <c r="N203" s="7" t="str">
        <f t="shared" si="35"/>
        <v/>
      </c>
      <c r="O203" t="str">
        <f t="shared" si="36"/>
        <v/>
      </c>
      <c r="P203" t="str">
        <f t="shared" si="37"/>
        <v/>
      </c>
      <c r="Q203" t="str">
        <f t="shared" si="38"/>
        <v/>
      </c>
      <c r="S203" t="str">
        <f>""</f>
        <v/>
      </c>
      <c r="AL203" s="18" t="str">
        <f>IF(COUNTIF($A$2:A202, A202) = 1, A202, "")</f>
        <v/>
      </c>
    </row>
    <row r="204" spans="6:38" x14ac:dyDescent="0.2">
      <c r="F204" t="str">
        <f t="shared" si="33"/>
        <v/>
      </c>
      <c r="L204" s="7" t="str">
        <f t="shared" si="34"/>
        <v/>
      </c>
      <c r="N204" s="7" t="str">
        <f t="shared" si="35"/>
        <v/>
      </c>
      <c r="O204" t="str">
        <f t="shared" si="36"/>
        <v/>
      </c>
      <c r="P204" t="str">
        <f t="shared" si="37"/>
        <v/>
      </c>
      <c r="Q204" t="str">
        <f t="shared" si="38"/>
        <v/>
      </c>
      <c r="S204" t="str">
        <f>""</f>
        <v/>
      </c>
      <c r="AL204" s="18" t="str">
        <f>IF(COUNTIF($A$2:A203, A203) = 1, A203, "")</f>
        <v/>
      </c>
    </row>
    <row r="205" spans="6:38" x14ac:dyDescent="0.2">
      <c r="F205" t="str">
        <f t="shared" si="33"/>
        <v/>
      </c>
      <c r="L205" s="7" t="str">
        <f t="shared" si="34"/>
        <v/>
      </c>
      <c r="N205" s="7" t="str">
        <f t="shared" si="35"/>
        <v/>
      </c>
      <c r="O205" t="str">
        <f t="shared" si="36"/>
        <v/>
      </c>
      <c r="P205" t="str">
        <f t="shared" si="37"/>
        <v/>
      </c>
      <c r="Q205" t="str">
        <f t="shared" si="38"/>
        <v/>
      </c>
      <c r="S205" t="str">
        <f>""</f>
        <v/>
      </c>
      <c r="AL205" s="18" t="str">
        <f>IF(COUNTIF($A$2:A204, A204) = 1, A204, "")</f>
        <v/>
      </c>
    </row>
    <row r="206" spans="6:38" x14ac:dyDescent="0.2">
      <c r="F206" t="str">
        <f t="shared" si="33"/>
        <v/>
      </c>
      <c r="L206" s="7" t="str">
        <f t="shared" si="34"/>
        <v/>
      </c>
      <c r="N206" s="7" t="str">
        <f t="shared" si="35"/>
        <v/>
      </c>
      <c r="O206" t="str">
        <f t="shared" si="36"/>
        <v/>
      </c>
      <c r="P206" t="str">
        <f t="shared" si="37"/>
        <v/>
      </c>
      <c r="Q206" t="str">
        <f t="shared" si="38"/>
        <v/>
      </c>
      <c r="S206" t="str">
        <f>""</f>
        <v/>
      </c>
      <c r="AL206" s="18" t="str">
        <f>IF(COUNTIF($A$2:A205, A205) = 1, A205, "")</f>
        <v/>
      </c>
    </row>
    <row r="207" spans="6:38" x14ac:dyDescent="0.2">
      <c r="F207" t="str">
        <f t="shared" si="33"/>
        <v/>
      </c>
      <c r="L207" s="7" t="str">
        <f t="shared" si="34"/>
        <v/>
      </c>
      <c r="N207" s="7" t="str">
        <f t="shared" si="35"/>
        <v/>
      </c>
      <c r="O207" t="str">
        <f t="shared" si="36"/>
        <v/>
      </c>
      <c r="P207" t="str">
        <f t="shared" si="37"/>
        <v/>
      </c>
      <c r="Q207" t="str">
        <f t="shared" si="38"/>
        <v/>
      </c>
      <c r="S207" t="str">
        <f>""</f>
        <v/>
      </c>
      <c r="AL207" s="18" t="str">
        <f>IF(COUNTIF($A$2:A206, A206) = 1, A206, "")</f>
        <v/>
      </c>
    </row>
    <row r="208" spans="6:38" x14ac:dyDescent="0.2">
      <c r="F208" t="str">
        <f t="shared" ref="F208:F271" si="39">IF(OR(O208="", P208=""), "", SUM(IF((O208&lt;&gt;"None")*(O208&lt;&gt;""),LEN(O208)-LEN(SUBSTITUTE(O208,",",""))+1,0)) + SUM(IF((P208&lt;&gt;"None")*(P208&lt;&gt;""),LEN(P208)-LEN(SUBSTITUTE(P208,",",""))+1,0)))</f>
        <v/>
      </c>
      <c r="L208" s="7" t="str">
        <f t="shared" ref="L208:L271" si="40">IF(LEN(E208)=0, "", IFERROR(IF(E208&gt;=0, K208 * (1 + E208/100) - K208, K208 / (ABS(E208)/100))+K208, ""))</f>
        <v/>
      </c>
      <c r="N208" s="7" t="str">
        <f t="shared" ref="N208:N271" si="41">IF(M208="Yes",L208-K208,IF(M208="No",-K208,""))</f>
        <v/>
      </c>
      <c r="O208" t="str">
        <f t="shared" ref="O208:O271" si="42">IF(AND(G208="No",H208="No"), "None", "")</f>
        <v/>
      </c>
      <c r="P208" t="str">
        <f t="shared" ref="P208:P271" si="43">IF(I208="No", "None", "")</f>
        <v/>
      </c>
      <c r="Q208" t="str">
        <f t="shared" ref="Q208:Q271" si="44">IF(AND(D208="Straight", M208 = "No"),IF(O208="None",P208,IF(P208="None",O208) ),"")</f>
        <v/>
      </c>
      <c r="S208" t="str">
        <f>""</f>
        <v/>
      </c>
      <c r="AL208" s="18" t="str">
        <f>IF(COUNTIF($A$2:A207, A207) = 1, A207, "")</f>
        <v/>
      </c>
    </row>
    <row r="209" spans="6:38" x14ac:dyDescent="0.2">
      <c r="F209" t="str">
        <f t="shared" si="39"/>
        <v/>
      </c>
      <c r="L209" s="7" t="str">
        <f t="shared" si="40"/>
        <v/>
      </c>
      <c r="N209" s="7" t="str">
        <f t="shared" si="41"/>
        <v/>
      </c>
      <c r="O209" t="str">
        <f t="shared" si="42"/>
        <v/>
      </c>
      <c r="P209" t="str">
        <f t="shared" si="43"/>
        <v/>
      </c>
      <c r="Q209" t="str">
        <f t="shared" si="44"/>
        <v/>
      </c>
      <c r="S209" t="str">
        <f>""</f>
        <v/>
      </c>
      <c r="AL209" s="18" t="str">
        <f>IF(COUNTIF($A$2:A208, A208) = 1, A208, "")</f>
        <v/>
      </c>
    </row>
    <row r="210" spans="6:38" x14ac:dyDescent="0.2">
      <c r="F210" t="str">
        <f t="shared" si="39"/>
        <v/>
      </c>
      <c r="L210" s="7" t="str">
        <f t="shared" si="40"/>
        <v/>
      </c>
      <c r="N210" s="7" t="str">
        <f t="shared" si="41"/>
        <v/>
      </c>
      <c r="O210" t="str">
        <f t="shared" si="42"/>
        <v/>
      </c>
      <c r="P210" t="str">
        <f t="shared" si="43"/>
        <v/>
      </c>
      <c r="Q210" t="str">
        <f t="shared" si="44"/>
        <v/>
      </c>
      <c r="S210" t="str">
        <f>""</f>
        <v/>
      </c>
      <c r="AL210" s="18" t="str">
        <f>IF(COUNTIF($A$2:A209, A209) = 1, A209, "")</f>
        <v/>
      </c>
    </row>
    <row r="211" spans="6:38" x14ac:dyDescent="0.2">
      <c r="F211" t="str">
        <f t="shared" si="39"/>
        <v/>
      </c>
      <c r="L211" s="7" t="str">
        <f t="shared" si="40"/>
        <v/>
      </c>
      <c r="N211" s="7" t="str">
        <f t="shared" si="41"/>
        <v/>
      </c>
      <c r="O211" t="str">
        <f t="shared" si="42"/>
        <v/>
      </c>
      <c r="P211" t="str">
        <f t="shared" si="43"/>
        <v/>
      </c>
      <c r="Q211" t="str">
        <f t="shared" si="44"/>
        <v/>
      </c>
      <c r="S211" t="str">
        <f>""</f>
        <v/>
      </c>
      <c r="AL211" s="18" t="str">
        <f>IF(COUNTIF($A$2:A210, A210) = 1, A210, "")</f>
        <v/>
      </c>
    </row>
    <row r="212" spans="6:38" x14ac:dyDescent="0.2">
      <c r="F212" t="str">
        <f t="shared" si="39"/>
        <v/>
      </c>
      <c r="L212" s="7" t="str">
        <f t="shared" si="40"/>
        <v/>
      </c>
      <c r="N212" s="7" t="str">
        <f t="shared" si="41"/>
        <v/>
      </c>
      <c r="O212" t="str">
        <f t="shared" si="42"/>
        <v/>
      </c>
      <c r="P212" t="str">
        <f t="shared" si="43"/>
        <v/>
      </c>
      <c r="Q212" t="str">
        <f t="shared" si="44"/>
        <v/>
      </c>
      <c r="S212" t="str">
        <f>""</f>
        <v/>
      </c>
      <c r="AL212" s="18" t="str">
        <f>IF(COUNTIF($A$2:A211, A211) = 1, A211, "")</f>
        <v/>
      </c>
    </row>
    <row r="213" spans="6:38" x14ac:dyDescent="0.2">
      <c r="F213" t="str">
        <f t="shared" si="39"/>
        <v/>
      </c>
      <c r="L213" s="7" t="str">
        <f t="shared" si="40"/>
        <v/>
      </c>
      <c r="N213" s="7" t="str">
        <f t="shared" si="41"/>
        <v/>
      </c>
      <c r="O213" t="str">
        <f t="shared" si="42"/>
        <v/>
      </c>
      <c r="P213" t="str">
        <f t="shared" si="43"/>
        <v/>
      </c>
      <c r="Q213" t="str">
        <f t="shared" si="44"/>
        <v/>
      </c>
      <c r="S213" t="str">
        <f>""</f>
        <v/>
      </c>
      <c r="AL213" s="18" t="str">
        <f>IF(COUNTIF($A$2:A212, A212) = 1, A212, "")</f>
        <v/>
      </c>
    </row>
    <row r="214" spans="6:38" x14ac:dyDescent="0.2">
      <c r="F214" t="str">
        <f t="shared" si="39"/>
        <v/>
      </c>
      <c r="L214" s="7" t="str">
        <f t="shared" si="40"/>
        <v/>
      </c>
      <c r="N214" s="7" t="str">
        <f t="shared" si="41"/>
        <v/>
      </c>
      <c r="O214" t="str">
        <f t="shared" si="42"/>
        <v/>
      </c>
      <c r="P214" t="str">
        <f t="shared" si="43"/>
        <v/>
      </c>
      <c r="Q214" t="str">
        <f t="shared" si="44"/>
        <v/>
      </c>
      <c r="S214" t="str">
        <f>""</f>
        <v/>
      </c>
      <c r="AL214" s="18" t="str">
        <f>IF(COUNTIF($A$2:A213, A213) = 1, A213, "")</f>
        <v/>
      </c>
    </row>
    <row r="215" spans="6:38" x14ac:dyDescent="0.2">
      <c r="F215" t="str">
        <f t="shared" si="39"/>
        <v/>
      </c>
      <c r="L215" s="7" t="str">
        <f t="shared" si="40"/>
        <v/>
      </c>
      <c r="N215" s="7" t="str">
        <f t="shared" si="41"/>
        <v/>
      </c>
      <c r="O215" t="str">
        <f t="shared" si="42"/>
        <v/>
      </c>
      <c r="P215" t="str">
        <f t="shared" si="43"/>
        <v/>
      </c>
      <c r="Q215" t="str">
        <f t="shared" si="44"/>
        <v/>
      </c>
      <c r="S215" t="str">
        <f>""</f>
        <v/>
      </c>
      <c r="AL215" s="18" t="str">
        <f>IF(COUNTIF($A$2:A214, A214) = 1, A214, "")</f>
        <v/>
      </c>
    </row>
    <row r="216" spans="6:38" x14ac:dyDescent="0.2">
      <c r="F216" t="str">
        <f t="shared" si="39"/>
        <v/>
      </c>
      <c r="L216" s="7" t="str">
        <f t="shared" si="40"/>
        <v/>
      </c>
      <c r="N216" s="7" t="str">
        <f t="shared" si="41"/>
        <v/>
      </c>
      <c r="O216" t="str">
        <f t="shared" si="42"/>
        <v/>
      </c>
      <c r="P216" t="str">
        <f t="shared" si="43"/>
        <v/>
      </c>
      <c r="Q216" t="str">
        <f t="shared" si="44"/>
        <v/>
      </c>
      <c r="S216" t="str">
        <f>""</f>
        <v/>
      </c>
      <c r="AL216" s="18" t="str">
        <f>IF(COUNTIF($A$2:A215, A215) = 1, A215, "")</f>
        <v/>
      </c>
    </row>
    <row r="217" spans="6:38" x14ac:dyDescent="0.2">
      <c r="F217" t="str">
        <f t="shared" si="39"/>
        <v/>
      </c>
      <c r="L217" s="7" t="str">
        <f t="shared" si="40"/>
        <v/>
      </c>
      <c r="N217" s="7" t="str">
        <f t="shared" si="41"/>
        <v/>
      </c>
      <c r="O217" t="str">
        <f t="shared" si="42"/>
        <v/>
      </c>
      <c r="P217" t="str">
        <f t="shared" si="43"/>
        <v/>
      </c>
      <c r="Q217" t="str">
        <f t="shared" si="44"/>
        <v/>
      </c>
      <c r="S217" t="str">
        <f>""</f>
        <v/>
      </c>
      <c r="AL217" s="18" t="str">
        <f>IF(COUNTIF($A$2:A216, A216) = 1, A216, "")</f>
        <v/>
      </c>
    </row>
    <row r="218" spans="6:38" x14ac:dyDescent="0.2">
      <c r="F218" t="str">
        <f t="shared" si="39"/>
        <v/>
      </c>
      <c r="L218" s="7" t="str">
        <f t="shared" si="40"/>
        <v/>
      </c>
      <c r="N218" s="7" t="str">
        <f t="shared" si="41"/>
        <v/>
      </c>
      <c r="O218" t="str">
        <f t="shared" si="42"/>
        <v/>
      </c>
      <c r="P218" t="str">
        <f t="shared" si="43"/>
        <v/>
      </c>
      <c r="Q218" t="str">
        <f t="shared" si="44"/>
        <v/>
      </c>
      <c r="S218" t="str">
        <f>""</f>
        <v/>
      </c>
      <c r="AL218" s="18" t="str">
        <f>IF(COUNTIF($A$2:A217, A217) = 1, A217, "")</f>
        <v/>
      </c>
    </row>
    <row r="219" spans="6:38" x14ac:dyDescent="0.2">
      <c r="F219" t="str">
        <f t="shared" si="39"/>
        <v/>
      </c>
      <c r="L219" s="7" t="str">
        <f t="shared" si="40"/>
        <v/>
      </c>
      <c r="N219" s="7" t="str">
        <f t="shared" si="41"/>
        <v/>
      </c>
      <c r="O219" t="str">
        <f t="shared" si="42"/>
        <v/>
      </c>
      <c r="P219" t="str">
        <f t="shared" si="43"/>
        <v/>
      </c>
      <c r="Q219" t="str">
        <f t="shared" si="44"/>
        <v/>
      </c>
      <c r="S219" t="str">
        <f>""</f>
        <v/>
      </c>
      <c r="AL219" s="18" t="str">
        <f>IF(COUNTIF($A$2:A218, A218) = 1, A218, "")</f>
        <v/>
      </c>
    </row>
    <row r="220" spans="6:38" x14ac:dyDescent="0.2">
      <c r="F220" t="str">
        <f t="shared" si="39"/>
        <v/>
      </c>
      <c r="L220" s="7" t="str">
        <f t="shared" si="40"/>
        <v/>
      </c>
      <c r="N220" s="7" t="str">
        <f t="shared" si="41"/>
        <v/>
      </c>
      <c r="O220" t="str">
        <f t="shared" si="42"/>
        <v/>
      </c>
      <c r="P220" t="str">
        <f t="shared" si="43"/>
        <v/>
      </c>
      <c r="Q220" t="str">
        <f t="shared" si="44"/>
        <v/>
      </c>
      <c r="S220" t="str">
        <f>""</f>
        <v/>
      </c>
      <c r="AL220" s="18" t="str">
        <f>IF(COUNTIF($A$2:A219, A219) = 1, A219, "")</f>
        <v/>
      </c>
    </row>
    <row r="221" spans="6:38" x14ac:dyDescent="0.2">
      <c r="F221" t="str">
        <f t="shared" si="39"/>
        <v/>
      </c>
      <c r="L221" s="7" t="str">
        <f t="shared" si="40"/>
        <v/>
      </c>
      <c r="N221" s="7" t="str">
        <f t="shared" si="41"/>
        <v/>
      </c>
      <c r="O221" t="str">
        <f t="shared" si="42"/>
        <v/>
      </c>
      <c r="P221" t="str">
        <f t="shared" si="43"/>
        <v/>
      </c>
      <c r="Q221" t="str">
        <f t="shared" si="44"/>
        <v/>
      </c>
      <c r="S221" t="str">
        <f>""</f>
        <v/>
      </c>
      <c r="AL221" s="18" t="str">
        <f>IF(COUNTIF($A$2:A220, A220) = 1, A220, "")</f>
        <v/>
      </c>
    </row>
    <row r="222" spans="6:38" x14ac:dyDescent="0.2">
      <c r="F222" t="str">
        <f t="shared" si="39"/>
        <v/>
      </c>
      <c r="L222" s="7" t="str">
        <f t="shared" si="40"/>
        <v/>
      </c>
      <c r="N222" s="7" t="str">
        <f t="shared" si="41"/>
        <v/>
      </c>
      <c r="O222" t="str">
        <f t="shared" si="42"/>
        <v/>
      </c>
      <c r="P222" t="str">
        <f t="shared" si="43"/>
        <v/>
      </c>
      <c r="Q222" t="str">
        <f t="shared" si="44"/>
        <v/>
      </c>
      <c r="S222" t="str">
        <f>""</f>
        <v/>
      </c>
      <c r="AL222" s="18" t="str">
        <f>IF(COUNTIF($A$2:A221, A221) = 1, A221, "")</f>
        <v/>
      </c>
    </row>
    <row r="223" spans="6:38" x14ac:dyDescent="0.2">
      <c r="F223" t="str">
        <f t="shared" si="39"/>
        <v/>
      </c>
      <c r="L223" s="7" t="str">
        <f t="shared" si="40"/>
        <v/>
      </c>
      <c r="N223" s="7" t="str">
        <f t="shared" si="41"/>
        <v/>
      </c>
      <c r="O223" t="str">
        <f t="shared" si="42"/>
        <v/>
      </c>
      <c r="P223" t="str">
        <f t="shared" si="43"/>
        <v/>
      </c>
      <c r="Q223" t="str">
        <f t="shared" si="44"/>
        <v/>
      </c>
      <c r="S223" t="str">
        <f>""</f>
        <v/>
      </c>
      <c r="AL223" s="18" t="str">
        <f>IF(COUNTIF($A$2:A222, A222) = 1, A222, "")</f>
        <v/>
      </c>
    </row>
    <row r="224" spans="6:38" x14ac:dyDescent="0.2">
      <c r="F224" t="str">
        <f t="shared" si="39"/>
        <v/>
      </c>
      <c r="L224" s="7" t="str">
        <f t="shared" si="40"/>
        <v/>
      </c>
      <c r="N224" s="7" t="str">
        <f t="shared" si="41"/>
        <v/>
      </c>
      <c r="O224" t="str">
        <f t="shared" si="42"/>
        <v/>
      </c>
      <c r="P224" t="str">
        <f t="shared" si="43"/>
        <v/>
      </c>
      <c r="Q224" t="str">
        <f t="shared" si="44"/>
        <v/>
      </c>
      <c r="S224" t="str">
        <f>""</f>
        <v/>
      </c>
      <c r="AL224" s="18" t="str">
        <f>IF(COUNTIF($A$2:A223, A223) = 1, A223, "")</f>
        <v/>
      </c>
    </row>
    <row r="225" spans="6:38" x14ac:dyDescent="0.2">
      <c r="F225" t="str">
        <f t="shared" si="39"/>
        <v/>
      </c>
      <c r="L225" s="7" t="str">
        <f t="shared" si="40"/>
        <v/>
      </c>
      <c r="N225" s="7" t="str">
        <f t="shared" si="41"/>
        <v/>
      </c>
      <c r="O225" t="str">
        <f t="shared" si="42"/>
        <v/>
      </c>
      <c r="P225" t="str">
        <f t="shared" si="43"/>
        <v/>
      </c>
      <c r="Q225" t="str">
        <f t="shared" si="44"/>
        <v/>
      </c>
      <c r="S225" t="str">
        <f>""</f>
        <v/>
      </c>
      <c r="AL225" s="18" t="str">
        <f>IF(COUNTIF($A$2:A224, A224) = 1, A224, "")</f>
        <v/>
      </c>
    </row>
    <row r="226" spans="6:38" x14ac:dyDescent="0.2">
      <c r="F226" t="str">
        <f t="shared" si="39"/>
        <v/>
      </c>
      <c r="L226" s="7" t="str">
        <f t="shared" si="40"/>
        <v/>
      </c>
      <c r="N226" s="7" t="str">
        <f t="shared" si="41"/>
        <v/>
      </c>
      <c r="O226" t="str">
        <f t="shared" si="42"/>
        <v/>
      </c>
      <c r="P226" t="str">
        <f t="shared" si="43"/>
        <v/>
      </c>
      <c r="Q226" t="str">
        <f t="shared" si="44"/>
        <v/>
      </c>
      <c r="S226" t="str">
        <f>""</f>
        <v/>
      </c>
      <c r="AL226" s="18" t="str">
        <f>IF(COUNTIF($A$2:A225, A225) = 1, A225, "")</f>
        <v/>
      </c>
    </row>
    <row r="227" spans="6:38" x14ac:dyDescent="0.2">
      <c r="F227" t="str">
        <f t="shared" si="39"/>
        <v/>
      </c>
      <c r="L227" s="7" t="str">
        <f t="shared" si="40"/>
        <v/>
      </c>
      <c r="N227" s="7" t="str">
        <f t="shared" si="41"/>
        <v/>
      </c>
      <c r="O227" t="str">
        <f t="shared" si="42"/>
        <v/>
      </c>
      <c r="P227" t="str">
        <f t="shared" si="43"/>
        <v/>
      </c>
      <c r="Q227" t="str">
        <f t="shared" si="44"/>
        <v/>
      </c>
      <c r="S227" t="str">
        <f>""</f>
        <v/>
      </c>
      <c r="AL227" s="18" t="str">
        <f>IF(COUNTIF($A$2:A226, A226) = 1, A226, "")</f>
        <v/>
      </c>
    </row>
    <row r="228" spans="6:38" x14ac:dyDescent="0.2">
      <c r="F228" t="str">
        <f t="shared" si="39"/>
        <v/>
      </c>
      <c r="L228" s="7" t="str">
        <f t="shared" si="40"/>
        <v/>
      </c>
      <c r="N228" s="7" t="str">
        <f t="shared" si="41"/>
        <v/>
      </c>
      <c r="O228" t="str">
        <f t="shared" si="42"/>
        <v/>
      </c>
      <c r="P228" t="str">
        <f t="shared" si="43"/>
        <v/>
      </c>
      <c r="Q228" t="str">
        <f t="shared" si="44"/>
        <v/>
      </c>
      <c r="S228" t="str">
        <f>""</f>
        <v/>
      </c>
      <c r="AL228" s="18" t="str">
        <f>IF(COUNTIF($A$2:A227, A227) = 1, A227, "")</f>
        <v/>
      </c>
    </row>
    <row r="229" spans="6:38" x14ac:dyDescent="0.2">
      <c r="F229" t="str">
        <f t="shared" si="39"/>
        <v/>
      </c>
      <c r="L229" s="7" t="str">
        <f t="shared" si="40"/>
        <v/>
      </c>
      <c r="N229" s="7" t="str">
        <f t="shared" si="41"/>
        <v/>
      </c>
      <c r="O229" t="str">
        <f t="shared" si="42"/>
        <v/>
      </c>
      <c r="P229" t="str">
        <f t="shared" si="43"/>
        <v/>
      </c>
      <c r="Q229" t="str">
        <f t="shared" si="44"/>
        <v/>
      </c>
      <c r="S229" t="str">
        <f>""</f>
        <v/>
      </c>
      <c r="AL229" s="18" t="str">
        <f>IF(COUNTIF($A$2:A228, A228) = 1, A228, "")</f>
        <v/>
      </c>
    </row>
    <row r="230" spans="6:38" x14ac:dyDescent="0.2">
      <c r="F230" t="str">
        <f t="shared" si="39"/>
        <v/>
      </c>
      <c r="L230" s="7" t="str">
        <f t="shared" si="40"/>
        <v/>
      </c>
      <c r="N230" s="7" t="str">
        <f t="shared" si="41"/>
        <v/>
      </c>
      <c r="O230" t="str">
        <f t="shared" si="42"/>
        <v/>
      </c>
      <c r="P230" t="str">
        <f t="shared" si="43"/>
        <v/>
      </c>
      <c r="Q230" t="str">
        <f t="shared" si="44"/>
        <v/>
      </c>
      <c r="S230" t="str">
        <f>""</f>
        <v/>
      </c>
      <c r="AL230" s="18" t="str">
        <f>IF(COUNTIF($A$2:A229, A229) = 1, A229, "")</f>
        <v/>
      </c>
    </row>
    <row r="231" spans="6:38" x14ac:dyDescent="0.2">
      <c r="F231" t="str">
        <f t="shared" si="39"/>
        <v/>
      </c>
      <c r="L231" s="7" t="str">
        <f t="shared" si="40"/>
        <v/>
      </c>
      <c r="N231" s="7" t="str">
        <f t="shared" si="41"/>
        <v/>
      </c>
      <c r="O231" t="str">
        <f t="shared" si="42"/>
        <v/>
      </c>
      <c r="P231" t="str">
        <f t="shared" si="43"/>
        <v/>
      </c>
      <c r="Q231" t="str">
        <f t="shared" si="44"/>
        <v/>
      </c>
      <c r="S231" t="str">
        <f>""</f>
        <v/>
      </c>
      <c r="AL231" s="18" t="str">
        <f>IF(COUNTIF($A$2:A230, A230) = 1, A230, "")</f>
        <v/>
      </c>
    </row>
    <row r="232" spans="6:38" x14ac:dyDescent="0.2">
      <c r="F232" t="str">
        <f t="shared" si="39"/>
        <v/>
      </c>
      <c r="L232" s="7" t="str">
        <f t="shared" si="40"/>
        <v/>
      </c>
      <c r="N232" s="7" t="str">
        <f t="shared" si="41"/>
        <v/>
      </c>
      <c r="O232" t="str">
        <f t="shared" si="42"/>
        <v/>
      </c>
      <c r="P232" t="str">
        <f t="shared" si="43"/>
        <v/>
      </c>
      <c r="Q232" t="str">
        <f t="shared" si="44"/>
        <v/>
      </c>
      <c r="S232" t="str">
        <f>""</f>
        <v/>
      </c>
      <c r="AL232" s="18" t="str">
        <f>IF(COUNTIF($A$2:A231, A231) = 1, A231, "")</f>
        <v/>
      </c>
    </row>
    <row r="233" spans="6:38" x14ac:dyDescent="0.2">
      <c r="F233" t="str">
        <f t="shared" si="39"/>
        <v/>
      </c>
      <c r="L233" s="7" t="str">
        <f t="shared" si="40"/>
        <v/>
      </c>
      <c r="N233" s="7" t="str">
        <f t="shared" si="41"/>
        <v/>
      </c>
      <c r="O233" t="str">
        <f t="shared" si="42"/>
        <v/>
      </c>
      <c r="P233" t="str">
        <f t="shared" si="43"/>
        <v/>
      </c>
      <c r="Q233" t="str">
        <f t="shared" si="44"/>
        <v/>
      </c>
      <c r="S233" t="str">
        <f>""</f>
        <v/>
      </c>
      <c r="AL233" s="18" t="str">
        <f>IF(COUNTIF($A$2:A232, A232) = 1, A232, "")</f>
        <v/>
      </c>
    </row>
    <row r="234" spans="6:38" x14ac:dyDescent="0.2">
      <c r="F234" t="str">
        <f t="shared" si="39"/>
        <v/>
      </c>
      <c r="L234" s="7" t="str">
        <f t="shared" si="40"/>
        <v/>
      </c>
      <c r="N234" s="7" t="str">
        <f t="shared" si="41"/>
        <v/>
      </c>
      <c r="O234" t="str">
        <f t="shared" si="42"/>
        <v/>
      </c>
      <c r="P234" t="str">
        <f t="shared" si="43"/>
        <v/>
      </c>
      <c r="Q234" t="str">
        <f t="shared" si="44"/>
        <v/>
      </c>
      <c r="S234" t="str">
        <f>""</f>
        <v/>
      </c>
      <c r="AL234" s="18" t="str">
        <f>IF(COUNTIF($A$2:A233, A233) = 1, A233, "")</f>
        <v/>
      </c>
    </row>
    <row r="235" spans="6:38" x14ac:dyDescent="0.2">
      <c r="F235" t="str">
        <f t="shared" si="39"/>
        <v/>
      </c>
      <c r="L235" s="7" t="str">
        <f t="shared" si="40"/>
        <v/>
      </c>
      <c r="N235" s="7" t="str">
        <f t="shared" si="41"/>
        <v/>
      </c>
      <c r="O235" t="str">
        <f t="shared" si="42"/>
        <v/>
      </c>
      <c r="P235" t="str">
        <f t="shared" si="43"/>
        <v/>
      </c>
      <c r="Q235" t="str">
        <f t="shared" si="44"/>
        <v/>
      </c>
      <c r="S235" t="str">
        <f>""</f>
        <v/>
      </c>
      <c r="AL235" s="18" t="str">
        <f>IF(COUNTIF($A$2:A234, A234) = 1, A234, "")</f>
        <v/>
      </c>
    </row>
    <row r="236" spans="6:38" x14ac:dyDescent="0.2">
      <c r="F236" t="str">
        <f t="shared" si="39"/>
        <v/>
      </c>
      <c r="L236" s="7" t="str">
        <f t="shared" si="40"/>
        <v/>
      </c>
      <c r="N236" s="7" t="str">
        <f t="shared" si="41"/>
        <v/>
      </c>
      <c r="O236" t="str">
        <f t="shared" si="42"/>
        <v/>
      </c>
      <c r="P236" t="str">
        <f t="shared" si="43"/>
        <v/>
      </c>
      <c r="Q236" t="str">
        <f t="shared" si="44"/>
        <v/>
      </c>
      <c r="S236" t="str">
        <f>""</f>
        <v/>
      </c>
      <c r="AL236" s="18" t="str">
        <f>IF(COUNTIF($A$2:A235, A235) = 1, A235, "")</f>
        <v/>
      </c>
    </row>
    <row r="237" spans="6:38" x14ac:dyDescent="0.2">
      <c r="F237" t="str">
        <f t="shared" si="39"/>
        <v/>
      </c>
      <c r="L237" s="7" t="str">
        <f t="shared" si="40"/>
        <v/>
      </c>
      <c r="N237" s="7" t="str">
        <f t="shared" si="41"/>
        <v/>
      </c>
      <c r="O237" t="str">
        <f t="shared" si="42"/>
        <v/>
      </c>
      <c r="P237" t="str">
        <f t="shared" si="43"/>
        <v/>
      </c>
      <c r="Q237" t="str">
        <f t="shared" si="44"/>
        <v/>
      </c>
      <c r="S237" t="str">
        <f>""</f>
        <v/>
      </c>
      <c r="AL237" s="18" t="str">
        <f>IF(COUNTIF($A$2:A236, A236) = 1, A236, "")</f>
        <v/>
      </c>
    </row>
    <row r="238" spans="6:38" x14ac:dyDescent="0.2">
      <c r="F238" t="str">
        <f t="shared" si="39"/>
        <v/>
      </c>
      <c r="L238" s="7" t="str">
        <f t="shared" si="40"/>
        <v/>
      </c>
      <c r="N238" s="7" t="str">
        <f t="shared" si="41"/>
        <v/>
      </c>
      <c r="O238" t="str">
        <f t="shared" si="42"/>
        <v/>
      </c>
      <c r="P238" t="str">
        <f t="shared" si="43"/>
        <v/>
      </c>
      <c r="Q238" t="str">
        <f t="shared" si="44"/>
        <v/>
      </c>
      <c r="S238" t="str">
        <f>""</f>
        <v/>
      </c>
      <c r="AL238" s="18" t="str">
        <f>IF(COUNTIF($A$2:A237, A237) = 1, A237, "")</f>
        <v/>
      </c>
    </row>
    <row r="239" spans="6:38" x14ac:dyDescent="0.2">
      <c r="F239" t="str">
        <f t="shared" si="39"/>
        <v/>
      </c>
      <c r="L239" s="7" t="str">
        <f t="shared" si="40"/>
        <v/>
      </c>
      <c r="N239" s="7" t="str">
        <f t="shared" si="41"/>
        <v/>
      </c>
      <c r="O239" t="str">
        <f t="shared" si="42"/>
        <v/>
      </c>
      <c r="P239" t="str">
        <f t="shared" si="43"/>
        <v/>
      </c>
      <c r="Q239" t="str">
        <f t="shared" si="44"/>
        <v/>
      </c>
      <c r="S239" t="str">
        <f>""</f>
        <v/>
      </c>
      <c r="AL239" s="18" t="str">
        <f>IF(COUNTIF($A$2:A238, A238) = 1, A238, "")</f>
        <v/>
      </c>
    </row>
    <row r="240" spans="6:38" x14ac:dyDescent="0.2">
      <c r="F240" t="str">
        <f t="shared" si="39"/>
        <v/>
      </c>
      <c r="L240" s="7" t="str">
        <f t="shared" si="40"/>
        <v/>
      </c>
      <c r="N240" s="7" t="str">
        <f t="shared" si="41"/>
        <v/>
      </c>
      <c r="O240" t="str">
        <f t="shared" si="42"/>
        <v/>
      </c>
      <c r="P240" t="str">
        <f t="shared" si="43"/>
        <v/>
      </c>
      <c r="Q240" t="str">
        <f t="shared" si="44"/>
        <v/>
      </c>
      <c r="S240" t="str">
        <f>""</f>
        <v/>
      </c>
      <c r="AL240" s="18" t="str">
        <f>IF(COUNTIF($A$2:A239, A239) = 1, A239, "")</f>
        <v/>
      </c>
    </row>
    <row r="241" spans="6:38" x14ac:dyDescent="0.2">
      <c r="F241" t="str">
        <f t="shared" si="39"/>
        <v/>
      </c>
      <c r="L241" s="7" t="str">
        <f t="shared" si="40"/>
        <v/>
      </c>
      <c r="N241" s="7" t="str">
        <f t="shared" si="41"/>
        <v/>
      </c>
      <c r="O241" t="str">
        <f t="shared" si="42"/>
        <v/>
      </c>
      <c r="P241" t="str">
        <f t="shared" si="43"/>
        <v/>
      </c>
      <c r="Q241" t="str">
        <f t="shared" si="44"/>
        <v/>
      </c>
      <c r="S241" t="str">
        <f>""</f>
        <v/>
      </c>
      <c r="AL241" s="18" t="str">
        <f>IF(COUNTIF($A$2:A240, A240) = 1, A240, "")</f>
        <v/>
      </c>
    </row>
    <row r="242" spans="6:38" x14ac:dyDescent="0.2">
      <c r="F242" t="str">
        <f t="shared" si="39"/>
        <v/>
      </c>
      <c r="L242" s="7" t="str">
        <f t="shared" si="40"/>
        <v/>
      </c>
      <c r="N242" s="7" t="str">
        <f t="shared" si="41"/>
        <v/>
      </c>
      <c r="O242" t="str">
        <f t="shared" si="42"/>
        <v/>
      </c>
      <c r="P242" t="str">
        <f t="shared" si="43"/>
        <v/>
      </c>
      <c r="Q242" t="str">
        <f t="shared" si="44"/>
        <v/>
      </c>
      <c r="S242" t="str">
        <f>""</f>
        <v/>
      </c>
      <c r="AL242" s="18" t="str">
        <f>IF(COUNTIF($A$2:A241, A241) = 1, A241, "")</f>
        <v/>
      </c>
    </row>
    <row r="243" spans="6:38" x14ac:dyDescent="0.2">
      <c r="F243" t="str">
        <f t="shared" si="39"/>
        <v/>
      </c>
      <c r="L243" s="7" t="str">
        <f t="shared" si="40"/>
        <v/>
      </c>
      <c r="N243" s="7" t="str">
        <f t="shared" si="41"/>
        <v/>
      </c>
      <c r="O243" t="str">
        <f t="shared" si="42"/>
        <v/>
      </c>
      <c r="P243" t="str">
        <f t="shared" si="43"/>
        <v/>
      </c>
      <c r="Q243" t="str">
        <f t="shared" si="44"/>
        <v/>
      </c>
      <c r="S243" t="str">
        <f>""</f>
        <v/>
      </c>
      <c r="AL243" s="18" t="str">
        <f>IF(COUNTIF($A$2:A242, A242) = 1, A242, "")</f>
        <v/>
      </c>
    </row>
    <row r="244" spans="6:38" x14ac:dyDescent="0.2">
      <c r="F244" t="str">
        <f t="shared" si="39"/>
        <v/>
      </c>
      <c r="L244" s="7" t="str">
        <f t="shared" si="40"/>
        <v/>
      </c>
      <c r="N244" s="7" t="str">
        <f t="shared" si="41"/>
        <v/>
      </c>
      <c r="O244" t="str">
        <f t="shared" si="42"/>
        <v/>
      </c>
      <c r="P244" t="str">
        <f t="shared" si="43"/>
        <v/>
      </c>
      <c r="Q244" t="str">
        <f t="shared" si="44"/>
        <v/>
      </c>
      <c r="S244" t="str">
        <f>""</f>
        <v/>
      </c>
      <c r="AL244" s="18" t="str">
        <f>IF(COUNTIF($A$2:A243, A243) = 1, A243, "")</f>
        <v/>
      </c>
    </row>
    <row r="245" spans="6:38" x14ac:dyDescent="0.2">
      <c r="F245" t="str">
        <f t="shared" si="39"/>
        <v/>
      </c>
      <c r="L245" s="7" t="str">
        <f t="shared" si="40"/>
        <v/>
      </c>
      <c r="N245" s="7" t="str">
        <f t="shared" si="41"/>
        <v/>
      </c>
      <c r="O245" t="str">
        <f t="shared" si="42"/>
        <v/>
      </c>
      <c r="P245" t="str">
        <f t="shared" si="43"/>
        <v/>
      </c>
      <c r="Q245" t="str">
        <f t="shared" si="44"/>
        <v/>
      </c>
      <c r="S245" t="str">
        <f>""</f>
        <v/>
      </c>
      <c r="AL245" s="18" t="str">
        <f>IF(COUNTIF($A$2:A244, A244) = 1, A244, "")</f>
        <v/>
      </c>
    </row>
    <row r="246" spans="6:38" x14ac:dyDescent="0.2">
      <c r="F246" t="str">
        <f t="shared" si="39"/>
        <v/>
      </c>
      <c r="L246" s="7" t="str">
        <f t="shared" si="40"/>
        <v/>
      </c>
      <c r="N246" s="7" t="str">
        <f t="shared" si="41"/>
        <v/>
      </c>
      <c r="O246" t="str">
        <f t="shared" si="42"/>
        <v/>
      </c>
      <c r="P246" t="str">
        <f t="shared" si="43"/>
        <v/>
      </c>
      <c r="Q246" t="str">
        <f t="shared" si="44"/>
        <v/>
      </c>
      <c r="S246" t="str">
        <f>""</f>
        <v/>
      </c>
      <c r="AL246" s="18" t="str">
        <f>IF(COUNTIF($A$2:A245, A245) = 1, A245, "")</f>
        <v/>
      </c>
    </row>
    <row r="247" spans="6:38" x14ac:dyDescent="0.2">
      <c r="F247" t="str">
        <f t="shared" si="39"/>
        <v/>
      </c>
      <c r="L247" s="7" t="str">
        <f t="shared" si="40"/>
        <v/>
      </c>
      <c r="N247" s="7" t="str">
        <f t="shared" si="41"/>
        <v/>
      </c>
      <c r="O247" t="str">
        <f t="shared" si="42"/>
        <v/>
      </c>
      <c r="P247" t="str">
        <f t="shared" si="43"/>
        <v/>
      </c>
      <c r="Q247" t="str">
        <f t="shared" si="44"/>
        <v/>
      </c>
      <c r="S247" t="str">
        <f>""</f>
        <v/>
      </c>
      <c r="AL247" s="18" t="str">
        <f>IF(COUNTIF($A$2:A246, A246) = 1, A246, "")</f>
        <v/>
      </c>
    </row>
    <row r="248" spans="6:38" x14ac:dyDescent="0.2">
      <c r="F248" t="str">
        <f t="shared" si="39"/>
        <v/>
      </c>
      <c r="L248" s="7" t="str">
        <f t="shared" si="40"/>
        <v/>
      </c>
      <c r="N248" s="7" t="str">
        <f t="shared" si="41"/>
        <v/>
      </c>
      <c r="O248" t="str">
        <f t="shared" si="42"/>
        <v/>
      </c>
      <c r="P248" t="str">
        <f t="shared" si="43"/>
        <v/>
      </c>
      <c r="Q248" t="str">
        <f t="shared" si="44"/>
        <v/>
      </c>
      <c r="S248" t="str">
        <f>""</f>
        <v/>
      </c>
      <c r="AL248" s="18" t="str">
        <f>IF(COUNTIF($A$2:A247, A247) = 1, A247, "")</f>
        <v/>
      </c>
    </row>
    <row r="249" spans="6:38" x14ac:dyDescent="0.2">
      <c r="F249" t="str">
        <f t="shared" si="39"/>
        <v/>
      </c>
      <c r="L249" s="7" t="str">
        <f t="shared" si="40"/>
        <v/>
      </c>
      <c r="N249" s="7" t="str">
        <f t="shared" si="41"/>
        <v/>
      </c>
      <c r="O249" t="str">
        <f t="shared" si="42"/>
        <v/>
      </c>
      <c r="P249" t="str">
        <f t="shared" si="43"/>
        <v/>
      </c>
      <c r="Q249" t="str">
        <f t="shared" si="44"/>
        <v/>
      </c>
      <c r="S249" t="str">
        <f>""</f>
        <v/>
      </c>
      <c r="AL249" s="18" t="str">
        <f>IF(COUNTIF($A$2:A248, A248) = 1, A248, "")</f>
        <v/>
      </c>
    </row>
    <row r="250" spans="6:38" x14ac:dyDescent="0.2">
      <c r="F250" t="str">
        <f t="shared" si="39"/>
        <v/>
      </c>
      <c r="L250" s="7" t="str">
        <f t="shared" si="40"/>
        <v/>
      </c>
      <c r="N250" s="7" t="str">
        <f t="shared" si="41"/>
        <v/>
      </c>
      <c r="O250" t="str">
        <f t="shared" si="42"/>
        <v/>
      </c>
      <c r="P250" t="str">
        <f t="shared" si="43"/>
        <v/>
      </c>
      <c r="Q250" t="str">
        <f t="shared" si="44"/>
        <v/>
      </c>
      <c r="S250" t="str">
        <f>""</f>
        <v/>
      </c>
      <c r="AL250" s="18" t="str">
        <f>IF(COUNTIF($A$2:A249, A249) = 1, A249, "")</f>
        <v/>
      </c>
    </row>
    <row r="251" spans="6:38" x14ac:dyDescent="0.2">
      <c r="F251" t="str">
        <f t="shared" si="39"/>
        <v/>
      </c>
      <c r="L251" s="7" t="str">
        <f t="shared" si="40"/>
        <v/>
      </c>
      <c r="N251" s="7" t="str">
        <f t="shared" si="41"/>
        <v/>
      </c>
      <c r="O251" t="str">
        <f t="shared" si="42"/>
        <v/>
      </c>
      <c r="P251" t="str">
        <f t="shared" si="43"/>
        <v/>
      </c>
      <c r="Q251" t="str">
        <f t="shared" si="44"/>
        <v/>
      </c>
      <c r="S251" t="str">
        <f>""</f>
        <v/>
      </c>
      <c r="AL251" s="18" t="str">
        <f>IF(COUNTIF($A$2:A250, A250) = 1, A250, "")</f>
        <v/>
      </c>
    </row>
    <row r="252" spans="6:38" x14ac:dyDescent="0.2">
      <c r="F252" t="str">
        <f t="shared" si="39"/>
        <v/>
      </c>
      <c r="L252" s="7" t="str">
        <f t="shared" si="40"/>
        <v/>
      </c>
      <c r="N252" s="7" t="str">
        <f t="shared" si="41"/>
        <v/>
      </c>
      <c r="O252" t="str">
        <f t="shared" si="42"/>
        <v/>
      </c>
      <c r="P252" t="str">
        <f t="shared" si="43"/>
        <v/>
      </c>
      <c r="Q252" t="str">
        <f t="shared" si="44"/>
        <v/>
      </c>
      <c r="S252" t="str">
        <f>""</f>
        <v/>
      </c>
      <c r="AL252" s="18" t="str">
        <f>IF(COUNTIF($A$2:A251, A251) = 1, A251, "")</f>
        <v/>
      </c>
    </row>
    <row r="253" spans="6:38" x14ac:dyDescent="0.2">
      <c r="F253" t="str">
        <f t="shared" si="39"/>
        <v/>
      </c>
      <c r="L253" s="7" t="str">
        <f t="shared" si="40"/>
        <v/>
      </c>
      <c r="N253" s="7" t="str">
        <f t="shared" si="41"/>
        <v/>
      </c>
      <c r="O253" t="str">
        <f t="shared" si="42"/>
        <v/>
      </c>
      <c r="P253" t="str">
        <f t="shared" si="43"/>
        <v/>
      </c>
      <c r="Q253" t="str">
        <f t="shared" si="44"/>
        <v/>
      </c>
      <c r="S253" t="str">
        <f>""</f>
        <v/>
      </c>
      <c r="AL253" s="18" t="str">
        <f>IF(COUNTIF($A$2:A252, A252) = 1, A252, "")</f>
        <v/>
      </c>
    </row>
    <row r="254" spans="6:38" x14ac:dyDescent="0.2">
      <c r="F254" t="str">
        <f t="shared" si="39"/>
        <v/>
      </c>
      <c r="L254" s="7" t="str">
        <f t="shared" si="40"/>
        <v/>
      </c>
      <c r="N254" s="7" t="str">
        <f t="shared" si="41"/>
        <v/>
      </c>
      <c r="O254" t="str">
        <f t="shared" si="42"/>
        <v/>
      </c>
      <c r="P254" t="str">
        <f t="shared" si="43"/>
        <v/>
      </c>
      <c r="Q254" t="str">
        <f t="shared" si="44"/>
        <v/>
      </c>
      <c r="S254" t="str">
        <f>""</f>
        <v/>
      </c>
      <c r="AL254" s="18" t="str">
        <f>IF(COUNTIF($A$2:A253, A253) = 1, A253, "")</f>
        <v/>
      </c>
    </row>
    <row r="255" spans="6:38" x14ac:dyDescent="0.2">
      <c r="F255" t="str">
        <f t="shared" si="39"/>
        <v/>
      </c>
      <c r="L255" s="7" t="str">
        <f t="shared" si="40"/>
        <v/>
      </c>
      <c r="N255" s="7" t="str">
        <f t="shared" si="41"/>
        <v/>
      </c>
      <c r="O255" t="str">
        <f t="shared" si="42"/>
        <v/>
      </c>
      <c r="P255" t="str">
        <f t="shared" si="43"/>
        <v/>
      </c>
      <c r="Q255" t="str">
        <f t="shared" si="44"/>
        <v/>
      </c>
      <c r="S255" t="str">
        <f>""</f>
        <v/>
      </c>
      <c r="AL255" s="18" t="str">
        <f>IF(COUNTIF($A$2:A254, A254) = 1, A254, "")</f>
        <v/>
      </c>
    </row>
    <row r="256" spans="6:38" x14ac:dyDescent="0.2">
      <c r="F256" t="str">
        <f t="shared" si="39"/>
        <v/>
      </c>
      <c r="L256" s="7" t="str">
        <f t="shared" si="40"/>
        <v/>
      </c>
      <c r="N256" s="7" t="str">
        <f t="shared" si="41"/>
        <v/>
      </c>
      <c r="O256" t="str">
        <f t="shared" si="42"/>
        <v/>
      </c>
      <c r="P256" t="str">
        <f t="shared" si="43"/>
        <v/>
      </c>
      <c r="Q256" t="str">
        <f t="shared" si="44"/>
        <v/>
      </c>
      <c r="S256" t="str">
        <f>""</f>
        <v/>
      </c>
      <c r="AL256" s="18" t="str">
        <f>IF(COUNTIF($A$2:A255, A255) = 1, A255, "")</f>
        <v/>
      </c>
    </row>
    <row r="257" spans="6:38" x14ac:dyDescent="0.2">
      <c r="F257" t="str">
        <f t="shared" si="39"/>
        <v/>
      </c>
      <c r="L257" s="7" t="str">
        <f t="shared" si="40"/>
        <v/>
      </c>
      <c r="N257" s="7" t="str">
        <f t="shared" si="41"/>
        <v/>
      </c>
      <c r="O257" t="str">
        <f t="shared" si="42"/>
        <v/>
      </c>
      <c r="P257" t="str">
        <f t="shared" si="43"/>
        <v/>
      </c>
      <c r="Q257" t="str">
        <f t="shared" si="44"/>
        <v/>
      </c>
      <c r="S257" t="str">
        <f>""</f>
        <v/>
      </c>
      <c r="AL257" s="18" t="str">
        <f>IF(COUNTIF($A$2:A256, A256) = 1, A256, "")</f>
        <v/>
      </c>
    </row>
    <row r="258" spans="6:38" x14ac:dyDescent="0.2">
      <c r="F258" t="str">
        <f t="shared" si="39"/>
        <v/>
      </c>
      <c r="L258" s="7" t="str">
        <f t="shared" si="40"/>
        <v/>
      </c>
      <c r="N258" s="7" t="str">
        <f t="shared" si="41"/>
        <v/>
      </c>
      <c r="O258" t="str">
        <f t="shared" si="42"/>
        <v/>
      </c>
      <c r="P258" t="str">
        <f t="shared" si="43"/>
        <v/>
      </c>
      <c r="Q258" t="str">
        <f t="shared" si="44"/>
        <v/>
      </c>
      <c r="S258" t="str">
        <f>""</f>
        <v/>
      </c>
      <c r="AL258" s="18" t="str">
        <f>IF(COUNTIF($A$2:A257, A257) = 1, A257, "")</f>
        <v/>
      </c>
    </row>
    <row r="259" spans="6:38" x14ac:dyDescent="0.2">
      <c r="F259" t="str">
        <f t="shared" si="39"/>
        <v/>
      </c>
      <c r="L259" s="7" t="str">
        <f t="shared" si="40"/>
        <v/>
      </c>
      <c r="N259" s="7" t="str">
        <f t="shared" si="41"/>
        <v/>
      </c>
      <c r="O259" t="str">
        <f t="shared" si="42"/>
        <v/>
      </c>
      <c r="P259" t="str">
        <f t="shared" si="43"/>
        <v/>
      </c>
      <c r="Q259" t="str">
        <f t="shared" si="44"/>
        <v/>
      </c>
      <c r="S259" t="str">
        <f>""</f>
        <v/>
      </c>
      <c r="AL259" s="18" t="str">
        <f>IF(COUNTIF($A$2:A258, A258) = 1, A258, "")</f>
        <v/>
      </c>
    </row>
    <row r="260" spans="6:38" x14ac:dyDescent="0.2">
      <c r="F260" t="str">
        <f t="shared" si="39"/>
        <v/>
      </c>
      <c r="L260" s="7" t="str">
        <f t="shared" si="40"/>
        <v/>
      </c>
      <c r="N260" s="7" t="str">
        <f t="shared" si="41"/>
        <v/>
      </c>
      <c r="O260" t="str">
        <f t="shared" si="42"/>
        <v/>
      </c>
      <c r="P260" t="str">
        <f t="shared" si="43"/>
        <v/>
      </c>
      <c r="Q260" t="str">
        <f t="shared" si="44"/>
        <v/>
      </c>
      <c r="S260" t="str">
        <f>""</f>
        <v/>
      </c>
      <c r="AL260" s="18" t="str">
        <f>IF(COUNTIF($A$2:A259, A259) = 1, A259, "")</f>
        <v/>
      </c>
    </row>
    <row r="261" spans="6:38" x14ac:dyDescent="0.2">
      <c r="F261" t="str">
        <f t="shared" si="39"/>
        <v/>
      </c>
      <c r="L261" s="7" t="str">
        <f t="shared" si="40"/>
        <v/>
      </c>
      <c r="N261" s="7" t="str">
        <f t="shared" si="41"/>
        <v/>
      </c>
      <c r="O261" t="str">
        <f t="shared" si="42"/>
        <v/>
      </c>
      <c r="P261" t="str">
        <f t="shared" si="43"/>
        <v/>
      </c>
      <c r="Q261" t="str">
        <f t="shared" si="44"/>
        <v/>
      </c>
      <c r="S261" t="str">
        <f>""</f>
        <v/>
      </c>
      <c r="AL261" s="18" t="str">
        <f>IF(COUNTIF($A$2:A260, A260) = 1, A260, "")</f>
        <v/>
      </c>
    </row>
    <row r="262" spans="6:38" x14ac:dyDescent="0.2">
      <c r="F262" t="str">
        <f t="shared" si="39"/>
        <v/>
      </c>
      <c r="L262" s="7" t="str">
        <f t="shared" si="40"/>
        <v/>
      </c>
      <c r="N262" s="7" t="str">
        <f t="shared" si="41"/>
        <v/>
      </c>
      <c r="O262" t="str">
        <f t="shared" si="42"/>
        <v/>
      </c>
      <c r="P262" t="str">
        <f t="shared" si="43"/>
        <v/>
      </c>
      <c r="Q262" t="str">
        <f t="shared" si="44"/>
        <v/>
      </c>
      <c r="S262" t="str">
        <f>""</f>
        <v/>
      </c>
      <c r="AL262" s="18" t="str">
        <f>IF(COUNTIF($A$2:A261, A261) = 1, A261, "")</f>
        <v/>
      </c>
    </row>
    <row r="263" spans="6:38" x14ac:dyDescent="0.2">
      <c r="F263" t="str">
        <f t="shared" si="39"/>
        <v/>
      </c>
      <c r="L263" s="7" t="str">
        <f t="shared" si="40"/>
        <v/>
      </c>
      <c r="N263" s="7" t="str">
        <f t="shared" si="41"/>
        <v/>
      </c>
      <c r="O263" t="str">
        <f t="shared" si="42"/>
        <v/>
      </c>
      <c r="P263" t="str">
        <f t="shared" si="43"/>
        <v/>
      </c>
      <c r="Q263" t="str">
        <f t="shared" si="44"/>
        <v/>
      </c>
      <c r="S263" t="str">
        <f>""</f>
        <v/>
      </c>
      <c r="AL263" s="18" t="str">
        <f>IF(COUNTIF($A$2:A262, A262) = 1, A262, "")</f>
        <v/>
      </c>
    </row>
    <row r="264" spans="6:38" x14ac:dyDescent="0.2">
      <c r="F264" t="str">
        <f t="shared" si="39"/>
        <v/>
      </c>
      <c r="L264" s="7" t="str">
        <f t="shared" si="40"/>
        <v/>
      </c>
      <c r="N264" s="7" t="str">
        <f t="shared" si="41"/>
        <v/>
      </c>
      <c r="O264" t="str">
        <f t="shared" si="42"/>
        <v/>
      </c>
      <c r="P264" t="str">
        <f t="shared" si="43"/>
        <v/>
      </c>
      <c r="Q264" t="str">
        <f t="shared" si="44"/>
        <v/>
      </c>
      <c r="S264" t="str">
        <f>""</f>
        <v/>
      </c>
      <c r="AL264" s="18" t="str">
        <f>IF(COUNTIF($A$2:A263, A263) = 1, A263, "")</f>
        <v/>
      </c>
    </row>
    <row r="265" spans="6:38" x14ac:dyDescent="0.2">
      <c r="F265" t="str">
        <f t="shared" si="39"/>
        <v/>
      </c>
      <c r="L265" s="7" t="str">
        <f t="shared" si="40"/>
        <v/>
      </c>
      <c r="N265" s="7" t="str">
        <f t="shared" si="41"/>
        <v/>
      </c>
      <c r="O265" t="str">
        <f t="shared" si="42"/>
        <v/>
      </c>
      <c r="P265" t="str">
        <f t="shared" si="43"/>
        <v/>
      </c>
      <c r="Q265" t="str">
        <f t="shared" si="44"/>
        <v/>
      </c>
      <c r="S265" t="str">
        <f>""</f>
        <v/>
      </c>
      <c r="AL265" s="18" t="str">
        <f>IF(COUNTIF($A$2:A264, A264) = 1, A264, "")</f>
        <v/>
      </c>
    </row>
    <row r="266" spans="6:38" x14ac:dyDescent="0.2">
      <c r="F266" t="str">
        <f t="shared" si="39"/>
        <v/>
      </c>
      <c r="L266" s="7" t="str">
        <f t="shared" si="40"/>
        <v/>
      </c>
      <c r="N266" s="7" t="str">
        <f t="shared" si="41"/>
        <v/>
      </c>
      <c r="O266" t="str">
        <f t="shared" si="42"/>
        <v/>
      </c>
      <c r="P266" t="str">
        <f t="shared" si="43"/>
        <v/>
      </c>
      <c r="Q266" t="str">
        <f t="shared" si="44"/>
        <v/>
      </c>
      <c r="S266" t="str">
        <f>""</f>
        <v/>
      </c>
      <c r="AL266" s="18" t="str">
        <f>IF(COUNTIF($A$2:A265, A265) = 1, A265, "")</f>
        <v/>
      </c>
    </row>
    <row r="267" spans="6:38" x14ac:dyDescent="0.2">
      <c r="F267" t="str">
        <f t="shared" si="39"/>
        <v/>
      </c>
      <c r="L267" s="7" t="str">
        <f t="shared" si="40"/>
        <v/>
      </c>
      <c r="N267" s="7" t="str">
        <f t="shared" si="41"/>
        <v/>
      </c>
      <c r="O267" t="str">
        <f t="shared" si="42"/>
        <v/>
      </c>
      <c r="P267" t="str">
        <f t="shared" si="43"/>
        <v/>
      </c>
      <c r="Q267" t="str">
        <f t="shared" si="44"/>
        <v/>
      </c>
      <c r="S267" t="str">
        <f>""</f>
        <v/>
      </c>
      <c r="AL267" s="18" t="str">
        <f>IF(COUNTIF($A$2:A266, A266) = 1, A266, "")</f>
        <v/>
      </c>
    </row>
    <row r="268" spans="6:38" x14ac:dyDescent="0.2">
      <c r="F268" t="str">
        <f t="shared" si="39"/>
        <v/>
      </c>
      <c r="L268" s="7" t="str">
        <f t="shared" si="40"/>
        <v/>
      </c>
      <c r="N268" s="7" t="str">
        <f t="shared" si="41"/>
        <v/>
      </c>
      <c r="O268" t="str">
        <f t="shared" si="42"/>
        <v/>
      </c>
      <c r="P268" t="str">
        <f t="shared" si="43"/>
        <v/>
      </c>
      <c r="Q268" t="str">
        <f t="shared" si="44"/>
        <v/>
      </c>
      <c r="S268" t="str">
        <f>""</f>
        <v/>
      </c>
      <c r="AL268" s="18" t="str">
        <f>IF(COUNTIF($A$2:A267, A267) = 1, A267, "")</f>
        <v/>
      </c>
    </row>
    <row r="269" spans="6:38" x14ac:dyDescent="0.2">
      <c r="F269" t="str">
        <f t="shared" si="39"/>
        <v/>
      </c>
      <c r="L269" s="7" t="str">
        <f t="shared" si="40"/>
        <v/>
      </c>
      <c r="N269" s="7" t="str">
        <f t="shared" si="41"/>
        <v/>
      </c>
      <c r="O269" t="str">
        <f t="shared" si="42"/>
        <v/>
      </c>
      <c r="P269" t="str">
        <f t="shared" si="43"/>
        <v/>
      </c>
      <c r="Q269" t="str">
        <f t="shared" si="44"/>
        <v/>
      </c>
      <c r="S269" t="str">
        <f>""</f>
        <v/>
      </c>
      <c r="AL269" s="18" t="str">
        <f>IF(COUNTIF($A$2:A268, A268) = 1, A268, "")</f>
        <v/>
      </c>
    </row>
    <row r="270" spans="6:38" x14ac:dyDescent="0.2">
      <c r="F270" t="str">
        <f t="shared" si="39"/>
        <v/>
      </c>
      <c r="L270" s="7" t="str">
        <f t="shared" si="40"/>
        <v/>
      </c>
      <c r="N270" s="7" t="str">
        <f t="shared" si="41"/>
        <v/>
      </c>
      <c r="O270" t="str">
        <f t="shared" si="42"/>
        <v/>
      </c>
      <c r="P270" t="str">
        <f t="shared" si="43"/>
        <v/>
      </c>
      <c r="Q270" t="str">
        <f t="shared" si="44"/>
        <v/>
      </c>
      <c r="S270" t="str">
        <f>""</f>
        <v/>
      </c>
      <c r="AL270" s="18" t="str">
        <f>IF(COUNTIF($A$2:A269, A269) = 1, A269, "")</f>
        <v/>
      </c>
    </row>
    <row r="271" spans="6:38" x14ac:dyDescent="0.2">
      <c r="F271" t="str">
        <f t="shared" si="39"/>
        <v/>
      </c>
      <c r="L271" s="7" t="str">
        <f t="shared" si="40"/>
        <v/>
      </c>
      <c r="N271" s="7" t="str">
        <f t="shared" si="41"/>
        <v/>
      </c>
      <c r="O271" t="str">
        <f t="shared" si="42"/>
        <v/>
      </c>
      <c r="P271" t="str">
        <f t="shared" si="43"/>
        <v/>
      </c>
      <c r="Q271" t="str">
        <f t="shared" si="44"/>
        <v/>
      </c>
      <c r="S271" t="str">
        <f>""</f>
        <v/>
      </c>
      <c r="AL271" s="18" t="str">
        <f>IF(COUNTIF($A$2:A270, A270) = 1, A270, "")</f>
        <v/>
      </c>
    </row>
    <row r="272" spans="6:38" x14ac:dyDescent="0.2">
      <c r="F272" t="str">
        <f t="shared" ref="F272:F335" si="45">IF(OR(O272="", P272=""), "", SUM(IF((O272&lt;&gt;"None")*(O272&lt;&gt;""),LEN(O272)-LEN(SUBSTITUTE(O272,",",""))+1,0)) + SUM(IF((P272&lt;&gt;"None")*(P272&lt;&gt;""),LEN(P272)-LEN(SUBSTITUTE(P272,",",""))+1,0)))</f>
        <v/>
      </c>
      <c r="L272" s="7" t="str">
        <f t="shared" ref="L272:L335" si="46">IF(LEN(E272)=0, "", IFERROR(IF(E272&gt;=0, K272 * (1 + E272/100) - K272, K272 / (ABS(E272)/100))+K272, ""))</f>
        <v/>
      </c>
      <c r="N272" s="7" t="str">
        <f t="shared" ref="N272:N335" si="47">IF(M272="Yes",L272-K272,IF(M272="No",-K272,""))</f>
        <v/>
      </c>
      <c r="O272" t="str">
        <f t="shared" ref="O272:O335" si="48">IF(AND(G272="No",H272="No"), "None", "")</f>
        <v/>
      </c>
      <c r="P272" t="str">
        <f t="shared" ref="P272:P335" si="49">IF(I272="No", "None", "")</f>
        <v/>
      </c>
      <c r="Q272" t="str">
        <f t="shared" ref="Q272:Q335" si="50">IF(AND(D272="Straight", M272 = "No"),IF(O272="None",P272,IF(P272="None",O272) ),"")</f>
        <v/>
      </c>
      <c r="S272" t="str">
        <f>""</f>
        <v/>
      </c>
      <c r="AL272" s="18" t="str">
        <f>IF(COUNTIF($A$2:A271, A271) = 1, A271, "")</f>
        <v/>
      </c>
    </row>
    <row r="273" spans="6:38" x14ac:dyDescent="0.2">
      <c r="F273" t="str">
        <f t="shared" si="45"/>
        <v/>
      </c>
      <c r="L273" s="7" t="str">
        <f t="shared" si="46"/>
        <v/>
      </c>
      <c r="N273" s="7" t="str">
        <f t="shared" si="47"/>
        <v/>
      </c>
      <c r="O273" t="str">
        <f t="shared" si="48"/>
        <v/>
      </c>
      <c r="P273" t="str">
        <f t="shared" si="49"/>
        <v/>
      </c>
      <c r="Q273" t="str">
        <f t="shared" si="50"/>
        <v/>
      </c>
      <c r="S273" t="str">
        <f>""</f>
        <v/>
      </c>
      <c r="AL273" s="18" t="str">
        <f>IF(COUNTIF($A$2:A272, A272) = 1, A272, "")</f>
        <v/>
      </c>
    </row>
    <row r="274" spans="6:38" x14ac:dyDescent="0.2">
      <c r="F274" t="str">
        <f t="shared" si="45"/>
        <v/>
      </c>
      <c r="L274" s="7" t="str">
        <f t="shared" si="46"/>
        <v/>
      </c>
      <c r="N274" s="7" t="str">
        <f t="shared" si="47"/>
        <v/>
      </c>
      <c r="O274" t="str">
        <f t="shared" si="48"/>
        <v/>
      </c>
      <c r="P274" t="str">
        <f t="shared" si="49"/>
        <v/>
      </c>
      <c r="Q274" t="str">
        <f t="shared" si="50"/>
        <v/>
      </c>
      <c r="S274" t="str">
        <f>""</f>
        <v/>
      </c>
      <c r="AL274" s="18" t="str">
        <f>IF(COUNTIF($A$2:A273, A273) = 1, A273, "")</f>
        <v/>
      </c>
    </row>
    <row r="275" spans="6:38" x14ac:dyDescent="0.2">
      <c r="F275" t="str">
        <f t="shared" si="45"/>
        <v/>
      </c>
      <c r="L275" s="7" t="str">
        <f t="shared" si="46"/>
        <v/>
      </c>
      <c r="N275" s="7" t="str">
        <f t="shared" si="47"/>
        <v/>
      </c>
      <c r="O275" t="str">
        <f t="shared" si="48"/>
        <v/>
      </c>
      <c r="P275" t="str">
        <f t="shared" si="49"/>
        <v/>
      </c>
      <c r="Q275" t="str">
        <f t="shared" si="50"/>
        <v/>
      </c>
      <c r="S275" t="str">
        <f>""</f>
        <v/>
      </c>
      <c r="AL275" s="18" t="str">
        <f>IF(COUNTIF($A$2:A274, A274) = 1, A274, "")</f>
        <v/>
      </c>
    </row>
    <row r="276" spans="6:38" x14ac:dyDescent="0.2">
      <c r="F276" t="str">
        <f t="shared" si="45"/>
        <v/>
      </c>
      <c r="L276" s="7" t="str">
        <f t="shared" si="46"/>
        <v/>
      </c>
      <c r="N276" s="7" t="str">
        <f t="shared" si="47"/>
        <v/>
      </c>
      <c r="O276" t="str">
        <f t="shared" si="48"/>
        <v/>
      </c>
      <c r="P276" t="str">
        <f t="shared" si="49"/>
        <v/>
      </c>
      <c r="Q276" t="str">
        <f t="shared" si="50"/>
        <v/>
      </c>
      <c r="S276" t="str">
        <f>""</f>
        <v/>
      </c>
      <c r="AL276" s="18" t="str">
        <f>IF(COUNTIF($A$2:A275, A275) = 1, A275, "")</f>
        <v/>
      </c>
    </row>
    <row r="277" spans="6:38" x14ac:dyDescent="0.2">
      <c r="F277" t="str">
        <f t="shared" si="45"/>
        <v/>
      </c>
      <c r="L277" s="7" t="str">
        <f t="shared" si="46"/>
        <v/>
      </c>
      <c r="N277" s="7" t="str">
        <f t="shared" si="47"/>
        <v/>
      </c>
      <c r="O277" t="str">
        <f t="shared" si="48"/>
        <v/>
      </c>
      <c r="P277" t="str">
        <f t="shared" si="49"/>
        <v/>
      </c>
      <c r="Q277" t="str">
        <f t="shared" si="50"/>
        <v/>
      </c>
      <c r="S277" t="str">
        <f>""</f>
        <v/>
      </c>
      <c r="AL277" s="18" t="str">
        <f>IF(COUNTIF($A$2:A276, A276) = 1, A276, "")</f>
        <v/>
      </c>
    </row>
    <row r="278" spans="6:38" x14ac:dyDescent="0.2">
      <c r="F278" t="str">
        <f t="shared" si="45"/>
        <v/>
      </c>
      <c r="L278" s="7" t="str">
        <f t="shared" si="46"/>
        <v/>
      </c>
      <c r="N278" s="7" t="str">
        <f t="shared" si="47"/>
        <v/>
      </c>
      <c r="O278" t="str">
        <f t="shared" si="48"/>
        <v/>
      </c>
      <c r="P278" t="str">
        <f t="shared" si="49"/>
        <v/>
      </c>
      <c r="Q278" t="str">
        <f t="shared" si="50"/>
        <v/>
      </c>
      <c r="S278" t="str">
        <f>""</f>
        <v/>
      </c>
      <c r="AL278" s="18" t="str">
        <f>IF(COUNTIF($A$2:A277, A277) = 1, A277, "")</f>
        <v/>
      </c>
    </row>
    <row r="279" spans="6:38" x14ac:dyDescent="0.2">
      <c r="F279" t="str">
        <f t="shared" si="45"/>
        <v/>
      </c>
      <c r="L279" s="7" t="str">
        <f t="shared" si="46"/>
        <v/>
      </c>
      <c r="N279" s="7" t="str">
        <f t="shared" si="47"/>
        <v/>
      </c>
      <c r="O279" t="str">
        <f t="shared" si="48"/>
        <v/>
      </c>
      <c r="P279" t="str">
        <f t="shared" si="49"/>
        <v/>
      </c>
      <c r="Q279" t="str">
        <f t="shared" si="50"/>
        <v/>
      </c>
      <c r="S279" t="str">
        <f>""</f>
        <v/>
      </c>
      <c r="AL279" s="18" t="str">
        <f>IF(COUNTIF($A$2:A278, A278) = 1, A278, "")</f>
        <v/>
      </c>
    </row>
    <row r="280" spans="6:38" x14ac:dyDescent="0.2">
      <c r="F280" t="str">
        <f t="shared" si="45"/>
        <v/>
      </c>
      <c r="L280" s="7" t="str">
        <f t="shared" si="46"/>
        <v/>
      </c>
      <c r="N280" s="7" t="str">
        <f t="shared" si="47"/>
        <v/>
      </c>
      <c r="O280" t="str">
        <f t="shared" si="48"/>
        <v/>
      </c>
      <c r="P280" t="str">
        <f t="shared" si="49"/>
        <v/>
      </c>
      <c r="Q280" t="str">
        <f t="shared" si="50"/>
        <v/>
      </c>
      <c r="S280" t="str">
        <f>""</f>
        <v/>
      </c>
      <c r="AL280" s="18" t="str">
        <f>IF(COUNTIF($A$2:A279, A279) = 1, A279, "")</f>
        <v/>
      </c>
    </row>
    <row r="281" spans="6:38" x14ac:dyDescent="0.2">
      <c r="F281" t="str">
        <f t="shared" si="45"/>
        <v/>
      </c>
      <c r="L281" s="7" t="str">
        <f t="shared" si="46"/>
        <v/>
      </c>
      <c r="N281" s="7" t="str">
        <f t="shared" si="47"/>
        <v/>
      </c>
      <c r="O281" t="str">
        <f t="shared" si="48"/>
        <v/>
      </c>
      <c r="P281" t="str">
        <f t="shared" si="49"/>
        <v/>
      </c>
      <c r="Q281" t="str">
        <f t="shared" si="50"/>
        <v/>
      </c>
      <c r="S281" t="str">
        <f>""</f>
        <v/>
      </c>
      <c r="AL281" s="18" t="str">
        <f>IF(COUNTIF($A$2:A280, A280) = 1, A280, "")</f>
        <v/>
      </c>
    </row>
    <row r="282" spans="6:38" x14ac:dyDescent="0.2">
      <c r="F282" t="str">
        <f t="shared" si="45"/>
        <v/>
      </c>
      <c r="L282" s="7" t="str">
        <f t="shared" si="46"/>
        <v/>
      </c>
      <c r="N282" s="7" t="str">
        <f t="shared" si="47"/>
        <v/>
      </c>
      <c r="O282" t="str">
        <f t="shared" si="48"/>
        <v/>
      </c>
      <c r="P282" t="str">
        <f t="shared" si="49"/>
        <v/>
      </c>
      <c r="Q282" t="str">
        <f t="shared" si="50"/>
        <v/>
      </c>
      <c r="S282" t="str">
        <f>""</f>
        <v/>
      </c>
      <c r="AL282" s="18" t="str">
        <f>IF(COUNTIF($A$2:A281, A281) = 1, A281, "")</f>
        <v/>
      </c>
    </row>
    <row r="283" spans="6:38" x14ac:dyDescent="0.2">
      <c r="F283" t="str">
        <f t="shared" si="45"/>
        <v/>
      </c>
      <c r="L283" s="7" t="str">
        <f t="shared" si="46"/>
        <v/>
      </c>
      <c r="N283" s="7" t="str">
        <f t="shared" si="47"/>
        <v/>
      </c>
      <c r="O283" t="str">
        <f t="shared" si="48"/>
        <v/>
      </c>
      <c r="P283" t="str">
        <f t="shared" si="49"/>
        <v/>
      </c>
      <c r="Q283" t="str">
        <f t="shared" si="50"/>
        <v/>
      </c>
      <c r="S283" t="str">
        <f>""</f>
        <v/>
      </c>
      <c r="AL283" s="18" t="str">
        <f>IF(COUNTIF($A$2:A282, A282) = 1, A282, "")</f>
        <v/>
      </c>
    </row>
    <row r="284" spans="6:38" x14ac:dyDescent="0.2">
      <c r="F284" t="str">
        <f t="shared" si="45"/>
        <v/>
      </c>
      <c r="L284" s="7" t="str">
        <f t="shared" si="46"/>
        <v/>
      </c>
      <c r="N284" s="7" t="str">
        <f t="shared" si="47"/>
        <v/>
      </c>
      <c r="O284" t="str">
        <f t="shared" si="48"/>
        <v/>
      </c>
      <c r="P284" t="str">
        <f t="shared" si="49"/>
        <v/>
      </c>
      <c r="Q284" t="str">
        <f t="shared" si="50"/>
        <v/>
      </c>
      <c r="S284" t="str">
        <f>""</f>
        <v/>
      </c>
      <c r="AL284" s="18" t="str">
        <f>IF(COUNTIF($A$2:A283, A283) = 1, A283, "")</f>
        <v/>
      </c>
    </row>
    <row r="285" spans="6:38" x14ac:dyDescent="0.2">
      <c r="F285" t="str">
        <f t="shared" si="45"/>
        <v/>
      </c>
      <c r="L285" s="7" t="str">
        <f t="shared" si="46"/>
        <v/>
      </c>
      <c r="N285" s="7" t="str">
        <f t="shared" si="47"/>
        <v/>
      </c>
      <c r="O285" t="str">
        <f t="shared" si="48"/>
        <v/>
      </c>
      <c r="P285" t="str">
        <f t="shared" si="49"/>
        <v/>
      </c>
      <c r="Q285" t="str">
        <f t="shared" si="50"/>
        <v/>
      </c>
      <c r="S285" t="str">
        <f>""</f>
        <v/>
      </c>
      <c r="AL285" s="18" t="str">
        <f>IF(COUNTIF($A$2:A284, A284) = 1, A284, "")</f>
        <v/>
      </c>
    </row>
    <row r="286" spans="6:38" x14ac:dyDescent="0.2">
      <c r="F286" t="str">
        <f t="shared" si="45"/>
        <v/>
      </c>
      <c r="L286" s="7" t="str">
        <f t="shared" si="46"/>
        <v/>
      </c>
      <c r="N286" s="7" t="str">
        <f t="shared" si="47"/>
        <v/>
      </c>
      <c r="O286" t="str">
        <f t="shared" si="48"/>
        <v/>
      </c>
      <c r="P286" t="str">
        <f t="shared" si="49"/>
        <v/>
      </c>
      <c r="Q286" t="str">
        <f t="shared" si="50"/>
        <v/>
      </c>
      <c r="S286" t="str">
        <f>""</f>
        <v/>
      </c>
      <c r="AL286" s="18" t="str">
        <f>IF(COUNTIF($A$2:A285, A285) = 1, A285, "")</f>
        <v/>
      </c>
    </row>
    <row r="287" spans="6:38" x14ac:dyDescent="0.2">
      <c r="F287" t="str">
        <f t="shared" si="45"/>
        <v/>
      </c>
      <c r="L287" s="7" t="str">
        <f t="shared" si="46"/>
        <v/>
      </c>
      <c r="N287" s="7" t="str">
        <f t="shared" si="47"/>
        <v/>
      </c>
      <c r="O287" t="str">
        <f t="shared" si="48"/>
        <v/>
      </c>
      <c r="P287" t="str">
        <f t="shared" si="49"/>
        <v/>
      </c>
      <c r="Q287" t="str">
        <f t="shared" si="50"/>
        <v/>
      </c>
      <c r="S287" t="str">
        <f>""</f>
        <v/>
      </c>
      <c r="AL287" s="18" t="str">
        <f>IF(COUNTIF($A$2:A286, A286) = 1, A286, "")</f>
        <v/>
      </c>
    </row>
    <row r="288" spans="6:38" x14ac:dyDescent="0.2">
      <c r="F288" t="str">
        <f t="shared" si="45"/>
        <v/>
      </c>
      <c r="L288" s="7" t="str">
        <f t="shared" si="46"/>
        <v/>
      </c>
      <c r="N288" s="7" t="str">
        <f t="shared" si="47"/>
        <v/>
      </c>
      <c r="O288" t="str">
        <f t="shared" si="48"/>
        <v/>
      </c>
      <c r="P288" t="str">
        <f t="shared" si="49"/>
        <v/>
      </c>
      <c r="Q288" t="str">
        <f t="shared" si="50"/>
        <v/>
      </c>
      <c r="S288" t="str">
        <f>""</f>
        <v/>
      </c>
      <c r="AL288" s="18" t="str">
        <f>IF(COUNTIF($A$2:A287, A287) = 1, A287, "")</f>
        <v/>
      </c>
    </row>
    <row r="289" spans="6:38" x14ac:dyDescent="0.2">
      <c r="F289" t="str">
        <f t="shared" si="45"/>
        <v/>
      </c>
      <c r="L289" s="7" t="str">
        <f t="shared" si="46"/>
        <v/>
      </c>
      <c r="N289" s="7" t="str">
        <f t="shared" si="47"/>
        <v/>
      </c>
      <c r="O289" t="str">
        <f t="shared" si="48"/>
        <v/>
      </c>
      <c r="P289" t="str">
        <f t="shared" si="49"/>
        <v/>
      </c>
      <c r="Q289" t="str">
        <f t="shared" si="50"/>
        <v/>
      </c>
      <c r="S289" t="str">
        <f>""</f>
        <v/>
      </c>
      <c r="AL289" s="18" t="str">
        <f>IF(COUNTIF($A$2:A288, A288) = 1, A288, "")</f>
        <v/>
      </c>
    </row>
    <row r="290" spans="6:38" x14ac:dyDescent="0.2">
      <c r="F290" t="str">
        <f t="shared" si="45"/>
        <v/>
      </c>
      <c r="L290" s="7" t="str">
        <f t="shared" si="46"/>
        <v/>
      </c>
      <c r="N290" s="7" t="str">
        <f t="shared" si="47"/>
        <v/>
      </c>
      <c r="O290" t="str">
        <f t="shared" si="48"/>
        <v/>
      </c>
      <c r="P290" t="str">
        <f t="shared" si="49"/>
        <v/>
      </c>
      <c r="Q290" t="str">
        <f t="shared" si="50"/>
        <v/>
      </c>
      <c r="S290" t="str">
        <f>""</f>
        <v/>
      </c>
      <c r="AL290" s="18" t="str">
        <f>IF(COUNTIF($A$2:A289, A289) = 1, A289, "")</f>
        <v/>
      </c>
    </row>
    <row r="291" spans="6:38" x14ac:dyDescent="0.2">
      <c r="F291" t="str">
        <f t="shared" si="45"/>
        <v/>
      </c>
      <c r="L291" s="7" t="str">
        <f t="shared" si="46"/>
        <v/>
      </c>
      <c r="N291" s="7" t="str">
        <f t="shared" si="47"/>
        <v/>
      </c>
      <c r="O291" t="str">
        <f t="shared" si="48"/>
        <v/>
      </c>
      <c r="P291" t="str">
        <f t="shared" si="49"/>
        <v/>
      </c>
      <c r="Q291" t="str">
        <f t="shared" si="50"/>
        <v/>
      </c>
      <c r="S291" t="str">
        <f>""</f>
        <v/>
      </c>
      <c r="AL291" s="18" t="str">
        <f>IF(COUNTIF($A$2:A290, A290) = 1, A290, "")</f>
        <v/>
      </c>
    </row>
    <row r="292" spans="6:38" x14ac:dyDescent="0.2">
      <c r="F292" t="str">
        <f t="shared" si="45"/>
        <v/>
      </c>
      <c r="L292" s="7" t="str">
        <f t="shared" si="46"/>
        <v/>
      </c>
      <c r="N292" s="7" t="str">
        <f t="shared" si="47"/>
        <v/>
      </c>
      <c r="O292" t="str">
        <f t="shared" si="48"/>
        <v/>
      </c>
      <c r="P292" t="str">
        <f t="shared" si="49"/>
        <v/>
      </c>
      <c r="Q292" t="str">
        <f t="shared" si="50"/>
        <v/>
      </c>
      <c r="S292" t="str">
        <f>""</f>
        <v/>
      </c>
      <c r="AL292" s="18" t="str">
        <f>IF(COUNTIF($A$2:A291, A291) = 1, A291, "")</f>
        <v/>
      </c>
    </row>
    <row r="293" spans="6:38" x14ac:dyDescent="0.2">
      <c r="F293" t="str">
        <f t="shared" si="45"/>
        <v/>
      </c>
      <c r="L293" s="7" t="str">
        <f t="shared" si="46"/>
        <v/>
      </c>
      <c r="N293" s="7" t="str">
        <f t="shared" si="47"/>
        <v/>
      </c>
      <c r="O293" t="str">
        <f t="shared" si="48"/>
        <v/>
      </c>
      <c r="P293" t="str">
        <f t="shared" si="49"/>
        <v/>
      </c>
      <c r="Q293" t="str">
        <f t="shared" si="50"/>
        <v/>
      </c>
      <c r="S293" t="str">
        <f>""</f>
        <v/>
      </c>
      <c r="AL293" s="18" t="str">
        <f>IF(COUNTIF($A$2:A292, A292) = 1, A292, "")</f>
        <v/>
      </c>
    </row>
    <row r="294" spans="6:38" x14ac:dyDescent="0.2">
      <c r="F294" t="str">
        <f t="shared" si="45"/>
        <v/>
      </c>
      <c r="L294" s="7" t="str">
        <f t="shared" si="46"/>
        <v/>
      </c>
      <c r="N294" s="7" t="str">
        <f t="shared" si="47"/>
        <v/>
      </c>
      <c r="O294" t="str">
        <f t="shared" si="48"/>
        <v/>
      </c>
      <c r="P294" t="str">
        <f t="shared" si="49"/>
        <v/>
      </c>
      <c r="Q294" t="str">
        <f t="shared" si="50"/>
        <v/>
      </c>
      <c r="S294" t="str">
        <f>""</f>
        <v/>
      </c>
      <c r="AL294" s="18" t="str">
        <f>IF(COUNTIF($A$2:A293, A293) = 1, A293, "")</f>
        <v/>
      </c>
    </row>
    <row r="295" spans="6:38" x14ac:dyDescent="0.2">
      <c r="F295" t="str">
        <f t="shared" si="45"/>
        <v/>
      </c>
      <c r="L295" s="7" t="str">
        <f t="shared" si="46"/>
        <v/>
      </c>
      <c r="N295" s="7" t="str">
        <f t="shared" si="47"/>
        <v/>
      </c>
      <c r="O295" t="str">
        <f t="shared" si="48"/>
        <v/>
      </c>
      <c r="P295" t="str">
        <f t="shared" si="49"/>
        <v/>
      </c>
      <c r="Q295" t="str">
        <f t="shared" si="50"/>
        <v/>
      </c>
      <c r="S295" t="str">
        <f>""</f>
        <v/>
      </c>
      <c r="AL295" s="18" t="str">
        <f>IF(COUNTIF($A$2:A294, A294) = 1, A294, "")</f>
        <v/>
      </c>
    </row>
    <row r="296" spans="6:38" x14ac:dyDescent="0.2">
      <c r="F296" t="str">
        <f t="shared" si="45"/>
        <v/>
      </c>
      <c r="L296" s="7" t="str">
        <f t="shared" si="46"/>
        <v/>
      </c>
      <c r="N296" s="7" t="str">
        <f t="shared" si="47"/>
        <v/>
      </c>
      <c r="O296" t="str">
        <f t="shared" si="48"/>
        <v/>
      </c>
      <c r="P296" t="str">
        <f t="shared" si="49"/>
        <v/>
      </c>
      <c r="Q296" t="str">
        <f t="shared" si="50"/>
        <v/>
      </c>
      <c r="S296" t="str">
        <f>""</f>
        <v/>
      </c>
      <c r="AL296" s="18" t="str">
        <f>IF(COUNTIF($A$2:A295, A295) = 1, A295, "")</f>
        <v/>
      </c>
    </row>
    <row r="297" spans="6:38" x14ac:dyDescent="0.2">
      <c r="F297" t="str">
        <f t="shared" si="45"/>
        <v/>
      </c>
      <c r="L297" s="7" t="str">
        <f t="shared" si="46"/>
        <v/>
      </c>
      <c r="N297" s="7" t="str">
        <f t="shared" si="47"/>
        <v/>
      </c>
      <c r="O297" t="str">
        <f t="shared" si="48"/>
        <v/>
      </c>
      <c r="P297" t="str">
        <f t="shared" si="49"/>
        <v/>
      </c>
      <c r="Q297" t="str">
        <f t="shared" si="50"/>
        <v/>
      </c>
      <c r="S297" t="str">
        <f>""</f>
        <v/>
      </c>
      <c r="AL297" s="18" t="str">
        <f>IF(COUNTIF($A$2:A296, A296) = 1, A296, "")</f>
        <v/>
      </c>
    </row>
    <row r="298" spans="6:38" x14ac:dyDescent="0.2">
      <c r="F298" t="str">
        <f t="shared" si="45"/>
        <v/>
      </c>
      <c r="L298" s="7" t="str">
        <f t="shared" si="46"/>
        <v/>
      </c>
      <c r="N298" s="7" t="str">
        <f t="shared" si="47"/>
        <v/>
      </c>
      <c r="O298" t="str">
        <f t="shared" si="48"/>
        <v/>
      </c>
      <c r="P298" t="str">
        <f t="shared" si="49"/>
        <v/>
      </c>
      <c r="Q298" t="str">
        <f t="shared" si="50"/>
        <v/>
      </c>
      <c r="S298" t="str">
        <f>""</f>
        <v/>
      </c>
      <c r="AL298" s="18" t="str">
        <f>IF(COUNTIF($A$2:A297, A297) = 1, A297, "")</f>
        <v/>
      </c>
    </row>
    <row r="299" spans="6:38" x14ac:dyDescent="0.2">
      <c r="F299" t="str">
        <f t="shared" si="45"/>
        <v/>
      </c>
      <c r="L299" s="7" t="str">
        <f t="shared" si="46"/>
        <v/>
      </c>
      <c r="N299" s="7" t="str">
        <f t="shared" si="47"/>
        <v/>
      </c>
      <c r="O299" t="str">
        <f t="shared" si="48"/>
        <v/>
      </c>
      <c r="P299" t="str">
        <f t="shared" si="49"/>
        <v/>
      </c>
      <c r="Q299" t="str">
        <f t="shared" si="50"/>
        <v/>
      </c>
      <c r="S299" t="str">
        <f>""</f>
        <v/>
      </c>
      <c r="AL299" s="18" t="str">
        <f>IF(COUNTIF($A$2:A298, A298) = 1, A298, "")</f>
        <v/>
      </c>
    </row>
    <row r="300" spans="6:38" x14ac:dyDescent="0.2">
      <c r="F300" t="str">
        <f t="shared" si="45"/>
        <v/>
      </c>
      <c r="L300" s="7" t="str">
        <f t="shared" si="46"/>
        <v/>
      </c>
      <c r="N300" s="7" t="str">
        <f t="shared" si="47"/>
        <v/>
      </c>
      <c r="O300" t="str">
        <f t="shared" si="48"/>
        <v/>
      </c>
      <c r="P300" t="str">
        <f t="shared" si="49"/>
        <v/>
      </c>
      <c r="Q300" t="str">
        <f t="shared" si="50"/>
        <v/>
      </c>
      <c r="S300" t="str">
        <f>""</f>
        <v/>
      </c>
      <c r="AL300" s="18" t="str">
        <f>IF(COUNTIF($A$2:A299, A299) = 1, A299, "")</f>
        <v/>
      </c>
    </row>
    <row r="301" spans="6:38" x14ac:dyDescent="0.2">
      <c r="F301" t="str">
        <f t="shared" si="45"/>
        <v/>
      </c>
      <c r="L301" s="7" t="str">
        <f t="shared" si="46"/>
        <v/>
      </c>
      <c r="N301" s="7" t="str">
        <f t="shared" si="47"/>
        <v/>
      </c>
      <c r="O301" t="str">
        <f t="shared" si="48"/>
        <v/>
      </c>
      <c r="P301" t="str">
        <f t="shared" si="49"/>
        <v/>
      </c>
      <c r="Q301" t="str">
        <f t="shared" si="50"/>
        <v/>
      </c>
      <c r="S301" t="str">
        <f>""</f>
        <v/>
      </c>
      <c r="AL301" s="18" t="str">
        <f>IF(COUNTIF($A$2:A300, A300) = 1, A300, "")</f>
        <v/>
      </c>
    </row>
    <row r="302" spans="6:38" x14ac:dyDescent="0.2">
      <c r="F302" t="str">
        <f t="shared" si="45"/>
        <v/>
      </c>
      <c r="L302" s="7" t="str">
        <f t="shared" si="46"/>
        <v/>
      </c>
      <c r="N302" s="7" t="str">
        <f t="shared" si="47"/>
        <v/>
      </c>
      <c r="O302" t="str">
        <f t="shared" si="48"/>
        <v/>
      </c>
      <c r="P302" t="str">
        <f t="shared" si="49"/>
        <v/>
      </c>
      <c r="Q302" t="str">
        <f t="shared" si="50"/>
        <v/>
      </c>
      <c r="S302" t="str">
        <f>""</f>
        <v/>
      </c>
      <c r="AL302" s="18" t="str">
        <f>IF(COUNTIF($A$2:A301, A301) = 1, A301, "")</f>
        <v/>
      </c>
    </row>
    <row r="303" spans="6:38" x14ac:dyDescent="0.2">
      <c r="F303" t="str">
        <f t="shared" si="45"/>
        <v/>
      </c>
      <c r="L303" s="7" t="str">
        <f t="shared" si="46"/>
        <v/>
      </c>
      <c r="N303" s="7" t="str">
        <f t="shared" si="47"/>
        <v/>
      </c>
      <c r="O303" t="str">
        <f t="shared" si="48"/>
        <v/>
      </c>
      <c r="P303" t="str">
        <f t="shared" si="49"/>
        <v/>
      </c>
      <c r="Q303" t="str">
        <f t="shared" si="50"/>
        <v/>
      </c>
      <c r="S303" t="str">
        <f>""</f>
        <v/>
      </c>
      <c r="AL303" s="18" t="str">
        <f>IF(COUNTIF($A$2:A302, A302) = 1, A302, "")</f>
        <v/>
      </c>
    </row>
    <row r="304" spans="6:38" x14ac:dyDescent="0.2">
      <c r="F304" t="str">
        <f t="shared" si="45"/>
        <v/>
      </c>
      <c r="L304" s="7" t="str">
        <f t="shared" si="46"/>
        <v/>
      </c>
      <c r="N304" s="7" t="str">
        <f t="shared" si="47"/>
        <v/>
      </c>
      <c r="O304" t="str">
        <f t="shared" si="48"/>
        <v/>
      </c>
      <c r="P304" t="str">
        <f t="shared" si="49"/>
        <v/>
      </c>
      <c r="Q304" t="str">
        <f t="shared" si="50"/>
        <v/>
      </c>
      <c r="S304" t="str">
        <f>""</f>
        <v/>
      </c>
      <c r="AL304" s="18" t="str">
        <f>IF(COUNTIF($A$2:A303, A303) = 1, A303, "")</f>
        <v/>
      </c>
    </row>
    <row r="305" spans="6:38" x14ac:dyDescent="0.2">
      <c r="F305" t="str">
        <f t="shared" si="45"/>
        <v/>
      </c>
      <c r="L305" s="7" t="str">
        <f t="shared" si="46"/>
        <v/>
      </c>
      <c r="N305" s="7" t="str">
        <f t="shared" si="47"/>
        <v/>
      </c>
      <c r="O305" t="str">
        <f t="shared" si="48"/>
        <v/>
      </c>
      <c r="P305" t="str">
        <f t="shared" si="49"/>
        <v/>
      </c>
      <c r="Q305" t="str">
        <f t="shared" si="50"/>
        <v/>
      </c>
      <c r="S305" t="str">
        <f>""</f>
        <v/>
      </c>
      <c r="AL305" s="18" t="str">
        <f>IF(COUNTIF($A$2:A304, A304) = 1, A304, "")</f>
        <v/>
      </c>
    </row>
    <row r="306" spans="6:38" x14ac:dyDescent="0.2">
      <c r="F306" t="str">
        <f t="shared" si="45"/>
        <v/>
      </c>
      <c r="L306" s="7" t="str">
        <f t="shared" si="46"/>
        <v/>
      </c>
      <c r="N306" s="7" t="str">
        <f t="shared" si="47"/>
        <v/>
      </c>
      <c r="O306" t="str">
        <f t="shared" si="48"/>
        <v/>
      </c>
      <c r="P306" t="str">
        <f t="shared" si="49"/>
        <v/>
      </c>
      <c r="Q306" t="str">
        <f t="shared" si="50"/>
        <v/>
      </c>
      <c r="S306" t="str">
        <f>""</f>
        <v/>
      </c>
      <c r="AL306" s="18" t="str">
        <f>IF(COUNTIF($A$2:A305, A305) = 1, A305, "")</f>
        <v/>
      </c>
    </row>
    <row r="307" spans="6:38" x14ac:dyDescent="0.2">
      <c r="F307" t="str">
        <f t="shared" si="45"/>
        <v/>
      </c>
      <c r="L307" s="7" t="str">
        <f t="shared" si="46"/>
        <v/>
      </c>
      <c r="N307" s="7" t="str">
        <f t="shared" si="47"/>
        <v/>
      </c>
      <c r="O307" t="str">
        <f t="shared" si="48"/>
        <v/>
      </c>
      <c r="P307" t="str">
        <f t="shared" si="49"/>
        <v/>
      </c>
      <c r="Q307" t="str">
        <f t="shared" si="50"/>
        <v/>
      </c>
      <c r="S307" t="str">
        <f>""</f>
        <v/>
      </c>
      <c r="AL307" s="18" t="str">
        <f>IF(COUNTIF($A$2:A306, A306) = 1, A306, "")</f>
        <v/>
      </c>
    </row>
    <row r="308" spans="6:38" x14ac:dyDescent="0.2">
      <c r="F308" t="str">
        <f t="shared" si="45"/>
        <v/>
      </c>
      <c r="L308" s="7" t="str">
        <f t="shared" si="46"/>
        <v/>
      </c>
      <c r="N308" s="7" t="str">
        <f t="shared" si="47"/>
        <v/>
      </c>
      <c r="O308" t="str">
        <f t="shared" si="48"/>
        <v/>
      </c>
      <c r="P308" t="str">
        <f t="shared" si="49"/>
        <v/>
      </c>
      <c r="Q308" t="str">
        <f t="shared" si="50"/>
        <v/>
      </c>
      <c r="S308" t="str">
        <f>""</f>
        <v/>
      </c>
      <c r="AL308" s="18" t="str">
        <f>IF(COUNTIF($A$2:A307, A307) = 1, A307, "")</f>
        <v/>
      </c>
    </row>
    <row r="309" spans="6:38" x14ac:dyDescent="0.2">
      <c r="F309" t="str">
        <f t="shared" si="45"/>
        <v/>
      </c>
      <c r="L309" s="7" t="str">
        <f t="shared" si="46"/>
        <v/>
      </c>
      <c r="N309" s="7" t="str">
        <f t="shared" si="47"/>
        <v/>
      </c>
      <c r="O309" t="str">
        <f t="shared" si="48"/>
        <v/>
      </c>
      <c r="P309" t="str">
        <f t="shared" si="49"/>
        <v/>
      </c>
      <c r="Q309" t="str">
        <f t="shared" si="50"/>
        <v/>
      </c>
      <c r="S309" t="str">
        <f>""</f>
        <v/>
      </c>
      <c r="AL309" s="18" t="str">
        <f>IF(COUNTIF($A$2:A308, A308) = 1, A308, "")</f>
        <v/>
      </c>
    </row>
    <row r="310" spans="6:38" x14ac:dyDescent="0.2">
      <c r="F310" t="str">
        <f t="shared" si="45"/>
        <v/>
      </c>
      <c r="L310" s="7" t="str">
        <f t="shared" si="46"/>
        <v/>
      </c>
      <c r="N310" s="7" t="str">
        <f t="shared" si="47"/>
        <v/>
      </c>
      <c r="O310" t="str">
        <f t="shared" si="48"/>
        <v/>
      </c>
      <c r="P310" t="str">
        <f t="shared" si="49"/>
        <v/>
      </c>
      <c r="Q310" t="str">
        <f t="shared" si="50"/>
        <v/>
      </c>
      <c r="S310" t="str">
        <f>""</f>
        <v/>
      </c>
      <c r="AL310" s="18" t="str">
        <f>IF(COUNTIF($A$2:A309, A309) = 1, A309, "")</f>
        <v/>
      </c>
    </row>
    <row r="311" spans="6:38" x14ac:dyDescent="0.2">
      <c r="F311" t="str">
        <f t="shared" si="45"/>
        <v/>
      </c>
      <c r="L311" s="7" t="str">
        <f t="shared" si="46"/>
        <v/>
      </c>
      <c r="N311" s="7" t="str">
        <f t="shared" si="47"/>
        <v/>
      </c>
      <c r="O311" t="str">
        <f t="shared" si="48"/>
        <v/>
      </c>
      <c r="P311" t="str">
        <f t="shared" si="49"/>
        <v/>
      </c>
      <c r="Q311" t="str">
        <f t="shared" si="50"/>
        <v/>
      </c>
      <c r="S311" t="str">
        <f>""</f>
        <v/>
      </c>
      <c r="AL311" s="18" t="str">
        <f>IF(COUNTIF($A$2:A310, A310) = 1, A310, "")</f>
        <v/>
      </c>
    </row>
    <row r="312" spans="6:38" x14ac:dyDescent="0.2">
      <c r="F312" t="str">
        <f t="shared" si="45"/>
        <v/>
      </c>
      <c r="L312" s="7" t="str">
        <f t="shared" si="46"/>
        <v/>
      </c>
      <c r="N312" s="7" t="str">
        <f t="shared" si="47"/>
        <v/>
      </c>
      <c r="O312" t="str">
        <f t="shared" si="48"/>
        <v/>
      </c>
      <c r="P312" t="str">
        <f t="shared" si="49"/>
        <v/>
      </c>
      <c r="Q312" t="str">
        <f t="shared" si="50"/>
        <v/>
      </c>
      <c r="S312" t="str">
        <f>""</f>
        <v/>
      </c>
      <c r="AL312" s="18" t="str">
        <f>IF(COUNTIF($A$2:A311, A311) = 1, A311, "")</f>
        <v/>
      </c>
    </row>
    <row r="313" spans="6:38" x14ac:dyDescent="0.2">
      <c r="F313" t="str">
        <f t="shared" si="45"/>
        <v/>
      </c>
      <c r="L313" s="7" t="str">
        <f t="shared" si="46"/>
        <v/>
      </c>
      <c r="N313" s="7" t="str">
        <f t="shared" si="47"/>
        <v/>
      </c>
      <c r="O313" t="str">
        <f t="shared" si="48"/>
        <v/>
      </c>
      <c r="P313" t="str">
        <f t="shared" si="49"/>
        <v/>
      </c>
      <c r="Q313" t="str">
        <f t="shared" si="50"/>
        <v/>
      </c>
      <c r="S313" t="str">
        <f>""</f>
        <v/>
      </c>
      <c r="AL313" s="18" t="str">
        <f>IF(COUNTIF($A$2:A312, A312) = 1, A312, "")</f>
        <v/>
      </c>
    </row>
    <row r="314" spans="6:38" x14ac:dyDescent="0.2">
      <c r="F314" t="str">
        <f t="shared" si="45"/>
        <v/>
      </c>
      <c r="L314" s="7" t="str">
        <f t="shared" si="46"/>
        <v/>
      </c>
      <c r="N314" s="7" t="str">
        <f t="shared" si="47"/>
        <v/>
      </c>
      <c r="O314" t="str">
        <f t="shared" si="48"/>
        <v/>
      </c>
      <c r="P314" t="str">
        <f t="shared" si="49"/>
        <v/>
      </c>
      <c r="Q314" t="str">
        <f t="shared" si="50"/>
        <v/>
      </c>
      <c r="S314" t="str">
        <f>""</f>
        <v/>
      </c>
      <c r="AL314" s="18" t="str">
        <f>IF(COUNTIF($A$2:A313, A313) = 1, A313, "")</f>
        <v/>
      </c>
    </row>
    <row r="315" spans="6:38" x14ac:dyDescent="0.2">
      <c r="F315" t="str">
        <f t="shared" si="45"/>
        <v/>
      </c>
      <c r="L315" s="7" t="str">
        <f t="shared" si="46"/>
        <v/>
      </c>
      <c r="N315" s="7" t="str">
        <f t="shared" si="47"/>
        <v/>
      </c>
      <c r="O315" t="str">
        <f t="shared" si="48"/>
        <v/>
      </c>
      <c r="P315" t="str">
        <f t="shared" si="49"/>
        <v/>
      </c>
      <c r="Q315" t="str">
        <f t="shared" si="50"/>
        <v/>
      </c>
      <c r="S315" t="str">
        <f>""</f>
        <v/>
      </c>
      <c r="AL315" s="18" t="str">
        <f>IF(COUNTIF($A$2:A314, A314) = 1, A314, "")</f>
        <v/>
      </c>
    </row>
    <row r="316" spans="6:38" x14ac:dyDescent="0.2">
      <c r="F316" t="str">
        <f t="shared" si="45"/>
        <v/>
      </c>
      <c r="L316" s="7" t="str">
        <f t="shared" si="46"/>
        <v/>
      </c>
      <c r="N316" s="7" t="str">
        <f t="shared" si="47"/>
        <v/>
      </c>
      <c r="O316" t="str">
        <f t="shared" si="48"/>
        <v/>
      </c>
      <c r="P316" t="str">
        <f t="shared" si="49"/>
        <v/>
      </c>
      <c r="Q316" t="str">
        <f t="shared" si="50"/>
        <v/>
      </c>
      <c r="S316" t="str">
        <f>""</f>
        <v/>
      </c>
      <c r="AL316" s="18" t="str">
        <f>IF(COUNTIF($A$2:A315, A315) = 1, A315, "")</f>
        <v/>
      </c>
    </row>
    <row r="317" spans="6:38" x14ac:dyDescent="0.2">
      <c r="F317" t="str">
        <f t="shared" si="45"/>
        <v/>
      </c>
      <c r="L317" s="7" t="str">
        <f t="shared" si="46"/>
        <v/>
      </c>
      <c r="N317" s="7" t="str">
        <f t="shared" si="47"/>
        <v/>
      </c>
      <c r="O317" t="str">
        <f t="shared" si="48"/>
        <v/>
      </c>
      <c r="P317" t="str">
        <f t="shared" si="49"/>
        <v/>
      </c>
      <c r="Q317" t="str">
        <f t="shared" si="50"/>
        <v/>
      </c>
      <c r="S317" t="str">
        <f>""</f>
        <v/>
      </c>
      <c r="AL317" s="18" t="str">
        <f>IF(COUNTIF($A$2:A316, A316) = 1, A316, "")</f>
        <v/>
      </c>
    </row>
    <row r="318" spans="6:38" x14ac:dyDescent="0.2">
      <c r="F318" t="str">
        <f t="shared" si="45"/>
        <v/>
      </c>
      <c r="L318" s="7" t="str">
        <f t="shared" si="46"/>
        <v/>
      </c>
      <c r="N318" s="7" t="str">
        <f t="shared" si="47"/>
        <v/>
      </c>
      <c r="O318" t="str">
        <f t="shared" si="48"/>
        <v/>
      </c>
      <c r="P318" t="str">
        <f t="shared" si="49"/>
        <v/>
      </c>
      <c r="Q318" t="str">
        <f t="shared" si="50"/>
        <v/>
      </c>
      <c r="S318" t="str">
        <f>""</f>
        <v/>
      </c>
      <c r="AL318" s="18" t="str">
        <f>IF(COUNTIF($A$2:A317, A317) = 1, A317, "")</f>
        <v/>
      </c>
    </row>
    <row r="319" spans="6:38" x14ac:dyDescent="0.2">
      <c r="F319" t="str">
        <f t="shared" si="45"/>
        <v/>
      </c>
      <c r="L319" s="7" t="str">
        <f t="shared" si="46"/>
        <v/>
      </c>
      <c r="N319" s="7" t="str">
        <f t="shared" si="47"/>
        <v/>
      </c>
      <c r="O319" t="str">
        <f t="shared" si="48"/>
        <v/>
      </c>
      <c r="P319" t="str">
        <f t="shared" si="49"/>
        <v/>
      </c>
      <c r="Q319" t="str">
        <f t="shared" si="50"/>
        <v/>
      </c>
      <c r="S319" t="str">
        <f>""</f>
        <v/>
      </c>
      <c r="AL319" s="18" t="str">
        <f>IF(COUNTIF($A$2:A318, A318) = 1, A318, "")</f>
        <v/>
      </c>
    </row>
    <row r="320" spans="6:38" x14ac:dyDescent="0.2">
      <c r="F320" t="str">
        <f t="shared" si="45"/>
        <v/>
      </c>
      <c r="L320" s="7" t="str">
        <f t="shared" si="46"/>
        <v/>
      </c>
      <c r="N320" s="7" t="str">
        <f t="shared" si="47"/>
        <v/>
      </c>
      <c r="O320" t="str">
        <f t="shared" si="48"/>
        <v/>
      </c>
      <c r="P320" t="str">
        <f t="shared" si="49"/>
        <v/>
      </c>
      <c r="Q320" t="str">
        <f t="shared" si="50"/>
        <v/>
      </c>
      <c r="S320" t="str">
        <f>""</f>
        <v/>
      </c>
      <c r="AL320" s="18" t="str">
        <f>IF(COUNTIF($A$2:A319, A319) = 1, A319, "")</f>
        <v/>
      </c>
    </row>
    <row r="321" spans="6:38" x14ac:dyDescent="0.2">
      <c r="F321" t="str">
        <f t="shared" si="45"/>
        <v/>
      </c>
      <c r="L321" s="7" t="str">
        <f t="shared" si="46"/>
        <v/>
      </c>
      <c r="N321" s="7" t="str">
        <f t="shared" si="47"/>
        <v/>
      </c>
      <c r="O321" t="str">
        <f t="shared" si="48"/>
        <v/>
      </c>
      <c r="P321" t="str">
        <f t="shared" si="49"/>
        <v/>
      </c>
      <c r="Q321" t="str">
        <f t="shared" si="50"/>
        <v/>
      </c>
      <c r="S321" t="str">
        <f>""</f>
        <v/>
      </c>
      <c r="AL321" s="18" t="str">
        <f>IF(COUNTIF($A$2:A320, A320) = 1, A320, "")</f>
        <v/>
      </c>
    </row>
    <row r="322" spans="6:38" x14ac:dyDescent="0.2">
      <c r="F322" t="str">
        <f t="shared" si="45"/>
        <v/>
      </c>
      <c r="L322" s="7" t="str">
        <f t="shared" si="46"/>
        <v/>
      </c>
      <c r="N322" s="7" t="str">
        <f t="shared" si="47"/>
        <v/>
      </c>
      <c r="O322" t="str">
        <f t="shared" si="48"/>
        <v/>
      </c>
      <c r="P322" t="str">
        <f t="shared" si="49"/>
        <v/>
      </c>
      <c r="Q322" t="str">
        <f t="shared" si="50"/>
        <v/>
      </c>
      <c r="S322" t="str">
        <f>""</f>
        <v/>
      </c>
      <c r="AL322" s="18" t="str">
        <f>IF(COUNTIF($A$2:A321, A321) = 1, A321, "")</f>
        <v/>
      </c>
    </row>
    <row r="323" spans="6:38" x14ac:dyDescent="0.2">
      <c r="F323" t="str">
        <f t="shared" si="45"/>
        <v/>
      </c>
      <c r="L323" s="7" t="str">
        <f t="shared" si="46"/>
        <v/>
      </c>
      <c r="N323" s="7" t="str">
        <f t="shared" si="47"/>
        <v/>
      </c>
      <c r="O323" t="str">
        <f t="shared" si="48"/>
        <v/>
      </c>
      <c r="P323" t="str">
        <f t="shared" si="49"/>
        <v/>
      </c>
      <c r="Q323" t="str">
        <f t="shared" si="50"/>
        <v/>
      </c>
      <c r="S323" t="str">
        <f>""</f>
        <v/>
      </c>
      <c r="AL323" s="18" t="str">
        <f>IF(COUNTIF($A$2:A322, A322) = 1, A322, "")</f>
        <v/>
      </c>
    </row>
    <row r="324" spans="6:38" x14ac:dyDescent="0.2">
      <c r="F324" t="str">
        <f t="shared" si="45"/>
        <v/>
      </c>
      <c r="L324" s="7" t="str">
        <f t="shared" si="46"/>
        <v/>
      </c>
      <c r="N324" s="7" t="str">
        <f t="shared" si="47"/>
        <v/>
      </c>
      <c r="O324" t="str">
        <f t="shared" si="48"/>
        <v/>
      </c>
      <c r="P324" t="str">
        <f t="shared" si="49"/>
        <v/>
      </c>
      <c r="Q324" t="str">
        <f t="shared" si="50"/>
        <v/>
      </c>
      <c r="S324" t="str">
        <f>""</f>
        <v/>
      </c>
      <c r="AL324" s="18" t="str">
        <f>IF(COUNTIF($A$2:A323, A323) = 1, A323, "")</f>
        <v/>
      </c>
    </row>
    <row r="325" spans="6:38" x14ac:dyDescent="0.2">
      <c r="F325" t="str">
        <f t="shared" si="45"/>
        <v/>
      </c>
      <c r="L325" s="7" t="str">
        <f t="shared" si="46"/>
        <v/>
      </c>
      <c r="N325" s="7" t="str">
        <f t="shared" si="47"/>
        <v/>
      </c>
      <c r="O325" t="str">
        <f t="shared" si="48"/>
        <v/>
      </c>
      <c r="P325" t="str">
        <f t="shared" si="49"/>
        <v/>
      </c>
      <c r="Q325" t="str">
        <f t="shared" si="50"/>
        <v/>
      </c>
      <c r="S325" t="str">
        <f>""</f>
        <v/>
      </c>
      <c r="AL325" s="18" t="str">
        <f>IF(COUNTIF($A$2:A324, A324) = 1, A324, "")</f>
        <v/>
      </c>
    </row>
    <row r="326" spans="6:38" x14ac:dyDescent="0.2">
      <c r="F326" t="str">
        <f t="shared" si="45"/>
        <v/>
      </c>
      <c r="L326" s="7" t="str">
        <f t="shared" si="46"/>
        <v/>
      </c>
      <c r="N326" s="7" t="str">
        <f t="shared" si="47"/>
        <v/>
      </c>
      <c r="O326" t="str">
        <f t="shared" si="48"/>
        <v/>
      </c>
      <c r="P326" t="str">
        <f t="shared" si="49"/>
        <v/>
      </c>
      <c r="Q326" t="str">
        <f t="shared" si="50"/>
        <v/>
      </c>
      <c r="S326" t="str">
        <f>""</f>
        <v/>
      </c>
      <c r="AL326" s="18" t="str">
        <f>IF(COUNTIF($A$2:A325, A325) = 1, A325, "")</f>
        <v/>
      </c>
    </row>
    <row r="327" spans="6:38" x14ac:dyDescent="0.2">
      <c r="F327" t="str">
        <f t="shared" si="45"/>
        <v/>
      </c>
      <c r="L327" s="7" t="str">
        <f t="shared" si="46"/>
        <v/>
      </c>
      <c r="N327" s="7" t="str">
        <f t="shared" si="47"/>
        <v/>
      </c>
      <c r="O327" t="str">
        <f t="shared" si="48"/>
        <v/>
      </c>
      <c r="P327" t="str">
        <f t="shared" si="49"/>
        <v/>
      </c>
      <c r="Q327" t="str">
        <f t="shared" si="50"/>
        <v/>
      </c>
      <c r="S327" t="str">
        <f>""</f>
        <v/>
      </c>
      <c r="AL327" s="18" t="str">
        <f>IF(COUNTIF($A$2:A326, A326) = 1, A326, "")</f>
        <v/>
      </c>
    </row>
    <row r="328" spans="6:38" x14ac:dyDescent="0.2">
      <c r="F328" t="str">
        <f t="shared" si="45"/>
        <v/>
      </c>
      <c r="L328" s="7" t="str">
        <f t="shared" si="46"/>
        <v/>
      </c>
      <c r="N328" s="7" t="str">
        <f t="shared" si="47"/>
        <v/>
      </c>
      <c r="O328" t="str">
        <f t="shared" si="48"/>
        <v/>
      </c>
      <c r="P328" t="str">
        <f t="shared" si="49"/>
        <v/>
      </c>
      <c r="Q328" t="str">
        <f t="shared" si="50"/>
        <v/>
      </c>
      <c r="S328" t="str">
        <f>""</f>
        <v/>
      </c>
      <c r="AL328" s="18" t="str">
        <f>IF(COUNTIF($A$2:A327, A327) = 1, A327, "")</f>
        <v/>
      </c>
    </row>
    <row r="329" spans="6:38" x14ac:dyDescent="0.2">
      <c r="F329" t="str">
        <f t="shared" si="45"/>
        <v/>
      </c>
      <c r="L329" s="7" t="str">
        <f t="shared" si="46"/>
        <v/>
      </c>
      <c r="N329" s="7" t="str">
        <f t="shared" si="47"/>
        <v/>
      </c>
      <c r="O329" t="str">
        <f t="shared" si="48"/>
        <v/>
      </c>
      <c r="P329" t="str">
        <f t="shared" si="49"/>
        <v/>
      </c>
      <c r="Q329" t="str">
        <f t="shared" si="50"/>
        <v/>
      </c>
      <c r="S329" t="str">
        <f>""</f>
        <v/>
      </c>
      <c r="AL329" s="18" t="str">
        <f>IF(COUNTIF($A$2:A328, A328) = 1, A328, "")</f>
        <v/>
      </c>
    </row>
    <row r="330" spans="6:38" x14ac:dyDescent="0.2">
      <c r="F330" t="str">
        <f t="shared" si="45"/>
        <v/>
      </c>
      <c r="L330" s="7" t="str">
        <f t="shared" si="46"/>
        <v/>
      </c>
      <c r="N330" s="7" t="str">
        <f t="shared" si="47"/>
        <v/>
      </c>
      <c r="O330" t="str">
        <f t="shared" si="48"/>
        <v/>
      </c>
      <c r="P330" t="str">
        <f t="shared" si="49"/>
        <v/>
      </c>
      <c r="Q330" t="str">
        <f t="shared" si="50"/>
        <v/>
      </c>
      <c r="S330" t="str">
        <f>""</f>
        <v/>
      </c>
      <c r="AL330" s="18" t="str">
        <f>IF(COUNTIF($A$2:A329, A329) = 1, A329, "")</f>
        <v/>
      </c>
    </row>
    <row r="331" spans="6:38" x14ac:dyDescent="0.2">
      <c r="F331" t="str">
        <f t="shared" si="45"/>
        <v/>
      </c>
      <c r="L331" s="7" t="str">
        <f t="shared" si="46"/>
        <v/>
      </c>
      <c r="N331" s="7" t="str">
        <f t="shared" si="47"/>
        <v/>
      </c>
      <c r="O331" t="str">
        <f t="shared" si="48"/>
        <v/>
      </c>
      <c r="P331" t="str">
        <f t="shared" si="49"/>
        <v/>
      </c>
      <c r="Q331" t="str">
        <f t="shared" si="50"/>
        <v/>
      </c>
      <c r="S331" t="str">
        <f>""</f>
        <v/>
      </c>
      <c r="AL331" s="18" t="str">
        <f>IF(COUNTIF($A$2:A330, A330) = 1, A330, "")</f>
        <v/>
      </c>
    </row>
    <row r="332" spans="6:38" x14ac:dyDescent="0.2">
      <c r="F332" t="str">
        <f t="shared" si="45"/>
        <v/>
      </c>
      <c r="L332" s="7" t="str">
        <f t="shared" si="46"/>
        <v/>
      </c>
      <c r="N332" s="7" t="str">
        <f t="shared" si="47"/>
        <v/>
      </c>
      <c r="O332" t="str">
        <f t="shared" si="48"/>
        <v/>
      </c>
      <c r="P332" t="str">
        <f t="shared" si="49"/>
        <v/>
      </c>
      <c r="Q332" t="str">
        <f t="shared" si="50"/>
        <v/>
      </c>
      <c r="S332" t="str">
        <f>""</f>
        <v/>
      </c>
      <c r="AL332" s="18" t="str">
        <f>IF(COUNTIF($A$2:A331, A331) = 1, A331, "")</f>
        <v/>
      </c>
    </row>
    <row r="333" spans="6:38" x14ac:dyDescent="0.2">
      <c r="F333" t="str">
        <f t="shared" si="45"/>
        <v/>
      </c>
      <c r="L333" s="7" t="str">
        <f t="shared" si="46"/>
        <v/>
      </c>
      <c r="N333" s="7" t="str">
        <f t="shared" si="47"/>
        <v/>
      </c>
      <c r="O333" t="str">
        <f t="shared" si="48"/>
        <v/>
      </c>
      <c r="P333" t="str">
        <f t="shared" si="49"/>
        <v/>
      </c>
      <c r="Q333" t="str">
        <f t="shared" si="50"/>
        <v/>
      </c>
      <c r="S333" t="str">
        <f>""</f>
        <v/>
      </c>
      <c r="AL333" s="18" t="str">
        <f>IF(COUNTIF($A$2:A332, A332) = 1, A332, "")</f>
        <v/>
      </c>
    </row>
    <row r="334" spans="6:38" x14ac:dyDescent="0.2">
      <c r="F334" t="str">
        <f t="shared" si="45"/>
        <v/>
      </c>
      <c r="L334" s="7" t="str">
        <f t="shared" si="46"/>
        <v/>
      </c>
      <c r="N334" s="7" t="str">
        <f t="shared" si="47"/>
        <v/>
      </c>
      <c r="O334" t="str">
        <f t="shared" si="48"/>
        <v/>
      </c>
      <c r="P334" t="str">
        <f t="shared" si="49"/>
        <v/>
      </c>
      <c r="Q334" t="str">
        <f t="shared" si="50"/>
        <v/>
      </c>
      <c r="S334" t="str">
        <f>""</f>
        <v/>
      </c>
      <c r="AL334" s="18" t="str">
        <f>IF(COUNTIF($A$2:A333, A333) = 1, A333, "")</f>
        <v/>
      </c>
    </row>
    <row r="335" spans="6:38" x14ac:dyDescent="0.2">
      <c r="F335" t="str">
        <f t="shared" si="45"/>
        <v/>
      </c>
      <c r="L335" s="7" t="str">
        <f t="shared" si="46"/>
        <v/>
      </c>
      <c r="N335" s="7" t="str">
        <f t="shared" si="47"/>
        <v/>
      </c>
      <c r="O335" t="str">
        <f t="shared" si="48"/>
        <v/>
      </c>
      <c r="P335" t="str">
        <f t="shared" si="49"/>
        <v/>
      </c>
      <c r="Q335" t="str">
        <f t="shared" si="50"/>
        <v/>
      </c>
      <c r="S335" t="str">
        <f>""</f>
        <v/>
      </c>
      <c r="AL335" s="18" t="str">
        <f>IF(COUNTIF($A$2:A334, A334) = 1, A334, "")</f>
        <v/>
      </c>
    </row>
    <row r="336" spans="6:38" x14ac:dyDescent="0.2">
      <c r="F336" t="str">
        <f t="shared" ref="F336:F399" si="51">IF(OR(O336="", P336=""), "", SUM(IF((O336&lt;&gt;"None")*(O336&lt;&gt;""),LEN(O336)-LEN(SUBSTITUTE(O336,",",""))+1,0)) + SUM(IF((P336&lt;&gt;"None")*(P336&lt;&gt;""),LEN(P336)-LEN(SUBSTITUTE(P336,",",""))+1,0)))</f>
        <v/>
      </c>
      <c r="L336" s="7" t="str">
        <f t="shared" ref="L336:L399" si="52">IF(LEN(E336)=0, "", IFERROR(IF(E336&gt;=0, K336 * (1 + E336/100) - K336, K336 / (ABS(E336)/100))+K336, ""))</f>
        <v/>
      </c>
      <c r="N336" s="7" t="str">
        <f t="shared" ref="N336:N399" si="53">IF(M336="Yes",L336-K336,IF(M336="No",-K336,""))</f>
        <v/>
      </c>
      <c r="O336" t="str">
        <f t="shared" ref="O336:O399" si="54">IF(AND(G336="No",H336="No"), "None", "")</f>
        <v/>
      </c>
      <c r="P336" t="str">
        <f t="shared" ref="P336:P399" si="55">IF(I336="No", "None", "")</f>
        <v/>
      </c>
      <c r="Q336" t="str">
        <f t="shared" ref="Q336:Q399" si="56">IF(AND(D336="Straight", M336 = "No"),IF(O336="None",P336,IF(P336="None",O336) ),"")</f>
        <v/>
      </c>
      <c r="S336" t="str">
        <f>""</f>
        <v/>
      </c>
      <c r="AL336" s="18" t="str">
        <f>IF(COUNTIF($A$2:A335, A335) = 1, A335, "")</f>
        <v/>
      </c>
    </row>
    <row r="337" spans="6:38" x14ac:dyDescent="0.2">
      <c r="F337" t="str">
        <f t="shared" si="51"/>
        <v/>
      </c>
      <c r="L337" s="7" t="str">
        <f t="shared" si="52"/>
        <v/>
      </c>
      <c r="N337" s="7" t="str">
        <f t="shared" si="53"/>
        <v/>
      </c>
      <c r="O337" t="str">
        <f t="shared" si="54"/>
        <v/>
      </c>
      <c r="P337" t="str">
        <f t="shared" si="55"/>
        <v/>
      </c>
      <c r="Q337" t="str">
        <f t="shared" si="56"/>
        <v/>
      </c>
      <c r="S337" t="str">
        <f>""</f>
        <v/>
      </c>
      <c r="AL337" s="18" t="str">
        <f>IF(COUNTIF($A$2:A336, A336) = 1, A336, "")</f>
        <v/>
      </c>
    </row>
    <row r="338" spans="6:38" x14ac:dyDescent="0.2">
      <c r="F338" t="str">
        <f t="shared" si="51"/>
        <v/>
      </c>
      <c r="L338" s="7" t="str">
        <f t="shared" si="52"/>
        <v/>
      </c>
      <c r="N338" s="7" t="str">
        <f t="shared" si="53"/>
        <v/>
      </c>
      <c r="O338" t="str">
        <f t="shared" si="54"/>
        <v/>
      </c>
      <c r="P338" t="str">
        <f t="shared" si="55"/>
        <v/>
      </c>
      <c r="Q338" t="str">
        <f t="shared" si="56"/>
        <v/>
      </c>
      <c r="S338" t="str">
        <f>""</f>
        <v/>
      </c>
      <c r="AL338" s="18" t="str">
        <f>IF(COUNTIF($A$2:A337, A337) = 1, A337, "")</f>
        <v/>
      </c>
    </row>
    <row r="339" spans="6:38" x14ac:dyDescent="0.2">
      <c r="F339" t="str">
        <f t="shared" si="51"/>
        <v/>
      </c>
      <c r="L339" s="7" t="str">
        <f t="shared" si="52"/>
        <v/>
      </c>
      <c r="N339" s="7" t="str">
        <f t="shared" si="53"/>
        <v/>
      </c>
      <c r="O339" t="str">
        <f t="shared" si="54"/>
        <v/>
      </c>
      <c r="P339" t="str">
        <f t="shared" si="55"/>
        <v/>
      </c>
      <c r="Q339" t="str">
        <f t="shared" si="56"/>
        <v/>
      </c>
      <c r="S339" t="str">
        <f>""</f>
        <v/>
      </c>
      <c r="AL339" s="18" t="str">
        <f>IF(COUNTIF($A$2:A338, A338) = 1, A338, "")</f>
        <v/>
      </c>
    </row>
    <row r="340" spans="6:38" x14ac:dyDescent="0.2">
      <c r="F340" t="str">
        <f t="shared" si="51"/>
        <v/>
      </c>
      <c r="L340" s="7" t="str">
        <f t="shared" si="52"/>
        <v/>
      </c>
      <c r="N340" s="7" t="str">
        <f t="shared" si="53"/>
        <v/>
      </c>
      <c r="O340" t="str">
        <f t="shared" si="54"/>
        <v/>
      </c>
      <c r="P340" t="str">
        <f t="shared" si="55"/>
        <v/>
      </c>
      <c r="Q340" t="str">
        <f t="shared" si="56"/>
        <v/>
      </c>
      <c r="S340" t="str">
        <f>""</f>
        <v/>
      </c>
      <c r="AL340" s="18" t="str">
        <f>IF(COUNTIF($A$2:A339, A339) = 1, A339, "")</f>
        <v/>
      </c>
    </row>
    <row r="341" spans="6:38" x14ac:dyDescent="0.2">
      <c r="F341" t="str">
        <f t="shared" si="51"/>
        <v/>
      </c>
      <c r="L341" s="7" t="str">
        <f t="shared" si="52"/>
        <v/>
      </c>
      <c r="N341" s="7" t="str">
        <f t="shared" si="53"/>
        <v/>
      </c>
      <c r="O341" t="str">
        <f t="shared" si="54"/>
        <v/>
      </c>
      <c r="P341" t="str">
        <f t="shared" si="55"/>
        <v/>
      </c>
      <c r="Q341" t="str">
        <f t="shared" si="56"/>
        <v/>
      </c>
      <c r="S341" t="str">
        <f>""</f>
        <v/>
      </c>
      <c r="AL341" s="18" t="str">
        <f>IF(COUNTIF($A$2:A340, A340) = 1, A340, "")</f>
        <v/>
      </c>
    </row>
    <row r="342" spans="6:38" x14ac:dyDescent="0.2">
      <c r="F342" t="str">
        <f t="shared" si="51"/>
        <v/>
      </c>
      <c r="L342" s="7" t="str">
        <f t="shared" si="52"/>
        <v/>
      </c>
      <c r="N342" s="7" t="str">
        <f t="shared" si="53"/>
        <v/>
      </c>
      <c r="O342" t="str">
        <f t="shared" si="54"/>
        <v/>
      </c>
      <c r="P342" t="str">
        <f t="shared" si="55"/>
        <v/>
      </c>
      <c r="Q342" t="str">
        <f t="shared" si="56"/>
        <v/>
      </c>
      <c r="S342" t="str">
        <f>""</f>
        <v/>
      </c>
      <c r="AL342" s="18" t="str">
        <f>IF(COUNTIF($A$2:A341, A341) = 1, A341, "")</f>
        <v/>
      </c>
    </row>
    <row r="343" spans="6:38" x14ac:dyDescent="0.2">
      <c r="F343" t="str">
        <f t="shared" si="51"/>
        <v/>
      </c>
      <c r="L343" s="7" t="str">
        <f t="shared" si="52"/>
        <v/>
      </c>
      <c r="N343" s="7" t="str">
        <f t="shared" si="53"/>
        <v/>
      </c>
      <c r="O343" t="str">
        <f t="shared" si="54"/>
        <v/>
      </c>
      <c r="P343" t="str">
        <f t="shared" si="55"/>
        <v/>
      </c>
      <c r="Q343" t="str">
        <f t="shared" si="56"/>
        <v/>
      </c>
      <c r="S343" t="str">
        <f>""</f>
        <v/>
      </c>
      <c r="AL343" s="18" t="str">
        <f>IF(COUNTIF($A$2:A342, A342) = 1, A342, "")</f>
        <v/>
      </c>
    </row>
    <row r="344" spans="6:38" x14ac:dyDescent="0.2">
      <c r="F344" t="str">
        <f t="shared" si="51"/>
        <v/>
      </c>
      <c r="L344" s="7" t="str">
        <f t="shared" si="52"/>
        <v/>
      </c>
      <c r="N344" s="7" t="str">
        <f t="shared" si="53"/>
        <v/>
      </c>
      <c r="O344" t="str">
        <f t="shared" si="54"/>
        <v/>
      </c>
      <c r="P344" t="str">
        <f t="shared" si="55"/>
        <v/>
      </c>
      <c r="Q344" t="str">
        <f t="shared" si="56"/>
        <v/>
      </c>
      <c r="S344" t="str">
        <f>""</f>
        <v/>
      </c>
      <c r="AL344" s="18" t="str">
        <f>IF(COUNTIF($A$2:A343, A343) = 1, A343, "")</f>
        <v/>
      </c>
    </row>
    <row r="345" spans="6:38" x14ac:dyDescent="0.2">
      <c r="F345" t="str">
        <f t="shared" si="51"/>
        <v/>
      </c>
      <c r="L345" s="7" t="str">
        <f t="shared" si="52"/>
        <v/>
      </c>
      <c r="N345" s="7" t="str">
        <f t="shared" si="53"/>
        <v/>
      </c>
      <c r="O345" t="str">
        <f t="shared" si="54"/>
        <v/>
      </c>
      <c r="P345" t="str">
        <f t="shared" si="55"/>
        <v/>
      </c>
      <c r="Q345" t="str">
        <f t="shared" si="56"/>
        <v/>
      </c>
      <c r="S345" t="str">
        <f>""</f>
        <v/>
      </c>
      <c r="AL345" s="18" t="str">
        <f>IF(COUNTIF($A$2:A344, A344) = 1, A344, "")</f>
        <v/>
      </c>
    </row>
    <row r="346" spans="6:38" x14ac:dyDescent="0.2">
      <c r="F346" t="str">
        <f t="shared" si="51"/>
        <v/>
      </c>
      <c r="L346" s="7" t="str">
        <f t="shared" si="52"/>
        <v/>
      </c>
      <c r="N346" s="7" t="str">
        <f t="shared" si="53"/>
        <v/>
      </c>
      <c r="O346" t="str">
        <f t="shared" si="54"/>
        <v/>
      </c>
      <c r="P346" t="str">
        <f t="shared" si="55"/>
        <v/>
      </c>
      <c r="Q346" t="str">
        <f t="shared" si="56"/>
        <v/>
      </c>
      <c r="S346" t="str">
        <f>""</f>
        <v/>
      </c>
      <c r="AL346" s="18" t="str">
        <f>IF(COUNTIF($A$2:A345, A345) = 1, A345, "")</f>
        <v/>
      </c>
    </row>
    <row r="347" spans="6:38" x14ac:dyDescent="0.2">
      <c r="F347" t="str">
        <f t="shared" si="51"/>
        <v/>
      </c>
      <c r="L347" s="7" t="str">
        <f t="shared" si="52"/>
        <v/>
      </c>
      <c r="N347" s="7" t="str">
        <f t="shared" si="53"/>
        <v/>
      </c>
      <c r="O347" t="str">
        <f t="shared" si="54"/>
        <v/>
      </c>
      <c r="P347" t="str">
        <f t="shared" si="55"/>
        <v/>
      </c>
      <c r="Q347" t="str">
        <f t="shared" si="56"/>
        <v/>
      </c>
      <c r="S347" t="str">
        <f>""</f>
        <v/>
      </c>
      <c r="AL347" s="18" t="str">
        <f>IF(COUNTIF($A$2:A346, A346) = 1, A346, "")</f>
        <v/>
      </c>
    </row>
    <row r="348" spans="6:38" x14ac:dyDescent="0.2">
      <c r="F348" t="str">
        <f t="shared" si="51"/>
        <v/>
      </c>
      <c r="L348" s="7" t="str">
        <f t="shared" si="52"/>
        <v/>
      </c>
      <c r="N348" s="7" t="str">
        <f t="shared" si="53"/>
        <v/>
      </c>
      <c r="O348" t="str">
        <f t="shared" si="54"/>
        <v/>
      </c>
      <c r="P348" t="str">
        <f t="shared" si="55"/>
        <v/>
      </c>
      <c r="Q348" t="str">
        <f t="shared" si="56"/>
        <v/>
      </c>
      <c r="S348" t="str">
        <f>""</f>
        <v/>
      </c>
      <c r="AL348" s="18" t="str">
        <f>IF(COUNTIF($A$2:A347, A347) = 1, A347, "")</f>
        <v/>
      </c>
    </row>
    <row r="349" spans="6:38" x14ac:dyDescent="0.2">
      <c r="F349" t="str">
        <f t="shared" si="51"/>
        <v/>
      </c>
      <c r="L349" s="7" t="str">
        <f t="shared" si="52"/>
        <v/>
      </c>
      <c r="N349" s="7" t="str">
        <f t="shared" si="53"/>
        <v/>
      </c>
      <c r="O349" t="str">
        <f t="shared" si="54"/>
        <v/>
      </c>
      <c r="P349" t="str">
        <f t="shared" si="55"/>
        <v/>
      </c>
      <c r="Q349" t="str">
        <f t="shared" si="56"/>
        <v/>
      </c>
      <c r="S349" t="str">
        <f>""</f>
        <v/>
      </c>
      <c r="AL349" s="18" t="str">
        <f>IF(COUNTIF($A$2:A348, A348) = 1, A348, "")</f>
        <v/>
      </c>
    </row>
    <row r="350" spans="6:38" x14ac:dyDescent="0.2">
      <c r="F350" t="str">
        <f t="shared" si="51"/>
        <v/>
      </c>
      <c r="L350" s="7" t="str">
        <f t="shared" si="52"/>
        <v/>
      </c>
      <c r="N350" s="7" t="str">
        <f t="shared" si="53"/>
        <v/>
      </c>
      <c r="O350" t="str">
        <f t="shared" si="54"/>
        <v/>
      </c>
      <c r="P350" t="str">
        <f t="shared" si="55"/>
        <v/>
      </c>
      <c r="Q350" t="str">
        <f t="shared" si="56"/>
        <v/>
      </c>
      <c r="S350" t="str">
        <f>""</f>
        <v/>
      </c>
      <c r="AL350" s="18" t="str">
        <f>IF(COUNTIF($A$2:A349, A349) = 1, A349, "")</f>
        <v/>
      </c>
    </row>
    <row r="351" spans="6:38" x14ac:dyDescent="0.2">
      <c r="F351" t="str">
        <f t="shared" si="51"/>
        <v/>
      </c>
      <c r="L351" s="7" t="str">
        <f t="shared" si="52"/>
        <v/>
      </c>
      <c r="N351" s="7" t="str">
        <f t="shared" si="53"/>
        <v/>
      </c>
      <c r="O351" t="str">
        <f t="shared" si="54"/>
        <v/>
      </c>
      <c r="P351" t="str">
        <f t="shared" si="55"/>
        <v/>
      </c>
      <c r="Q351" t="str">
        <f t="shared" si="56"/>
        <v/>
      </c>
      <c r="S351" t="str">
        <f>""</f>
        <v/>
      </c>
      <c r="AL351" s="18" t="str">
        <f>IF(COUNTIF($A$2:A350, A350) = 1, A350, "")</f>
        <v/>
      </c>
    </row>
    <row r="352" spans="6:38" x14ac:dyDescent="0.2">
      <c r="F352" t="str">
        <f t="shared" si="51"/>
        <v/>
      </c>
      <c r="L352" s="7" t="str">
        <f t="shared" si="52"/>
        <v/>
      </c>
      <c r="N352" s="7" t="str">
        <f t="shared" si="53"/>
        <v/>
      </c>
      <c r="O352" t="str">
        <f t="shared" si="54"/>
        <v/>
      </c>
      <c r="P352" t="str">
        <f t="shared" si="55"/>
        <v/>
      </c>
      <c r="Q352" t="str">
        <f t="shared" si="56"/>
        <v/>
      </c>
      <c r="S352" t="str">
        <f>""</f>
        <v/>
      </c>
      <c r="AL352" s="18" t="str">
        <f>IF(COUNTIF($A$2:A351, A351) = 1, A351, "")</f>
        <v/>
      </c>
    </row>
    <row r="353" spans="6:38" x14ac:dyDescent="0.2">
      <c r="F353" t="str">
        <f t="shared" si="51"/>
        <v/>
      </c>
      <c r="L353" s="7" t="str">
        <f t="shared" si="52"/>
        <v/>
      </c>
      <c r="N353" s="7" t="str">
        <f t="shared" si="53"/>
        <v/>
      </c>
      <c r="O353" t="str">
        <f t="shared" si="54"/>
        <v/>
      </c>
      <c r="P353" t="str">
        <f t="shared" si="55"/>
        <v/>
      </c>
      <c r="Q353" t="str">
        <f t="shared" si="56"/>
        <v/>
      </c>
      <c r="S353" t="str">
        <f>""</f>
        <v/>
      </c>
      <c r="AL353" s="18" t="str">
        <f>IF(COUNTIF($A$2:A352, A352) = 1, A352, "")</f>
        <v/>
      </c>
    </row>
    <row r="354" spans="6:38" x14ac:dyDescent="0.2">
      <c r="F354" t="str">
        <f t="shared" si="51"/>
        <v/>
      </c>
      <c r="L354" s="7" t="str">
        <f t="shared" si="52"/>
        <v/>
      </c>
      <c r="N354" s="7" t="str">
        <f t="shared" si="53"/>
        <v/>
      </c>
      <c r="O354" t="str">
        <f t="shared" si="54"/>
        <v/>
      </c>
      <c r="P354" t="str">
        <f t="shared" si="55"/>
        <v/>
      </c>
      <c r="Q354" t="str">
        <f t="shared" si="56"/>
        <v/>
      </c>
      <c r="S354" t="str">
        <f>""</f>
        <v/>
      </c>
      <c r="AL354" s="18" t="str">
        <f>IF(COUNTIF($A$2:A353, A353) = 1, A353, "")</f>
        <v/>
      </c>
    </row>
    <row r="355" spans="6:38" x14ac:dyDescent="0.2">
      <c r="F355" t="str">
        <f t="shared" si="51"/>
        <v/>
      </c>
      <c r="L355" s="7" t="str">
        <f t="shared" si="52"/>
        <v/>
      </c>
      <c r="N355" s="7" t="str">
        <f t="shared" si="53"/>
        <v/>
      </c>
      <c r="O355" t="str">
        <f t="shared" si="54"/>
        <v/>
      </c>
      <c r="P355" t="str">
        <f t="shared" si="55"/>
        <v/>
      </c>
      <c r="Q355" t="str">
        <f t="shared" si="56"/>
        <v/>
      </c>
      <c r="S355" t="str">
        <f>""</f>
        <v/>
      </c>
      <c r="AL355" s="18" t="str">
        <f>IF(COUNTIF($A$2:A354, A354) = 1, A354, "")</f>
        <v/>
      </c>
    </row>
    <row r="356" spans="6:38" x14ac:dyDescent="0.2">
      <c r="F356" t="str">
        <f t="shared" si="51"/>
        <v/>
      </c>
      <c r="L356" s="7" t="str">
        <f t="shared" si="52"/>
        <v/>
      </c>
      <c r="N356" s="7" t="str">
        <f t="shared" si="53"/>
        <v/>
      </c>
      <c r="O356" t="str">
        <f t="shared" si="54"/>
        <v/>
      </c>
      <c r="P356" t="str">
        <f t="shared" si="55"/>
        <v/>
      </c>
      <c r="Q356" t="str">
        <f t="shared" si="56"/>
        <v/>
      </c>
      <c r="S356" t="str">
        <f>""</f>
        <v/>
      </c>
      <c r="AL356" s="18" t="str">
        <f>IF(COUNTIF($A$2:A355, A355) = 1, A355, "")</f>
        <v/>
      </c>
    </row>
    <row r="357" spans="6:38" x14ac:dyDescent="0.2">
      <c r="F357" t="str">
        <f t="shared" si="51"/>
        <v/>
      </c>
      <c r="L357" s="7" t="str">
        <f t="shared" si="52"/>
        <v/>
      </c>
      <c r="N357" s="7" t="str">
        <f t="shared" si="53"/>
        <v/>
      </c>
      <c r="O357" t="str">
        <f t="shared" si="54"/>
        <v/>
      </c>
      <c r="P357" t="str">
        <f t="shared" si="55"/>
        <v/>
      </c>
      <c r="Q357" t="str">
        <f t="shared" si="56"/>
        <v/>
      </c>
      <c r="S357" t="str">
        <f>""</f>
        <v/>
      </c>
      <c r="AL357" s="18" t="str">
        <f>IF(COUNTIF($A$2:A356, A356) = 1, A356, "")</f>
        <v/>
      </c>
    </row>
    <row r="358" spans="6:38" x14ac:dyDescent="0.2">
      <c r="F358" t="str">
        <f t="shared" si="51"/>
        <v/>
      </c>
      <c r="L358" s="7" t="str">
        <f t="shared" si="52"/>
        <v/>
      </c>
      <c r="N358" s="7" t="str">
        <f t="shared" si="53"/>
        <v/>
      </c>
      <c r="O358" t="str">
        <f t="shared" si="54"/>
        <v/>
      </c>
      <c r="P358" t="str">
        <f t="shared" si="55"/>
        <v/>
      </c>
      <c r="Q358" t="str">
        <f t="shared" si="56"/>
        <v/>
      </c>
      <c r="S358" t="str">
        <f>""</f>
        <v/>
      </c>
      <c r="AL358" s="18" t="str">
        <f>IF(COUNTIF($A$2:A357, A357) = 1, A357, "")</f>
        <v/>
      </c>
    </row>
    <row r="359" spans="6:38" x14ac:dyDescent="0.2">
      <c r="F359" t="str">
        <f t="shared" si="51"/>
        <v/>
      </c>
      <c r="L359" s="7" t="str">
        <f t="shared" si="52"/>
        <v/>
      </c>
      <c r="N359" s="7" t="str">
        <f t="shared" si="53"/>
        <v/>
      </c>
      <c r="O359" t="str">
        <f t="shared" si="54"/>
        <v/>
      </c>
      <c r="P359" t="str">
        <f t="shared" si="55"/>
        <v/>
      </c>
      <c r="Q359" t="str">
        <f t="shared" si="56"/>
        <v/>
      </c>
      <c r="S359" t="str">
        <f>""</f>
        <v/>
      </c>
      <c r="AL359" s="18" t="str">
        <f>IF(COUNTIF($A$2:A358, A358) = 1, A358, "")</f>
        <v/>
      </c>
    </row>
    <row r="360" spans="6:38" x14ac:dyDescent="0.2">
      <c r="F360" t="str">
        <f t="shared" si="51"/>
        <v/>
      </c>
      <c r="L360" s="7" t="str">
        <f t="shared" si="52"/>
        <v/>
      </c>
      <c r="N360" s="7" t="str">
        <f t="shared" si="53"/>
        <v/>
      </c>
      <c r="O360" t="str">
        <f t="shared" si="54"/>
        <v/>
      </c>
      <c r="P360" t="str">
        <f t="shared" si="55"/>
        <v/>
      </c>
      <c r="Q360" t="str">
        <f t="shared" si="56"/>
        <v/>
      </c>
      <c r="S360" t="str">
        <f>""</f>
        <v/>
      </c>
      <c r="AL360" s="18" t="str">
        <f>IF(COUNTIF($A$2:A359, A359) = 1, A359, "")</f>
        <v/>
      </c>
    </row>
    <row r="361" spans="6:38" x14ac:dyDescent="0.2">
      <c r="F361" t="str">
        <f t="shared" si="51"/>
        <v/>
      </c>
      <c r="L361" s="7" t="str">
        <f t="shared" si="52"/>
        <v/>
      </c>
      <c r="N361" s="7" t="str">
        <f t="shared" si="53"/>
        <v/>
      </c>
      <c r="O361" t="str">
        <f t="shared" si="54"/>
        <v/>
      </c>
      <c r="P361" t="str">
        <f t="shared" si="55"/>
        <v/>
      </c>
      <c r="Q361" t="str">
        <f t="shared" si="56"/>
        <v/>
      </c>
      <c r="S361" t="str">
        <f>""</f>
        <v/>
      </c>
      <c r="AL361" s="18" t="str">
        <f>IF(COUNTIF($A$2:A360, A360) = 1, A360, "")</f>
        <v/>
      </c>
    </row>
    <row r="362" spans="6:38" x14ac:dyDescent="0.2">
      <c r="F362" t="str">
        <f t="shared" si="51"/>
        <v/>
      </c>
      <c r="L362" s="7" t="str">
        <f t="shared" si="52"/>
        <v/>
      </c>
      <c r="N362" s="7" t="str">
        <f t="shared" si="53"/>
        <v/>
      </c>
      <c r="O362" t="str">
        <f t="shared" si="54"/>
        <v/>
      </c>
      <c r="P362" t="str">
        <f t="shared" si="55"/>
        <v/>
      </c>
      <c r="Q362" t="str">
        <f t="shared" si="56"/>
        <v/>
      </c>
      <c r="S362" t="str">
        <f>""</f>
        <v/>
      </c>
      <c r="AL362" s="18" t="str">
        <f>IF(COUNTIF($A$2:A361, A361) = 1, A361, "")</f>
        <v/>
      </c>
    </row>
    <row r="363" spans="6:38" x14ac:dyDescent="0.2">
      <c r="F363" t="str">
        <f t="shared" si="51"/>
        <v/>
      </c>
      <c r="L363" s="7" t="str">
        <f t="shared" si="52"/>
        <v/>
      </c>
      <c r="N363" s="7" t="str">
        <f t="shared" si="53"/>
        <v/>
      </c>
      <c r="O363" t="str">
        <f t="shared" si="54"/>
        <v/>
      </c>
      <c r="P363" t="str">
        <f t="shared" si="55"/>
        <v/>
      </c>
      <c r="Q363" t="str">
        <f t="shared" si="56"/>
        <v/>
      </c>
      <c r="S363" t="str">
        <f>""</f>
        <v/>
      </c>
      <c r="AL363" s="18" t="str">
        <f>IF(COUNTIF($A$2:A362, A362) = 1, A362, "")</f>
        <v/>
      </c>
    </row>
    <row r="364" spans="6:38" x14ac:dyDescent="0.2">
      <c r="F364" t="str">
        <f t="shared" si="51"/>
        <v/>
      </c>
      <c r="L364" s="7" t="str">
        <f t="shared" si="52"/>
        <v/>
      </c>
      <c r="N364" s="7" t="str">
        <f t="shared" si="53"/>
        <v/>
      </c>
      <c r="O364" t="str">
        <f t="shared" si="54"/>
        <v/>
      </c>
      <c r="P364" t="str">
        <f t="shared" si="55"/>
        <v/>
      </c>
      <c r="Q364" t="str">
        <f t="shared" si="56"/>
        <v/>
      </c>
      <c r="S364" t="str">
        <f>""</f>
        <v/>
      </c>
      <c r="AL364" s="18" t="str">
        <f>IF(COUNTIF($A$2:A363, A363) = 1, A363, "")</f>
        <v/>
      </c>
    </row>
    <row r="365" spans="6:38" x14ac:dyDescent="0.2">
      <c r="F365" t="str">
        <f t="shared" si="51"/>
        <v/>
      </c>
      <c r="L365" s="7" t="str">
        <f t="shared" si="52"/>
        <v/>
      </c>
      <c r="N365" s="7" t="str">
        <f t="shared" si="53"/>
        <v/>
      </c>
      <c r="O365" t="str">
        <f t="shared" si="54"/>
        <v/>
      </c>
      <c r="P365" t="str">
        <f t="shared" si="55"/>
        <v/>
      </c>
      <c r="Q365" t="str">
        <f t="shared" si="56"/>
        <v/>
      </c>
      <c r="S365" t="str">
        <f>""</f>
        <v/>
      </c>
      <c r="AL365" s="18" t="str">
        <f>IF(COUNTIF($A$2:A364, A364) = 1, A364, "")</f>
        <v/>
      </c>
    </row>
    <row r="366" spans="6:38" x14ac:dyDescent="0.2">
      <c r="F366" t="str">
        <f t="shared" si="51"/>
        <v/>
      </c>
      <c r="L366" s="7" t="str">
        <f t="shared" si="52"/>
        <v/>
      </c>
      <c r="N366" s="7" t="str">
        <f t="shared" si="53"/>
        <v/>
      </c>
      <c r="O366" t="str">
        <f t="shared" si="54"/>
        <v/>
      </c>
      <c r="P366" t="str">
        <f t="shared" si="55"/>
        <v/>
      </c>
      <c r="Q366" t="str">
        <f t="shared" si="56"/>
        <v/>
      </c>
      <c r="S366" t="str">
        <f>""</f>
        <v/>
      </c>
      <c r="AL366" s="18" t="str">
        <f>IF(COUNTIF($A$2:A365, A365) = 1, A365, "")</f>
        <v/>
      </c>
    </row>
    <row r="367" spans="6:38" x14ac:dyDescent="0.2">
      <c r="F367" t="str">
        <f t="shared" si="51"/>
        <v/>
      </c>
      <c r="L367" s="7" t="str">
        <f t="shared" si="52"/>
        <v/>
      </c>
      <c r="N367" s="7" t="str">
        <f t="shared" si="53"/>
        <v/>
      </c>
      <c r="O367" t="str">
        <f t="shared" si="54"/>
        <v/>
      </c>
      <c r="P367" t="str">
        <f t="shared" si="55"/>
        <v/>
      </c>
      <c r="Q367" t="str">
        <f t="shared" si="56"/>
        <v/>
      </c>
      <c r="S367" t="str">
        <f>""</f>
        <v/>
      </c>
      <c r="AL367" s="18" t="str">
        <f>IF(COUNTIF($A$2:A366, A366) = 1, A366, "")</f>
        <v/>
      </c>
    </row>
    <row r="368" spans="6:38" x14ac:dyDescent="0.2">
      <c r="F368" t="str">
        <f t="shared" si="51"/>
        <v/>
      </c>
      <c r="L368" s="7" t="str">
        <f t="shared" si="52"/>
        <v/>
      </c>
      <c r="N368" s="7" t="str">
        <f t="shared" si="53"/>
        <v/>
      </c>
      <c r="O368" t="str">
        <f t="shared" si="54"/>
        <v/>
      </c>
      <c r="P368" t="str">
        <f t="shared" si="55"/>
        <v/>
      </c>
      <c r="Q368" t="str">
        <f t="shared" si="56"/>
        <v/>
      </c>
      <c r="S368" t="str">
        <f>""</f>
        <v/>
      </c>
      <c r="AL368" s="18" t="str">
        <f>IF(COUNTIF($A$2:A367, A367) = 1, A367, "")</f>
        <v/>
      </c>
    </row>
    <row r="369" spans="6:38" x14ac:dyDescent="0.2">
      <c r="F369" t="str">
        <f t="shared" si="51"/>
        <v/>
      </c>
      <c r="L369" s="7" t="str">
        <f t="shared" si="52"/>
        <v/>
      </c>
      <c r="N369" s="7" t="str">
        <f t="shared" si="53"/>
        <v/>
      </c>
      <c r="O369" t="str">
        <f t="shared" si="54"/>
        <v/>
      </c>
      <c r="P369" t="str">
        <f t="shared" si="55"/>
        <v/>
      </c>
      <c r="Q369" t="str">
        <f t="shared" si="56"/>
        <v/>
      </c>
      <c r="S369" t="str">
        <f>""</f>
        <v/>
      </c>
      <c r="AL369" s="18" t="str">
        <f>IF(COUNTIF($A$2:A368, A368) = 1, A368, "")</f>
        <v/>
      </c>
    </row>
    <row r="370" spans="6:38" x14ac:dyDescent="0.2">
      <c r="F370" t="str">
        <f t="shared" si="51"/>
        <v/>
      </c>
      <c r="L370" s="7" t="str">
        <f t="shared" si="52"/>
        <v/>
      </c>
      <c r="N370" s="7" t="str">
        <f t="shared" si="53"/>
        <v/>
      </c>
      <c r="O370" t="str">
        <f t="shared" si="54"/>
        <v/>
      </c>
      <c r="P370" t="str">
        <f t="shared" si="55"/>
        <v/>
      </c>
      <c r="Q370" t="str">
        <f t="shared" si="56"/>
        <v/>
      </c>
      <c r="S370" t="str">
        <f>""</f>
        <v/>
      </c>
      <c r="AL370" s="18" t="str">
        <f>IF(COUNTIF($A$2:A369, A369) = 1, A369, "")</f>
        <v/>
      </c>
    </row>
    <row r="371" spans="6:38" x14ac:dyDescent="0.2">
      <c r="F371" t="str">
        <f t="shared" si="51"/>
        <v/>
      </c>
      <c r="L371" s="7" t="str">
        <f t="shared" si="52"/>
        <v/>
      </c>
      <c r="N371" s="7" t="str">
        <f t="shared" si="53"/>
        <v/>
      </c>
      <c r="O371" t="str">
        <f t="shared" si="54"/>
        <v/>
      </c>
      <c r="P371" t="str">
        <f t="shared" si="55"/>
        <v/>
      </c>
      <c r="Q371" t="str">
        <f t="shared" si="56"/>
        <v/>
      </c>
      <c r="S371" t="str">
        <f>""</f>
        <v/>
      </c>
      <c r="AL371" s="18" t="str">
        <f>IF(COUNTIF($A$2:A370, A370) = 1, A370, "")</f>
        <v/>
      </c>
    </row>
    <row r="372" spans="6:38" x14ac:dyDescent="0.2">
      <c r="F372" t="str">
        <f t="shared" si="51"/>
        <v/>
      </c>
      <c r="L372" s="7" t="str">
        <f t="shared" si="52"/>
        <v/>
      </c>
      <c r="N372" s="7" t="str">
        <f t="shared" si="53"/>
        <v/>
      </c>
      <c r="O372" t="str">
        <f t="shared" si="54"/>
        <v/>
      </c>
      <c r="P372" t="str">
        <f t="shared" si="55"/>
        <v/>
      </c>
      <c r="Q372" t="str">
        <f t="shared" si="56"/>
        <v/>
      </c>
      <c r="S372" t="str">
        <f>""</f>
        <v/>
      </c>
      <c r="AL372" s="18" t="str">
        <f>IF(COUNTIF($A$2:A371, A371) = 1, A371, "")</f>
        <v/>
      </c>
    </row>
    <row r="373" spans="6:38" x14ac:dyDescent="0.2">
      <c r="F373" t="str">
        <f t="shared" si="51"/>
        <v/>
      </c>
      <c r="L373" s="7" t="str">
        <f t="shared" si="52"/>
        <v/>
      </c>
      <c r="N373" s="7" t="str">
        <f t="shared" si="53"/>
        <v/>
      </c>
      <c r="O373" t="str">
        <f t="shared" si="54"/>
        <v/>
      </c>
      <c r="P373" t="str">
        <f t="shared" si="55"/>
        <v/>
      </c>
      <c r="Q373" t="str">
        <f t="shared" si="56"/>
        <v/>
      </c>
      <c r="S373" t="str">
        <f>""</f>
        <v/>
      </c>
      <c r="AL373" s="18" t="str">
        <f>IF(COUNTIF($A$2:A372, A372) = 1, A372, "")</f>
        <v/>
      </c>
    </row>
    <row r="374" spans="6:38" x14ac:dyDescent="0.2">
      <c r="F374" t="str">
        <f t="shared" si="51"/>
        <v/>
      </c>
      <c r="L374" s="7" t="str">
        <f t="shared" si="52"/>
        <v/>
      </c>
      <c r="N374" s="7" t="str">
        <f t="shared" si="53"/>
        <v/>
      </c>
      <c r="O374" t="str">
        <f t="shared" si="54"/>
        <v/>
      </c>
      <c r="P374" t="str">
        <f t="shared" si="55"/>
        <v/>
      </c>
      <c r="Q374" t="str">
        <f t="shared" si="56"/>
        <v/>
      </c>
      <c r="S374" t="str">
        <f>""</f>
        <v/>
      </c>
      <c r="AL374" s="18" t="str">
        <f>IF(COUNTIF($A$2:A373, A373) = 1, A373, "")</f>
        <v/>
      </c>
    </row>
    <row r="375" spans="6:38" x14ac:dyDescent="0.2">
      <c r="F375" t="str">
        <f t="shared" si="51"/>
        <v/>
      </c>
      <c r="L375" s="7" t="str">
        <f t="shared" si="52"/>
        <v/>
      </c>
      <c r="N375" s="7" t="str">
        <f t="shared" si="53"/>
        <v/>
      </c>
      <c r="O375" t="str">
        <f t="shared" si="54"/>
        <v/>
      </c>
      <c r="P375" t="str">
        <f t="shared" si="55"/>
        <v/>
      </c>
      <c r="Q375" t="str">
        <f t="shared" si="56"/>
        <v/>
      </c>
      <c r="S375" t="str">
        <f>""</f>
        <v/>
      </c>
      <c r="AL375" s="18" t="str">
        <f>IF(COUNTIF($A$2:A374, A374) = 1, A374, "")</f>
        <v/>
      </c>
    </row>
    <row r="376" spans="6:38" x14ac:dyDescent="0.2">
      <c r="F376" t="str">
        <f t="shared" si="51"/>
        <v/>
      </c>
      <c r="L376" s="7" t="str">
        <f t="shared" si="52"/>
        <v/>
      </c>
      <c r="N376" s="7" t="str">
        <f t="shared" si="53"/>
        <v/>
      </c>
      <c r="O376" t="str">
        <f t="shared" si="54"/>
        <v/>
      </c>
      <c r="P376" t="str">
        <f t="shared" si="55"/>
        <v/>
      </c>
      <c r="Q376" t="str">
        <f t="shared" si="56"/>
        <v/>
      </c>
      <c r="S376" t="str">
        <f>""</f>
        <v/>
      </c>
      <c r="AL376" s="18" t="str">
        <f>IF(COUNTIF($A$2:A375, A375) = 1, A375, "")</f>
        <v/>
      </c>
    </row>
    <row r="377" spans="6:38" x14ac:dyDescent="0.2">
      <c r="F377" t="str">
        <f t="shared" si="51"/>
        <v/>
      </c>
      <c r="L377" s="7" t="str">
        <f t="shared" si="52"/>
        <v/>
      </c>
      <c r="N377" s="7" t="str">
        <f t="shared" si="53"/>
        <v/>
      </c>
      <c r="O377" t="str">
        <f t="shared" si="54"/>
        <v/>
      </c>
      <c r="P377" t="str">
        <f t="shared" si="55"/>
        <v/>
      </c>
      <c r="Q377" t="str">
        <f t="shared" si="56"/>
        <v/>
      </c>
      <c r="S377" t="str">
        <f>""</f>
        <v/>
      </c>
      <c r="AL377" s="18" t="str">
        <f>IF(COUNTIF($A$2:A376, A376) = 1, A376, "")</f>
        <v/>
      </c>
    </row>
    <row r="378" spans="6:38" x14ac:dyDescent="0.2">
      <c r="F378" t="str">
        <f t="shared" si="51"/>
        <v/>
      </c>
      <c r="L378" s="7" t="str">
        <f t="shared" si="52"/>
        <v/>
      </c>
      <c r="N378" s="7" t="str">
        <f t="shared" si="53"/>
        <v/>
      </c>
      <c r="O378" t="str">
        <f t="shared" si="54"/>
        <v/>
      </c>
      <c r="P378" t="str">
        <f t="shared" si="55"/>
        <v/>
      </c>
      <c r="Q378" t="str">
        <f t="shared" si="56"/>
        <v/>
      </c>
      <c r="S378" t="str">
        <f>""</f>
        <v/>
      </c>
      <c r="AL378" s="18" t="str">
        <f>IF(COUNTIF($A$2:A377, A377) = 1, A377, "")</f>
        <v/>
      </c>
    </row>
    <row r="379" spans="6:38" x14ac:dyDescent="0.2">
      <c r="F379" t="str">
        <f t="shared" si="51"/>
        <v/>
      </c>
      <c r="L379" s="7" t="str">
        <f t="shared" si="52"/>
        <v/>
      </c>
      <c r="N379" s="7" t="str">
        <f t="shared" si="53"/>
        <v/>
      </c>
      <c r="O379" t="str">
        <f t="shared" si="54"/>
        <v/>
      </c>
      <c r="P379" t="str">
        <f t="shared" si="55"/>
        <v/>
      </c>
      <c r="Q379" t="str">
        <f t="shared" si="56"/>
        <v/>
      </c>
      <c r="S379" t="str">
        <f>""</f>
        <v/>
      </c>
      <c r="AL379" s="18" t="str">
        <f>IF(COUNTIF($A$2:A378, A378) = 1, A378, "")</f>
        <v/>
      </c>
    </row>
    <row r="380" spans="6:38" x14ac:dyDescent="0.2">
      <c r="F380" t="str">
        <f t="shared" si="51"/>
        <v/>
      </c>
      <c r="L380" s="7" t="str">
        <f t="shared" si="52"/>
        <v/>
      </c>
      <c r="N380" s="7" t="str">
        <f t="shared" si="53"/>
        <v/>
      </c>
      <c r="O380" t="str">
        <f t="shared" si="54"/>
        <v/>
      </c>
      <c r="P380" t="str">
        <f t="shared" si="55"/>
        <v/>
      </c>
      <c r="Q380" t="str">
        <f t="shared" si="56"/>
        <v/>
      </c>
      <c r="S380" t="str">
        <f>""</f>
        <v/>
      </c>
      <c r="AL380" s="18" t="str">
        <f>IF(COUNTIF($A$2:A379, A379) = 1, A379, "")</f>
        <v/>
      </c>
    </row>
    <row r="381" spans="6:38" x14ac:dyDescent="0.2">
      <c r="F381" t="str">
        <f t="shared" si="51"/>
        <v/>
      </c>
      <c r="L381" s="7" t="str">
        <f t="shared" si="52"/>
        <v/>
      </c>
      <c r="N381" s="7" t="str">
        <f t="shared" si="53"/>
        <v/>
      </c>
      <c r="O381" t="str">
        <f t="shared" si="54"/>
        <v/>
      </c>
      <c r="P381" t="str">
        <f t="shared" si="55"/>
        <v/>
      </c>
      <c r="Q381" t="str">
        <f t="shared" si="56"/>
        <v/>
      </c>
      <c r="S381" t="str">
        <f>""</f>
        <v/>
      </c>
      <c r="AL381" s="18" t="str">
        <f>IF(COUNTIF($A$2:A380, A380) = 1, A380, "")</f>
        <v/>
      </c>
    </row>
    <row r="382" spans="6:38" x14ac:dyDescent="0.2">
      <c r="F382" t="str">
        <f t="shared" si="51"/>
        <v/>
      </c>
      <c r="L382" s="7" t="str">
        <f t="shared" si="52"/>
        <v/>
      </c>
      <c r="N382" s="7" t="str">
        <f t="shared" si="53"/>
        <v/>
      </c>
      <c r="O382" t="str">
        <f t="shared" si="54"/>
        <v/>
      </c>
      <c r="P382" t="str">
        <f t="shared" si="55"/>
        <v/>
      </c>
      <c r="Q382" t="str">
        <f t="shared" si="56"/>
        <v/>
      </c>
      <c r="S382" t="str">
        <f>""</f>
        <v/>
      </c>
      <c r="AL382" s="18" t="str">
        <f>IF(COUNTIF($A$2:A381, A381) = 1, A381, "")</f>
        <v/>
      </c>
    </row>
    <row r="383" spans="6:38" x14ac:dyDescent="0.2">
      <c r="F383" t="str">
        <f t="shared" si="51"/>
        <v/>
      </c>
      <c r="L383" s="7" t="str">
        <f t="shared" si="52"/>
        <v/>
      </c>
      <c r="N383" s="7" t="str">
        <f t="shared" si="53"/>
        <v/>
      </c>
      <c r="O383" t="str">
        <f t="shared" si="54"/>
        <v/>
      </c>
      <c r="P383" t="str">
        <f t="shared" si="55"/>
        <v/>
      </c>
      <c r="Q383" t="str">
        <f t="shared" si="56"/>
        <v/>
      </c>
      <c r="S383" t="str">
        <f>""</f>
        <v/>
      </c>
      <c r="AL383" s="18" t="str">
        <f>IF(COUNTIF($A$2:A382, A382) = 1, A382, "")</f>
        <v/>
      </c>
    </row>
    <row r="384" spans="6:38" x14ac:dyDescent="0.2">
      <c r="F384" t="str">
        <f t="shared" si="51"/>
        <v/>
      </c>
      <c r="L384" s="7" t="str">
        <f t="shared" si="52"/>
        <v/>
      </c>
      <c r="N384" s="7" t="str">
        <f t="shared" si="53"/>
        <v/>
      </c>
      <c r="O384" t="str">
        <f t="shared" si="54"/>
        <v/>
      </c>
      <c r="P384" t="str">
        <f t="shared" si="55"/>
        <v/>
      </c>
      <c r="Q384" t="str">
        <f t="shared" si="56"/>
        <v/>
      </c>
      <c r="S384" t="str">
        <f>""</f>
        <v/>
      </c>
      <c r="AL384" s="18" t="str">
        <f>IF(COUNTIF($A$2:A383, A383) = 1, A383, "")</f>
        <v/>
      </c>
    </row>
    <row r="385" spans="6:38" x14ac:dyDescent="0.2">
      <c r="F385" t="str">
        <f t="shared" si="51"/>
        <v/>
      </c>
      <c r="L385" s="7" t="str">
        <f t="shared" si="52"/>
        <v/>
      </c>
      <c r="N385" s="7" t="str">
        <f t="shared" si="53"/>
        <v/>
      </c>
      <c r="O385" t="str">
        <f t="shared" si="54"/>
        <v/>
      </c>
      <c r="P385" t="str">
        <f t="shared" si="55"/>
        <v/>
      </c>
      <c r="Q385" t="str">
        <f t="shared" si="56"/>
        <v/>
      </c>
      <c r="S385" t="str">
        <f>""</f>
        <v/>
      </c>
      <c r="AL385" s="18" t="str">
        <f>IF(COUNTIF($A$2:A384, A384) = 1, A384, "")</f>
        <v/>
      </c>
    </row>
    <row r="386" spans="6:38" x14ac:dyDescent="0.2">
      <c r="F386" t="str">
        <f t="shared" si="51"/>
        <v/>
      </c>
      <c r="L386" s="7" t="str">
        <f t="shared" si="52"/>
        <v/>
      </c>
      <c r="N386" s="7" t="str">
        <f t="shared" si="53"/>
        <v/>
      </c>
      <c r="O386" t="str">
        <f t="shared" si="54"/>
        <v/>
      </c>
      <c r="P386" t="str">
        <f t="shared" si="55"/>
        <v/>
      </c>
      <c r="Q386" t="str">
        <f t="shared" si="56"/>
        <v/>
      </c>
      <c r="S386" t="str">
        <f>""</f>
        <v/>
      </c>
      <c r="AL386" s="18" t="str">
        <f>IF(COUNTIF($A$2:A385, A385) = 1, A385, "")</f>
        <v/>
      </c>
    </row>
    <row r="387" spans="6:38" x14ac:dyDescent="0.2">
      <c r="F387" t="str">
        <f t="shared" si="51"/>
        <v/>
      </c>
      <c r="L387" s="7" t="str">
        <f t="shared" si="52"/>
        <v/>
      </c>
      <c r="N387" s="7" t="str">
        <f t="shared" si="53"/>
        <v/>
      </c>
      <c r="O387" t="str">
        <f t="shared" si="54"/>
        <v/>
      </c>
      <c r="P387" t="str">
        <f t="shared" si="55"/>
        <v/>
      </c>
      <c r="Q387" t="str">
        <f t="shared" si="56"/>
        <v/>
      </c>
      <c r="S387" t="str">
        <f>""</f>
        <v/>
      </c>
      <c r="AL387" s="18" t="str">
        <f>IF(COUNTIF($A$2:A386, A386) = 1, A386, "")</f>
        <v/>
      </c>
    </row>
    <row r="388" spans="6:38" x14ac:dyDescent="0.2">
      <c r="F388" t="str">
        <f t="shared" si="51"/>
        <v/>
      </c>
      <c r="L388" s="7" t="str">
        <f t="shared" si="52"/>
        <v/>
      </c>
      <c r="N388" s="7" t="str">
        <f t="shared" si="53"/>
        <v/>
      </c>
      <c r="O388" t="str">
        <f t="shared" si="54"/>
        <v/>
      </c>
      <c r="P388" t="str">
        <f t="shared" si="55"/>
        <v/>
      </c>
      <c r="Q388" t="str">
        <f t="shared" si="56"/>
        <v/>
      </c>
      <c r="S388" t="str">
        <f>""</f>
        <v/>
      </c>
      <c r="AL388" s="18" t="str">
        <f>IF(COUNTIF($A$2:A387, A387) = 1, A387, "")</f>
        <v/>
      </c>
    </row>
    <row r="389" spans="6:38" x14ac:dyDescent="0.2">
      <c r="F389" t="str">
        <f t="shared" si="51"/>
        <v/>
      </c>
      <c r="L389" s="7" t="str">
        <f t="shared" si="52"/>
        <v/>
      </c>
      <c r="N389" s="7" t="str">
        <f t="shared" si="53"/>
        <v/>
      </c>
      <c r="O389" t="str">
        <f t="shared" si="54"/>
        <v/>
      </c>
      <c r="P389" t="str">
        <f t="shared" si="55"/>
        <v/>
      </c>
      <c r="Q389" t="str">
        <f t="shared" si="56"/>
        <v/>
      </c>
      <c r="S389" t="str">
        <f>""</f>
        <v/>
      </c>
      <c r="AL389" s="18" t="str">
        <f>IF(COUNTIF($A$2:A388, A388) = 1, A388, "")</f>
        <v/>
      </c>
    </row>
    <row r="390" spans="6:38" x14ac:dyDescent="0.2">
      <c r="F390" t="str">
        <f t="shared" si="51"/>
        <v/>
      </c>
      <c r="L390" s="7" t="str">
        <f t="shared" si="52"/>
        <v/>
      </c>
      <c r="N390" s="7" t="str">
        <f t="shared" si="53"/>
        <v/>
      </c>
      <c r="O390" t="str">
        <f t="shared" si="54"/>
        <v/>
      </c>
      <c r="P390" t="str">
        <f t="shared" si="55"/>
        <v/>
      </c>
      <c r="Q390" t="str">
        <f t="shared" si="56"/>
        <v/>
      </c>
      <c r="S390" t="str">
        <f>""</f>
        <v/>
      </c>
      <c r="AL390" s="18" t="str">
        <f>IF(COUNTIF($A$2:A389, A389) = 1, A389, "")</f>
        <v/>
      </c>
    </row>
    <row r="391" spans="6:38" x14ac:dyDescent="0.2">
      <c r="F391" t="str">
        <f t="shared" si="51"/>
        <v/>
      </c>
      <c r="L391" s="7" t="str">
        <f t="shared" si="52"/>
        <v/>
      </c>
      <c r="N391" s="7" t="str">
        <f t="shared" si="53"/>
        <v/>
      </c>
      <c r="O391" t="str">
        <f t="shared" si="54"/>
        <v/>
      </c>
      <c r="P391" t="str">
        <f t="shared" si="55"/>
        <v/>
      </c>
      <c r="Q391" t="str">
        <f t="shared" si="56"/>
        <v/>
      </c>
      <c r="S391" t="str">
        <f>""</f>
        <v/>
      </c>
      <c r="AL391" s="18" t="str">
        <f>IF(COUNTIF($A$2:A390, A390) = 1, A390, "")</f>
        <v/>
      </c>
    </row>
    <row r="392" spans="6:38" x14ac:dyDescent="0.2">
      <c r="F392" t="str">
        <f t="shared" si="51"/>
        <v/>
      </c>
      <c r="L392" s="7" t="str">
        <f t="shared" si="52"/>
        <v/>
      </c>
      <c r="N392" s="7" t="str">
        <f t="shared" si="53"/>
        <v/>
      </c>
      <c r="O392" t="str">
        <f t="shared" si="54"/>
        <v/>
      </c>
      <c r="P392" t="str">
        <f t="shared" si="55"/>
        <v/>
      </c>
      <c r="Q392" t="str">
        <f t="shared" si="56"/>
        <v/>
      </c>
      <c r="S392" t="str">
        <f>""</f>
        <v/>
      </c>
      <c r="AL392" s="18" t="str">
        <f>IF(COUNTIF($A$2:A391, A391) = 1, A391, "")</f>
        <v/>
      </c>
    </row>
    <row r="393" spans="6:38" x14ac:dyDescent="0.2">
      <c r="F393" t="str">
        <f t="shared" si="51"/>
        <v/>
      </c>
      <c r="L393" s="7" t="str">
        <f t="shared" si="52"/>
        <v/>
      </c>
      <c r="N393" s="7" t="str">
        <f t="shared" si="53"/>
        <v/>
      </c>
      <c r="O393" t="str">
        <f t="shared" si="54"/>
        <v/>
      </c>
      <c r="P393" t="str">
        <f t="shared" si="55"/>
        <v/>
      </c>
      <c r="Q393" t="str">
        <f t="shared" si="56"/>
        <v/>
      </c>
      <c r="S393" t="str">
        <f>""</f>
        <v/>
      </c>
      <c r="AL393" s="18" t="str">
        <f>IF(COUNTIF($A$2:A392, A392) = 1, A392, "")</f>
        <v/>
      </c>
    </row>
    <row r="394" spans="6:38" x14ac:dyDescent="0.2">
      <c r="F394" t="str">
        <f t="shared" si="51"/>
        <v/>
      </c>
      <c r="L394" s="7" t="str">
        <f t="shared" si="52"/>
        <v/>
      </c>
      <c r="N394" s="7" t="str">
        <f t="shared" si="53"/>
        <v/>
      </c>
      <c r="O394" t="str">
        <f t="shared" si="54"/>
        <v/>
      </c>
      <c r="P394" t="str">
        <f t="shared" si="55"/>
        <v/>
      </c>
      <c r="Q394" t="str">
        <f t="shared" si="56"/>
        <v/>
      </c>
      <c r="S394" t="str">
        <f>""</f>
        <v/>
      </c>
      <c r="AL394" s="18" t="str">
        <f>IF(COUNTIF($A$2:A393, A393) = 1, A393, "")</f>
        <v/>
      </c>
    </row>
    <row r="395" spans="6:38" x14ac:dyDescent="0.2">
      <c r="F395" t="str">
        <f t="shared" si="51"/>
        <v/>
      </c>
      <c r="L395" s="7" t="str">
        <f t="shared" si="52"/>
        <v/>
      </c>
      <c r="N395" s="7" t="str">
        <f t="shared" si="53"/>
        <v/>
      </c>
      <c r="O395" t="str">
        <f t="shared" si="54"/>
        <v/>
      </c>
      <c r="P395" t="str">
        <f t="shared" si="55"/>
        <v/>
      </c>
      <c r="Q395" t="str">
        <f t="shared" si="56"/>
        <v/>
      </c>
      <c r="S395" t="str">
        <f>""</f>
        <v/>
      </c>
      <c r="AL395" s="18" t="str">
        <f>IF(COUNTIF($A$2:A394, A394) = 1, A394, "")</f>
        <v/>
      </c>
    </row>
    <row r="396" spans="6:38" x14ac:dyDescent="0.2">
      <c r="F396" t="str">
        <f t="shared" si="51"/>
        <v/>
      </c>
      <c r="L396" s="7" t="str">
        <f t="shared" si="52"/>
        <v/>
      </c>
      <c r="N396" s="7" t="str">
        <f t="shared" si="53"/>
        <v/>
      </c>
      <c r="O396" t="str">
        <f t="shared" si="54"/>
        <v/>
      </c>
      <c r="P396" t="str">
        <f t="shared" si="55"/>
        <v/>
      </c>
      <c r="Q396" t="str">
        <f t="shared" si="56"/>
        <v/>
      </c>
      <c r="S396" t="str">
        <f>""</f>
        <v/>
      </c>
      <c r="AL396" s="18" t="str">
        <f>IF(COUNTIF($A$2:A395, A395) = 1, A395, "")</f>
        <v/>
      </c>
    </row>
    <row r="397" spans="6:38" x14ac:dyDescent="0.2">
      <c r="F397" t="str">
        <f t="shared" si="51"/>
        <v/>
      </c>
      <c r="L397" s="7" t="str">
        <f t="shared" si="52"/>
        <v/>
      </c>
      <c r="N397" s="7" t="str">
        <f t="shared" si="53"/>
        <v/>
      </c>
      <c r="O397" t="str">
        <f t="shared" si="54"/>
        <v/>
      </c>
      <c r="P397" t="str">
        <f t="shared" si="55"/>
        <v/>
      </c>
      <c r="Q397" t="str">
        <f t="shared" si="56"/>
        <v/>
      </c>
      <c r="S397" t="str">
        <f>""</f>
        <v/>
      </c>
      <c r="AL397" s="18" t="str">
        <f>IF(COUNTIF($A$2:A396, A396) = 1, A396, "")</f>
        <v/>
      </c>
    </row>
    <row r="398" spans="6:38" x14ac:dyDescent="0.2">
      <c r="F398" t="str">
        <f t="shared" si="51"/>
        <v/>
      </c>
      <c r="L398" s="7" t="str">
        <f t="shared" si="52"/>
        <v/>
      </c>
      <c r="N398" s="7" t="str">
        <f t="shared" si="53"/>
        <v/>
      </c>
      <c r="O398" t="str">
        <f t="shared" si="54"/>
        <v/>
      </c>
      <c r="P398" t="str">
        <f t="shared" si="55"/>
        <v/>
      </c>
      <c r="Q398" t="str">
        <f t="shared" si="56"/>
        <v/>
      </c>
      <c r="S398" t="str">
        <f>""</f>
        <v/>
      </c>
      <c r="AL398" s="18" t="str">
        <f>IF(COUNTIF($A$2:A397, A397) = 1, A397, "")</f>
        <v/>
      </c>
    </row>
    <row r="399" spans="6:38" x14ac:dyDescent="0.2">
      <c r="F399" t="str">
        <f t="shared" si="51"/>
        <v/>
      </c>
      <c r="L399" s="7" t="str">
        <f t="shared" si="52"/>
        <v/>
      </c>
      <c r="N399" s="7" t="str">
        <f t="shared" si="53"/>
        <v/>
      </c>
      <c r="O399" t="str">
        <f t="shared" si="54"/>
        <v/>
      </c>
      <c r="P399" t="str">
        <f t="shared" si="55"/>
        <v/>
      </c>
      <c r="Q399" t="str">
        <f t="shared" si="56"/>
        <v/>
      </c>
      <c r="S399" t="str">
        <f>""</f>
        <v/>
      </c>
      <c r="AL399" s="18" t="str">
        <f>IF(COUNTIF($A$2:A398, A398) = 1, A398, "")</f>
        <v/>
      </c>
    </row>
    <row r="400" spans="6:38" x14ac:dyDescent="0.2">
      <c r="F400" t="str">
        <f t="shared" ref="F400:F463" si="57">IF(OR(O400="", P400=""), "", SUM(IF((O400&lt;&gt;"None")*(O400&lt;&gt;""),LEN(O400)-LEN(SUBSTITUTE(O400,",",""))+1,0)) + SUM(IF((P400&lt;&gt;"None")*(P400&lt;&gt;""),LEN(P400)-LEN(SUBSTITUTE(P400,",",""))+1,0)))</f>
        <v/>
      </c>
      <c r="L400" s="7" t="str">
        <f t="shared" ref="L400:L463" si="58">IF(LEN(E400)=0, "", IFERROR(IF(E400&gt;=0, K400 * (1 + E400/100) - K400, K400 / (ABS(E400)/100))+K400, ""))</f>
        <v/>
      </c>
      <c r="N400" s="7" t="str">
        <f t="shared" ref="N400:N463" si="59">IF(M400="Yes",L400-K400,IF(M400="No",-K400,""))</f>
        <v/>
      </c>
      <c r="O400" t="str">
        <f t="shared" ref="O400:O463" si="60">IF(AND(G400="No",H400="No"), "None", "")</f>
        <v/>
      </c>
      <c r="P400" t="str">
        <f t="shared" ref="P400:P463" si="61">IF(I400="No", "None", "")</f>
        <v/>
      </c>
      <c r="Q400" t="str">
        <f t="shared" ref="Q400:Q463" si="62">IF(AND(D400="Straight", M400 = "No"),IF(O400="None",P400,IF(P400="None",O400) ),"")</f>
        <v/>
      </c>
      <c r="S400" t="str">
        <f>""</f>
        <v/>
      </c>
      <c r="AL400" s="18" t="str">
        <f>IF(COUNTIF($A$2:A399, A399) = 1, A399, "")</f>
        <v/>
      </c>
    </row>
    <row r="401" spans="6:38" x14ac:dyDescent="0.2">
      <c r="F401" t="str">
        <f t="shared" si="57"/>
        <v/>
      </c>
      <c r="L401" s="7" t="str">
        <f t="shared" si="58"/>
        <v/>
      </c>
      <c r="N401" s="7" t="str">
        <f t="shared" si="59"/>
        <v/>
      </c>
      <c r="O401" t="str">
        <f t="shared" si="60"/>
        <v/>
      </c>
      <c r="P401" t="str">
        <f t="shared" si="61"/>
        <v/>
      </c>
      <c r="Q401" t="str">
        <f t="shared" si="62"/>
        <v/>
      </c>
      <c r="S401" t="str">
        <f>""</f>
        <v/>
      </c>
      <c r="AL401" s="18" t="str">
        <f>IF(COUNTIF($A$2:A400, A400) = 1, A400, "")</f>
        <v/>
      </c>
    </row>
    <row r="402" spans="6:38" x14ac:dyDescent="0.2">
      <c r="F402" t="str">
        <f t="shared" si="57"/>
        <v/>
      </c>
      <c r="L402" s="7" t="str">
        <f t="shared" si="58"/>
        <v/>
      </c>
      <c r="N402" s="7" t="str">
        <f t="shared" si="59"/>
        <v/>
      </c>
      <c r="O402" t="str">
        <f t="shared" si="60"/>
        <v/>
      </c>
      <c r="P402" t="str">
        <f t="shared" si="61"/>
        <v/>
      </c>
      <c r="Q402" t="str">
        <f t="shared" si="62"/>
        <v/>
      </c>
      <c r="S402" t="str">
        <f>""</f>
        <v/>
      </c>
      <c r="AL402" s="18" t="str">
        <f>IF(COUNTIF($A$2:A401, A401) = 1, A401, "")</f>
        <v/>
      </c>
    </row>
    <row r="403" spans="6:38" x14ac:dyDescent="0.2">
      <c r="F403" t="str">
        <f t="shared" si="57"/>
        <v/>
      </c>
      <c r="L403" s="7" t="str">
        <f t="shared" si="58"/>
        <v/>
      </c>
      <c r="N403" s="7" t="str">
        <f t="shared" si="59"/>
        <v/>
      </c>
      <c r="O403" t="str">
        <f t="shared" si="60"/>
        <v/>
      </c>
      <c r="P403" t="str">
        <f t="shared" si="61"/>
        <v/>
      </c>
      <c r="Q403" t="str">
        <f t="shared" si="62"/>
        <v/>
      </c>
      <c r="S403" t="str">
        <f>""</f>
        <v/>
      </c>
      <c r="AL403" s="18" t="str">
        <f>IF(COUNTIF($A$2:A402, A402) = 1, A402, "")</f>
        <v/>
      </c>
    </row>
    <row r="404" spans="6:38" x14ac:dyDescent="0.2">
      <c r="F404" t="str">
        <f t="shared" si="57"/>
        <v/>
      </c>
      <c r="L404" s="7" t="str">
        <f t="shared" si="58"/>
        <v/>
      </c>
      <c r="N404" s="7" t="str">
        <f t="shared" si="59"/>
        <v/>
      </c>
      <c r="O404" t="str">
        <f t="shared" si="60"/>
        <v/>
      </c>
      <c r="P404" t="str">
        <f t="shared" si="61"/>
        <v/>
      </c>
      <c r="Q404" t="str">
        <f t="shared" si="62"/>
        <v/>
      </c>
      <c r="S404" t="str">
        <f>""</f>
        <v/>
      </c>
      <c r="AL404" s="18" t="str">
        <f>IF(COUNTIF($A$2:A403, A403) = 1, A403, "")</f>
        <v/>
      </c>
    </row>
    <row r="405" spans="6:38" x14ac:dyDescent="0.2">
      <c r="F405" t="str">
        <f t="shared" si="57"/>
        <v/>
      </c>
      <c r="L405" s="7" t="str">
        <f t="shared" si="58"/>
        <v/>
      </c>
      <c r="N405" s="7" t="str">
        <f t="shared" si="59"/>
        <v/>
      </c>
      <c r="O405" t="str">
        <f t="shared" si="60"/>
        <v/>
      </c>
      <c r="P405" t="str">
        <f t="shared" si="61"/>
        <v/>
      </c>
      <c r="Q405" t="str">
        <f t="shared" si="62"/>
        <v/>
      </c>
      <c r="S405" t="str">
        <f>""</f>
        <v/>
      </c>
      <c r="AL405" s="18" t="str">
        <f>IF(COUNTIF($A$2:A404, A404) = 1, A404, "")</f>
        <v/>
      </c>
    </row>
    <row r="406" spans="6:38" x14ac:dyDescent="0.2">
      <c r="F406" t="str">
        <f t="shared" si="57"/>
        <v/>
      </c>
      <c r="L406" s="7" t="str">
        <f t="shared" si="58"/>
        <v/>
      </c>
      <c r="N406" s="7" t="str">
        <f t="shared" si="59"/>
        <v/>
      </c>
      <c r="O406" t="str">
        <f t="shared" si="60"/>
        <v/>
      </c>
      <c r="P406" t="str">
        <f t="shared" si="61"/>
        <v/>
      </c>
      <c r="Q406" t="str">
        <f t="shared" si="62"/>
        <v/>
      </c>
      <c r="S406" t="str">
        <f>""</f>
        <v/>
      </c>
      <c r="AL406" s="18" t="str">
        <f>IF(COUNTIF($A$2:A405, A405) = 1, A405, "")</f>
        <v/>
      </c>
    </row>
    <row r="407" spans="6:38" x14ac:dyDescent="0.2">
      <c r="F407" t="str">
        <f t="shared" si="57"/>
        <v/>
      </c>
      <c r="L407" s="7" t="str">
        <f t="shared" si="58"/>
        <v/>
      </c>
      <c r="N407" s="7" t="str">
        <f t="shared" si="59"/>
        <v/>
      </c>
      <c r="O407" t="str">
        <f t="shared" si="60"/>
        <v/>
      </c>
      <c r="P407" t="str">
        <f t="shared" si="61"/>
        <v/>
      </c>
      <c r="Q407" t="str">
        <f t="shared" si="62"/>
        <v/>
      </c>
      <c r="S407" t="str">
        <f>""</f>
        <v/>
      </c>
      <c r="AL407" s="18" t="str">
        <f>IF(COUNTIF($A$2:A406, A406) = 1, A406, "")</f>
        <v/>
      </c>
    </row>
    <row r="408" spans="6:38" x14ac:dyDescent="0.2">
      <c r="F408" t="str">
        <f t="shared" si="57"/>
        <v/>
      </c>
      <c r="L408" s="7" t="str">
        <f t="shared" si="58"/>
        <v/>
      </c>
      <c r="N408" s="7" t="str">
        <f t="shared" si="59"/>
        <v/>
      </c>
      <c r="O408" t="str">
        <f t="shared" si="60"/>
        <v/>
      </c>
      <c r="P408" t="str">
        <f t="shared" si="61"/>
        <v/>
      </c>
      <c r="Q408" t="str">
        <f t="shared" si="62"/>
        <v/>
      </c>
      <c r="S408" t="str">
        <f>""</f>
        <v/>
      </c>
      <c r="AL408" s="18" t="str">
        <f>IF(COUNTIF($A$2:A407, A407) = 1, A407, "")</f>
        <v/>
      </c>
    </row>
    <row r="409" spans="6:38" x14ac:dyDescent="0.2">
      <c r="F409" t="str">
        <f t="shared" si="57"/>
        <v/>
      </c>
      <c r="L409" s="7" t="str">
        <f t="shared" si="58"/>
        <v/>
      </c>
      <c r="N409" s="7" t="str">
        <f t="shared" si="59"/>
        <v/>
      </c>
      <c r="O409" t="str">
        <f t="shared" si="60"/>
        <v/>
      </c>
      <c r="P409" t="str">
        <f t="shared" si="61"/>
        <v/>
      </c>
      <c r="Q409" t="str">
        <f t="shared" si="62"/>
        <v/>
      </c>
      <c r="S409" t="str">
        <f>""</f>
        <v/>
      </c>
      <c r="AL409" s="18" t="str">
        <f>IF(COUNTIF($A$2:A408, A408) = 1, A408, "")</f>
        <v/>
      </c>
    </row>
    <row r="410" spans="6:38" x14ac:dyDescent="0.2">
      <c r="F410" t="str">
        <f t="shared" si="57"/>
        <v/>
      </c>
      <c r="L410" s="7" t="str">
        <f t="shared" si="58"/>
        <v/>
      </c>
      <c r="N410" s="7" t="str">
        <f t="shared" si="59"/>
        <v/>
      </c>
      <c r="O410" t="str">
        <f t="shared" si="60"/>
        <v/>
      </c>
      <c r="P410" t="str">
        <f t="shared" si="61"/>
        <v/>
      </c>
      <c r="Q410" t="str">
        <f t="shared" si="62"/>
        <v/>
      </c>
      <c r="S410" t="str">
        <f>""</f>
        <v/>
      </c>
      <c r="AL410" s="18" t="str">
        <f>IF(COUNTIF($A$2:A409, A409) = 1, A409, "")</f>
        <v/>
      </c>
    </row>
    <row r="411" spans="6:38" x14ac:dyDescent="0.2">
      <c r="F411" t="str">
        <f t="shared" si="57"/>
        <v/>
      </c>
      <c r="L411" s="7" t="str">
        <f t="shared" si="58"/>
        <v/>
      </c>
      <c r="N411" s="7" t="str">
        <f t="shared" si="59"/>
        <v/>
      </c>
      <c r="O411" t="str">
        <f t="shared" si="60"/>
        <v/>
      </c>
      <c r="P411" t="str">
        <f t="shared" si="61"/>
        <v/>
      </c>
      <c r="Q411" t="str">
        <f t="shared" si="62"/>
        <v/>
      </c>
      <c r="S411" t="str">
        <f>""</f>
        <v/>
      </c>
      <c r="AL411" s="18" t="str">
        <f>IF(COUNTIF($A$2:A410, A410) = 1, A410, "")</f>
        <v/>
      </c>
    </row>
    <row r="412" spans="6:38" x14ac:dyDescent="0.2">
      <c r="F412" t="str">
        <f t="shared" si="57"/>
        <v/>
      </c>
      <c r="L412" s="7" t="str">
        <f t="shared" si="58"/>
        <v/>
      </c>
      <c r="N412" s="7" t="str">
        <f t="shared" si="59"/>
        <v/>
      </c>
      <c r="O412" t="str">
        <f t="shared" si="60"/>
        <v/>
      </c>
      <c r="P412" t="str">
        <f t="shared" si="61"/>
        <v/>
      </c>
      <c r="Q412" t="str">
        <f t="shared" si="62"/>
        <v/>
      </c>
      <c r="S412" t="str">
        <f>""</f>
        <v/>
      </c>
      <c r="AL412" s="18" t="str">
        <f>IF(COUNTIF($A$2:A411, A411) = 1, A411, "")</f>
        <v/>
      </c>
    </row>
    <row r="413" spans="6:38" x14ac:dyDescent="0.2">
      <c r="F413" t="str">
        <f t="shared" si="57"/>
        <v/>
      </c>
      <c r="L413" s="7" t="str">
        <f t="shared" si="58"/>
        <v/>
      </c>
      <c r="N413" s="7" t="str">
        <f t="shared" si="59"/>
        <v/>
      </c>
      <c r="O413" t="str">
        <f t="shared" si="60"/>
        <v/>
      </c>
      <c r="P413" t="str">
        <f t="shared" si="61"/>
        <v/>
      </c>
      <c r="Q413" t="str">
        <f t="shared" si="62"/>
        <v/>
      </c>
      <c r="S413" t="str">
        <f>""</f>
        <v/>
      </c>
      <c r="AL413" s="18" t="str">
        <f>IF(COUNTIF($A$2:A412, A412) = 1, A412, "")</f>
        <v/>
      </c>
    </row>
    <row r="414" spans="6:38" x14ac:dyDescent="0.2">
      <c r="F414" t="str">
        <f t="shared" si="57"/>
        <v/>
      </c>
      <c r="L414" s="7" t="str">
        <f t="shared" si="58"/>
        <v/>
      </c>
      <c r="N414" s="7" t="str">
        <f t="shared" si="59"/>
        <v/>
      </c>
      <c r="O414" t="str">
        <f t="shared" si="60"/>
        <v/>
      </c>
      <c r="P414" t="str">
        <f t="shared" si="61"/>
        <v/>
      </c>
      <c r="Q414" t="str">
        <f t="shared" si="62"/>
        <v/>
      </c>
      <c r="S414" t="str">
        <f>""</f>
        <v/>
      </c>
      <c r="AL414" s="18" t="str">
        <f>IF(COUNTIF($A$2:A413, A413) = 1, A413, "")</f>
        <v/>
      </c>
    </row>
    <row r="415" spans="6:38" x14ac:dyDescent="0.2">
      <c r="F415" t="str">
        <f t="shared" si="57"/>
        <v/>
      </c>
      <c r="L415" s="7" t="str">
        <f t="shared" si="58"/>
        <v/>
      </c>
      <c r="N415" s="7" t="str">
        <f t="shared" si="59"/>
        <v/>
      </c>
      <c r="O415" t="str">
        <f t="shared" si="60"/>
        <v/>
      </c>
      <c r="P415" t="str">
        <f t="shared" si="61"/>
        <v/>
      </c>
      <c r="Q415" t="str">
        <f t="shared" si="62"/>
        <v/>
      </c>
      <c r="S415" t="str">
        <f>""</f>
        <v/>
      </c>
      <c r="AL415" s="18" t="str">
        <f>IF(COUNTIF($A$2:A414, A414) = 1, A414, "")</f>
        <v/>
      </c>
    </row>
    <row r="416" spans="6:38" x14ac:dyDescent="0.2">
      <c r="F416" t="str">
        <f t="shared" si="57"/>
        <v/>
      </c>
      <c r="L416" s="7" t="str">
        <f t="shared" si="58"/>
        <v/>
      </c>
      <c r="N416" s="7" t="str">
        <f t="shared" si="59"/>
        <v/>
      </c>
      <c r="O416" t="str">
        <f t="shared" si="60"/>
        <v/>
      </c>
      <c r="P416" t="str">
        <f t="shared" si="61"/>
        <v/>
      </c>
      <c r="Q416" t="str">
        <f t="shared" si="62"/>
        <v/>
      </c>
      <c r="S416" t="str">
        <f>""</f>
        <v/>
      </c>
      <c r="AL416" s="18" t="str">
        <f>IF(COUNTIF($A$2:A415, A415) = 1, A415, "")</f>
        <v/>
      </c>
    </row>
    <row r="417" spans="6:38" x14ac:dyDescent="0.2">
      <c r="F417" t="str">
        <f t="shared" si="57"/>
        <v/>
      </c>
      <c r="L417" s="7" t="str">
        <f t="shared" si="58"/>
        <v/>
      </c>
      <c r="N417" s="7" t="str">
        <f t="shared" si="59"/>
        <v/>
      </c>
      <c r="O417" t="str">
        <f t="shared" si="60"/>
        <v/>
      </c>
      <c r="P417" t="str">
        <f t="shared" si="61"/>
        <v/>
      </c>
      <c r="Q417" t="str">
        <f t="shared" si="62"/>
        <v/>
      </c>
      <c r="S417" t="str">
        <f>""</f>
        <v/>
      </c>
      <c r="AL417" s="18" t="str">
        <f>IF(COUNTIF($A$2:A416, A416) = 1, A416, "")</f>
        <v/>
      </c>
    </row>
    <row r="418" spans="6:38" x14ac:dyDescent="0.2">
      <c r="F418" t="str">
        <f t="shared" si="57"/>
        <v/>
      </c>
      <c r="L418" s="7" t="str">
        <f t="shared" si="58"/>
        <v/>
      </c>
      <c r="N418" s="7" t="str">
        <f t="shared" si="59"/>
        <v/>
      </c>
      <c r="O418" t="str">
        <f t="shared" si="60"/>
        <v/>
      </c>
      <c r="P418" t="str">
        <f t="shared" si="61"/>
        <v/>
      </c>
      <c r="Q418" t="str">
        <f t="shared" si="62"/>
        <v/>
      </c>
      <c r="S418" t="str">
        <f>""</f>
        <v/>
      </c>
      <c r="AL418" s="18" t="str">
        <f>IF(COUNTIF($A$2:A417, A417) = 1, A417, "")</f>
        <v/>
      </c>
    </row>
    <row r="419" spans="6:38" x14ac:dyDescent="0.2">
      <c r="F419" t="str">
        <f t="shared" si="57"/>
        <v/>
      </c>
      <c r="L419" s="7" t="str">
        <f t="shared" si="58"/>
        <v/>
      </c>
      <c r="N419" s="7" t="str">
        <f t="shared" si="59"/>
        <v/>
      </c>
      <c r="O419" t="str">
        <f t="shared" si="60"/>
        <v/>
      </c>
      <c r="P419" t="str">
        <f t="shared" si="61"/>
        <v/>
      </c>
      <c r="Q419" t="str">
        <f t="shared" si="62"/>
        <v/>
      </c>
      <c r="S419" t="str">
        <f>""</f>
        <v/>
      </c>
      <c r="AL419" s="18" t="str">
        <f>IF(COUNTIF($A$2:A418, A418) = 1, A418, "")</f>
        <v/>
      </c>
    </row>
    <row r="420" spans="6:38" x14ac:dyDescent="0.2">
      <c r="F420" t="str">
        <f t="shared" si="57"/>
        <v/>
      </c>
      <c r="L420" s="7" t="str">
        <f t="shared" si="58"/>
        <v/>
      </c>
      <c r="N420" s="7" t="str">
        <f t="shared" si="59"/>
        <v/>
      </c>
      <c r="O420" t="str">
        <f t="shared" si="60"/>
        <v/>
      </c>
      <c r="P420" t="str">
        <f t="shared" si="61"/>
        <v/>
      </c>
      <c r="Q420" t="str">
        <f t="shared" si="62"/>
        <v/>
      </c>
      <c r="S420" t="str">
        <f>""</f>
        <v/>
      </c>
      <c r="AL420" s="18" t="str">
        <f>IF(COUNTIF($A$2:A419, A419) = 1, A419, "")</f>
        <v/>
      </c>
    </row>
    <row r="421" spans="6:38" x14ac:dyDescent="0.2">
      <c r="F421" t="str">
        <f t="shared" si="57"/>
        <v/>
      </c>
      <c r="L421" s="7" t="str">
        <f t="shared" si="58"/>
        <v/>
      </c>
      <c r="N421" s="7" t="str">
        <f t="shared" si="59"/>
        <v/>
      </c>
      <c r="O421" t="str">
        <f t="shared" si="60"/>
        <v/>
      </c>
      <c r="P421" t="str">
        <f t="shared" si="61"/>
        <v/>
      </c>
      <c r="Q421" t="str">
        <f t="shared" si="62"/>
        <v/>
      </c>
      <c r="S421" t="str">
        <f>""</f>
        <v/>
      </c>
      <c r="AL421" s="18" t="str">
        <f>IF(COUNTIF($A$2:A420, A420) = 1, A420, "")</f>
        <v/>
      </c>
    </row>
    <row r="422" spans="6:38" x14ac:dyDescent="0.2">
      <c r="F422" t="str">
        <f t="shared" si="57"/>
        <v/>
      </c>
      <c r="L422" s="7" t="str">
        <f t="shared" si="58"/>
        <v/>
      </c>
      <c r="N422" s="7" t="str">
        <f t="shared" si="59"/>
        <v/>
      </c>
      <c r="O422" t="str">
        <f t="shared" si="60"/>
        <v/>
      </c>
      <c r="P422" t="str">
        <f t="shared" si="61"/>
        <v/>
      </c>
      <c r="Q422" t="str">
        <f t="shared" si="62"/>
        <v/>
      </c>
      <c r="S422" t="str">
        <f>""</f>
        <v/>
      </c>
      <c r="AL422" s="18" t="str">
        <f>IF(COUNTIF($A$2:A421, A421) = 1, A421, "")</f>
        <v/>
      </c>
    </row>
    <row r="423" spans="6:38" x14ac:dyDescent="0.2">
      <c r="F423" t="str">
        <f t="shared" si="57"/>
        <v/>
      </c>
      <c r="L423" s="7" t="str">
        <f t="shared" si="58"/>
        <v/>
      </c>
      <c r="N423" s="7" t="str">
        <f t="shared" si="59"/>
        <v/>
      </c>
      <c r="O423" t="str">
        <f t="shared" si="60"/>
        <v/>
      </c>
      <c r="P423" t="str">
        <f t="shared" si="61"/>
        <v/>
      </c>
      <c r="Q423" t="str">
        <f t="shared" si="62"/>
        <v/>
      </c>
      <c r="S423" t="str">
        <f>""</f>
        <v/>
      </c>
      <c r="AL423" s="18" t="str">
        <f>IF(COUNTIF($A$2:A422, A422) = 1, A422, "")</f>
        <v/>
      </c>
    </row>
    <row r="424" spans="6:38" x14ac:dyDescent="0.2">
      <c r="F424" t="str">
        <f t="shared" si="57"/>
        <v/>
      </c>
      <c r="L424" s="7" t="str">
        <f t="shared" si="58"/>
        <v/>
      </c>
      <c r="N424" s="7" t="str">
        <f t="shared" si="59"/>
        <v/>
      </c>
      <c r="O424" t="str">
        <f t="shared" si="60"/>
        <v/>
      </c>
      <c r="P424" t="str">
        <f t="shared" si="61"/>
        <v/>
      </c>
      <c r="Q424" t="str">
        <f t="shared" si="62"/>
        <v/>
      </c>
      <c r="S424" t="str">
        <f>""</f>
        <v/>
      </c>
      <c r="AL424" s="18" t="str">
        <f>IF(COUNTIF($A$2:A423, A423) = 1, A423, "")</f>
        <v/>
      </c>
    </row>
    <row r="425" spans="6:38" x14ac:dyDescent="0.2">
      <c r="F425" t="str">
        <f t="shared" si="57"/>
        <v/>
      </c>
      <c r="L425" s="7" t="str">
        <f t="shared" si="58"/>
        <v/>
      </c>
      <c r="N425" s="7" t="str">
        <f t="shared" si="59"/>
        <v/>
      </c>
      <c r="O425" t="str">
        <f t="shared" si="60"/>
        <v/>
      </c>
      <c r="P425" t="str">
        <f t="shared" si="61"/>
        <v/>
      </c>
      <c r="Q425" t="str">
        <f t="shared" si="62"/>
        <v/>
      </c>
      <c r="S425" t="str">
        <f>""</f>
        <v/>
      </c>
      <c r="AL425" s="18" t="str">
        <f>IF(COUNTIF($A$2:A424, A424) = 1, A424, "")</f>
        <v/>
      </c>
    </row>
    <row r="426" spans="6:38" x14ac:dyDescent="0.2">
      <c r="F426" t="str">
        <f t="shared" si="57"/>
        <v/>
      </c>
      <c r="L426" s="7" t="str">
        <f t="shared" si="58"/>
        <v/>
      </c>
      <c r="N426" s="7" t="str">
        <f t="shared" si="59"/>
        <v/>
      </c>
      <c r="O426" t="str">
        <f t="shared" si="60"/>
        <v/>
      </c>
      <c r="P426" t="str">
        <f t="shared" si="61"/>
        <v/>
      </c>
      <c r="Q426" t="str">
        <f t="shared" si="62"/>
        <v/>
      </c>
      <c r="S426" t="str">
        <f>""</f>
        <v/>
      </c>
      <c r="AL426" s="18" t="str">
        <f>IF(COUNTIF($A$2:A425, A425) = 1, A425, "")</f>
        <v/>
      </c>
    </row>
    <row r="427" spans="6:38" x14ac:dyDescent="0.2">
      <c r="F427" t="str">
        <f t="shared" si="57"/>
        <v/>
      </c>
      <c r="L427" s="7" t="str">
        <f t="shared" si="58"/>
        <v/>
      </c>
      <c r="N427" s="7" t="str">
        <f t="shared" si="59"/>
        <v/>
      </c>
      <c r="O427" t="str">
        <f t="shared" si="60"/>
        <v/>
      </c>
      <c r="P427" t="str">
        <f t="shared" si="61"/>
        <v/>
      </c>
      <c r="Q427" t="str">
        <f t="shared" si="62"/>
        <v/>
      </c>
      <c r="S427" t="str">
        <f>""</f>
        <v/>
      </c>
      <c r="AL427" s="18" t="str">
        <f>IF(COUNTIF($A$2:A426, A426) = 1, A426, "")</f>
        <v/>
      </c>
    </row>
    <row r="428" spans="6:38" x14ac:dyDescent="0.2">
      <c r="F428" t="str">
        <f t="shared" si="57"/>
        <v/>
      </c>
      <c r="L428" s="7" t="str">
        <f t="shared" si="58"/>
        <v/>
      </c>
      <c r="N428" s="7" t="str">
        <f t="shared" si="59"/>
        <v/>
      </c>
      <c r="O428" t="str">
        <f t="shared" si="60"/>
        <v/>
      </c>
      <c r="P428" t="str">
        <f t="shared" si="61"/>
        <v/>
      </c>
      <c r="Q428" t="str">
        <f t="shared" si="62"/>
        <v/>
      </c>
      <c r="S428" t="str">
        <f>""</f>
        <v/>
      </c>
      <c r="AL428" s="18" t="str">
        <f>IF(COUNTIF($A$2:A427, A427) = 1, A427, "")</f>
        <v/>
      </c>
    </row>
    <row r="429" spans="6:38" x14ac:dyDescent="0.2">
      <c r="F429" t="str">
        <f t="shared" si="57"/>
        <v/>
      </c>
      <c r="L429" s="7" t="str">
        <f t="shared" si="58"/>
        <v/>
      </c>
      <c r="N429" s="7" t="str">
        <f t="shared" si="59"/>
        <v/>
      </c>
      <c r="O429" t="str">
        <f t="shared" si="60"/>
        <v/>
      </c>
      <c r="P429" t="str">
        <f t="shared" si="61"/>
        <v/>
      </c>
      <c r="Q429" t="str">
        <f t="shared" si="62"/>
        <v/>
      </c>
      <c r="S429" t="str">
        <f>""</f>
        <v/>
      </c>
      <c r="AL429" s="18" t="str">
        <f>IF(COUNTIF($A$2:A428, A428) = 1, A428, "")</f>
        <v/>
      </c>
    </row>
    <row r="430" spans="6:38" x14ac:dyDescent="0.2">
      <c r="F430" t="str">
        <f t="shared" si="57"/>
        <v/>
      </c>
      <c r="L430" s="7" t="str">
        <f t="shared" si="58"/>
        <v/>
      </c>
      <c r="N430" s="7" t="str">
        <f t="shared" si="59"/>
        <v/>
      </c>
      <c r="O430" t="str">
        <f t="shared" si="60"/>
        <v/>
      </c>
      <c r="P430" t="str">
        <f t="shared" si="61"/>
        <v/>
      </c>
      <c r="Q430" t="str">
        <f t="shared" si="62"/>
        <v/>
      </c>
      <c r="S430" t="str">
        <f>""</f>
        <v/>
      </c>
      <c r="AL430" s="18" t="str">
        <f>IF(COUNTIF($A$2:A429, A429) = 1, A429, "")</f>
        <v/>
      </c>
    </row>
    <row r="431" spans="6:38" x14ac:dyDescent="0.2">
      <c r="F431" t="str">
        <f t="shared" si="57"/>
        <v/>
      </c>
      <c r="L431" s="7" t="str">
        <f t="shared" si="58"/>
        <v/>
      </c>
      <c r="N431" s="7" t="str">
        <f t="shared" si="59"/>
        <v/>
      </c>
      <c r="O431" t="str">
        <f t="shared" si="60"/>
        <v/>
      </c>
      <c r="P431" t="str">
        <f t="shared" si="61"/>
        <v/>
      </c>
      <c r="Q431" t="str">
        <f t="shared" si="62"/>
        <v/>
      </c>
      <c r="S431" t="str">
        <f>""</f>
        <v/>
      </c>
      <c r="AL431" s="18" t="str">
        <f>IF(COUNTIF($A$2:A430, A430) = 1, A430, "")</f>
        <v/>
      </c>
    </row>
    <row r="432" spans="6:38" x14ac:dyDescent="0.2">
      <c r="F432" t="str">
        <f t="shared" si="57"/>
        <v/>
      </c>
      <c r="L432" s="7" t="str">
        <f t="shared" si="58"/>
        <v/>
      </c>
      <c r="N432" s="7" t="str">
        <f t="shared" si="59"/>
        <v/>
      </c>
      <c r="O432" t="str">
        <f t="shared" si="60"/>
        <v/>
      </c>
      <c r="P432" t="str">
        <f t="shared" si="61"/>
        <v/>
      </c>
      <c r="Q432" t="str">
        <f t="shared" si="62"/>
        <v/>
      </c>
      <c r="S432" t="str">
        <f>""</f>
        <v/>
      </c>
      <c r="AL432" s="18" t="str">
        <f>IF(COUNTIF($A$2:A431, A431) = 1, A431, "")</f>
        <v/>
      </c>
    </row>
    <row r="433" spans="6:38" x14ac:dyDescent="0.2">
      <c r="F433" t="str">
        <f t="shared" si="57"/>
        <v/>
      </c>
      <c r="L433" s="7" t="str">
        <f t="shared" si="58"/>
        <v/>
      </c>
      <c r="N433" s="7" t="str">
        <f t="shared" si="59"/>
        <v/>
      </c>
      <c r="O433" t="str">
        <f t="shared" si="60"/>
        <v/>
      </c>
      <c r="P433" t="str">
        <f t="shared" si="61"/>
        <v/>
      </c>
      <c r="Q433" t="str">
        <f t="shared" si="62"/>
        <v/>
      </c>
      <c r="S433" t="str">
        <f>""</f>
        <v/>
      </c>
      <c r="AL433" s="18" t="str">
        <f>IF(COUNTIF($A$2:A432, A432) = 1, A432, "")</f>
        <v/>
      </c>
    </row>
    <row r="434" spans="6:38" x14ac:dyDescent="0.2">
      <c r="F434" t="str">
        <f t="shared" si="57"/>
        <v/>
      </c>
      <c r="L434" s="7" t="str">
        <f t="shared" si="58"/>
        <v/>
      </c>
      <c r="N434" s="7" t="str">
        <f t="shared" si="59"/>
        <v/>
      </c>
      <c r="O434" t="str">
        <f t="shared" si="60"/>
        <v/>
      </c>
      <c r="P434" t="str">
        <f t="shared" si="61"/>
        <v/>
      </c>
      <c r="Q434" t="str">
        <f t="shared" si="62"/>
        <v/>
      </c>
      <c r="S434" t="str">
        <f>""</f>
        <v/>
      </c>
      <c r="AL434" s="18" t="str">
        <f>IF(COUNTIF($A$2:A433, A433) = 1, A433, "")</f>
        <v/>
      </c>
    </row>
    <row r="435" spans="6:38" x14ac:dyDescent="0.2">
      <c r="F435" t="str">
        <f t="shared" si="57"/>
        <v/>
      </c>
      <c r="L435" s="7" t="str">
        <f t="shared" si="58"/>
        <v/>
      </c>
      <c r="N435" s="7" t="str">
        <f t="shared" si="59"/>
        <v/>
      </c>
      <c r="O435" t="str">
        <f t="shared" si="60"/>
        <v/>
      </c>
      <c r="P435" t="str">
        <f t="shared" si="61"/>
        <v/>
      </c>
      <c r="Q435" t="str">
        <f t="shared" si="62"/>
        <v/>
      </c>
      <c r="S435" t="str">
        <f>""</f>
        <v/>
      </c>
      <c r="AL435" s="18" t="str">
        <f>IF(COUNTIF($A$2:A434, A434) = 1, A434, "")</f>
        <v/>
      </c>
    </row>
    <row r="436" spans="6:38" x14ac:dyDescent="0.2">
      <c r="F436" t="str">
        <f t="shared" si="57"/>
        <v/>
      </c>
      <c r="L436" s="7" t="str">
        <f t="shared" si="58"/>
        <v/>
      </c>
      <c r="N436" s="7" t="str">
        <f t="shared" si="59"/>
        <v/>
      </c>
      <c r="O436" t="str">
        <f t="shared" si="60"/>
        <v/>
      </c>
      <c r="P436" t="str">
        <f t="shared" si="61"/>
        <v/>
      </c>
      <c r="Q436" t="str">
        <f t="shared" si="62"/>
        <v/>
      </c>
      <c r="S436" t="str">
        <f>""</f>
        <v/>
      </c>
      <c r="AL436" s="18" t="str">
        <f>IF(COUNTIF($A$2:A435, A435) = 1, A435, "")</f>
        <v/>
      </c>
    </row>
    <row r="437" spans="6:38" x14ac:dyDescent="0.2">
      <c r="F437" t="str">
        <f t="shared" si="57"/>
        <v/>
      </c>
      <c r="L437" s="7" t="str">
        <f t="shared" si="58"/>
        <v/>
      </c>
      <c r="N437" s="7" t="str">
        <f t="shared" si="59"/>
        <v/>
      </c>
      <c r="O437" t="str">
        <f t="shared" si="60"/>
        <v/>
      </c>
      <c r="P437" t="str">
        <f t="shared" si="61"/>
        <v/>
      </c>
      <c r="Q437" t="str">
        <f t="shared" si="62"/>
        <v/>
      </c>
      <c r="S437" t="str">
        <f>""</f>
        <v/>
      </c>
      <c r="AL437" s="18" t="str">
        <f>IF(COUNTIF($A$2:A436, A436) = 1, A436, "")</f>
        <v/>
      </c>
    </row>
    <row r="438" spans="6:38" x14ac:dyDescent="0.2">
      <c r="F438" t="str">
        <f t="shared" si="57"/>
        <v/>
      </c>
      <c r="L438" s="7" t="str">
        <f t="shared" si="58"/>
        <v/>
      </c>
      <c r="N438" s="7" t="str">
        <f t="shared" si="59"/>
        <v/>
      </c>
      <c r="O438" t="str">
        <f t="shared" si="60"/>
        <v/>
      </c>
      <c r="P438" t="str">
        <f t="shared" si="61"/>
        <v/>
      </c>
      <c r="Q438" t="str">
        <f t="shared" si="62"/>
        <v/>
      </c>
      <c r="S438" t="str">
        <f>""</f>
        <v/>
      </c>
      <c r="AL438" s="18" t="str">
        <f>IF(COUNTIF($A$2:A437, A437) = 1, A437, "")</f>
        <v/>
      </c>
    </row>
    <row r="439" spans="6:38" x14ac:dyDescent="0.2">
      <c r="F439" t="str">
        <f t="shared" si="57"/>
        <v/>
      </c>
      <c r="L439" s="7" t="str">
        <f t="shared" si="58"/>
        <v/>
      </c>
      <c r="N439" s="7" t="str">
        <f t="shared" si="59"/>
        <v/>
      </c>
      <c r="O439" t="str">
        <f t="shared" si="60"/>
        <v/>
      </c>
      <c r="P439" t="str">
        <f t="shared" si="61"/>
        <v/>
      </c>
      <c r="Q439" t="str">
        <f t="shared" si="62"/>
        <v/>
      </c>
      <c r="S439" t="str">
        <f>""</f>
        <v/>
      </c>
      <c r="AL439" s="18" t="str">
        <f>IF(COUNTIF($A$2:A438, A438) = 1, A438, "")</f>
        <v/>
      </c>
    </row>
    <row r="440" spans="6:38" x14ac:dyDescent="0.2">
      <c r="F440" t="str">
        <f t="shared" si="57"/>
        <v/>
      </c>
      <c r="L440" s="7" t="str">
        <f t="shared" si="58"/>
        <v/>
      </c>
      <c r="N440" s="7" t="str">
        <f t="shared" si="59"/>
        <v/>
      </c>
      <c r="O440" t="str">
        <f t="shared" si="60"/>
        <v/>
      </c>
      <c r="P440" t="str">
        <f t="shared" si="61"/>
        <v/>
      </c>
      <c r="Q440" t="str">
        <f t="shared" si="62"/>
        <v/>
      </c>
      <c r="S440" t="str">
        <f>""</f>
        <v/>
      </c>
      <c r="AL440" s="18" t="str">
        <f>IF(COUNTIF($A$2:A439, A439) = 1, A439, "")</f>
        <v/>
      </c>
    </row>
    <row r="441" spans="6:38" x14ac:dyDescent="0.2">
      <c r="F441" t="str">
        <f t="shared" si="57"/>
        <v/>
      </c>
      <c r="L441" s="7" t="str">
        <f t="shared" si="58"/>
        <v/>
      </c>
      <c r="N441" s="7" t="str">
        <f t="shared" si="59"/>
        <v/>
      </c>
      <c r="O441" t="str">
        <f t="shared" si="60"/>
        <v/>
      </c>
      <c r="P441" t="str">
        <f t="shared" si="61"/>
        <v/>
      </c>
      <c r="Q441" t="str">
        <f t="shared" si="62"/>
        <v/>
      </c>
      <c r="S441" t="str">
        <f>""</f>
        <v/>
      </c>
      <c r="AL441" s="18" t="str">
        <f>IF(COUNTIF($A$2:A440, A440) = 1, A440, "")</f>
        <v/>
      </c>
    </row>
    <row r="442" spans="6:38" x14ac:dyDescent="0.2">
      <c r="F442" t="str">
        <f t="shared" si="57"/>
        <v/>
      </c>
      <c r="L442" s="7" t="str">
        <f t="shared" si="58"/>
        <v/>
      </c>
      <c r="N442" s="7" t="str">
        <f t="shared" si="59"/>
        <v/>
      </c>
      <c r="O442" t="str">
        <f t="shared" si="60"/>
        <v/>
      </c>
      <c r="P442" t="str">
        <f t="shared" si="61"/>
        <v/>
      </c>
      <c r="Q442" t="str">
        <f t="shared" si="62"/>
        <v/>
      </c>
      <c r="S442" t="str">
        <f>""</f>
        <v/>
      </c>
      <c r="AL442" s="18" t="str">
        <f>IF(COUNTIF($A$2:A441, A441) = 1, A441, "")</f>
        <v/>
      </c>
    </row>
    <row r="443" spans="6:38" x14ac:dyDescent="0.2">
      <c r="F443" t="str">
        <f t="shared" si="57"/>
        <v/>
      </c>
      <c r="L443" s="7" t="str">
        <f t="shared" si="58"/>
        <v/>
      </c>
      <c r="N443" s="7" t="str">
        <f t="shared" si="59"/>
        <v/>
      </c>
      <c r="O443" t="str">
        <f t="shared" si="60"/>
        <v/>
      </c>
      <c r="P443" t="str">
        <f t="shared" si="61"/>
        <v/>
      </c>
      <c r="Q443" t="str">
        <f t="shared" si="62"/>
        <v/>
      </c>
      <c r="S443" t="str">
        <f>""</f>
        <v/>
      </c>
      <c r="AL443" s="18" t="str">
        <f>IF(COUNTIF($A$2:A442, A442) = 1, A442, "")</f>
        <v/>
      </c>
    </row>
    <row r="444" spans="6:38" x14ac:dyDescent="0.2">
      <c r="F444" t="str">
        <f t="shared" si="57"/>
        <v/>
      </c>
      <c r="L444" s="7" t="str">
        <f t="shared" si="58"/>
        <v/>
      </c>
      <c r="N444" s="7" t="str">
        <f t="shared" si="59"/>
        <v/>
      </c>
      <c r="O444" t="str">
        <f t="shared" si="60"/>
        <v/>
      </c>
      <c r="P444" t="str">
        <f t="shared" si="61"/>
        <v/>
      </c>
      <c r="Q444" t="str">
        <f t="shared" si="62"/>
        <v/>
      </c>
      <c r="S444" t="str">
        <f>""</f>
        <v/>
      </c>
      <c r="AL444" s="18" t="str">
        <f>IF(COUNTIF($A$2:A443, A443) = 1, A443, "")</f>
        <v/>
      </c>
    </row>
    <row r="445" spans="6:38" x14ac:dyDescent="0.2">
      <c r="F445" t="str">
        <f t="shared" si="57"/>
        <v/>
      </c>
      <c r="L445" s="7" t="str">
        <f t="shared" si="58"/>
        <v/>
      </c>
      <c r="N445" s="7" t="str">
        <f t="shared" si="59"/>
        <v/>
      </c>
      <c r="O445" t="str">
        <f t="shared" si="60"/>
        <v/>
      </c>
      <c r="P445" t="str">
        <f t="shared" si="61"/>
        <v/>
      </c>
      <c r="Q445" t="str">
        <f t="shared" si="62"/>
        <v/>
      </c>
      <c r="S445" t="str">
        <f>""</f>
        <v/>
      </c>
      <c r="AL445" s="18" t="str">
        <f>IF(COUNTIF($A$2:A444, A444) = 1, A444, "")</f>
        <v/>
      </c>
    </row>
    <row r="446" spans="6:38" x14ac:dyDescent="0.2">
      <c r="F446" t="str">
        <f t="shared" si="57"/>
        <v/>
      </c>
      <c r="L446" s="7" t="str">
        <f t="shared" si="58"/>
        <v/>
      </c>
      <c r="N446" s="7" t="str">
        <f t="shared" si="59"/>
        <v/>
      </c>
      <c r="O446" t="str">
        <f t="shared" si="60"/>
        <v/>
      </c>
      <c r="P446" t="str">
        <f t="shared" si="61"/>
        <v/>
      </c>
      <c r="Q446" t="str">
        <f t="shared" si="62"/>
        <v/>
      </c>
      <c r="S446" t="str">
        <f>""</f>
        <v/>
      </c>
      <c r="AL446" s="18" t="str">
        <f>IF(COUNTIF($A$2:A445, A445) = 1, A445, "")</f>
        <v/>
      </c>
    </row>
    <row r="447" spans="6:38" x14ac:dyDescent="0.2">
      <c r="F447" t="str">
        <f t="shared" si="57"/>
        <v/>
      </c>
      <c r="L447" s="7" t="str">
        <f t="shared" si="58"/>
        <v/>
      </c>
      <c r="N447" s="7" t="str">
        <f t="shared" si="59"/>
        <v/>
      </c>
      <c r="O447" t="str">
        <f t="shared" si="60"/>
        <v/>
      </c>
      <c r="P447" t="str">
        <f t="shared" si="61"/>
        <v/>
      </c>
      <c r="Q447" t="str">
        <f t="shared" si="62"/>
        <v/>
      </c>
      <c r="S447" t="str">
        <f>""</f>
        <v/>
      </c>
      <c r="AL447" s="18" t="str">
        <f>IF(COUNTIF($A$2:A446, A446) = 1, A446, "")</f>
        <v/>
      </c>
    </row>
    <row r="448" spans="6:38" x14ac:dyDescent="0.2">
      <c r="F448" t="str">
        <f t="shared" si="57"/>
        <v/>
      </c>
      <c r="L448" s="7" t="str">
        <f t="shared" si="58"/>
        <v/>
      </c>
      <c r="N448" s="7" t="str">
        <f t="shared" si="59"/>
        <v/>
      </c>
      <c r="O448" t="str">
        <f t="shared" si="60"/>
        <v/>
      </c>
      <c r="P448" t="str">
        <f t="shared" si="61"/>
        <v/>
      </c>
      <c r="Q448" t="str">
        <f t="shared" si="62"/>
        <v/>
      </c>
      <c r="S448" t="str">
        <f>""</f>
        <v/>
      </c>
      <c r="AL448" s="18" t="str">
        <f>IF(COUNTIF($A$2:A447, A447) = 1, A447, "")</f>
        <v/>
      </c>
    </row>
    <row r="449" spans="6:38" x14ac:dyDescent="0.2">
      <c r="F449" t="str">
        <f t="shared" si="57"/>
        <v/>
      </c>
      <c r="L449" s="7" t="str">
        <f t="shared" si="58"/>
        <v/>
      </c>
      <c r="N449" s="7" t="str">
        <f t="shared" si="59"/>
        <v/>
      </c>
      <c r="O449" t="str">
        <f t="shared" si="60"/>
        <v/>
      </c>
      <c r="P449" t="str">
        <f t="shared" si="61"/>
        <v/>
      </c>
      <c r="Q449" t="str">
        <f t="shared" si="62"/>
        <v/>
      </c>
      <c r="S449" t="str">
        <f>""</f>
        <v/>
      </c>
      <c r="AL449" s="18" t="str">
        <f>IF(COUNTIF($A$2:A448, A448) = 1, A448, "")</f>
        <v/>
      </c>
    </row>
    <row r="450" spans="6:38" x14ac:dyDescent="0.2">
      <c r="F450" t="str">
        <f t="shared" si="57"/>
        <v/>
      </c>
      <c r="L450" s="7" t="str">
        <f t="shared" si="58"/>
        <v/>
      </c>
      <c r="N450" s="7" t="str">
        <f t="shared" si="59"/>
        <v/>
      </c>
      <c r="O450" t="str">
        <f t="shared" si="60"/>
        <v/>
      </c>
      <c r="P450" t="str">
        <f t="shared" si="61"/>
        <v/>
      </c>
      <c r="Q450" t="str">
        <f t="shared" si="62"/>
        <v/>
      </c>
      <c r="S450" t="str">
        <f>""</f>
        <v/>
      </c>
      <c r="AL450" s="18" t="str">
        <f>IF(COUNTIF($A$2:A449, A449) = 1, A449, "")</f>
        <v/>
      </c>
    </row>
    <row r="451" spans="6:38" x14ac:dyDescent="0.2">
      <c r="F451" t="str">
        <f t="shared" si="57"/>
        <v/>
      </c>
      <c r="L451" s="7" t="str">
        <f t="shared" si="58"/>
        <v/>
      </c>
      <c r="N451" s="7" t="str">
        <f t="shared" si="59"/>
        <v/>
      </c>
      <c r="O451" t="str">
        <f t="shared" si="60"/>
        <v/>
      </c>
      <c r="P451" t="str">
        <f t="shared" si="61"/>
        <v/>
      </c>
      <c r="Q451" t="str">
        <f t="shared" si="62"/>
        <v/>
      </c>
      <c r="S451" t="str">
        <f>""</f>
        <v/>
      </c>
      <c r="AL451" s="18" t="str">
        <f>IF(COUNTIF($A$2:A450, A450) = 1, A450, "")</f>
        <v/>
      </c>
    </row>
    <row r="452" spans="6:38" x14ac:dyDescent="0.2">
      <c r="F452" t="str">
        <f t="shared" si="57"/>
        <v/>
      </c>
      <c r="L452" s="7" t="str">
        <f t="shared" si="58"/>
        <v/>
      </c>
      <c r="N452" s="7" t="str">
        <f t="shared" si="59"/>
        <v/>
      </c>
      <c r="O452" t="str">
        <f t="shared" si="60"/>
        <v/>
      </c>
      <c r="P452" t="str">
        <f t="shared" si="61"/>
        <v/>
      </c>
      <c r="Q452" t="str">
        <f t="shared" si="62"/>
        <v/>
      </c>
      <c r="S452" t="str">
        <f>""</f>
        <v/>
      </c>
      <c r="AL452" s="18" t="str">
        <f>IF(COUNTIF($A$2:A451, A451) = 1, A451, "")</f>
        <v/>
      </c>
    </row>
    <row r="453" spans="6:38" x14ac:dyDescent="0.2">
      <c r="F453" t="str">
        <f t="shared" si="57"/>
        <v/>
      </c>
      <c r="L453" s="7" t="str">
        <f t="shared" si="58"/>
        <v/>
      </c>
      <c r="N453" s="7" t="str">
        <f t="shared" si="59"/>
        <v/>
      </c>
      <c r="O453" t="str">
        <f t="shared" si="60"/>
        <v/>
      </c>
      <c r="P453" t="str">
        <f t="shared" si="61"/>
        <v/>
      </c>
      <c r="Q453" t="str">
        <f t="shared" si="62"/>
        <v/>
      </c>
      <c r="S453" t="str">
        <f>""</f>
        <v/>
      </c>
      <c r="AL453" s="18" t="str">
        <f>IF(COUNTIF($A$2:A452, A452) = 1, A452, "")</f>
        <v/>
      </c>
    </row>
    <row r="454" spans="6:38" x14ac:dyDescent="0.2">
      <c r="F454" t="str">
        <f t="shared" si="57"/>
        <v/>
      </c>
      <c r="L454" s="7" t="str">
        <f t="shared" si="58"/>
        <v/>
      </c>
      <c r="N454" s="7" t="str">
        <f t="shared" si="59"/>
        <v/>
      </c>
      <c r="O454" t="str">
        <f t="shared" si="60"/>
        <v/>
      </c>
      <c r="P454" t="str">
        <f t="shared" si="61"/>
        <v/>
      </c>
      <c r="Q454" t="str">
        <f t="shared" si="62"/>
        <v/>
      </c>
      <c r="S454" t="str">
        <f>""</f>
        <v/>
      </c>
      <c r="AL454" s="18" t="str">
        <f>IF(COUNTIF($A$2:A453, A453) = 1, A453, "")</f>
        <v/>
      </c>
    </row>
    <row r="455" spans="6:38" x14ac:dyDescent="0.2">
      <c r="F455" t="str">
        <f t="shared" si="57"/>
        <v/>
      </c>
      <c r="L455" s="7" t="str">
        <f t="shared" si="58"/>
        <v/>
      </c>
      <c r="N455" s="7" t="str">
        <f t="shared" si="59"/>
        <v/>
      </c>
      <c r="O455" t="str">
        <f t="shared" si="60"/>
        <v/>
      </c>
      <c r="P455" t="str">
        <f t="shared" si="61"/>
        <v/>
      </c>
      <c r="Q455" t="str">
        <f t="shared" si="62"/>
        <v/>
      </c>
      <c r="S455" t="str">
        <f>""</f>
        <v/>
      </c>
      <c r="AL455" s="18" t="str">
        <f>IF(COUNTIF($A$2:A454, A454) = 1, A454, "")</f>
        <v/>
      </c>
    </row>
    <row r="456" spans="6:38" x14ac:dyDescent="0.2">
      <c r="F456" t="str">
        <f t="shared" si="57"/>
        <v/>
      </c>
      <c r="L456" s="7" t="str">
        <f t="shared" si="58"/>
        <v/>
      </c>
      <c r="N456" s="7" t="str">
        <f t="shared" si="59"/>
        <v/>
      </c>
      <c r="O456" t="str">
        <f t="shared" si="60"/>
        <v/>
      </c>
      <c r="P456" t="str">
        <f t="shared" si="61"/>
        <v/>
      </c>
      <c r="Q456" t="str">
        <f t="shared" si="62"/>
        <v/>
      </c>
      <c r="S456" t="str">
        <f>""</f>
        <v/>
      </c>
      <c r="AL456" s="18" t="str">
        <f>IF(COUNTIF($A$2:A455, A455) = 1, A455, "")</f>
        <v/>
      </c>
    </row>
    <row r="457" spans="6:38" x14ac:dyDescent="0.2">
      <c r="F457" t="str">
        <f t="shared" si="57"/>
        <v/>
      </c>
      <c r="L457" s="7" t="str">
        <f t="shared" si="58"/>
        <v/>
      </c>
      <c r="N457" s="7" t="str">
        <f t="shared" si="59"/>
        <v/>
      </c>
      <c r="O457" t="str">
        <f t="shared" si="60"/>
        <v/>
      </c>
      <c r="P457" t="str">
        <f t="shared" si="61"/>
        <v/>
      </c>
      <c r="Q457" t="str">
        <f t="shared" si="62"/>
        <v/>
      </c>
      <c r="S457" t="str">
        <f>""</f>
        <v/>
      </c>
      <c r="AL457" s="18" t="str">
        <f>IF(COUNTIF($A$2:A456, A456) = 1, A456, "")</f>
        <v/>
      </c>
    </row>
    <row r="458" spans="6:38" x14ac:dyDescent="0.2">
      <c r="F458" t="str">
        <f t="shared" si="57"/>
        <v/>
      </c>
      <c r="L458" s="7" t="str">
        <f t="shared" si="58"/>
        <v/>
      </c>
      <c r="N458" s="7" t="str">
        <f t="shared" si="59"/>
        <v/>
      </c>
      <c r="O458" t="str">
        <f t="shared" si="60"/>
        <v/>
      </c>
      <c r="P458" t="str">
        <f t="shared" si="61"/>
        <v/>
      </c>
      <c r="Q458" t="str">
        <f t="shared" si="62"/>
        <v/>
      </c>
      <c r="S458" t="str">
        <f>""</f>
        <v/>
      </c>
      <c r="AL458" s="18" t="str">
        <f>IF(COUNTIF($A$2:A457, A457) = 1, A457, "")</f>
        <v/>
      </c>
    </row>
    <row r="459" spans="6:38" x14ac:dyDescent="0.2">
      <c r="F459" t="str">
        <f t="shared" si="57"/>
        <v/>
      </c>
      <c r="L459" s="7" t="str">
        <f t="shared" si="58"/>
        <v/>
      </c>
      <c r="N459" s="7" t="str">
        <f t="shared" si="59"/>
        <v/>
      </c>
      <c r="O459" t="str">
        <f t="shared" si="60"/>
        <v/>
      </c>
      <c r="P459" t="str">
        <f t="shared" si="61"/>
        <v/>
      </c>
      <c r="Q459" t="str">
        <f t="shared" si="62"/>
        <v/>
      </c>
      <c r="S459" t="str">
        <f>""</f>
        <v/>
      </c>
      <c r="AL459" s="18" t="str">
        <f>IF(COUNTIF($A$2:A458, A458) = 1, A458, "")</f>
        <v/>
      </c>
    </row>
    <row r="460" spans="6:38" x14ac:dyDescent="0.2">
      <c r="F460" t="str">
        <f t="shared" si="57"/>
        <v/>
      </c>
      <c r="L460" s="7" t="str">
        <f t="shared" si="58"/>
        <v/>
      </c>
      <c r="N460" s="7" t="str">
        <f t="shared" si="59"/>
        <v/>
      </c>
      <c r="O460" t="str">
        <f t="shared" si="60"/>
        <v/>
      </c>
      <c r="P460" t="str">
        <f t="shared" si="61"/>
        <v/>
      </c>
      <c r="Q460" t="str">
        <f t="shared" si="62"/>
        <v/>
      </c>
      <c r="S460" t="str">
        <f>""</f>
        <v/>
      </c>
      <c r="AL460" s="18" t="str">
        <f>IF(COUNTIF($A$2:A459, A459) = 1, A459, "")</f>
        <v/>
      </c>
    </row>
    <row r="461" spans="6:38" x14ac:dyDescent="0.2">
      <c r="F461" t="str">
        <f t="shared" si="57"/>
        <v/>
      </c>
      <c r="L461" s="7" t="str">
        <f t="shared" si="58"/>
        <v/>
      </c>
      <c r="N461" s="7" t="str">
        <f t="shared" si="59"/>
        <v/>
      </c>
      <c r="O461" t="str">
        <f t="shared" si="60"/>
        <v/>
      </c>
      <c r="P461" t="str">
        <f t="shared" si="61"/>
        <v/>
      </c>
      <c r="Q461" t="str">
        <f t="shared" si="62"/>
        <v/>
      </c>
      <c r="S461" t="str">
        <f>""</f>
        <v/>
      </c>
      <c r="AL461" s="18" t="str">
        <f>IF(COUNTIF($A$2:A460, A460) = 1, A460, "")</f>
        <v/>
      </c>
    </row>
    <row r="462" spans="6:38" x14ac:dyDescent="0.2">
      <c r="F462" t="str">
        <f t="shared" si="57"/>
        <v/>
      </c>
      <c r="L462" s="7" t="str">
        <f t="shared" si="58"/>
        <v/>
      </c>
      <c r="N462" s="7" t="str">
        <f t="shared" si="59"/>
        <v/>
      </c>
      <c r="O462" t="str">
        <f t="shared" si="60"/>
        <v/>
      </c>
      <c r="P462" t="str">
        <f t="shared" si="61"/>
        <v/>
      </c>
      <c r="Q462" t="str">
        <f t="shared" si="62"/>
        <v/>
      </c>
      <c r="S462" t="str">
        <f>""</f>
        <v/>
      </c>
      <c r="AL462" s="18" t="str">
        <f>IF(COUNTIF($A$2:A461, A461) = 1, A461, "")</f>
        <v/>
      </c>
    </row>
    <row r="463" spans="6:38" x14ac:dyDescent="0.2">
      <c r="F463" t="str">
        <f t="shared" si="57"/>
        <v/>
      </c>
      <c r="L463" s="7" t="str">
        <f t="shared" si="58"/>
        <v/>
      </c>
      <c r="N463" s="7" t="str">
        <f t="shared" si="59"/>
        <v/>
      </c>
      <c r="O463" t="str">
        <f t="shared" si="60"/>
        <v/>
      </c>
      <c r="P463" t="str">
        <f t="shared" si="61"/>
        <v/>
      </c>
      <c r="Q463" t="str">
        <f t="shared" si="62"/>
        <v/>
      </c>
      <c r="S463" t="str">
        <f>""</f>
        <v/>
      </c>
      <c r="AL463" s="18" t="str">
        <f>IF(COUNTIF($A$2:A462, A462) = 1, A462, "")</f>
        <v/>
      </c>
    </row>
    <row r="464" spans="6:38" x14ac:dyDescent="0.2">
      <c r="F464" t="str">
        <f t="shared" ref="F464:F527" si="63">IF(OR(O464="", P464=""), "", SUM(IF((O464&lt;&gt;"None")*(O464&lt;&gt;""),LEN(O464)-LEN(SUBSTITUTE(O464,",",""))+1,0)) + SUM(IF((P464&lt;&gt;"None")*(P464&lt;&gt;""),LEN(P464)-LEN(SUBSTITUTE(P464,",",""))+1,0)))</f>
        <v/>
      </c>
      <c r="L464" s="7" t="str">
        <f t="shared" ref="L464:L527" si="64">IF(LEN(E464)=0, "", IFERROR(IF(E464&gt;=0, K464 * (1 + E464/100) - K464, K464 / (ABS(E464)/100))+K464, ""))</f>
        <v/>
      </c>
      <c r="N464" s="7" t="str">
        <f t="shared" ref="N464:N527" si="65">IF(M464="Yes",L464-K464,IF(M464="No",-K464,""))</f>
        <v/>
      </c>
      <c r="O464" t="str">
        <f t="shared" ref="O464:O527" si="66">IF(AND(G464="No",H464="No"), "None", "")</f>
        <v/>
      </c>
      <c r="P464" t="str">
        <f t="shared" ref="P464:P527" si="67">IF(I464="No", "None", "")</f>
        <v/>
      </c>
      <c r="Q464" t="str">
        <f t="shared" ref="Q464:Q527" si="68">IF(AND(D464="Straight", M464 = "No"),IF(O464="None",P464,IF(P464="None",O464) ),"")</f>
        <v/>
      </c>
      <c r="S464" t="str">
        <f>""</f>
        <v/>
      </c>
      <c r="AL464" s="18" t="str">
        <f>IF(COUNTIF($A$2:A463, A463) = 1, A463, "")</f>
        <v/>
      </c>
    </row>
    <row r="465" spans="6:38" x14ac:dyDescent="0.2">
      <c r="F465" t="str">
        <f t="shared" si="63"/>
        <v/>
      </c>
      <c r="L465" s="7" t="str">
        <f t="shared" si="64"/>
        <v/>
      </c>
      <c r="N465" s="7" t="str">
        <f t="shared" si="65"/>
        <v/>
      </c>
      <c r="O465" t="str">
        <f t="shared" si="66"/>
        <v/>
      </c>
      <c r="P465" t="str">
        <f t="shared" si="67"/>
        <v/>
      </c>
      <c r="Q465" t="str">
        <f t="shared" si="68"/>
        <v/>
      </c>
      <c r="S465" t="str">
        <f>""</f>
        <v/>
      </c>
      <c r="AL465" s="18" t="str">
        <f>IF(COUNTIF($A$2:A464, A464) = 1, A464, "")</f>
        <v/>
      </c>
    </row>
    <row r="466" spans="6:38" x14ac:dyDescent="0.2">
      <c r="F466" t="str">
        <f t="shared" si="63"/>
        <v/>
      </c>
      <c r="L466" s="7" t="str">
        <f t="shared" si="64"/>
        <v/>
      </c>
      <c r="N466" s="7" t="str">
        <f t="shared" si="65"/>
        <v/>
      </c>
      <c r="O466" t="str">
        <f t="shared" si="66"/>
        <v/>
      </c>
      <c r="P466" t="str">
        <f t="shared" si="67"/>
        <v/>
      </c>
      <c r="Q466" t="str">
        <f t="shared" si="68"/>
        <v/>
      </c>
      <c r="S466" t="str">
        <f>""</f>
        <v/>
      </c>
      <c r="AL466" s="18" t="str">
        <f>IF(COUNTIF($A$2:A465, A465) = 1, A465, "")</f>
        <v/>
      </c>
    </row>
    <row r="467" spans="6:38" x14ac:dyDescent="0.2">
      <c r="F467" t="str">
        <f t="shared" si="63"/>
        <v/>
      </c>
      <c r="L467" s="7" t="str">
        <f t="shared" si="64"/>
        <v/>
      </c>
      <c r="N467" s="7" t="str">
        <f t="shared" si="65"/>
        <v/>
      </c>
      <c r="O467" t="str">
        <f t="shared" si="66"/>
        <v/>
      </c>
      <c r="P467" t="str">
        <f t="shared" si="67"/>
        <v/>
      </c>
      <c r="Q467" t="str">
        <f t="shared" si="68"/>
        <v/>
      </c>
      <c r="S467" t="str">
        <f>""</f>
        <v/>
      </c>
      <c r="AL467" s="18" t="str">
        <f>IF(COUNTIF($A$2:A466, A466) = 1, A466, "")</f>
        <v/>
      </c>
    </row>
    <row r="468" spans="6:38" x14ac:dyDescent="0.2">
      <c r="F468" t="str">
        <f t="shared" si="63"/>
        <v/>
      </c>
      <c r="L468" s="7" t="str">
        <f t="shared" si="64"/>
        <v/>
      </c>
      <c r="N468" s="7" t="str">
        <f t="shared" si="65"/>
        <v/>
      </c>
      <c r="O468" t="str">
        <f t="shared" si="66"/>
        <v/>
      </c>
      <c r="P468" t="str">
        <f t="shared" si="67"/>
        <v/>
      </c>
      <c r="Q468" t="str">
        <f t="shared" si="68"/>
        <v/>
      </c>
      <c r="S468" t="str">
        <f>""</f>
        <v/>
      </c>
      <c r="AL468" s="18" t="str">
        <f>IF(COUNTIF($A$2:A467, A467) = 1, A467, "")</f>
        <v/>
      </c>
    </row>
    <row r="469" spans="6:38" x14ac:dyDescent="0.2">
      <c r="F469" t="str">
        <f t="shared" si="63"/>
        <v/>
      </c>
      <c r="L469" s="7" t="str">
        <f t="shared" si="64"/>
        <v/>
      </c>
      <c r="N469" s="7" t="str">
        <f t="shared" si="65"/>
        <v/>
      </c>
      <c r="O469" t="str">
        <f t="shared" si="66"/>
        <v/>
      </c>
      <c r="P469" t="str">
        <f t="shared" si="67"/>
        <v/>
      </c>
      <c r="Q469" t="str">
        <f t="shared" si="68"/>
        <v/>
      </c>
      <c r="S469" t="str">
        <f>""</f>
        <v/>
      </c>
      <c r="AL469" s="18" t="str">
        <f>IF(COUNTIF($A$2:A468, A468) = 1, A468, "")</f>
        <v/>
      </c>
    </row>
    <row r="470" spans="6:38" x14ac:dyDescent="0.2">
      <c r="F470" t="str">
        <f t="shared" si="63"/>
        <v/>
      </c>
      <c r="L470" s="7" t="str">
        <f t="shared" si="64"/>
        <v/>
      </c>
      <c r="N470" s="7" t="str">
        <f t="shared" si="65"/>
        <v/>
      </c>
      <c r="O470" t="str">
        <f t="shared" si="66"/>
        <v/>
      </c>
      <c r="P470" t="str">
        <f t="shared" si="67"/>
        <v/>
      </c>
      <c r="Q470" t="str">
        <f t="shared" si="68"/>
        <v/>
      </c>
      <c r="S470" t="str">
        <f>""</f>
        <v/>
      </c>
      <c r="AL470" s="18" t="str">
        <f>IF(COUNTIF($A$2:A469, A469) = 1, A469, "")</f>
        <v/>
      </c>
    </row>
    <row r="471" spans="6:38" x14ac:dyDescent="0.2">
      <c r="F471" t="str">
        <f t="shared" si="63"/>
        <v/>
      </c>
      <c r="L471" s="7" t="str">
        <f t="shared" si="64"/>
        <v/>
      </c>
      <c r="N471" s="7" t="str">
        <f t="shared" si="65"/>
        <v/>
      </c>
      <c r="O471" t="str">
        <f t="shared" si="66"/>
        <v/>
      </c>
      <c r="P471" t="str">
        <f t="shared" si="67"/>
        <v/>
      </c>
      <c r="Q471" t="str">
        <f t="shared" si="68"/>
        <v/>
      </c>
      <c r="S471" t="str">
        <f>""</f>
        <v/>
      </c>
      <c r="AL471" s="18" t="str">
        <f>IF(COUNTIF($A$2:A470, A470) = 1, A470, "")</f>
        <v/>
      </c>
    </row>
    <row r="472" spans="6:38" x14ac:dyDescent="0.2">
      <c r="F472" t="str">
        <f t="shared" si="63"/>
        <v/>
      </c>
      <c r="L472" s="7" t="str">
        <f t="shared" si="64"/>
        <v/>
      </c>
      <c r="N472" s="7" t="str">
        <f t="shared" si="65"/>
        <v/>
      </c>
      <c r="O472" t="str">
        <f t="shared" si="66"/>
        <v/>
      </c>
      <c r="P472" t="str">
        <f t="shared" si="67"/>
        <v/>
      </c>
      <c r="Q472" t="str">
        <f t="shared" si="68"/>
        <v/>
      </c>
      <c r="S472" t="str">
        <f>""</f>
        <v/>
      </c>
      <c r="AL472" s="18" t="str">
        <f>IF(COUNTIF($A$2:A471, A471) = 1, A471, "")</f>
        <v/>
      </c>
    </row>
    <row r="473" spans="6:38" x14ac:dyDescent="0.2">
      <c r="F473" t="str">
        <f t="shared" si="63"/>
        <v/>
      </c>
      <c r="L473" s="7" t="str">
        <f t="shared" si="64"/>
        <v/>
      </c>
      <c r="N473" s="7" t="str">
        <f t="shared" si="65"/>
        <v/>
      </c>
      <c r="O473" t="str">
        <f t="shared" si="66"/>
        <v/>
      </c>
      <c r="P473" t="str">
        <f t="shared" si="67"/>
        <v/>
      </c>
      <c r="Q473" t="str">
        <f t="shared" si="68"/>
        <v/>
      </c>
      <c r="S473" t="str">
        <f>""</f>
        <v/>
      </c>
      <c r="AL473" s="18" t="str">
        <f>IF(COUNTIF($A$2:A472, A472) = 1, A472, "")</f>
        <v/>
      </c>
    </row>
    <row r="474" spans="6:38" x14ac:dyDescent="0.2">
      <c r="F474" t="str">
        <f t="shared" si="63"/>
        <v/>
      </c>
      <c r="L474" s="7" t="str">
        <f t="shared" si="64"/>
        <v/>
      </c>
      <c r="N474" s="7" t="str">
        <f t="shared" si="65"/>
        <v/>
      </c>
      <c r="O474" t="str">
        <f t="shared" si="66"/>
        <v/>
      </c>
      <c r="P474" t="str">
        <f t="shared" si="67"/>
        <v/>
      </c>
      <c r="Q474" t="str">
        <f t="shared" si="68"/>
        <v/>
      </c>
      <c r="S474" t="str">
        <f>""</f>
        <v/>
      </c>
      <c r="AL474" s="18" t="str">
        <f>IF(COUNTIF($A$2:A473, A473) = 1, A473, "")</f>
        <v/>
      </c>
    </row>
    <row r="475" spans="6:38" x14ac:dyDescent="0.2">
      <c r="F475" t="str">
        <f t="shared" si="63"/>
        <v/>
      </c>
      <c r="L475" s="7" t="str">
        <f t="shared" si="64"/>
        <v/>
      </c>
      <c r="N475" s="7" t="str">
        <f t="shared" si="65"/>
        <v/>
      </c>
      <c r="O475" t="str">
        <f t="shared" si="66"/>
        <v/>
      </c>
      <c r="P475" t="str">
        <f t="shared" si="67"/>
        <v/>
      </c>
      <c r="Q475" t="str">
        <f t="shared" si="68"/>
        <v/>
      </c>
      <c r="S475" t="str">
        <f>""</f>
        <v/>
      </c>
      <c r="AL475" s="18" t="str">
        <f>IF(COUNTIF($A$2:A474, A474) = 1, A474, "")</f>
        <v/>
      </c>
    </row>
    <row r="476" spans="6:38" x14ac:dyDescent="0.2">
      <c r="F476" t="str">
        <f t="shared" si="63"/>
        <v/>
      </c>
      <c r="L476" s="7" t="str">
        <f t="shared" si="64"/>
        <v/>
      </c>
      <c r="N476" s="7" t="str">
        <f t="shared" si="65"/>
        <v/>
      </c>
      <c r="O476" t="str">
        <f t="shared" si="66"/>
        <v/>
      </c>
      <c r="P476" t="str">
        <f t="shared" si="67"/>
        <v/>
      </c>
      <c r="Q476" t="str">
        <f t="shared" si="68"/>
        <v/>
      </c>
      <c r="S476" t="str">
        <f>""</f>
        <v/>
      </c>
      <c r="AL476" s="18" t="str">
        <f>IF(COUNTIF($A$2:A475, A475) = 1, A475, "")</f>
        <v/>
      </c>
    </row>
    <row r="477" spans="6:38" x14ac:dyDescent="0.2">
      <c r="F477" t="str">
        <f t="shared" si="63"/>
        <v/>
      </c>
      <c r="L477" s="7" t="str">
        <f t="shared" si="64"/>
        <v/>
      </c>
      <c r="N477" s="7" t="str">
        <f t="shared" si="65"/>
        <v/>
      </c>
      <c r="O477" t="str">
        <f t="shared" si="66"/>
        <v/>
      </c>
      <c r="P477" t="str">
        <f t="shared" si="67"/>
        <v/>
      </c>
      <c r="Q477" t="str">
        <f t="shared" si="68"/>
        <v/>
      </c>
      <c r="S477" t="str">
        <f>""</f>
        <v/>
      </c>
      <c r="AL477" s="18" t="str">
        <f>IF(COUNTIF($A$2:A476, A476) = 1, A476, "")</f>
        <v/>
      </c>
    </row>
    <row r="478" spans="6:38" x14ac:dyDescent="0.2">
      <c r="F478" t="str">
        <f t="shared" si="63"/>
        <v/>
      </c>
      <c r="L478" s="7" t="str">
        <f t="shared" si="64"/>
        <v/>
      </c>
      <c r="N478" s="7" t="str">
        <f t="shared" si="65"/>
        <v/>
      </c>
      <c r="O478" t="str">
        <f t="shared" si="66"/>
        <v/>
      </c>
      <c r="P478" t="str">
        <f t="shared" si="67"/>
        <v/>
      </c>
      <c r="Q478" t="str">
        <f t="shared" si="68"/>
        <v/>
      </c>
      <c r="S478" t="str">
        <f>""</f>
        <v/>
      </c>
      <c r="AL478" s="18" t="str">
        <f>IF(COUNTIF($A$2:A477, A477) = 1, A477, "")</f>
        <v/>
      </c>
    </row>
    <row r="479" spans="6:38" x14ac:dyDescent="0.2">
      <c r="F479" t="str">
        <f t="shared" si="63"/>
        <v/>
      </c>
      <c r="L479" s="7" t="str">
        <f t="shared" si="64"/>
        <v/>
      </c>
      <c r="N479" s="7" t="str">
        <f t="shared" si="65"/>
        <v/>
      </c>
      <c r="O479" t="str">
        <f t="shared" si="66"/>
        <v/>
      </c>
      <c r="P479" t="str">
        <f t="shared" si="67"/>
        <v/>
      </c>
      <c r="Q479" t="str">
        <f t="shared" si="68"/>
        <v/>
      </c>
      <c r="S479" t="str">
        <f>""</f>
        <v/>
      </c>
      <c r="AL479" s="18" t="str">
        <f>IF(COUNTIF($A$2:A478, A478) = 1, A478, "")</f>
        <v/>
      </c>
    </row>
    <row r="480" spans="6:38" x14ac:dyDescent="0.2">
      <c r="F480" t="str">
        <f t="shared" si="63"/>
        <v/>
      </c>
      <c r="L480" s="7" t="str">
        <f t="shared" si="64"/>
        <v/>
      </c>
      <c r="N480" s="7" t="str">
        <f t="shared" si="65"/>
        <v/>
      </c>
      <c r="O480" t="str">
        <f t="shared" si="66"/>
        <v/>
      </c>
      <c r="P480" t="str">
        <f t="shared" si="67"/>
        <v/>
      </c>
      <c r="Q480" t="str">
        <f t="shared" si="68"/>
        <v/>
      </c>
      <c r="S480" t="str">
        <f>""</f>
        <v/>
      </c>
      <c r="AL480" s="18" t="str">
        <f>IF(COUNTIF($A$2:A479, A479) = 1, A479, "")</f>
        <v/>
      </c>
    </row>
    <row r="481" spans="6:38" x14ac:dyDescent="0.2">
      <c r="F481" t="str">
        <f t="shared" si="63"/>
        <v/>
      </c>
      <c r="L481" s="7" t="str">
        <f t="shared" si="64"/>
        <v/>
      </c>
      <c r="N481" s="7" t="str">
        <f t="shared" si="65"/>
        <v/>
      </c>
      <c r="O481" t="str">
        <f t="shared" si="66"/>
        <v/>
      </c>
      <c r="P481" t="str">
        <f t="shared" si="67"/>
        <v/>
      </c>
      <c r="Q481" t="str">
        <f t="shared" si="68"/>
        <v/>
      </c>
      <c r="S481" t="str">
        <f>""</f>
        <v/>
      </c>
      <c r="AL481" s="18" t="str">
        <f>IF(COUNTIF($A$2:A480, A480) = 1, A480, "")</f>
        <v/>
      </c>
    </row>
    <row r="482" spans="6:38" x14ac:dyDescent="0.2">
      <c r="F482" t="str">
        <f t="shared" si="63"/>
        <v/>
      </c>
      <c r="L482" s="7" t="str">
        <f t="shared" si="64"/>
        <v/>
      </c>
      <c r="N482" s="7" t="str">
        <f t="shared" si="65"/>
        <v/>
      </c>
      <c r="O482" t="str">
        <f t="shared" si="66"/>
        <v/>
      </c>
      <c r="P482" t="str">
        <f t="shared" si="67"/>
        <v/>
      </c>
      <c r="Q482" t="str">
        <f t="shared" si="68"/>
        <v/>
      </c>
      <c r="S482" t="str">
        <f>""</f>
        <v/>
      </c>
      <c r="AL482" s="18" t="str">
        <f>IF(COUNTIF($A$2:A481, A481) = 1, A481, "")</f>
        <v/>
      </c>
    </row>
    <row r="483" spans="6:38" x14ac:dyDescent="0.2">
      <c r="F483" t="str">
        <f t="shared" si="63"/>
        <v/>
      </c>
      <c r="L483" s="7" t="str">
        <f t="shared" si="64"/>
        <v/>
      </c>
      <c r="N483" s="7" t="str">
        <f t="shared" si="65"/>
        <v/>
      </c>
      <c r="O483" t="str">
        <f t="shared" si="66"/>
        <v/>
      </c>
      <c r="P483" t="str">
        <f t="shared" si="67"/>
        <v/>
      </c>
      <c r="Q483" t="str">
        <f t="shared" si="68"/>
        <v/>
      </c>
      <c r="S483" t="str">
        <f>""</f>
        <v/>
      </c>
      <c r="AL483" s="18" t="str">
        <f>IF(COUNTIF($A$2:A482, A482) = 1, A482, "")</f>
        <v/>
      </c>
    </row>
    <row r="484" spans="6:38" x14ac:dyDescent="0.2">
      <c r="F484" t="str">
        <f t="shared" si="63"/>
        <v/>
      </c>
      <c r="L484" s="7" t="str">
        <f t="shared" si="64"/>
        <v/>
      </c>
      <c r="N484" s="7" t="str">
        <f t="shared" si="65"/>
        <v/>
      </c>
      <c r="O484" t="str">
        <f t="shared" si="66"/>
        <v/>
      </c>
      <c r="P484" t="str">
        <f t="shared" si="67"/>
        <v/>
      </c>
      <c r="Q484" t="str">
        <f t="shared" si="68"/>
        <v/>
      </c>
      <c r="S484" t="str">
        <f>""</f>
        <v/>
      </c>
      <c r="AL484" s="18" t="str">
        <f>IF(COUNTIF($A$2:A483, A483) = 1, A483, "")</f>
        <v/>
      </c>
    </row>
    <row r="485" spans="6:38" x14ac:dyDescent="0.2">
      <c r="F485" t="str">
        <f t="shared" si="63"/>
        <v/>
      </c>
      <c r="L485" s="7" t="str">
        <f t="shared" si="64"/>
        <v/>
      </c>
      <c r="N485" s="7" t="str">
        <f t="shared" si="65"/>
        <v/>
      </c>
      <c r="O485" t="str">
        <f t="shared" si="66"/>
        <v/>
      </c>
      <c r="P485" t="str">
        <f t="shared" si="67"/>
        <v/>
      </c>
      <c r="Q485" t="str">
        <f t="shared" si="68"/>
        <v/>
      </c>
      <c r="S485" t="str">
        <f>""</f>
        <v/>
      </c>
      <c r="AL485" s="18" t="str">
        <f>IF(COUNTIF($A$2:A484, A484) = 1, A484, "")</f>
        <v/>
      </c>
    </row>
    <row r="486" spans="6:38" x14ac:dyDescent="0.2">
      <c r="F486" t="str">
        <f t="shared" si="63"/>
        <v/>
      </c>
      <c r="L486" s="7" t="str">
        <f t="shared" si="64"/>
        <v/>
      </c>
      <c r="N486" s="7" t="str">
        <f t="shared" si="65"/>
        <v/>
      </c>
      <c r="O486" t="str">
        <f t="shared" si="66"/>
        <v/>
      </c>
      <c r="P486" t="str">
        <f t="shared" si="67"/>
        <v/>
      </c>
      <c r="Q486" t="str">
        <f t="shared" si="68"/>
        <v/>
      </c>
      <c r="S486" t="str">
        <f>""</f>
        <v/>
      </c>
      <c r="AL486" s="18" t="str">
        <f>IF(COUNTIF($A$2:A485, A485) = 1, A485, "")</f>
        <v/>
      </c>
    </row>
    <row r="487" spans="6:38" x14ac:dyDescent="0.2">
      <c r="F487" t="str">
        <f t="shared" si="63"/>
        <v/>
      </c>
      <c r="L487" s="7" t="str">
        <f t="shared" si="64"/>
        <v/>
      </c>
      <c r="N487" s="7" t="str">
        <f t="shared" si="65"/>
        <v/>
      </c>
      <c r="O487" t="str">
        <f t="shared" si="66"/>
        <v/>
      </c>
      <c r="P487" t="str">
        <f t="shared" si="67"/>
        <v/>
      </c>
      <c r="Q487" t="str">
        <f t="shared" si="68"/>
        <v/>
      </c>
      <c r="S487" t="str">
        <f>""</f>
        <v/>
      </c>
      <c r="AL487" s="18" t="str">
        <f>IF(COUNTIF($A$2:A486, A486) = 1, A486, "")</f>
        <v/>
      </c>
    </row>
    <row r="488" spans="6:38" x14ac:dyDescent="0.2">
      <c r="F488" t="str">
        <f t="shared" si="63"/>
        <v/>
      </c>
      <c r="L488" s="7" t="str">
        <f t="shared" si="64"/>
        <v/>
      </c>
      <c r="N488" s="7" t="str">
        <f t="shared" si="65"/>
        <v/>
      </c>
      <c r="O488" t="str">
        <f t="shared" si="66"/>
        <v/>
      </c>
      <c r="P488" t="str">
        <f t="shared" si="67"/>
        <v/>
      </c>
      <c r="Q488" t="str">
        <f t="shared" si="68"/>
        <v/>
      </c>
      <c r="S488" t="str">
        <f>""</f>
        <v/>
      </c>
      <c r="AL488" s="18" t="str">
        <f>IF(COUNTIF($A$2:A487, A487) = 1, A487, "")</f>
        <v/>
      </c>
    </row>
    <row r="489" spans="6:38" x14ac:dyDescent="0.2">
      <c r="F489" t="str">
        <f t="shared" si="63"/>
        <v/>
      </c>
      <c r="L489" s="7" t="str">
        <f t="shared" si="64"/>
        <v/>
      </c>
      <c r="N489" s="7" t="str">
        <f t="shared" si="65"/>
        <v/>
      </c>
      <c r="O489" t="str">
        <f t="shared" si="66"/>
        <v/>
      </c>
      <c r="P489" t="str">
        <f t="shared" si="67"/>
        <v/>
      </c>
      <c r="Q489" t="str">
        <f t="shared" si="68"/>
        <v/>
      </c>
      <c r="S489" t="str">
        <f>""</f>
        <v/>
      </c>
      <c r="AL489" s="18" t="str">
        <f>IF(COUNTIF($A$2:A488, A488) = 1, A488, "")</f>
        <v/>
      </c>
    </row>
    <row r="490" spans="6:38" x14ac:dyDescent="0.2">
      <c r="F490" t="str">
        <f t="shared" si="63"/>
        <v/>
      </c>
      <c r="L490" s="7" t="str">
        <f t="shared" si="64"/>
        <v/>
      </c>
      <c r="N490" s="7" t="str">
        <f t="shared" si="65"/>
        <v/>
      </c>
      <c r="O490" t="str">
        <f t="shared" si="66"/>
        <v/>
      </c>
      <c r="P490" t="str">
        <f t="shared" si="67"/>
        <v/>
      </c>
      <c r="Q490" t="str">
        <f t="shared" si="68"/>
        <v/>
      </c>
      <c r="S490" t="str">
        <f>""</f>
        <v/>
      </c>
      <c r="AL490" s="18" t="str">
        <f>IF(COUNTIF($A$2:A489, A489) = 1, A489, "")</f>
        <v/>
      </c>
    </row>
    <row r="491" spans="6:38" x14ac:dyDescent="0.2">
      <c r="F491" t="str">
        <f t="shared" si="63"/>
        <v/>
      </c>
      <c r="L491" s="7" t="str">
        <f t="shared" si="64"/>
        <v/>
      </c>
      <c r="N491" s="7" t="str">
        <f t="shared" si="65"/>
        <v/>
      </c>
      <c r="O491" t="str">
        <f t="shared" si="66"/>
        <v/>
      </c>
      <c r="P491" t="str">
        <f t="shared" si="67"/>
        <v/>
      </c>
      <c r="Q491" t="str">
        <f t="shared" si="68"/>
        <v/>
      </c>
      <c r="S491" t="str">
        <f>""</f>
        <v/>
      </c>
      <c r="AL491" s="18" t="str">
        <f>IF(COUNTIF($A$2:A490, A490) = 1, A490, "")</f>
        <v/>
      </c>
    </row>
    <row r="492" spans="6:38" x14ac:dyDescent="0.2">
      <c r="F492" t="str">
        <f t="shared" si="63"/>
        <v/>
      </c>
      <c r="L492" s="7" t="str">
        <f t="shared" si="64"/>
        <v/>
      </c>
      <c r="N492" s="7" t="str">
        <f t="shared" si="65"/>
        <v/>
      </c>
      <c r="O492" t="str">
        <f t="shared" si="66"/>
        <v/>
      </c>
      <c r="P492" t="str">
        <f t="shared" si="67"/>
        <v/>
      </c>
      <c r="Q492" t="str">
        <f t="shared" si="68"/>
        <v/>
      </c>
      <c r="S492" t="str">
        <f>""</f>
        <v/>
      </c>
      <c r="AL492" s="18" t="str">
        <f>IF(COUNTIF($A$2:A491, A491) = 1, A491, "")</f>
        <v/>
      </c>
    </row>
    <row r="493" spans="6:38" x14ac:dyDescent="0.2">
      <c r="F493" t="str">
        <f t="shared" si="63"/>
        <v/>
      </c>
      <c r="L493" s="7" t="str">
        <f t="shared" si="64"/>
        <v/>
      </c>
      <c r="N493" s="7" t="str">
        <f t="shared" si="65"/>
        <v/>
      </c>
      <c r="O493" t="str">
        <f t="shared" si="66"/>
        <v/>
      </c>
      <c r="P493" t="str">
        <f t="shared" si="67"/>
        <v/>
      </c>
      <c r="Q493" t="str">
        <f t="shared" si="68"/>
        <v/>
      </c>
      <c r="S493" t="str">
        <f>""</f>
        <v/>
      </c>
      <c r="AL493" s="18" t="str">
        <f>IF(COUNTIF($A$2:A492, A492) = 1, A492, "")</f>
        <v/>
      </c>
    </row>
    <row r="494" spans="6:38" x14ac:dyDescent="0.2">
      <c r="F494" t="str">
        <f t="shared" si="63"/>
        <v/>
      </c>
      <c r="L494" s="7" t="str">
        <f t="shared" si="64"/>
        <v/>
      </c>
      <c r="N494" s="7" t="str">
        <f t="shared" si="65"/>
        <v/>
      </c>
      <c r="O494" t="str">
        <f t="shared" si="66"/>
        <v/>
      </c>
      <c r="P494" t="str">
        <f t="shared" si="67"/>
        <v/>
      </c>
      <c r="Q494" t="str">
        <f t="shared" si="68"/>
        <v/>
      </c>
      <c r="S494" t="str">
        <f>""</f>
        <v/>
      </c>
      <c r="AL494" s="18" t="str">
        <f>IF(COUNTIF($A$2:A493, A493) = 1, A493, "")</f>
        <v/>
      </c>
    </row>
    <row r="495" spans="6:38" x14ac:dyDescent="0.2">
      <c r="F495" t="str">
        <f t="shared" si="63"/>
        <v/>
      </c>
      <c r="L495" s="7" t="str">
        <f t="shared" si="64"/>
        <v/>
      </c>
      <c r="N495" s="7" t="str">
        <f t="shared" si="65"/>
        <v/>
      </c>
      <c r="O495" t="str">
        <f t="shared" si="66"/>
        <v/>
      </c>
      <c r="P495" t="str">
        <f t="shared" si="67"/>
        <v/>
      </c>
      <c r="Q495" t="str">
        <f t="shared" si="68"/>
        <v/>
      </c>
      <c r="S495" t="str">
        <f>""</f>
        <v/>
      </c>
      <c r="AL495" s="18" t="str">
        <f>IF(COUNTIF($A$2:A494, A494) = 1, A494, "")</f>
        <v/>
      </c>
    </row>
    <row r="496" spans="6:38" x14ac:dyDescent="0.2">
      <c r="F496" t="str">
        <f t="shared" si="63"/>
        <v/>
      </c>
      <c r="L496" s="7" t="str">
        <f t="shared" si="64"/>
        <v/>
      </c>
      <c r="N496" s="7" t="str">
        <f t="shared" si="65"/>
        <v/>
      </c>
      <c r="O496" t="str">
        <f t="shared" si="66"/>
        <v/>
      </c>
      <c r="P496" t="str">
        <f t="shared" si="67"/>
        <v/>
      </c>
      <c r="Q496" t="str">
        <f t="shared" si="68"/>
        <v/>
      </c>
      <c r="S496" t="str">
        <f>""</f>
        <v/>
      </c>
      <c r="AL496" s="18" t="str">
        <f>IF(COUNTIF($A$2:A495, A495) = 1, A495, "")</f>
        <v/>
      </c>
    </row>
    <row r="497" spans="6:38" x14ac:dyDescent="0.2">
      <c r="F497" t="str">
        <f t="shared" si="63"/>
        <v/>
      </c>
      <c r="L497" s="7" t="str">
        <f t="shared" si="64"/>
        <v/>
      </c>
      <c r="N497" s="7" t="str">
        <f t="shared" si="65"/>
        <v/>
      </c>
      <c r="O497" t="str">
        <f t="shared" si="66"/>
        <v/>
      </c>
      <c r="P497" t="str">
        <f t="shared" si="67"/>
        <v/>
      </c>
      <c r="Q497" t="str">
        <f t="shared" si="68"/>
        <v/>
      </c>
      <c r="S497" t="str">
        <f>""</f>
        <v/>
      </c>
      <c r="AL497" s="18" t="str">
        <f>IF(COUNTIF($A$2:A496, A496) = 1, A496, "")</f>
        <v/>
      </c>
    </row>
    <row r="498" spans="6:38" x14ac:dyDescent="0.2">
      <c r="F498" t="str">
        <f t="shared" si="63"/>
        <v/>
      </c>
      <c r="L498" s="7" t="str">
        <f t="shared" si="64"/>
        <v/>
      </c>
      <c r="N498" s="7" t="str">
        <f t="shared" si="65"/>
        <v/>
      </c>
      <c r="O498" t="str">
        <f t="shared" si="66"/>
        <v/>
      </c>
      <c r="P498" t="str">
        <f t="shared" si="67"/>
        <v/>
      </c>
      <c r="Q498" t="str">
        <f t="shared" si="68"/>
        <v/>
      </c>
      <c r="S498" t="str">
        <f>""</f>
        <v/>
      </c>
      <c r="AL498" s="18" t="str">
        <f>IF(COUNTIF($A$2:A497, A497) = 1, A497, "")</f>
        <v/>
      </c>
    </row>
    <row r="499" spans="6:38" x14ac:dyDescent="0.2">
      <c r="F499" t="str">
        <f t="shared" si="63"/>
        <v/>
      </c>
      <c r="L499" s="7" t="str">
        <f t="shared" si="64"/>
        <v/>
      </c>
      <c r="N499" s="7" t="str">
        <f t="shared" si="65"/>
        <v/>
      </c>
      <c r="O499" t="str">
        <f t="shared" si="66"/>
        <v/>
      </c>
      <c r="P499" t="str">
        <f t="shared" si="67"/>
        <v/>
      </c>
      <c r="Q499" t="str">
        <f t="shared" si="68"/>
        <v/>
      </c>
      <c r="S499" t="str">
        <f>""</f>
        <v/>
      </c>
      <c r="AL499" s="18" t="str">
        <f>IF(COUNTIF($A$2:A498, A498) = 1, A498, "")</f>
        <v/>
      </c>
    </row>
    <row r="500" spans="6:38" x14ac:dyDescent="0.2">
      <c r="F500" t="str">
        <f t="shared" si="63"/>
        <v/>
      </c>
      <c r="L500" s="7" t="str">
        <f t="shared" si="64"/>
        <v/>
      </c>
      <c r="N500" s="7" t="str">
        <f t="shared" si="65"/>
        <v/>
      </c>
      <c r="O500" t="str">
        <f t="shared" si="66"/>
        <v/>
      </c>
      <c r="P500" t="str">
        <f t="shared" si="67"/>
        <v/>
      </c>
      <c r="Q500" t="str">
        <f t="shared" si="68"/>
        <v/>
      </c>
      <c r="S500" t="str">
        <f>""</f>
        <v/>
      </c>
      <c r="AL500" s="18" t="str">
        <f>IF(COUNTIF($A$2:A499, A499) = 1, A499, "")</f>
        <v/>
      </c>
    </row>
    <row r="501" spans="6:38" x14ac:dyDescent="0.2">
      <c r="F501" t="str">
        <f t="shared" si="63"/>
        <v/>
      </c>
      <c r="L501" s="7" t="str">
        <f t="shared" si="64"/>
        <v/>
      </c>
      <c r="N501" s="7" t="str">
        <f t="shared" si="65"/>
        <v/>
      </c>
      <c r="O501" t="str">
        <f t="shared" si="66"/>
        <v/>
      </c>
      <c r="P501" t="str">
        <f t="shared" si="67"/>
        <v/>
      </c>
      <c r="Q501" t="str">
        <f t="shared" si="68"/>
        <v/>
      </c>
      <c r="S501" t="str">
        <f>""</f>
        <v/>
      </c>
      <c r="AL501" s="18" t="str">
        <f>IF(COUNTIF($A$2:A500, A500) = 1, A500, "")</f>
        <v/>
      </c>
    </row>
    <row r="502" spans="6:38" x14ac:dyDescent="0.2">
      <c r="F502" t="str">
        <f t="shared" si="63"/>
        <v/>
      </c>
      <c r="L502" s="7" t="str">
        <f t="shared" si="64"/>
        <v/>
      </c>
      <c r="N502" s="7" t="str">
        <f t="shared" si="65"/>
        <v/>
      </c>
      <c r="O502" t="str">
        <f t="shared" si="66"/>
        <v/>
      </c>
      <c r="P502" t="str">
        <f t="shared" si="67"/>
        <v/>
      </c>
      <c r="Q502" t="str">
        <f t="shared" si="68"/>
        <v/>
      </c>
      <c r="S502" t="str">
        <f>""</f>
        <v/>
      </c>
      <c r="AL502" s="18" t="str">
        <f>IF(COUNTIF($A$2:A501, A501) = 1, A501, "")</f>
        <v/>
      </c>
    </row>
    <row r="503" spans="6:38" x14ac:dyDescent="0.2">
      <c r="F503" t="str">
        <f t="shared" si="63"/>
        <v/>
      </c>
      <c r="L503" s="7" t="str">
        <f t="shared" si="64"/>
        <v/>
      </c>
      <c r="N503" s="7" t="str">
        <f t="shared" si="65"/>
        <v/>
      </c>
      <c r="O503" t="str">
        <f t="shared" si="66"/>
        <v/>
      </c>
      <c r="P503" t="str">
        <f t="shared" si="67"/>
        <v/>
      </c>
      <c r="Q503" t="str">
        <f t="shared" si="68"/>
        <v/>
      </c>
      <c r="S503" t="str">
        <f>""</f>
        <v/>
      </c>
      <c r="AL503" s="18" t="str">
        <f>IF(COUNTIF($A$2:A502, A502) = 1, A502, "")</f>
        <v/>
      </c>
    </row>
    <row r="504" spans="6:38" x14ac:dyDescent="0.2">
      <c r="F504" t="str">
        <f t="shared" si="63"/>
        <v/>
      </c>
      <c r="L504" s="7" t="str">
        <f t="shared" si="64"/>
        <v/>
      </c>
      <c r="N504" s="7" t="str">
        <f t="shared" si="65"/>
        <v/>
      </c>
      <c r="O504" t="str">
        <f t="shared" si="66"/>
        <v/>
      </c>
      <c r="P504" t="str">
        <f t="shared" si="67"/>
        <v/>
      </c>
      <c r="Q504" t="str">
        <f t="shared" si="68"/>
        <v/>
      </c>
      <c r="S504" t="str">
        <f>""</f>
        <v/>
      </c>
      <c r="AL504" s="18" t="str">
        <f>IF(COUNTIF($A$2:A503, A503) = 1, A503, "")</f>
        <v/>
      </c>
    </row>
    <row r="505" spans="6:38" x14ac:dyDescent="0.2">
      <c r="F505" t="str">
        <f t="shared" si="63"/>
        <v/>
      </c>
      <c r="L505" s="7" t="str">
        <f t="shared" si="64"/>
        <v/>
      </c>
      <c r="N505" s="7" t="str">
        <f t="shared" si="65"/>
        <v/>
      </c>
      <c r="O505" t="str">
        <f t="shared" si="66"/>
        <v/>
      </c>
      <c r="P505" t="str">
        <f t="shared" si="67"/>
        <v/>
      </c>
      <c r="Q505" t="str">
        <f t="shared" si="68"/>
        <v/>
      </c>
      <c r="S505" t="str">
        <f>""</f>
        <v/>
      </c>
      <c r="AL505" s="18" t="str">
        <f>IF(COUNTIF($A$2:A504, A504) = 1, A504, "")</f>
        <v/>
      </c>
    </row>
    <row r="506" spans="6:38" x14ac:dyDescent="0.2">
      <c r="F506" t="str">
        <f t="shared" si="63"/>
        <v/>
      </c>
      <c r="L506" s="7" t="str">
        <f t="shared" si="64"/>
        <v/>
      </c>
      <c r="N506" s="7" t="str">
        <f t="shared" si="65"/>
        <v/>
      </c>
      <c r="O506" t="str">
        <f t="shared" si="66"/>
        <v/>
      </c>
      <c r="P506" t="str">
        <f t="shared" si="67"/>
        <v/>
      </c>
      <c r="Q506" t="str">
        <f t="shared" si="68"/>
        <v/>
      </c>
      <c r="S506" t="str">
        <f>""</f>
        <v/>
      </c>
      <c r="AL506" s="18" t="str">
        <f>IF(COUNTIF($A$2:A505, A505) = 1, A505, "")</f>
        <v/>
      </c>
    </row>
    <row r="507" spans="6:38" x14ac:dyDescent="0.2">
      <c r="F507" t="str">
        <f t="shared" si="63"/>
        <v/>
      </c>
      <c r="L507" s="7" t="str">
        <f t="shared" si="64"/>
        <v/>
      </c>
      <c r="N507" s="7" t="str">
        <f t="shared" si="65"/>
        <v/>
      </c>
      <c r="O507" t="str">
        <f t="shared" si="66"/>
        <v/>
      </c>
      <c r="P507" t="str">
        <f t="shared" si="67"/>
        <v/>
      </c>
      <c r="Q507" t="str">
        <f t="shared" si="68"/>
        <v/>
      </c>
      <c r="S507" t="str">
        <f>""</f>
        <v/>
      </c>
      <c r="AL507" s="18" t="str">
        <f>IF(COUNTIF($A$2:A506, A506) = 1, A506, "")</f>
        <v/>
      </c>
    </row>
    <row r="508" spans="6:38" x14ac:dyDescent="0.2">
      <c r="F508" t="str">
        <f t="shared" si="63"/>
        <v/>
      </c>
      <c r="L508" s="7" t="str">
        <f t="shared" si="64"/>
        <v/>
      </c>
      <c r="N508" s="7" t="str">
        <f t="shared" si="65"/>
        <v/>
      </c>
      <c r="O508" t="str">
        <f t="shared" si="66"/>
        <v/>
      </c>
      <c r="P508" t="str">
        <f t="shared" si="67"/>
        <v/>
      </c>
      <c r="Q508" t="str">
        <f t="shared" si="68"/>
        <v/>
      </c>
      <c r="S508" t="str">
        <f>""</f>
        <v/>
      </c>
      <c r="AL508" s="18" t="str">
        <f>IF(COUNTIF($A$2:A507, A507) = 1, A507, "")</f>
        <v/>
      </c>
    </row>
    <row r="509" spans="6:38" x14ac:dyDescent="0.2">
      <c r="F509" t="str">
        <f t="shared" si="63"/>
        <v/>
      </c>
      <c r="L509" s="7" t="str">
        <f t="shared" si="64"/>
        <v/>
      </c>
      <c r="N509" s="7" t="str">
        <f t="shared" si="65"/>
        <v/>
      </c>
      <c r="O509" t="str">
        <f t="shared" si="66"/>
        <v/>
      </c>
      <c r="P509" t="str">
        <f t="shared" si="67"/>
        <v/>
      </c>
      <c r="Q509" t="str">
        <f t="shared" si="68"/>
        <v/>
      </c>
      <c r="S509" t="str">
        <f>""</f>
        <v/>
      </c>
      <c r="AL509" s="18" t="str">
        <f>IF(COUNTIF($A$2:A508, A508) = 1, A508, "")</f>
        <v/>
      </c>
    </row>
    <row r="510" spans="6:38" x14ac:dyDescent="0.2">
      <c r="F510" t="str">
        <f t="shared" si="63"/>
        <v/>
      </c>
      <c r="L510" s="7" t="str">
        <f t="shared" si="64"/>
        <v/>
      </c>
      <c r="N510" s="7" t="str">
        <f t="shared" si="65"/>
        <v/>
      </c>
      <c r="O510" t="str">
        <f t="shared" si="66"/>
        <v/>
      </c>
      <c r="P510" t="str">
        <f t="shared" si="67"/>
        <v/>
      </c>
      <c r="Q510" t="str">
        <f t="shared" si="68"/>
        <v/>
      </c>
      <c r="S510" t="str">
        <f>""</f>
        <v/>
      </c>
      <c r="AL510" s="18" t="str">
        <f>IF(COUNTIF($A$2:A509, A509) = 1, A509, "")</f>
        <v/>
      </c>
    </row>
    <row r="511" spans="6:38" x14ac:dyDescent="0.2">
      <c r="F511" t="str">
        <f t="shared" si="63"/>
        <v/>
      </c>
      <c r="L511" s="7" t="str">
        <f t="shared" si="64"/>
        <v/>
      </c>
      <c r="N511" s="7" t="str">
        <f t="shared" si="65"/>
        <v/>
      </c>
      <c r="O511" t="str">
        <f t="shared" si="66"/>
        <v/>
      </c>
      <c r="P511" t="str">
        <f t="shared" si="67"/>
        <v/>
      </c>
      <c r="Q511" t="str">
        <f t="shared" si="68"/>
        <v/>
      </c>
      <c r="S511" t="str">
        <f>""</f>
        <v/>
      </c>
      <c r="AL511" s="18" t="str">
        <f>IF(COUNTIF($A$2:A510, A510) = 1, A510, "")</f>
        <v/>
      </c>
    </row>
    <row r="512" spans="6:38" x14ac:dyDescent="0.2">
      <c r="F512" t="str">
        <f t="shared" si="63"/>
        <v/>
      </c>
      <c r="L512" s="7" t="str">
        <f t="shared" si="64"/>
        <v/>
      </c>
      <c r="N512" s="7" t="str">
        <f t="shared" si="65"/>
        <v/>
      </c>
      <c r="O512" t="str">
        <f t="shared" si="66"/>
        <v/>
      </c>
      <c r="P512" t="str">
        <f t="shared" si="67"/>
        <v/>
      </c>
      <c r="Q512" t="str">
        <f t="shared" si="68"/>
        <v/>
      </c>
      <c r="S512" t="str">
        <f>""</f>
        <v/>
      </c>
      <c r="AL512" s="18" t="str">
        <f>IF(COUNTIF($A$2:A511, A511) = 1, A511, "")</f>
        <v/>
      </c>
    </row>
    <row r="513" spans="6:38" x14ac:dyDescent="0.2">
      <c r="F513" t="str">
        <f t="shared" si="63"/>
        <v/>
      </c>
      <c r="L513" s="7" t="str">
        <f t="shared" si="64"/>
        <v/>
      </c>
      <c r="N513" s="7" t="str">
        <f t="shared" si="65"/>
        <v/>
      </c>
      <c r="O513" t="str">
        <f t="shared" si="66"/>
        <v/>
      </c>
      <c r="P513" t="str">
        <f t="shared" si="67"/>
        <v/>
      </c>
      <c r="Q513" t="str">
        <f t="shared" si="68"/>
        <v/>
      </c>
      <c r="S513" t="str">
        <f>""</f>
        <v/>
      </c>
      <c r="AL513" s="18" t="str">
        <f>IF(COUNTIF($A$2:A512, A512) = 1, A512, "")</f>
        <v/>
      </c>
    </row>
    <row r="514" spans="6:38" x14ac:dyDescent="0.2">
      <c r="F514" t="str">
        <f t="shared" si="63"/>
        <v/>
      </c>
      <c r="L514" s="7" t="str">
        <f t="shared" si="64"/>
        <v/>
      </c>
      <c r="N514" s="7" t="str">
        <f t="shared" si="65"/>
        <v/>
      </c>
      <c r="O514" t="str">
        <f t="shared" si="66"/>
        <v/>
      </c>
      <c r="P514" t="str">
        <f t="shared" si="67"/>
        <v/>
      </c>
      <c r="Q514" t="str">
        <f t="shared" si="68"/>
        <v/>
      </c>
      <c r="S514" t="str">
        <f>""</f>
        <v/>
      </c>
      <c r="AL514" s="18" t="str">
        <f>IF(COUNTIF($A$2:A513, A513) = 1, A513, "")</f>
        <v/>
      </c>
    </row>
    <row r="515" spans="6:38" x14ac:dyDescent="0.2">
      <c r="F515" t="str">
        <f t="shared" si="63"/>
        <v/>
      </c>
      <c r="L515" s="7" t="str">
        <f t="shared" si="64"/>
        <v/>
      </c>
      <c r="N515" s="7" t="str">
        <f t="shared" si="65"/>
        <v/>
      </c>
      <c r="O515" t="str">
        <f t="shared" si="66"/>
        <v/>
      </c>
      <c r="P515" t="str">
        <f t="shared" si="67"/>
        <v/>
      </c>
      <c r="Q515" t="str">
        <f t="shared" si="68"/>
        <v/>
      </c>
      <c r="S515" t="str">
        <f>""</f>
        <v/>
      </c>
      <c r="AL515" s="18" t="str">
        <f>IF(COUNTIF($A$2:A514, A514) = 1, A514, "")</f>
        <v/>
      </c>
    </row>
    <row r="516" spans="6:38" x14ac:dyDescent="0.2">
      <c r="F516" t="str">
        <f t="shared" si="63"/>
        <v/>
      </c>
      <c r="L516" s="7" t="str">
        <f t="shared" si="64"/>
        <v/>
      </c>
      <c r="N516" s="7" t="str">
        <f t="shared" si="65"/>
        <v/>
      </c>
      <c r="O516" t="str">
        <f t="shared" si="66"/>
        <v/>
      </c>
      <c r="P516" t="str">
        <f t="shared" si="67"/>
        <v/>
      </c>
      <c r="Q516" t="str">
        <f t="shared" si="68"/>
        <v/>
      </c>
      <c r="S516" t="str">
        <f>""</f>
        <v/>
      </c>
      <c r="AL516" s="18" t="str">
        <f>IF(COUNTIF($A$2:A515, A515) = 1, A515, "")</f>
        <v/>
      </c>
    </row>
    <row r="517" spans="6:38" x14ac:dyDescent="0.2">
      <c r="F517" t="str">
        <f t="shared" si="63"/>
        <v/>
      </c>
      <c r="L517" s="7" t="str">
        <f t="shared" si="64"/>
        <v/>
      </c>
      <c r="N517" s="7" t="str">
        <f t="shared" si="65"/>
        <v/>
      </c>
      <c r="O517" t="str">
        <f t="shared" si="66"/>
        <v/>
      </c>
      <c r="P517" t="str">
        <f t="shared" si="67"/>
        <v/>
      </c>
      <c r="Q517" t="str">
        <f t="shared" si="68"/>
        <v/>
      </c>
      <c r="S517" t="str">
        <f>""</f>
        <v/>
      </c>
      <c r="AL517" s="18" t="str">
        <f>IF(COUNTIF($A$2:A516, A516) = 1, A516, "")</f>
        <v/>
      </c>
    </row>
    <row r="518" spans="6:38" x14ac:dyDescent="0.2">
      <c r="F518" t="str">
        <f t="shared" si="63"/>
        <v/>
      </c>
      <c r="L518" s="7" t="str">
        <f t="shared" si="64"/>
        <v/>
      </c>
      <c r="N518" s="7" t="str">
        <f t="shared" si="65"/>
        <v/>
      </c>
      <c r="O518" t="str">
        <f t="shared" si="66"/>
        <v/>
      </c>
      <c r="P518" t="str">
        <f t="shared" si="67"/>
        <v/>
      </c>
      <c r="Q518" t="str">
        <f t="shared" si="68"/>
        <v/>
      </c>
      <c r="S518" t="str">
        <f>""</f>
        <v/>
      </c>
      <c r="AL518" s="18" t="str">
        <f>IF(COUNTIF($A$2:A517, A517) = 1, A517, "")</f>
        <v/>
      </c>
    </row>
    <row r="519" spans="6:38" x14ac:dyDescent="0.2">
      <c r="F519" t="str">
        <f t="shared" si="63"/>
        <v/>
      </c>
      <c r="L519" s="7" t="str">
        <f t="shared" si="64"/>
        <v/>
      </c>
      <c r="N519" s="7" t="str">
        <f t="shared" si="65"/>
        <v/>
      </c>
      <c r="O519" t="str">
        <f t="shared" si="66"/>
        <v/>
      </c>
      <c r="P519" t="str">
        <f t="shared" si="67"/>
        <v/>
      </c>
      <c r="Q519" t="str">
        <f t="shared" si="68"/>
        <v/>
      </c>
      <c r="S519" t="str">
        <f>""</f>
        <v/>
      </c>
      <c r="AL519" s="18" t="str">
        <f>IF(COUNTIF($A$2:A518, A518) = 1, A518, "")</f>
        <v/>
      </c>
    </row>
    <row r="520" spans="6:38" x14ac:dyDescent="0.2">
      <c r="F520" t="str">
        <f t="shared" si="63"/>
        <v/>
      </c>
      <c r="L520" s="7" t="str">
        <f t="shared" si="64"/>
        <v/>
      </c>
      <c r="N520" s="7" t="str">
        <f t="shared" si="65"/>
        <v/>
      </c>
      <c r="O520" t="str">
        <f t="shared" si="66"/>
        <v/>
      </c>
      <c r="P520" t="str">
        <f t="shared" si="67"/>
        <v/>
      </c>
      <c r="Q520" t="str">
        <f t="shared" si="68"/>
        <v/>
      </c>
      <c r="S520" t="str">
        <f>""</f>
        <v/>
      </c>
      <c r="AL520" s="18" t="str">
        <f>IF(COUNTIF($A$2:A519, A519) = 1, A519, "")</f>
        <v/>
      </c>
    </row>
    <row r="521" spans="6:38" x14ac:dyDescent="0.2">
      <c r="F521" t="str">
        <f t="shared" si="63"/>
        <v/>
      </c>
      <c r="L521" s="7" t="str">
        <f t="shared" si="64"/>
        <v/>
      </c>
      <c r="N521" s="7" t="str">
        <f t="shared" si="65"/>
        <v/>
      </c>
      <c r="O521" t="str">
        <f t="shared" si="66"/>
        <v/>
      </c>
      <c r="P521" t="str">
        <f t="shared" si="67"/>
        <v/>
      </c>
      <c r="Q521" t="str">
        <f t="shared" si="68"/>
        <v/>
      </c>
      <c r="S521" t="str">
        <f>""</f>
        <v/>
      </c>
      <c r="AL521" s="18" t="str">
        <f>IF(COUNTIF($A$2:A520, A520) = 1, A520, "")</f>
        <v/>
      </c>
    </row>
    <row r="522" spans="6:38" x14ac:dyDescent="0.2">
      <c r="F522" t="str">
        <f t="shared" si="63"/>
        <v/>
      </c>
      <c r="L522" s="7" t="str">
        <f t="shared" si="64"/>
        <v/>
      </c>
      <c r="N522" s="7" t="str">
        <f t="shared" si="65"/>
        <v/>
      </c>
      <c r="O522" t="str">
        <f t="shared" si="66"/>
        <v/>
      </c>
      <c r="P522" t="str">
        <f t="shared" si="67"/>
        <v/>
      </c>
      <c r="Q522" t="str">
        <f t="shared" si="68"/>
        <v/>
      </c>
      <c r="S522" t="str">
        <f>""</f>
        <v/>
      </c>
      <c r="AL522" s="18" t="str">
        <f>IF(COUNTIF($A$2:A521, A521) = 1, A521, "")</f>
        <v/>
      </c>
    </row>
    <row r="523" spans="6:38" x14ac:dyDescent="0.2">
      <c r="F523" t="str">
        <f t="shared" si="63"/>
        <v/>
      </c>
      <c r="L523" s="7" t="str">
        <f t="shared" si="64"/>
        <v/>
      </c>
      <c r="N523" s="7" t="str">
        <f t="shared" si="65"/>
        <v/>
      </c>
      <c r="O523" t="str">
        <f t="shared" si="66"/>
        <v/>
      </c>
      <c r="P523" t="str">
        <f t="shared" si="67"/>
        <v/>
      </c>
      <c r="Q523" t="str">
        <f t="shared" si="68"/>
        <v/>
      </c>
      <c r="S523" t="str">
        <f>""</f>
        <v/>
      </c>
      <c r="AL523" s="18" t="str">
        <f>IF(COUNTIF($A$2:A522, A522) = 1, A522, "")</f>
        <v/>
      </c>
    </row>
    <row r="524" spans="6:38" x14ac:dyDescent="0.2">
      <c r="F524" t="str">
        <f t="shared" si="63"/>
        <v/>
      </c>
      <c r="L524" s="7" t="str">
        <f t="shared" si="64"/>
        <v/>
      </c>
      <c r="N524" s="7" t="str">
        <f t="shared" si="65"/>
        <v/>
      </c>
      <c r="O524" t="str">
        <f t="shared" si="66"/>
        <v/>
      </c>
      <c r="P524" t="str">
        <f t="shared" si="67"/>
        <v/>
      </c>
      <c r="Q524" t="str">
        <f t="shared" si="68"/>
        <v/>
      </c>
      <c r="S524" t="str">
        <f>""</f>
        <v/>
      </c>
      <c r="AL524" s="18" t="str">
        <f>IF(COUNTIF($A$2:A523, A523) = 1, A523, "")</f>
        <v/>
      </c>
    </row>
    <row r="525" spans="6:38" x14ac:dyDescent="0.2">
      <c r="F525" t="str">
        <f t="shared" si="63"/>
        <v/>
      </c>
      <c r="L525" s="7" t="str">
        <f t="shared" si="64"/>
        <v/>
      </c>
      <c r="N525" s="7" t="str">
        <f t="shared" si="65"/>
        <v/>
      </c>
      <c r="O525" t="str">
        <f t="shared" si="66"/>
        <v/>
      </c>
      <c r="P525" t="str">
        <f t="shared" si="67"/>
        <v/>
      </c>
      <c r="Q525" t="str">
        <f t="shared" si="68"/>
        <v/>
      </c>
      <c r="S525" t="str">
        <f>""</f>
        <v/>
      </c>
      <c r="AL525" s="18" t="str">
        <f>IF(COUNTIF($A$2:A524, A524) = 1, A524, "")</f>
        <v/>
      </c>
    </row>
    <row r="526" spans="6:38" x14ac:dyDescent="0.2">
      <c r="F526" t="str">
        <f t="shared" si="63"/>
        <v/>
      </c>
      <c r="L526" s="7" t="str">
        <f t="shared" si="64"/>
        <v/>
      </c>
      <c r="N526" s="7" t="str">
        <f t="shared" si="65"/>
        <v/>
      </c>
      <c r="O526" t="str">
        <f t="shared" si="66"/>
        <v/>
      </c>
      <c r="P526" t="str">
        <f t="shared" si="67"/>
        <v/>
      </c>
      <c r="Q526" t="str">
        <f t="shared" si="68"/>
        <v/>
      </c>
      <c r="S526" t="str">
        <f>""</f>
        <v/>
      </c>
      <c r="AL526" s="18" t="str">
        <f>IF(COUNTIF($A$2:A525, A525) = 1, A525, "")</f>
        <v/>
      </c>
    </row>
    <row r="527" spans="6:38" x14ac:dyDescent="0.2">
      <c r="F527" t="str">
        <f t="shared" si="63"/>
        <v/>
      </c>
      <c r="L527" s="7" t="str">
        <f t="shared" si="64"/>
        <v/>
      </c>
      <c r="N527" s="7" t="str">
        <f t="shared" si="65"/>
        <v/>
      </c>
      <c r="O527" t="str">
        <f t="shared" si="66"/>
        <v/>
      </c>
      <c r="P527" t="str">
        <f t="shared" si="67"/>
        <v/>
      </c>
      <c r="Q527" t="str">
        <f t="shared" si="68"/>
        <v/>
      </c>
      <c r="S527" t="str">
        <f>""</f>
        <v/>
      </c>
      <c r="AL527" s="18" t="str">
        <f>IF(COUNTIF($A$2:A526, A526) = 1, A526, "")</f>
        <v/>
      </c>
    </row>
    <row r="528" spans="6:38" x14ac:dyDescent="0.2">
      <c r="F528" t="str">
        <f t="shared" ref="F528:F547" si="69">IF(OR(O528="", P528=""), "", SUM(IF((O528&lt;&gt;"None")*(O528&lt;&gt;""),LEN(O528)-LEN(SUBSTITUTE(O528,",",""))+1,0)) + SUM(IF((P528&lt;&gt;"None")*(P528&lt;&gt;""),LEN(P528)-LEN(SUBSTITUTE(P528,",",""))+1,0)))</f>
        <v/>
      </c>
      <c r="L528" s="7" t="str">
        <f t="shared" ref="L528:L547" si="70">IF(LEN(E528)=0, "", IFERROR(IF(E528&gt;=0, K528 * (1 + E528/100) - K528, K528 / (ABS(E528)/100))+K528, ""))</f>
        <v/>
      </c>
      <c r="N528" s="7" t="str">
        <f t="shared" ref="N528:N547" si="71">IF(M528="Yes",L528-K528,IF(M528="No",-K528,""))</f>
        <v/>
      </c>
      <c r="O528" t="str">
        <f t="shared" ref="O528:O547" si="72">IF(AND(G528="No",H528="No"), "None", "")</f>
        <v/>
      </c>
      <c r="P528" t="str">
        <f t="shared" ref="P528:P547" si="73">IF(I528="No", "None", "")</f>
        <v/>
      </c>
      <c r="Q528" t="str">
        <f t="shared" ref="Q528:Q547" si="74">IF(AND(D528="Straight", M528 = "No"),IF(O528="None",P528,IF(P528="None",O528) ),"")</f>
        <v/>
      </c>
      <c r="S528" t="str">
        <f>""</f>
        <v/>
      </c>
      <c r="AL528" s="18" t="str">
        <f>IF(COUNTIF($A$2:A527, A527) = 1, A527, "")</f>
        <v/>
      </c>
    </row>
    <row r="529" spans="6:38" x14ac:dyDescent="0.2">
      <c r="F529" t="str">
        <f t="shared" si="69"/>
        <v/>
      </c>
      <c r="L529" s="7" t="str">
        <f t="shared" si="70"/>
        <v/>
      </c>
      <c r="N529" s="7" t="str">
        <f t="shared" si="71"/>
        <v/>
      </c>
      <c r="O529" t="str">
        <f t="shared" si="72"/>
        <v/>
      </c>
      <c r="P529" t="str">
        <f t="shared" si="73"/>
        <v/>
      </c>
      <c r="Q529" t="str">
        <f t="shared" si="74"/>
        <v/>
      </c>
      <c r="S529" t="str">
        <f>""</f>
        <v/>
      </c>
      <c r="AL529" s="18" t="str">
        <f>IF(COUNTIF($A$2:A528, A528) = 1, A528, "")</f>
        <v/>
      </c>
    </row>
    <row r="530" spans="6:38" x14ac:dyDescent="0.2">
      <c r="F530" t="str">
        <f t="shared" si="69"/>
        <v/>
      </c>
      <c r="L530" s="7" t="str">
        <f t="shared" si="70"/>
        <v/>
      </c>
      <c r="N530" s="7" t="str">
        <f t="shared" si="71"/>
        <v/>
      </c>
      <c r="O530" t="str">
        <f t="shared" si="72"/>
        <v/>
      </c>
      <c r="P530" t="str">
        <f t="shared" si="73"/>
        <v/>
      </c>
      <c r="Q530" t="str">
        <f t="shared" si="74"/>
        <v/>
      </c>
      <c r="S530" t="str">
        <f>""</f>
        <v/>
      </c>
      <c r="AL530" s="18" t="str">
        <f>IF(COUNTIF($A$2:A529, A529) = 1, A529, "")</f>
        <v/>
      </c>
    </row>
    <row r="531" spans="6:38" x14ac:dyDescent="0.2">
      <c r="F531" t="str">
        <f t="shared" si="69"/>
        <v/>
      </c>
      <c r="L531" s="7" t="str">
        <f t="shared" si="70"/>
        <v/>
      </c>
      <c r="N531" s="7" t="str">
        <f t="shared" si="71"/>
        <v/>
      </c>
      <c r="O531" t="str">
        <f t="shared" si="72"/>
        <v/>
      </c>
      <c r="P531" t="str">
        <f t="shared" si="73"/>
        <v/>
      </c>
      <c r="Q531" t="str">
        <f t="shared" si="74"/>
        <v/>
      </c>
      <c r="S531" t="str">
        <f>""</f>
        <v/>
      </c>
      <c r="AL531" s="18" t="str">
        <f>IF(COUNTIF($A$2:A530, A530) = 1, A530, "")</f>
        <v/>
      </c>
    </row>
    <row r="532" spans="6:38" x14ac:dyDescent="0.2">
      <c r="F532" t="str">
        <f t="shared" si="69"/>
        <v/>
      </c>
      <c r="L532" s="7" t="str">
        <f t="shared" si="70"/>
        <v/>
      </c>
      <c r="N532" s="7" t="str">
        <f t="shared" si="71"/>
        <v/>
      </c>
      <c r="O532" t="str">
        <f t="shared" si="72"/>
        <v/>
      </c>
      <c r="P532" t="str">
        <f t="shared" si="73"/>
        <v/>
      </c>
      <c r="Q532" t="str">
        <f t="shared" si="74"/>
        <v/>
      </c>
      <c r="S532" t="str">
        <f>""</f>
        <v/>
      </c>
      <c r="AL532" s="18" t="str">
        <f>IF(COUNTIF($A$2:A531, A531) = 1, A531, "")</f>
        <v/>
      </c>
    </row>
    <row r="533" spans="6:38" x14ac:dyDescent="0.2">
      <c r="F533" t="str">
        <f t="shared" si="69"/>
        <v/>
      </c>
      <c r="L533" s="7" t="str">
        <f t="shared" si="70"/>
        <v/>
      </c>
      <c r="N533" s="7" t="str">
        <f t="shared" si="71"/>
        <v/>
      </c>
      <c r="O533" t="str">
        <f t="shared" si="72"/>
        <v/>
      </c>
      <c r="P533" t="str">
        <f t="shared" si="73"/>
        <v/>
      </c>
      <c r="Q533" t="str">
        <f t="shared" si="74"/>
        <v/>
      </c>
      <c r="S533" t="str">
        <f>""</f>
        <v/>
      </c>
      <c r="AL533" s="18" t="str">
        <f>IF(COUNTIF($A$2:A532, A532) = 1, A532, "")</f>
        <v/>
      </c>
    </row>
    <row r="534" spans="6:38" x14ac:dyDescent="0.2">
      <c r="F534" t="str">
        <f t="shared" si="69"/>
        <v/>
      </c>
      <c r="L534" s="7" t="str">
        <f t="shared" si="70"/>
        <v/>
      </c>
      <c r="N534" s="7" t="str">
        <f t="shared" si="71"/>
        <v/>
      </c>
      <c r="O534" t="str">
        <f t="shared" si="72"/>
        <v/>
      </c>
      <c r="P534" t="str">
        <f t="shared" si="73"/>
        <v/>
      </c>
      <c r="Q534" t="str">
        <f t="shared" si="74"/>
        <v/>
      </c>
      <c r="S534" t="str">
        <f>""</f>
        <v/>
      </c>
      <c r="AL534" s="18" t="str">
        <f>IF(COUNTIF($A$2:A533, A533) = 1, A533, "")</f>
        <v/>
      </c>
    </row>
    <row r="535" spans="6:38" x14ac:dyDescent="0.2">
      <c r="F535" t="str">
        <f t="shared" si="69"/>
        <v/>
      </c>
      <c r="L535" s="7" t="str">
        <f t="shared" si="70"/>
        <v/>
      </c>
      <c r="N535" s="7" t="str">
        <f t="shared" si="71"/>
        <v/>
      </c>
      <c r="O535" t="str">
        <f t="shared" si="72"/>
        <v/>
      </c>
      <c r="P535" t="str">
        <f t="shared" si="73"/>
        <v/>
      </c>
      <c r="Q535" t="str">
        <f t="shared" si="74"/>
        <v/>
      </c>
      <c r="S535" t="str">
        <f>""</f>
        <v/>
      </c>
      <c r="AL535" s="18" t="str">
        <f>IF(COUNTIF($A$2:A534, A534) = 1, A534, "")</f>
        <v/>
      </c>
    </row>
    <row r="536" spans="6:38" x14ac:dyDescent="0.2">
      <c r="F536" t="str">
        <f t="shared" si="69"/>
        <v/>
      </c>
      <c r="L536" s="7" t="str">
        <f t="shared" si="70"/>
        <v/>
      </c>
      <c r="N536" s="7" t="str">
        <f t="shared" si="71"/>
        <v/>
      </c>
      <c r="O536" t="str">
        <f t="shared" si="72"/>
        <v/>
      </c>
      <c r="P536" t="str">
        <f t="shared" si="73"/>
        <v/>
      </c>
      <c r="Q536" t="str">
        <f t="shared" si="74"/>
        <v/>
      </c>
      <c r="S536" t="str">
        <f>""</f>
        <v/>
      </c>
      <c r="AL536" s="18" t="str">
        <f>IF(COUNTIF($A$2:A535, A535) = 1, A535, "")</f>
        <v/>
      </c>
    </row>
    <row r="537" spans="6:38" x14ac:dyDescent="0.2">
      <c r="F537" t="str">
        <f t="shared" si="69"/>
        <v/>
      </c>
      <c r="L537" s="7" t="str">
        <f t="shared" si="70"/>
        <v/>
      </c>
      <c r="N537" s="7" t="str">
        <f t="shared" si="71"/>
        <v/>
      </c>
      <c r="O537" t="str">
        <f t="shared" si="72"/>
        <v/>
      </c>
      <c r="P537" t="str">
        <f t="shared" si="73"/>
        <v/>
      </c>
      <c r="Q537" t="str">
        <f t="shared" si="74"/>
        <v/>
      </c>
      <c r="S537" t="str">
        <f>""</f>
        <v/>
      </c>
      <c r="AL537" s="18" t="str">
        <f>IF(COUNTIF($A$2:A536, A536) = 1, A536, "")</f>
        <v/>
      </c>
    </row>
    <row r="538" spans="6:38" x14ac:dyDescent="0.2">
      <c r="F538" t="str">
        <f t="shared" si="69"/>
        <v/>
      </c>
      <c r="L538" s="7" t="str">
        <f t="shared" si="70"/>
        <v/>
      </c>
      <c r="N538" s="7" t="str">
        <f t="shared" si="71"/>
        <v/>
      </c>
      <c r="O538" t="str">
        <f t="shared" si="72"/>
        <v/>
      </c>
      <c r="P538" t="str">
        <f t="shared" si="73"/>
        <v/>
      </c>
      <c r="Q538" t="str">
        <f t="shared" si="74"/>
        <v/>
      </c>
      <c r="S538" t="str">
        <f>""</f>
        <v/>
      </c>
      <c r="AL538" s="18" t="str">
        <f>IF(COUNTIF($A$2:A537, A537) = 1, A537, "")</f>
        <v/>
      </c>
    </row>
    <row r="539" spans="6:38" x14ac:dyDescent="0.2">
      <c r="F539" t="str">
        <f t="shared" si="69"/>
        <v/>
      </c>
      <c r="L539" s="7" t="str">
        <f t="shared" si="70"/>
        <v/>
      </c>
      <c r="N539" s="7" t="str">
        <f t="shared" si="71"/>
        <v/>
      </c>
      <c r="O539" t="str">
        <f t="shared" si="72"/>
        <v/>
      </c>
      <c r="P539" t="str">
        <f t="shared" si="73"/>
        <v/>
      </c>
      <c r="Q539" t="str">
        <f t="shared" si="74"/>
        <v/>
      </c>
      <c r="S539" t="str">
        <f>""</f>
        <v/>
      </c>
      <c r="AL539" s="18" t="str">
        <f>IF(COUNTIF($A$2:A538, A538) = 1, A538, "")</f>
        <v/>
      </c>
    </row>
    <row r="540" spans="6:38" x14ac:dyDescent="0.2">
      <c r="F540" t="str">
        <f t="shared" si="69"/>
        <v/>
      </c>
      <c r="L540" s="7" t="str">
        <f t="shared" si="70"/>
        <v/>
      </c>
      <c r="N540" s="7" t="str">
        <f t="shared" si="71"/>
        <v/>
      </c>
      <c r="O540" t="str">
        <f t="shared" si="72"/>
        <v/>
      </c>
      <c r="P540" t="str">
        <f t="shared" si="73"/>
        <v/>
      </c>
      <c r="Q540" t="str">
        <f t="shared" si="74"/>
        <v/>
      </c>
      <c r="S540" t="str">
        <f>""</f>
        <v/>
      </c>
      <c r="AL540" s="18" t="str">
        <f>IF(COUNTIF($A$2:A539, A539) = 1, A539, "")</f>
        <v/>
      </c>
    </row>
    <row r="541" spans="6:38" x14ac:dyDescent="0.2">
      <c r="F541" t="str">
        <f t="shared" si="69"/>
        <v/>
      </c>
      <c r="L541" s="7" t="str">
        <f t="shared" si="70"/>
        <v/>
      </c>
      <c r="N541" s="7" t="str">
        <f t="shared" si="71"/>
        <v/>
      </c>
      <c r="O541" t="str">
        <f t="shared" si="72"/>
        <v/>
      </c>
      <c r="P541" t="str">
        <f t="shared" si="73"/>
        <v/>
      </c>
      <c r="Q541" t="str">
        <f t="shared" si="74"/>
        <v/>
      </c>
      <c r="S541" t="str">
        <f>""</f>
        <v/>
      </c>
      <c r="AL541" s="18" t="str">
        <f>IF(COUNTIF($A$2:A540, A540) = 1, A540, "")</f>
        <v/>
      </c>
    </row>
    <row r="542" spans="6:38" x14ac:dyDescent="0.2">
      <c r="F542" t="str">
        <f t="shared" si="69"/>
        <v/>
      </c>
      <c r="L542" s="7" t="str">
        <f t="shared" si="70"/>
        <v/>
      </c>
      <c r="N542" s="7" t="str">
        <f t="shared" si="71"/>
        <v/>
      </c>
      <c r="O542" t="str">
        <f t="shared" si="72"/>
        <v/>
      </c>
      <c r="P542" t="str">
        <f t="shared" si="73"/>
        <v/>
      </c>
      <c r="Q542" t="str">
        <f t="shared" si="74"/>
        <v/>
      </c>
      <c r="S542" t="str">
        <f>""</f>
        <v/>
      </c>
      <c r="AL542" s="18" t="str">
        <f>IF(COUNTIF($A$2:A541, A541) = 1, A541, "")</f>
        <v/>
      </c>
    </row>
    <row r="543" spans="6:38" x14ac:dyDescent="0.2">
      <c r="F543" t="str">
        <f t="shared" si="69"/>
        <v/>
      </c>
      <c r="L543" s="7" t="str">
        <f t="shared" si="70"/>
        <v/>
      </c>
      <c r="N543" s="7" t="str">
        <f t="shared" si="71"/>
        <v/>
      </c>
      <c r="O543" t="str">
        <f t="shared" si="72"/>
        <v/>
      </c>
      <c r="P543" t="str">
        <f t="shared" si="73"/>
        <v/>
      </c>
      <c r="Q543" t="str">
        <f t="shared" si="74"/>
        <v/>
      </c>
      <c r="S543" t="str">
        <f>""</f>
        <v/>
      </c>
      <c r="AL543" s="18" t="str">
        <f>IF(COUNTIF($A$2:A542, A542) = 1, A542, "")</f>
        <v/>
      </c>
    </row>
    <row r="544" spans="6:38" x14ac:dyDescent="0.2">
      <c r="F544" t="str">
        <f t="shared" si="69"/>
        <v/>
      </c>
      <c r="L544" s="7" t="str">
        <f t="shared" si="70"/>
        <v/>
      </c>
      <c r="N544" s="7" t="str">
        <f t="shared" si="71"/>
        <v/>
      </c>
      <c r="O544" t="str">
        <f t="shared" si="72"/>
        <v/>
      </c>
      <c r="P544" t="str">
        <f t="shared" si="73"/>
        <v/>
      </c>
      <c r="Q544" t="str">
        <f t="shared" si="74"/>
        <v/>
      </c>
      <c r="S544" t="str">
        <f>""</f>
        <v/>
      </c>
      <c r="AL544" s="18" t="str">
        <f>IF(COUNTIF($A$2:A543, A543) = 1, A543, "")</f>
        <v/>
      </c>
    </row>
    <row r="545" spans="6:38" x14ac:dyDescent="0.2">
      <c r="F545" t="str">
        <f t="shared" si="69"/>
        <v/>
      </c>
      <c r="L545" s="7" t="str">
        <f t="shared" si="70"/>
        <v/>
      </c>
      <c r="N545" s="7" t="str">
        <f t="shared" si="71"/>
        <v/>
      </c>
      <c r="O545" t="str">
        <f t="shared" si="72"/>
        <v/>
      </c>
      <c r="P545" t="str">
        <f t="shared" si="73"/>
        <v/>
      </c>
      <c r="Q545" t="str">
        <f t="shared" si="74"/>
        <v/>
      </c>
      <c r="S545" t="str">
        <f>""</f>
        <v/>
      </c>
      <c r="AL545" s="18" t="str">
        <f>IF(COUNTIF($A$2:A544, A544) = 1, A544, "")</f>
        <v/>
      </c>
    </row>
    <row r="546" spans="6:38" x14ac:dyDescent="0.2">
      <c r="F546" t="str">
        <f t="shared" si="69"/>
        <v/>
      </c>
      <c r="L546" s="7" t="str">
        <f t="shared" si="70"/>
        <v/>
      </c>
      <c r="N546" s="7" t="str">
        <f t="shared" si="71"/>
        <v/>
      </c>
      <c r="O546" t="str">
        <f t="shared" si="72"/>
        <v/>
      </c>
      <c r="P546" t="str">
        <f t="shared" si="73"/>
        <v/>
      </c>
      <c r="Q546" t="str">
        <f t="shared" si="74"/>
        <v/>
      </c>
      <c r="S546" t="str">
        <f>""</f>
        <v/>
      </c>
      <c r="AL546" s="18" t="str">
        <f>IF(COUNTIF($A$2:A545, A545) = 1, A545, "")</f>
        <v/>
      </c>
    </row>
    <row r="547" spans="6:38" x14ac:dyDescent="0.2">
      <c r="F547" t="str">
        <f t="shared" si="69"/>
        <v/>
      </c>
      <c r="L547" s="7" t="str">
        <f t="shared" si="70"/>
        <v/>
      </c>
      <c r="N547" s="7" t="str">
        <f t="shared" si="71"/>
        <v/>
      </c>
      <c r="O547" t="str">
        <f t="shared" si="72"/>
        <v/>
      </c>
      <c r="P547" t="str">
        <f t="shared" si="73"/>
        <v/>
      </c>
      <c r="Q547" t="str">
        <f t="shared" si="74"/>
        <v/>
      </c>
      <c r="S547" t="str">
        <f>""</f>
        <v/>
      </c>
      <c r="AL547" s="18" t="str">
        <f>IF(COUNTIF($A$2:A546, A546) = 1, A546, "")</f>
        <v/>
      </c>
    </row>
    <row r="548" spans="6:38" x14ac:dyDescent="0.2">
      <c r="AL548" s="18" t="str">
        <f>IF(COUNTIF($A$2:A547, A547) = 1, A547, "")</f>
        <v/>
      </c>
    </row>
    <row r="549" spans="6:38" x14ac:dyDescent="0.2">
      <c r="AL549" s="18" t="str">
        <f>IF(COUNTIF($A$2:A548, A548) = 1, A548, "")</f>
        <v/>
      </c>
    </row>
    <row r="550" spans="6:38" x14ac:dyDescent="0.2">
      <c r="AL550" s="18" t="str">
        <f>IF(COUNTIF($A$2:A549, A549) = 1, A549, "")</f>
        <v/>
      </c>
    </row>
    <row r="551" spans="6:38" x14ac:dyDescent="0.2">
      <c r="AL551" s="18" t="str">
        <f>IF(COUNTIF($A$2:A550, A550) = 1, A550, "")</f>
        <v/>
      </c>
    </row>
    <row r="552" spans="6:38" x14ac:dyDescent="0.2">
      <c r="AL552" s="18" t="str">
        <f>IF(COUNTIF($A$2:A551, A551) = 1, A551, "")</f>
        <v/>
      </c>
    </row>
    <row r="553" spans="6:38" x14ac:dyDescent="0.2">
      <c r="AL553" s="18" t="str">
        <f>IF(COUNTIF($A$2:A552, A552) = 1, A552, "")</f>
        <v/>
      </c>
    </row>
    <row r="554" spans="6:38" x14ac:dyDescent="0.2">
      <c r="AL554" s="18" t="str">
        <f>IF(COUNTIF($A$2:A553, A553) = 1, A553, "")</f>
        <v/>
      </c>
    </row>
    <row r="555" spans="6:38" x14ac:dyDescent="0.2">
      <c r="AL555" s="18" t="str">
        <f>IF(COUNTIF($A$2:A554, A554) = 1, A554, "")</f>
        <v/>
      </c>
    </row>
    <row r="556" spans="6:38" x14ac:dyDescent="0.2">
      <c r="AL556" s="18" t="str">
        <f>IF(COUNTIF($A$2:A555, A555) = 1, A555, "")</f>
        <v/>
      </c>
    </row>
    <row r="557" spans="6:38" x14ac:dyDescent="0.2">
      <c r="AL557" s="18" t="str">
        <f>IF(COUNTIF($A$2:A556, A556) = 1, A556, "")</f>
        <v/>
      </c>
    </row>
    <row r="558" spans="6:38" x14ac:dyDescent="0.2">
      <c r="AL558" s="18" t="str">
        <f>IF(COUNTIF($A$2:A557, A557) = 1, A557, "")</f>
        <v/>
      </c>
    </row>
    <row r="559" spans="6:38" x14ac:dyDescent="0.2">
      <c r="AL559" s="18" t="str">
        <f>IF(COUNTIF($A$2:A558, A558) = 1, A558, "")</f>
        <v/>
      </c>
    </row>
    <row r="560" spans="6:38" x14ac:dyDescent="0.2">
      <c r="AL560" s="18" t="str">
        <f>IF(COUNTIF($A$2:A559, A559) = 1, A559, "")</f>
        <v/>
      </c>
    </row>
    <row r="561" spans="38:38" x14ac:dyDescent="0.2">
      <c r="AL561" s="18" t="str">
        <f>IF(COUNTIF($A$2:A560, A560) = 1, A560, "")</f>
        <v/>
      </c>
    </row>
    <row r="562" spans="38:38" x14ac:dyDescent="0.2">
      <c r="AL562" s="18" t="str">
        <f>IF(COUNTIF($A$2:A561, A561) = 1, A561, "")</f>
        <v/>
      </c>
    </row>
    <row r="563" spans="38:38" x14ac:dyDescent="0.2">
      <c r="AL563" s="18" t="str">
        <f>IF(COUNTIF($A$2:A562, A562) = 1, A562, "")</f>
        <v/>
      </c>
    </row>
    <row r="564" spans="38:38" x14ac:dyDescent="0.2">
      <c r="AL564" s="18" t="str">
        <f>IF(COUNTIF($A$2:A563, A563) = 1, A563, "")</f>
        <v/>
      </c>
    </row>
    <row r="565" spans="38:38" x14ac:dyDescent="0.2">
      <c r="AL565" s="18" t="str">
        <f>IF(COUNTIF($A$2:A564, A564) = 1, A564, "")</f>
        <v/>
      </c>
    </row>
    <row r="566" spans="38:38" x14ac:dyDescent="0.2">
      <c r="AL566" s="18" t="str">
        <f>IF(COUNTIF($A$2:A565, A565) = 1, A565, "")</f>
        <v/>
      </c>
    </row>
    <row r="567" spans="38:38" x14ac:dyDescent="0.2">
      <c r="AL567" s="18" t="str">
        <f>IF(COUNTIF($A$2:A566, A566) = 1, A566, "")</f>
        <v/>
      </c>
    </row>
    <row r="568" spans="38:38" x14ac:dyDescent="0.2">
      <c r="AL568" s="18" t="str">
        <f>IF(COUNTIF($A$2:A567, A567) = 1, A567, "")</f>
        <v/>
      </c>
    </row>
    <row r="569" spans="38:38" x14ac:dyDescent="0.2">
      <c r="AL569" s="18" t="str">
        <f>IF(COUNTIF($A$2:A568, A568) = 1, A568, "")</f>
        <v/>
      </c>
    </row>
    <row r="570" spans="38:38" x14ac:dyDescent="0.2">
      <c r="AL570" s="18" t="str">
        <f>IF(COUNTIF($A$2:A569, A569) = 1, A569, "")</f>
        <v/>
      </c>
    </row>
    <row r="571" spans="38:38" x14ac:dyDescent="0.2">
      <c r="AL571" s="18" t="str">
        <f>IF(COUNTIF($A$2:A570, A570) = 1, A570, "")</f>
        <v/>
      </c>
    </row>
    <row r="572" spans="38:38" x14ac:dyDescent="0.2">
      <c r="AL572" s="18" t="str">
        <f>IF(COUNTIF($A$2:A571, A571) = 1, A571, "")</f>
        <v/>
      </c>
    </row>
    <row r="573" spans="38:38" x14ac:dyDescent="0.2">
      <c r="AL573" s="18" t="str">
        <f>IF(COUNTIF($A$2:A572, A572) = 1, A572, "")</f>
        <v/>
      </c>
    </row>
    <row r="574" spans="38:38" x14ac:dyDescent="0.2">
      <c r="AL574" s="18" t="str">
        <f>IF(COUNTIF($A$2:A573, A573) = 1, A573, "")</f>
        <v/>
      </c>
    </row>
    <row r="575" spans="38:38" x14ac:dyDescent="0.2">
      <c r="AL575" s="18" t="str">
        <f>IF(COUNTIF($A$2:A574, A574) = 1, A574, "")</f>
        <v/>
      </c>
    </row>
    <row r="576" spans="38:38" x14ac:dyDescent="0.2">
      <c r="AL576" s="18" t="str">
        <f>IF(COUNTIF($A$2:A575, A575) = 1, A575, "")</f>
        <v/>
      </c>
    </row>
    <row r="577" spans="38:38" x14ac:dyDescent="0.2">
      <c r="AL577" s="18" t="str">
        <f>IF(COUNTIF($A$2:A576, A576) = 1, A576, "")</f>
        <v/>
      </c>
    </row>
    <row r="578" spans="38:38" x14ac:dyDescent="0.2">
      <c r="AL578" s="18" t="str">
        <f>IF(COUNTIF($A$2:A577, A577) = 1, A577, "")</f>
        <v/>
      </c>
    </row>
    <row r="579" spans="38:38" x14ac:dyDescent="0.2">
      <c r="AL579" s="18" t="str">
        <f>IF(COUNTIF($A$2:A578, A578) = 1, A578, "")</f>
        <v/>
      </c>
    </row>
    <row r="580" spans="38:38" x14ac:dyDescent="0.2">
      <c r="AL580" s="18" t="str">
        <f>IF(COUNTIF($A$2:A579, A579) = 1, A579, "")</f>
        <v/>
      </c>
    </row>
    <row r="581" spans="38:38" x14ac:dyDescent="0.2">
      <c r="AL581" s="18" t="str">
        <f>IF(COUNTIF($A$2:A580, A580) = 1, A580, "")</f>
        <v/>
      </c>
    </row>
  </sheetData>
  <mergeCells count="19">
    <mergeCell ref="T2:U2"/>
    <mergeCell ref="T3:U3"/>
    <mergeCell ref="T4:U4"/>
    <mergeCell ref="T6:U6"/>
    <mergeCell ref="T19:U19"/>
    <mergeCell ref="T20:U20"/>
    <mergeCell ref="T21:U21"/>
    <mergeCell ref="T22:U22"/>
    <mergeCell ref="T7:U7"/>
    <mergeCell ref="T8:U8"/>
    <mergeCell ref="T9:U9"/>
    <mergeCell ref="T10:U10"/>
    <mergeCell ref="T11:V11"/>
    <mergeCell ref="T12:U12"/>
    <mergeCell ref="T14:U14"/>
    <mergeCell ref="T15:U15"/>
    <mergeCell ref="T16:U16"/>
    <mergeCell ref="T17:V17"/>
    <mergeCell ref="T13:U13"/>
  </mergeCells>
  <conditionalFormatting sqref="N1:N1048576">
    <cfRule type="dataBar" priority="63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{4C7AD7FA-D4C0-EA41-9F38-16694B1534D5}</x14:id>
        </ext>
      </extLst>
    </cfRule>
  </conditionalFormatting>
  <conditionalFormatting sqref="V4">
    <cfRule type="colorScale" priority="56">
      <colorScale>
        <cfvo type="num" val="-50"/>
        <cfvo type="num" val="0"/>
        <cfvo type="num" val="50"/>
        <color rgb="FFC00000"/>
        <color theme="0"/>
        <color rgb="FF00B050"/>
      </colorScale>
    </cfRule>
  </conditionalFormatting>
  <conditionalFormatting sqref="V9">
    <cfRule type="dataBar" priority="55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{B1CCEC6C-8644-234C-B82E-E1470AEB30ED}</x14:id>
        </ext>
      </extLst>
    </cfRule>
  </conditionalFormatting>
  <conditionalFormatting sqref="V15">
    <cfRule type="dataBar" priority="54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{0EF052BD-2514-D949-ABDA-83938031C9FC}</x14:id>
        </ext>
      </extLst>
    </cfRule>
  </conditionalFormatting>
  <conditionalFormatting sqref="V10">
    <cfRule type="dataBar" priority="38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{E165FDC1-28B7-E145-96C5-5EED39F00152}</x14:id>
        </ext>
      </extLst>
    </cfRule>
    <cfRule type="colorScale" priority="39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V16">
    <cfRule type="dataBar" priority="36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{7AF31CE9-E77F-9646-9825-DF48C9426ADF}</x14:id>
        </ext>
      </extLst>
    </cfRule>
    <cfRule type="colorScale" priority="37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12:Y18">
    <cfRule type="dataBar" priority="16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{D43DD00E-6AF4-BC49-89A7-F4A67B8BF5B5}</x14:id>
        </ext>
      </extLst>
    </cfRule>
    <cfRule type="colorScale" priority="17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A41:AA43 AA26:AA31 AA3:AA9 AA34:AA38 AA12:AA18 AA21:AA23">
    <cfRule type="dataBar" priority="11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{F3B675D1-EC12-184B-9870-9F00A385B3E1}</x14:id>
        </ext>
      </extLst>
    </cfRule>
  </conditionalFormatting>
  <conditionalFormatting sqref="AA46:AA47">
    <cfRule type="dataBar" priority="10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{749680B0-4F61-9E4E-8509-725B7AFB9BCD}</x14:id>
        </ext>
      </extLst>
    </cfRule>
  </conditionalFormatting>
  <conditionalFormatting sqref="Z2:Z47">
    <cfRule type="dataBar" priority="9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{D4EA5036-C304-D84F-ADAA-5DF40DE5C3D6}</x14:id>
        </ext>
      </extLst>
    </cfRule>
  </conditionalFormatting>
  <conditionalFormatting sqref="AE3:AE50">
    <cfRule type="dataBar" priority="12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{6D1C4ACA-3CBC-824F-8FE4-9220948992E2}</x14:id>
        </ext>
      </extLst>
    </cfRule>
    <cfRule type="colorScale" priority="13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D3:AD50">
    <cfRule type="dataBar" priority="14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{9B0D7ED6-467A-764B-A209-062E6571E016}</x14:id>
        </ext>
      </extLst>
    </cfRule>
    <cfRule type="colorScale" priority="15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3:Y9">
    <cfRule type="dataBar" priority="7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{9B51CE33-6346-D54B-8957-5AAE7F3EFBDE}</x14:id>
        </ext>
      </extLst>
    </cfRule>
    <cfRule type="colorScale" priority="8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21:Y47">
    <cfRule type="dataBar" priority="5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{433C75E1-C547-8D44-A500-C77185EE192B}</x14:id>
        </ext>
      </extLst>
    </cfRule>
    <cfRule type="colorScale" priority="6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A50:AA58">
    <cfRule type="dataBar" priority="4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{FD1ABD9E-D4A0-BB4B-9E75-B300E6CDB217}</x14:id>
        </ext>
      </extLst>
    </cfRule>
  </conditionalFormatting>
  <conditionalFormatting sqref="Z49:Z58">
    <cfRule type="dataBar" priority="3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{B6188ECD-233A-1145-9AE1-26AD632C093A}</x14:id>
        </ext>
      </extLst>
    </cfRule>
  </conditionalFormatting>
  <conditionalFormatting sqref="Y49:Y58">
    <cfRule type="dataBar" priority="1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{A0817C66-E69F-AA4F-ADC4-69FEE6E8A3A6}</x14:id>
        </ext>
      </extLst>
    </cfRule>
    <cfRule type="colorScale" priority="2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dataValidations count="3">
    <dataValidation type="list" allowBlank="1" showInputMessage="1" showErrorMessage="1" sqref="D2:D547" xr:uid="{848F85A1-52B1-6345-A8FB-733BCBED2720}">
      <formula1>"Straight, Parlay, Boost"</formula1>
    </dataValidation>
    <dataValidation type="list" allowBlank="1" showInputMessage="1" showErrorMessage="1" sqref="M2:M547 G2:J547" xr:uid="{0F39899C-AD24-C04A-8FA8-953113746207}">
      <formula1>"Yes, No"</formula1>
    </dataValidation>
    <dataValidation type="list" allowBlank="1" showInputMessage="1" showErrorMessage="1" sqref="R2:R1048576" xr:uid="{A27574EB-D456-3642-A4DD-209936A01215}">
      <formula1>$X$50:$X$58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7AD7FA-D4C0-EA41-9F38-16694B1534D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N1:N1048576</xm:sqref>
        </x14:conditionalFormatting>
        <x14:conditionalFormatting xmlns:xm="http://schemas.microsoft.com/office/excel/2006/main">
          <x14:cfRule type="dataBar" id="{B1CCEC6C-8644-234C-B82E-E1470AEB30ED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0EF052BD-2514-D949-ABDA-83938031C9FC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E165FDC1-28B7-E145-96C5-5EED39F0015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7AF31CE9-E77F-9646-9825-DF48C9426AD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D43DD00E-6AF4-BC49-89A7-F4A67B8BF5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Y12:Y18</xm:sqref>
        </x14:conditionalFormatting>
        <x14:conditionalFormatting xmlns:xm="http://schemas.microsoft.com/office/excel/2006/main">
          <x14:cfRule type="dataBar" id="{F3B675D1-EC12-184B-9870-9F00A385B3E1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AA41:AA43 AA26:AA31 AA3:AA9 AA34:AA38 AA12:AA18 AA21:AA23</xm:sqref>
        </x14:conditionalFormatting>
        <x14:conditionalFormatting xmlns:xm="http://schemas.microsoft.com/office/excel/2006/main">
          <x14:cfRule type="dataBar" id="{749680B0-4F61-9E4E-8509-725B7AFB9BCD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AA46:AA47</xm:sqref>
        </x14:conditionalFormatting>
        <x14:conditionalFormatting xmlns:xm="http://schemas.microsoft.com/office/excel/2006/main">
          <x14:cfRule type="dataBar" id="{D4EA5036-C304-D84F-ADAA-5DF40DE5C3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Z2:Z47</xm:sqref>
        </x14:conditionalFormatting>
        <x14:conditionalFormatting xmlns:xm="http://schemas.microsoft.com/office/excel/2006/main">
          <x14:cfRule type="dataBar" id="{6D1C4ACA-3CBC-824F-8FE4-9220948992E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AE3:AE50</xm:sqref>
        </x14:conditionalFormatting>
        <x14:conditionalFormatting xmlns:xm="http://schemas.microsoft.com/office/excel/2006/main">
          <x14:cfRule type="dataBar" id="{9B0D7ED6-467A-764B-A209-062E6571E01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AD3:AD50</xm:sqref>
        </x14:conditionalFormatting>
        <x14:conditionalFormatting xmlns:xm="http://schemas.microsoft.com/office/excel/2006/main">
          <x14:cfRule type="dataBar" id="{9B51CE33-6346-D54B-8957-5AAE7F3EFBD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Y3:Y9</xm:sqref>
        </x14:conditionalFormatting>
        <x14:conditionalFormatting xmlns:xm="http://schemas.microsoft.com/office/excel/2006/main">
          <x14:cfRule type="dataBar" id="{433C75E1-C547-8D44-A500-C77185EE192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Y21:Y47</xm:sqref>
        </x14:conditionalFormatting>
        <x14:conditionalFormatting xmlns:xm="http://schemas.microsoft.com/office/excel/2006/main">
          <x14:cfRule type="dataBar" id="{FD1ABD9E-D4A0-BB4B-9E75-B300E6CDB217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AA50:AA58</xm:sqref>
        </x14:conditionalFormatting>
        <x14:conditionalFormatting xmlns:xm="http://schemas.microsoft.com/office/excel/2006/main">
          <x14:cfRule type="dataBar" id="{B6188ECD-233A-1145-9AE1-26AD632C093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Z49:Z58</xm:sqref>
        </x14:conditionalFormatting>
        <x14:conditionalFormatting xmlns:xm="http://schemas.microsoft.com/office/excel/2006/main">
          <x14:cfRule type="dataBar" id="{A0817C66-E69F-AA4F-ADC4-69FEE6E8A3A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Y49:Y58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81BA1-FD96-FE43-B148-061024BF95EC}">
  <sheetPr codeName="Sheet12"/>
  <dimension ref="A1:AL581"/>
  <sheetViews>
    <sheetView zoomScale="80" zoomScaleNormal="80" workbookViewId="0">
      <pane ySplit="1" topLeftCell="A2" activePane="bottomLeft" state="frozen"/>
      <selection pane="bottomLeft"/>
    </sheetView>
  </sheetViews>
  <sheetFormatPr baseColWidth="10" defaultRowHeight="16" x14ac:dyDescent="0.2"/>
  <cols>
    <col min="1" max="1" width="11.5" style="18" bestFit="1" customWidth="1"/>
    <col min="4" max="4" width="11.5" bestFit="1" customWidth="1"/>
    <col min="6" max="6" width="14.83203125" bestFit="1" customWidth="1"/>
    <col min="8" max="8" width="12.5" bestFit="1" customWidth="1"/>
    <col min="11" max="11" width="10.83203125" style="7"/>
    <col min="14" max="14" width="13.5" bestFit="1" customWidth="1"/>
    <col min="15" max="15" width="21.1640625" bestFit="1" customWidth="1"/>
    <col min="16" max="16" width="31.33203125" customWidth="1"/>
    <col min="17" max="17" width="30.5" customWidth="1"/>
    <col min="18" max="18" width="11.5" customWidth="1"/>
    <col min="19" max="19" width="19.33203125" customWidth="1"/>
    <col min="20" max="20" width="11.6640625" bestFit="1" customWidth="1"/>
    <col min="22" max="22" width="12.6640625" bestFit="1" customWidth="1"/>
    <col min="24" max="24" width="14.83203125" style="32" bestFit="1" customWidth="1"/>
    <col min="26" max="26" width="10.83203125" hidden="1" customWidth="1"/>
    <col min="29" max="29" width="10.83203125" style="18"/>
    <col min="30" max="30" width="11" customWidth="1"/>
    <col min="31" max="31" width="10.1640625" bestFit="1" customWidth="1"/>
    <col min="38" max="38" width="0" hidden="1" customWidth="1"/>
  </cols>
  <sheetData>
    <row r="1" spans="1:38" ht="17" thickBot="1" x14ac:dyDescent="0.25">
      <c r="A1" s="56" t="s">
        <v>15</v>
      </c>
      <c r="B1" s="57" t="s">
        <v>10</v>
      </c>
      <c r="C1" s="57" t="s">
        <v>11</v>
      </c>
      <c r="D1" s="57" t="s">
        <v>50</v>
      </c>
      <c r="E1" s="57" t="s">
        <v>12</v>
      </c>
      <c r="F1" s="57" t="s">
        <v>3</v>
      </c>
      <c r="G1" s="57" t="s">
        <v>4</v>
      </c>
      <c r="H1" s="57" t="s">
        <v>60</v>
      </c>
      <c r="I1" s="57" t="s">
        <v>6</v>
      </c>
      <c r="J1" s="57" t="s">
        <v>69</v>
      </c>
      <c r="K1" s="57" t="s">
        <v>7</v>
      </c>
      <c r="L1" s="57" t="s">
        <v>8</v>
      </c>
      <c r="M1" s="57" t="s">
        <v>21</v>
      </c>
      <c r="N1" s="57" t="s">
        <v>9</v>
      </c>
      <c r="O1" s="57" t="s">
        <v>51</v>
      </c>
      <c r="P1" s="57" t="s">
        <v>13</v>
      </c>
      <c r="Q1" s="57" t="s">
        <v>14</v>
      </c>
      <c r="R1" s="57" t="s">
        <v>89</v>
      </c>
      <c r="S1" s="57" t="s">
        <v>61</v>
      </c>
    </row>
    <row r="2" spans="1:38" ht="17" thickBot="1" x14ac:dyDescent="0.25">
      <c r="A2" s="55" t="s">
        <v>86</v>
      </c>
      <c r="F2" t="str">
        <f t="shared" ref="F2:F65" si="0">IF(OR(O2="", P2=""), "", SUM(IF((O2&lt;&gt;"None")*(O2&lt;&gt;""),LEN(O2)-LEN(SUBSTITUTE(O2,",",""))+1,0)) + SUM(IF((P2&lt;&gt;"None")*(P2&lt;&gt;""),LEN(P2)-LEN(SUBSTITUTE(P2,",",""))+1,0)))</f>
        <v/>
      </c>
      <c r="L2" s="7" t="str">
        <f t="shared" ref="L2:L65" si="1">IF(LEN(E2)=0, "", IFERROR(IF(E2&gt;=0, K2 * (1 + E2/100) - K2, K2 / (ABS(E2)/100))+K2, ""))</f>
        <v/>
      </c>
      <c r="N2" s="7" t="str">
        <f t="shared" ref="N2:N65" si="2">IF(M2="Yes",L2-K2,IF(M2="No",-K2,""))</f>
        <v/>
      </c>
      <c r="O2" t="str">
        <f t="shared" ref="O2:O65" si="3">IF(AND(G2="No",H2="No"), "None", "")</f>
        <v/>
      </c>
      <c r="P2" t="str">
        <f t="shared" ref="P2:P17" si="4">IF(I2="No", "None", "")</f>
        <v/>
      </c>
      <c r="Q2" t="str">
        <f t="shared" ref="Q2:Q65" si="5">IF(AND(D2="Straight", M2 = "No"),IF(O2="None",P2,IF(P2="None",O2) ),"")</f>
        <v/>
      </c>
      <c r="S2" t="str">
        <f>""</f>
        <v/>
      </c>
      <c r="T2" s="109" t="s">
        <v>0</v>
      </c>
      <c r="U2" s="110"/>
      <c r="V2" s="4">
        <f>'Sept 2025'!V3</f>
        <v>0</v>
      </c>
      <c r="X2" s="79" t="s">
        <v>10</v>
      </c>
      <c r="Y2" s="80" t="s">
        <v>9</v>
      </c>
      <c r="Z2" s="81" t="s">
        <v>84</v>
      </c>
      <c r="AA2" s="82" t="s">
        <v>39</v>
      </c>
      <c r="AC2" s="86" t="s">
        <v>70</v>
      </c>
      <c r="AD2" s="87" t="s">
        <v>9</v>
      </c>
      <c r="AE2" s="88" t="s">
        <v>71</v>
      </c>
    </row>
    <row r="3" spans="1:38" x14ac:dyDescent="0.2">
      <c r="F3" t="str">
        <f t="shared" si="0"/>
        <v/>
      </c>
      <c r="L3" s="7" t="str">
        <f t="shared" si="1"/>
        <v/>
      </c>
      <c r="N3" s="7" t="str">
        <f t="shared" si="2"/>
        <v/>
      </c>
      <c r="O3" t="str">
        <f t="shared" si="3"/>
        <v/>
      </c>
      <c r="P3" t="str">
        <f t="shared" si="4"/>
        <v/>
      </c>
      <c r="Q3" t="str">
        <f t="shared" si="5"/>
        <v/>
      </c>
      <c r="S3" t="str">
        <f>""</f>
        <v/>
      </c>
      <c r="T3" s="101" t="s">
        <v>1</v>
      </c>
      <c r="U3" s="102"/>
      <c r="V3" s="5">
        <f>V2+V4</f>
        <v>0</v>
      </c>
      <c r="X3" s="47" t="s">
        <v>16</v>
      </c>
      <c r="Y3" s="45">
        <f>SUMIF($B:B,X3,N:N)</f>
        <v>0</v>
      </c>
      <c r="Z3" s="40">
        <f t="shared" ref="Z3:Z9" si="6">COUNTIF(B:B,X3)</f>
        <v>0</v>
      </c>
      <c r="AA3" s="41">
        <f t="shared" ref="AA3:AA9" si="7">IFERROR(COUNTIFS(B:B, X3)/COUNTA($B$2:$B$994),0)</f>
        <v>0</v>
      </c>
      <c r="AC3" s="17" t="str" cm="1">
        <f t="array" ref="AC3">IFERROR(INDEX($AL$2:$AL$300, MATCH(0, COUNTIF($AC$2:AC2, $AL$2:$AL$300) + IF($AL$2:$AL$300="", 1, 0), 0)), "")</f>
        <v/>
      </c>
      <c r="AD3" s="9">
        <f t="shared" ref="AD3:AD25" si="8">IF(ISBLANK(AC3),"",SUMIF(A:A,AC3,N:N))</f>
        <v>0</v>
      </c>
      <c r="AE3" s="19">
        <f>SUM(AD$3:AD3)</f>
        <v>0</v>
      </c>
      <c r="AL3" s="18" t="str">
        <f>IF(COUNTIF($A$2:A2, A2) = 1, A2, "")</f>
        <v/>
      </c>
    </row>
    <row r="4" spans="1:38" ht="17" thickBot="1" x14ac:dyDescent="0.25">
      <c r="F4" t="str">
        <f t="shared" si="0"/>
        <v/>
      </c>
      <c r="L4" s="7" t="str">
        <f t="shared" si="1"/>
        <v/>
      </c>
      <c r="N4" s="7" t="str">
        <f t="shared" si="2"/>
        <v/>
      </c>
      <c r="O4" t="str">
        <f t="shared" si="3"/>
        <v/>
      </c>
      <c r="P4" t="str">
        <f t="shared" si="4"/>
        <v/>
      </c>
      <c r="Q4" t="str">
        <f t="shared" si="5"/>
        <v/>
      </c>
      <c r="S4" t="str">
        <f>""</f>
        <v/>
      </c>
      <c r="T4" s="96" t="s">
        <v>2</v>
      </c>
      <c r="U4" s="97"/>
      <c r="V4" s="10">
        <f>SUM(N2:N1048576)</f>
        <v>0</v>
      </c>
      <c r="X4" s="48" t="s">
        <v>23</v>
      </c>
      <c r="Y4" s="45">
        <f>SUMIF($B:B,X4,N:N)</f>
        <v>0</v>
      </c>
      <c r="Z4" s="34">
        <f t="shared" si="6"/>
        <v>0</v>
      </c>
      <c r="AA4" s="38">
        <f t="shared" si="7"/>
        <v>0</v>
      </c>
      <c r="AC4" s="17" t="str" cm="1">
        <f t="array" ref="AC4">IFERROR(INDEX($AL$2:$AL$300, MATCH(0, COUNTIF($AC$2:AC3, $AL$2:$AL$300) + IF($AL$2:$AL$300="", 1, 0), 0)), "")</f>
        <v/>
      </c>
      <c r="AD4" s="9">
        <f t="shared" si="8"/>
        <v>0</v>
      </c>
      <c r="AE4" s="19">
        <f>SUM(AD$3:AD4)</f>
        <v>0</v>
      </c>
      <c r="AL4" s="18" t="str">
        <f>IF(COUNTIF($A$2:A3, A3) = 1, A3, "")</f>
        <v/>
      </c>
    </row>
    <row r="5" spans="1:38" ht="17" thickBot="1" x14ac:dyDescent="0.25">
      <c r="F5" t="str">
        <f t="shared" si="0"/>
        <v/>
      </c>
      <c r="L5" s="7" t="str">
        <f t="shared" si="1"/>
        <v/>
      </c>
      <c r="N5" s="7" t="str">
        <f t="shared" si="2"/>
        <v/>
      </c>
      <c r="O5" t="str">
        <f t="shared" si="3"/>
        <v/>
      </c>
      <c r="P5" t="str">
        <f t="shared" si="4"/>
        <v/>
      </c>
      <c r="Q5" t="str">
        <f t="shared" si="5"/>
        <v/>
      </c>
      <c r="S5" t="str">
        <f>""</f>
        <v/>
      </c>
      <c r="X5" s="48" t="s">
        <v>24</v>
      </c>
      <c r="Y5" s="45">
        <f>SUMIF($B:B,X5,N:N)</f>
        <v>0</v>
      </c>
      <c r="Z5" s="34">
        <f t="shared" si="6"/>
        <v>0</v>
      </c>
      <c r="AA5" s="38">
        <f t="shared" si="7"/>
        <v>0</v>
      </c>
      <c r="AC5" s="17" t="str" cm="1">
        <f t="array" ref="AC5">IFERROR(INDEX($AL$2:$AL$300, MATCH(0, COUNTIF($AC$2:AC4, $AL$2:$AL$300) + IF($AL$2:$AL$300="", 1, 0), 0)), "")</f>
        <v/>
      </c>
      <c r="AD5" s="9">
        <f t="shared" si="8"/>
        <v>0</v>
      </c>
      <c r="AE5" s="19">
        <f>SUM(AD$3:AD5)</f>
        <v>0</v>
      </c>
      <c r="AL5" s="18" t="str">
        <f>IF(COUNTIF($A$2:A4, A4) = 1, A4, "")</f>
        <v/>
      </c>
    </row>
    <row r="6" spans="1:38" x14ac:dyDescent="0.2">
      <c r="F6" t="str">
        <f t="shared" si="0"/>
        <v/>
      </c>
      <c r="L6" s="7" t="str">
        <f t="shared" si="1"/>
        <v/>
      </c>
      <c r="N6" s="7" t="str">
        <f t="shared" si="2"/>
        <v/>
      </c>
      <c r="O6" t="str">
        <f t="shared" si="3"/>
        <v/>
      </c>
      <c r="P6" t="str">
        <f t="shared" si="4"/>
        <v/>
      </c>
      <c r="Q6" t="str">
        <f t="shared" si="5"/>
        <v/>
      </c>
      <c r="S6" t="str">
        <f>""</f>
        <v/>
      </c>
      <c r="T6" s="109" t="s">
        <v>27</v>
      </c>
      <c r="U6" s="110"/>
      <c r="V6" s="58" t="str">
        <f>Master!D6</f>
        <v>Lions</v>
      </c>
      <c r="X6" s="48" t="s">
        <v>52</v>
      </c>
      <c r="Y6" s="45">
        <f>SUMIF($B:B,X6,N:N)</f>
        <v>0</v>
      </c>
      <c r="Z6" s="34">
        <f t="shared" si="6"/>
        <v>0</v>
      </c>
      <c r="AA6" s="38">
        <f t="shared" si="7"/>
        <v>0</v>
      </c>
      <c r="AC6" s="17" t="str" cm="1">
        <f t="array" ref="AC6">IFERROR(INDEX($AL$2:$AL$300, MATCH(0, COUNTIF($AC$2:AC5, $AL$2:$AL$300) + IF($AL$2:$AL$300="", 1, 0), 0)), "")</f>
        <v/>
      </c>
      <c r="AD6" s="9">
        <f t="shared" si="8"/>
        <v>0</v>
      </c>
      <c r="AE6" s="19">
        <f>SUM(AD$3:AD6)</f>
        <v>0</v>
      </c>
      <c r="AL6" s="18" t="str">
        <f>IF(COUNTIF($A$2:A5, A5) = 1, A5, "")</f>
        <v/>
      </c>
    </row>
    <row r="7" spans="1:38" x14ac:dyDescent="0.2">
      <c r="F7" t="str">
        <f t="shared" si="0"/>
        <v/>
      </c>
      <c r="L7" s="7" t="str">
        <f t="shared" si="1"/>
        <v/>
      </c>
      <c r="N7" s="7" t="str">
        <f t="shared" si="2"/>
        <v/>
      </c>
      <c r="O7" t="str">
        <f t="shared" si="3"/>
        <v/>
      </c>
      <c r="P7" t="str">
        <f t="shared" si="4"/>
        <v/>
      </c>
      <c r="Q7" t="str">
        <f t="shared" si="5"/>
        <v/>
      </c>
      <c r="S7" t="str">
        <f>""</f>
        <v/>
      </c>
      <c r="T7" s="111" t="s">
        <v>99</v>
      </c>
      <c r="U7" s="112"/>
      <c r="V7" s="8" cm="1">
        <f t="array" ref="V7">SUM(IF(ISNUMBER(SEARCH(V6, SUBSTITUTE($O$2:$O$998, ",", ""))), 1, 0))</f>
        <v>0</v>
      </c>
      <c r="X7" s="48" t="s">
        <v>87</v>
      </c>
      <c r="Y7" s="45">
        <f>SUMIF($B:B,X7,N:N)</f>
        <v>0</v>
      </c>
      <c r="Z7" s="34">
        <f t="shared" si="6"/>
        <v>0</v>
      </c>
      <c r="AA7" s="38">
        <f t="shared" si="7"/>
        <v>0</v>
      </c>
      <c r="AC7" s="17" t="str" cm="1">
        <f t="array" ref="AC7">IFERROR(INDEX($AL$2:$AL$300, MATCH(0, COUNTIF($AC$2:AC6, $AL$2:$AL$300) + IF($AL$2:$AL$300="", 1, 0), 0)), "")</f>
        <v/>
      </c>
      <c r="AD7" s="9">
        <f t="shared" si="8"/>
        <v>0</v>
      </c>
      <c r="AE7" s="20">
        <f>SUM(AD$3:AD7)</f>
        <v>0</v>
      </c>
      <c r="AL7" s="18" t="str">
        <f>IF(COUNTIF($A$2:A6, A6) = 1, A6, "")</f>
        <v/>
      </c>
    </row>
    <row r="8" spans="1:38" x14ac:dyDescent="0.2">
      <c r="F8" t="str">
        <f t="shared" si="0"/>
        <v/>
      </c>
      <c r="L8" s="7" t="str">
        <f t="shared" si="1"/>
        <v/>
      </c>
      <c r="N8" s="7" t="str">
        <f t="shared" si="2"/>
        <v/>
      </c>
      <c r="O8" t="str">
        <f t="shared" si="3"/>
        <v/>
      </c>
      <c r="P8" t="str">
        <f t="shared" si="4"/>
        <v/>
      </c>
      <c r="Q8" t="str">
        <f t="shared" si="5"/>
        <v/>
      </c>
      <c r="S8" t="str">
        <f>""</f>
        <v/>
      </c>
      <c r="T8" s="111" t="s">
        <v>100</v>
      </c>
      <c r="U8" s="112"/>
      <c r="V8" s="8" cm="1">
        <f t="array" ref="V8">SUM(IF(ISNUMBER(SEARCH(V6, SUBSTITUTE($Q$2:$Q$998, ",", ""))), 1, 0))</f>
        <v>0</v>
      </c>
      <c r="X8" s="48" t="s">
        <v>85</v>
      </c>
      <c r="Y8" s="45">
        <f>SUMIF($B:B,X8,N:N)</f>
        <v>0</v>
      </c>
      <c r="Z8" s="34">
        <f t="shared" si="6"/>
        <v>0</v>
      </c>
      <c r="AA8" s="38">
        <f t="shared" si="7"/>
        <v>0</v>
      </c>
      <c r="AC8" s="17" t="str" cm="1">
        <f t="array" ref="AC8">IFERROR(INDEX($AL$2:$AL$300, MATCH(0, COUNTIF($AC$2:AC7, $AL$2:$AL$300) + IF($AL$2:$AL$300="", 1, 0), 0)), "")</f>
        <v/>
      </c>
      <c r="AD8" s="9">
        <f t="shared" si="8"/>
        <v>0</v>
      </c>
      <c r="AE8" s="19">
        <f>SUM(AD$3:AD8)</f>
        <v>0</v>
      </c>
      <c r="AL8" s="18" t="str">
        <f>IF(COUNTIF($A$2:A7, A7) = 1, A7, "")</f>
        <v/>
      </c>
    </row>
    <row r="9" spans="1:38" ht="17" thickBot="1" x14ac:dyDescent="0.25">
      <c r="F9" t="str">
        <f t="shared" si="0"/>
        <v/>
      </c>
      <c r="L9" s="7" t="str">
        <f t="shared" si="1"/>
        <v/>
      </c>
      <c r="N9" s="7" t="str">
        <f t="shared" si="2"/>
        <v/>
      </c>
      <c r="O9" t="str">
        <f t="shared" si="3"/>
        <v/>
      </c>
      <c r="P9" t="str">
        <f t="shared" si="4"/>
        <v/>
      </c>
      <c r="Q9" t="str">
        <f t="shared" si="5"/>
        <v/>
      </c>
      <c r="S9" t="str">
        <f>""</f>
        <v/>
      </c>
      <c r="T9" s="101" t="s">
        <v>28</v>
      </c>
      <c r="U9" s="102"/>
      <c r="V9" s="51" t="e">
        <f>1-(V8/V7)</f>
        <v>#DIV/0!</v>
      </c>
      <c r="X9" s="50" t="s">
        <v>53</v>
      </c>
      <c r="Y9" s="44">
        <f>SUMIF($B:B,X9,N:N)</f>
        <v>0</v>
      </c>
      <c r="Z9" s="35">
        <f t="shared" si="6"/>
        <v>0</v>
      </c>
      <c r="AA9" s="39">
        <f t="shared" si="7"/>
        <v>0</v>
      </c>
      <c r="AC9" s="17" t="str" cm="1">
        <f t="array" ref="AC9">IFERROR(INDEX($AL$2:$AL$300, MATCH(0, COUNTIF($AC$2:AC8, $AL$2:$AL$300) + IF($AL$2:$AL$300="", 1, 0), 0)), "")</f>
        <v/>
      </c>
      <c r="AD9" s="9">
        <f t="shared" si="8"/>
        <v>0</v>
      </c>
      <c r="AE9" s="19">
        <f>SUM(AD$3:AD9)</f>
        <v>0</v>
      </c>
      <c r="AL9" s="18" t="str">
        <f>IF(COUNTIF($A$2:A8, A8) = 1, A8, "")</f>
        <v/>
      </c>
    </row>
    <row r="10" spans="1:38" ht="17" thickBot="1" x14ac:dyDescent="0.25">
      <c r="F10" t="str">
        <f t="shared" si="0"/>
        <v/>
      </c>
      <c r="L10" s="7" t="str">
        <f t="shared" si="1"/>
        <v/>
      </c>
      <c r="N10" s="7" t="str">
        <f t="shared" si="2"/>
        <v/>
      </c>
      <c r="O10" t="str">
        <f t="shared" si="3"/>
        <v/>
      </c>
      <c r="P10" t="str">
        <f t="shared" si="4"/>
        <v/>
      </c>
      <c r="Q10" t="str">
        <f t="shared" si="5"/>
        <v/>
      </c>
      <c r="S10" t="str">
        <f>""</f>
        <v/>
      </c>
      <c r="T10" s="115" t="s">
        <v>9</v>
      </c>
      <c r="U10" s="116"/>
      <c r="V10" s="45" cm="1">
        <f t="array" ref="V10">SUMPRODUCT(--($D$2:$D$998="Straight"), --ISNUMBER(SEARCH(V6, SUBSTITUTE($O$2:$O$998, ",", ""))), $N$2:$N$998)</f>
        <v>0</v>
      </c>
      <c r="Y10" s="7"/>
      <c r="AC10" s="17" t="str" cm="1">
        <f t="array" ref="AC10">IFERROR(INDEX($AL$2:$AL$300, MATCH(0, COUNTIF($AC$2:AC9, $AL$2:$AL$300) + IF($AL$2:$AL$300="", 1, 0), 0)), "")</f>
        <v/>
      </c>
      <c r="AD10" s="9">
        <f t="shared" si="8"/>
        <v>0</v>
      </c>
      <c r="AE10" s="19">
        <f>SUM(AD$3:AD10)</f>
        <v>0</v>
      </c>
      <c r="AL10" s="18" t="str">
        <f>IF(COUNTIF($A$2:A9, A9) = 1, A9, "")</f>
        <v/>
      </c>
    </row>
    <row r="11" spans="1:38" ht="17" thickBot="1" x14ac:dyDescent="0.25">
      <c r="F11" t="str">
        <f t="shared" si="0"/>
        <v/>
      </c>
      <c r="L11" s="7" t="str">
        <f t="shared" si="1"/>
        <v/>
      </c>
      <c r="N11" s="7" t="str">
        <f t="shared" si="2"/>
        <v/>
      </c>
      <c r="O11" t="str">
        <f t="shared" si="3"/>
        <v/>
      </c>
      <c r="P11" t="str">
        <f t="shared" si="4"/>
        <v/>
      </c>
      <c r="Q11" t="str">
        <f t="shared" si="5"/>
        <v/>
      </c>
      <c r="S11" t="str">
        <f>""</f>
        <v/>
      </c>
      <c r="T11" s="117" t="s">
        <v>57</v>
      </c>
      <c r="U11" s="118"/>
      <c r="V11" s="119"/>
      <c r="X11" s="79" t="s">
        <v>11</v>
      </c>
      <c r="Y11" s="83" t="s">
        <v>9</v>
      </c>
      <c r="Z11" s="81" t="s">
        <v>84</v>
      </c>
      <c r="AA11" s="82" t="s">
        <v>39</v>
      </c>
      <c r="AC11" s="17" t="str" cm="1">
        <f t="array" ref="AC11">IFERROR(INDEX($AL$2:$AL$300, MATCH(0, COUNTIF($AC$2:AC10, $AL$2:$AL$300) + IF($AL$2:$AL$300="", 1, 0), 0)), "")</f>
        <v/>
      </c>
      <c r="AD11" s="9">
        <f t="shared" si="8"/>
        <v>0</v>
      </c>
      <c r="AE11" s="20">
        <f>SUM(AD$3:AD11)</f>
        <v>0</v>
      </c>
      <c r="AL11" s="18" t="str">
        <f>IF(COUNTIF($A$2:A10, A10) = 1, A10, "")</f>
        <v/>
      </c>
    </row>
    <row r="12" spans="1:38" x14ac:dyDescent="0.2">
      <c r="F12" t="str">
        <f t="shared" si="0"/>
        <v/>
      </c>
      <c r="L12" s="7" t="str">
        <f t="shared" si="1"/>
        <v/>
      </c>
      <c r="N12" s="7" t="str">
        <f t="shared" si="2"/>
        <v/>
      </c>
      <c r="O12" t="str">
        <f t="shared" si="3"/>
        <v/>
      </c>
      <c r="P12" t="str">
        <f t="shared" si="4"/>
        <v/>
      </c>
      <c r="Q12" t="str">
        <f t="shared" si="5"/>
        <v/>
      </c>
      <c r="S12" t="str">
        <f>""</f>
        <v/>
      </c>
      <c r="T12" s="109" t="s">
        <v>22</v>
      </c>
      <c r="U12" s="110"/>
      <c r="V12" s="58" t="str">
        <f>Master!D12</f>
        <v>Josh Allen</v>
      </c>
      <c r="X12" s="47" t="s">
        <v>17</v>
      </c>
      <c r="Y12" s="45">
        <f t="shared" ref="Y12:Y18" si="9">SUMIF(C:C,X12,N:N)</f>
        <v>0</v>
      </c>
      <c r="Z12" s="40">
        <f t="shared" ref="Z12:Z18" si="10">COUNTIF(C:C,X12)</f>
        <v>0</v>
      </c>
      <c r="AA12" s="41">
        <f t="shared" ref="AA12:AA18" si="11">IFERROR(COUNTIFS(C:C, X12)/COUNTA($C$2:$C$994),0)</f>
        <v>0</v>
      </c>
      <c r="AC12" s="17" t="str" cm="1">
        <f t="array" ref="AC12">IFERROR(INDEX($AL$2:$AL$300, MATCH(0, COUNTIF($AC$2:AC11, $AL$2:$AL$300) + IF($AL$2:$AL$300="", 1, 0), 0)), "")</f>
        <v/>
      </c>
      <c r="AD12" s="9">
        <f t="shared" si="8"/>
        <v>0</v>
      </c>
      <c r="AE12" s="19">
        <f>SUM(AD$3:AD12)</f>
        <v>0</v>
      </c>
      <c r="AL12" s="18" t="str">
        <f>IF(COUNTIF($A$2:A11, A11) = 1, A11, "")</f>
        <v/>
      </c>
    </row>
    <row r="13" spans="1:38" x14ac:dyDescent="0.2">
      <c r="F13" t="str">
        <f t="shared" si="0"/>
        <v/>
      </c>
      <c r="L13" s="7" t="str">
        <f t="shared" si="1"/>
        <v/>
      </c>
      <c r="N13" s="7" t="str">
        <f t="shared" si="2"/>
        <v/>
      </c>
      <c r="O13" t="str">
        <f t="shared" si="3"/>
        <v/>
      </c>
      <c r="P13" t="str">
        <f t="shared" si="4"/>
        <v/>
      </c>
      <c r="Q13" t="str">
        <f t="shared" si="5"/>
        <v/>
      </c>
      <c r="S13" t="str">
        <f>""</f>
        <v/>
      </c>
      <c r="T13" s="111" t="s">
        <v>99</v>
      </c>
      <c r="U13" s="112"/>
      <c r="V13" s="8" cm="1">
        <f t="array" ref="V13">SUM(IF(ISNUMBER(SEARCH(V12, SUBSTITUTE($P$2:$P$998, ",", ""))), 1, 0))</f>
        <v>0</v>
      </c>
      <c r="X13" s="48" t="s">
        <v>19</v>
      </c>
      <c r="Y13" s="43">
        <f t="shared" si="9"/>
        <v>0</v>
      </c>
      <c r="Z13" s="34">
        <f t="shared" si="10"/>
        <v>0</v>
      </c>
      <c r="AA13" s="41">
        <f t="shared" si="11"/>
        <v>0</v>
      </c>
      <c r="AC13" s="17" t="str" cm="1">
        <f t="array" ref="AC13">IFERROR(INDEX($AL$2:$AL$300, MATCH(0, COUNTIF($AC$2:AC12, $AL$2:$AL$300) + IF($AL$2:$AL$300="", 1, 0), 0)), "")</f>
        <v/>
      </c>
      <c r="AD13" s="9">
        <f t="shared" si="8"/>
        <v>0</v>
      </c>
      <c r="AE13" s="19">
        <f>SUM(AD$3:AD13)</f>
        <v>0</v>
      </c>
      <c r="AL13" s="18" t="str">
        <f>IF(COUNTIF($A$2:A12, A12) = 1, A12, "")</f>
        <v/>
      </c>
    </row>
    <row r="14" spans="1:38" x14ac:dyDescent="0.2">
      <c r="F14" t="str">
        <f t="shared" si="0"/>
        <v/>
      </c>
      <c r="L14" s="7" t="str">
        <f t="shared" si="1"/>
        <v/>
      </c>
      <c r="N14" s="7" t="str">
        <f t="shared" si="2"/>
        <v/>
      </c>
      <c r="O14" t="str">
        <f t="shared" si="3"/>
        <v/>
      </c>
      <c r="P14" t="str">
        <f t="shared" si="4"/>
        <v/>
      </c>
      <c r="Q14" t="str">
        <f t="shared" si="5"/>
        <v/>
      </c>
      <c r="S14" t="str">
        <f>""</f>
        <v/>
      </c>
      <c r="T14" s="111" t="s">
        <v>100</v>
      </c>
      <c r="U14" s="112"/>
      <c r="V14" s="8" cm="1">
        <f t="array" ref="V14">SUM(IF(ISNUMBER(SEARCH(V12, SUBSTITUTE($Q$2:$Q$998, ",", ""))), 1, 0))</f>
        <v>0</v>
      </c>
      <c r="X14" s="48" t="s">
        <v>25</v>
      </c>
      <c r="Y14" s="43">
        <f t="shared" si="9"/>
        <v>0</v>
      </c>
      <c r="Z14" s="34">
        <f t="shared" si="10"/>
        <v>0</v>
      </c>
      <c r="AA14" s="41">
        <f t="shared" si="11"/>
        <v>0</v>
      </c>
      <c r="AC14" s="17" t="str" cm="1">
        <f t="array" ref="AC14">IFERROR(INDEX($AL$2:$AL$300, MATCH(0, COUNTIF($AC$2:AC13, $AL$2:$AL$300) + IF($AL$2:$AL$300="", 1, 0), 0)), "")</f>
        <v/>
      </c>
      <c r="AD14" s="9">
        <f t="shared" si="8"/>
        <v>0</v>
      </c>
      <c r="AE14" s="19">
        <f>SUM(AD$3:AD14)</f>
        <v>0</v>
      </c>
      <c r="AL14" s="18" t="str">
        <f>IF(COUNTIF($A$2:A13, A13) = 1, A13, "")</f>
        <v/>
      </c>
    </row>
    <row r="15" spans="1:38" x14ac:dyDescent="0.2">
      <c r="F15" t="str">
        <f t="shared" si="0"/>
        <v/>
      </c>
      <c r="L15" s="7" t="str">
        <f t="shared" si="1"/>
        <v/>
      </c>
      <c r="N15" s="7" t="str">
        <f t="shared" si="2"/>
        <v/>
      </c>
      <c r="O15" t="str">
        <f t="shared" si="3"/>
        <v/>
      </c>
      <c r="P15" t="str">
        <f t="shared" si="4"/>
        <v/>
      </c>
      <c r="Q15" t="str">
        <f t="shared" si="5"/>
        <v/>
      </c>
      <c r="S15" t="str">
        <f>""</f>
        <v/>
      </c>
      <c r="T15" s="101" t="s">
        <v>28</v>
      </c>
      <c r="U15" s="102"/>
      <c r="V15" s="51" t="e">
        <f>1-(V14/V13)</f>
        <v>#DIV/0!</v>
      </c>
      <c r="X15" s="47" t="s">
        <v>26</v>
      </c>
      <c r="Y15" s="43">
        <f t="shared" si="9"/>
        <v>0</v>
      </c>
      <c r="Z15" s="34">
        <f t="shared" si="10"/>
        <v>0</v>
      </c>
      <c r="AA15" s="41">
        <f t="shared" si="11"/>
        <v>0</v>
      </c>
      <c r="AC15" s="17" t="str" cm="1">
        <f t="array" ref="AC15">IFERROR(INDEX($AL$2:$AL$300, MATCH(0, COUNTIF($AC$2:AC14, $AL$2:$AL$300) + IF($AL$2:$AL$300="", 1, 0), 0)), "")</f>
        <v/>
      </c>
      <c r="AD15" s="9">
        <f t="shared" si="8"/>
        <v>0</v>
      </c>
      <c r="AE15" s="20">
        <f>SUM(AD$3:AD15)</f>
        <v>0</v>
      </c>
      <c r="AL15" s="18" t="str">
        <f>IF(COUNTIF($A$2:A14, A14) = 1, A14, "")</f>
        <v/>
      </c>
    </row>
    <row r="16" spans="1:38" ht="17" thickBot="1" x14ac:dyDescent="0.25">
      <c r="F16" t="str">
        <f t="shared" si="0"/>
        <v/>
      </c>
      <c r="L16" s="7" t="str">
        <f t="shared" si="1"/>
        <v/>
      </c>
      <c r="N16" s="7" t="str">
        <f t="shared" si="2"/>
        <v/>
      </c>
      <c r="O16" t="str">
        <f t="shared" si="3"/>
        <v/>
      </c>
      <c r="P16" t="str">
        <f t="shared" si="4"/>
        <v/>
      </c>
      <c r="Q16" t="str">
        <f t="shared" si="5"/>
        <v/>
      </c>
      <c r="S16" t="str">
        <f>""</f>
        <v/>
      </c>
      <c r="T16" s="115" t="s">
        <v>9</v>
      </c>
      <c r="U16" s="116"/>
      <c r="V16" s="45" cm="1">
        <f t="array" ref="V16">SUMPRODUCT(--($D$2:$D$998="Straight"), --ISNUMBER(SEARCH(V12, SUBSTITUTE($P$2:$P$998, ",", ""))), $N$2:$N$998)</f>
        <v>0</v>
      </c>
      <c r="X16" s="48" t="s">
        <v>29</v>
      </c>
      <c r="Y16" s="43">
        <f t="shared" si="9"/>
        <v>0</v>
      </c>
      <c r="Z16" s="34">
        <f t="shared" si="10"/>
        <v>0</v>
      </c>
      <c r="AA16" s="41">
        <f t="shared" si="11"/>
        <v>0</v>
      </c>
      <c r="AC16" s="17" t="str" cm="1">
        <f t="array" ref="AC16">IFERROR(INDEX($AL$2:$AL$300, MATCH(0, COUNTIF($AC$2:AC15, $AL$2:$AL$300) + IF($AL$2:$AL$300="", 1, 0), 0)), "")</f>
        <v/>
      </c>
      <c r="AD16" s="9">
        <f t="shared" si="8"/>
        <v>0</v>
      </c>
      <c r="AE16" s="19">
        <f>SUM(AD$3:AD16)</f>
        <v>0</v>
      </c>
      <c r="AL16" s="18" t="str">
        <f>IF(COUNTIF($A$2:A15, A15) = 1, A15, "")</f>
        <v/>
      </c>
    </row>
    <row r="17" spans="6:38" ht="17" thickBot="1" x14ac:dyDescent="0.25">
      <c r="F17" t="str">
        <f t="shared" si="0"/>
        <v/>
      </c>
      <c r="L17" s="7" t="str">
        <f t="shared" si="1"/>
        <v/>
      </c>
      <c r="N17" s="7" t="str">
        <f t="shared" si="2"/>
        <v/>
      </c>
      <c r="O17" t="str">
        <f t="shared" si="3"/>
        <v/>
      </c>
      <c r="P17" t="str">
        <f t="shared" si="4"/>
        <v/>
      </c>
      <c r="Q17" t="str">
        <f t="shared" si="5"/>
        <v/>
      </c>
      <c r="S17" t="str">
        <f>""</f>
        <v/>
      </c>
      <c r="T17" s="117" t="s">
        <v>57</v>
      </c>
      <c r="U17" s="118"/>
      <c r="V17" s="119"/>
      <c r="X17" s="48" t="s">
        <v>30</v>
      </c>
      <c r="Y17" s="43">
        <f t="shared" si="9"/>
        <v>0</v>
      </c>
      <c r="Z17" s="34">
        <f t="shared" si="10"/>
        <v>0</v>
      </c>
      <c r="AA17" s="41">
        <f t="shared" si="11"/>
        <v>0</v>
      </c>
      <c r="AC17" s="17" t="str" cm="1">
        <f t="array" ref="AC17">IFERROR(INDEX($AL$2:$AL$300, MATCH(0, COUNTIF($AC$2:AC16, $AL$2:$AL$300) + IF($AL$2:$AL$300="", 1, 0), 0)), "")</f>
        <v/>
      </c>
      <c r="AD17" s="9">
        <f t="shared" si="8"/>
        <v>0</v>
      </c>
      <c r="AE17" s="19">
        <f>SUM(AD$3:AD17)</f>
        <v>0</v>
      </c>
      <c r="AL17" s="18" t="str">
        <f>IF(COUNTIF($A$2:A16, A16) = 1, A16, "")</f>
        <v/>
      </c>
    </row>
    <row r="18" spans="6:38" ht="17" thickBot="1" x14ac:dyDescent="0.25">
      <c r="F18" t="str">
        <f t="shared" si="0"/>
        <v/>
      </c>
      <c r="L18" s="7" t="str">
        <f t="shared" si="1"/>
        <v/>
      </c>
      <c r="N18" s="7" t="str">
        <f t="shared" si="2"/>
        <v/>
      </c>
      <c r="O18" t="str">
        <f t="shared" si="3"/>
        <v/>
      </c>
      <c r="P18" t="str">
        <f>IF(I18="No", "None", "")</f>
        <v/>
      </c>
      <c r="Q18" t="str">
        <f t="shared" si="5"/>
        <v/>
      </c>
      <c r="S18" t="str">
        <f>""</f>
        <v/>
      </c>
      <c r="X18" s="50" t="s">
        <v>82</v>
      </c>
      <c r="Y18" s="44">
        <f t="shared" si="9"/>
        <v>0</v>
      </c>
      <c r="Z18" s="35">
        <f t="shared" si="10"/>
        <v>0</v>
      </c>
      <c r="AA18" s="52">
        <f t="shared" si="11"/>
        <v>0</v>
      </c>
      <c r="AC18" s="17" t="str" cm="1">
        <f t="array" ref="AC18">IFERROR(INDEX($AL$2:$AL$300, MATCH(0, COUNTIF($AC$2:AC17, $AL$2:$AL$300) + IF($AL$2:$AL$300="", 1, 0), 0)), "")</f>
        <v/>
      </c>
      <c r="AD18" s="9">
        <f t="shared" si="8"/>
        <v>0</v>
      </c>
      <c r="AE18" s="19">
        <f>SUM(AD$3:AD18)</f>
        <v>0</v>
      </c>
      <c r="AL18" s="18" t="str">
        <f>IF(COUNTIF($A$2:A17, A17) = 1, A17, "")</f>
        <v/>
      </c>
    </row>
    <row r="19" spans="6:38" ht="17" thickBot="1" x14ac:dyDescent="0.25">
      <c r="F19" t="str">
        <f t="shared" si="0"/>
        <v/>
      </c>
      <c r="L19" s="7" t="str">
        <f t="shared" si="1"/>
        <v/>
      </c>
      <c r="N19" s="7" t="str">
        <f t="shared" si="2"/>
        <v/>
      </c>
      <c r="O19" t="str">
        <f t="shared" si="3"/>
        <v/>
      </c>
      <c r="P19" t="str">
        <f t="shared" ref="P19:P82" si="12">IF(I19="No", "None", "")</f>
        <v/>
      </c>
      <c r="Q19" t="str">
        <f t="shared" si="5"/>
        <v/>
      </c>
      <c r="S19" t="str">
        <f>""</f>
        <v/>
      </c>
      <c r="T19" s="103" t="s">
        <v>62</v>
      </c>
      <c r="U19" s="104"/>
      <c r="V19" s="13">
        <f>COUNTA(B:B) - 1</f>
        <v>0</v>
      </c>
      <c r="Y19" s="7"/>
      <c r="AC19" s="17" t="str" cm="1">
        <f t="array" ref="AC19">IFERROR(INDEX($AL$2:$AL$300, MATCH(0, COUNTIF($AC$2:AC18, $AL$2:$AL$300) + IF($AL$2:$AL$300="", 1, 0), 0)), "")</f>
        <v/>
      </c>
      <c r="AD19" s="9">
        <f t="shared" si="8"/>
        <v>0</v>
      </c>
      <c r="AE19" s="20">
        <f>SUM(AD$3:AD19)</f>
        <v>0</v>
      </c>
      <c r="AL19" s="18" t="str">
        <f>IF(COUNTIF($A$2:A18, A18) = 1, A18, "")</f>
        <v/>
      </c>
    </row>
    <row r="20" spans="6:38" ht="17" thickBot="1" x14ac:dyDescent="0.25">
      <c r="F20" t="str">
        <f t="shared" si="0"/>
        <v/>
      </c>
      <c r="L20" s="7" t="str">
        <f t="shared" si="1"/>
        <v/>
      </c>
      <c r="N20" s="7" t="str">
        <f t="shared" si="2"/>
        <v/>
      </c>
      <c r="O20" t="str">
        <f t="shared" si="3"/>
        <v/>
      </c>
      <c r="P20" t="str">
        <f t="shared" si="12"/>
        <v/>
      </c>
      <c r="Q20" t="str">
        <f t="shared" si="5"/>
        <v/>
      </c>
      <c r="S20" t="str">
        <f>""</f>
        <v/>
      </c>
      <c r="T20" s="111" t="s">
        <v>64</v>
      </c>
      <c r="U20" s="112"/>
      <c r="V20" s="24">
        <f>COUNTIF(M:M, "Yes")</f>
        <v>0</v>
      </c>
      <c r="X20" s="79" t="s">
        <v>50</v>
      </c>
      <c r="Y20" s="83" t="s">
        <v>9</v>
      </c>
      <c r="Z20" s="81" t="s">
        <v>84</v>
      </c>
      <c r="AA20" s="82" t="s">
        <v>39</v>
      </c>
      <c r="AC20" s="17" t="str" cm="1">
        <f t="array" ref="AC20">IFERROR(INDEX($AL$2:$AL$300, MATCH(0, COUNTIF($AC$2:AC19, $AL$2:$AL$300) + IF($AL$2:$AL$300="", 1, 0), 0)), "")</f>
        <v/>
      </c>
      <c r="AD20" s="9">
        <f t="shared" si="8"/>
        <v>0</v>
      </c>
      <c r="AE20" s="19">
        <f>SUM(AD$3:AD20)</f>
        <v>0</v>
      </c>
      <c r="AL20" s="18" t="str">
        <f>IF(COUNTIF($A$2:A19, A19) = 1, A19, "")</f>
        <v/>
      </c>
    </row>
    <row r="21" spans="6:38" x14ac:dyDescent="0.2">
      <c r="F21" t="str">
        <f t="shared" si="0"/>
        <v/>
      </c>
      <c r="L21" s="7" t="str">
        <f t="shared" si="1"/>
        <v/>
      </c>
      <c r="N21" s="7" t="str">
        <f t="shared" si="2"/>
        <v/>
      </c>
      <c r="O21" t="str">
        <f t="shared" si="3"/>
        <v/>
      </c>
      <c r="P21" t="str">
        <f t="shared" si="12"/>
        <v/>
      </c>
      <c r="Q21" t="str">
        <f t="shared" si="5"/>
        <v/>
      </c>
      <c r="S21" t="str">
        <f>""</f>
        <v/>
      </c>
      <c r="T21" s="111" t="s">
        <v>65</v>
      </c>
      <c r="U21" s="112"/>
      <c r="V21" s="25">
        <f>COUNTIF(M:M, "No")</f>
        <v>0</v>
      </c>
      <c r="X21" s="47" t="s">
        <v>20</v>
      </c>
      <c r="Y21" s="45">
        <f>SUMIF(D:D,X21,N:N)</f>
        <v>0</v>
      </c>
      <c r="Z21" s="40">
        <f>COUNTIF(D:D,X21)</f>
        <v>0</v>
      </c>
      <c r="AA21" s="41">
        <f>IFERROR(COUNTIFS(D:D, X21)/COUNTA($D$2:$D$994),0)</f>
        <v>0</v>
      </c>
      <c r="AC21" s="17" t="str" cm="1">
        <f t="array" ref="AC21">IFERROR(INDEX($AL$2:$AL$300, MATCH(0, COUNTIF($AC$2:AC20, $AL$2:$AL$300) + IF($AL$2:$AL$300="", 1, 0), 0)), "")</f>
        <v/>
      </c>
      <c r="AD21" s="9">
        <f t="shared" si="8"/>
        <v>0</v>
      </c>
      <c r="AE21" s="19">
        <f>SUM(AD$3:AD21)</f>
        <v>0</v>
      </c>
      <c r="AL21" s="18" t="str">
        <f>IF(COUNTIF($A$2:A20, A20) = 1, A20, "")</f>
        <v/>
      </c>
    </row>
    <row r="22" spans="6:38" ht="17" thickBot="1" x14ac:dyDescent="0.25">
      <c r="F22" t="str">
        <f t="shared" si="0"/>
        <v/>
      </c>
      <c r="L22" s="7" t="str">
        <f t="shared" si="1"/>
        <v/>
      </c>
      <c r="N22" s="7" t="str">
        <f t="shared" si="2"/>
        <v/>
      </c>
      <c r="O22" t="str">
        <f t="shared" si="3"/>
        <v/>
      </c>
      <c r="P22" t="str">
        <f t="shared" si="12"/>
        <v/>
      </c>
      <c r="Q22" t="str">
        <f t="shared" si="5"/>
        <v/>
      </c>
      <c r="S22" t="str">
        <f>""</f>
        <v/>
      </c>
      <c r="T22" s="107" t="s">
        <v>76</v>
      </c>
      <c r="U22" s="108"/>
      <c r="V22" s="14">
        <f>V19-V20-V21</f>
        <v>0</v>
      </c>
      <c r="X22" s="48" t="s">
        <v>18</v>
      </c>
      <c r="Y22" s="45">
        <f>SUMIF(D:D,X22,N:N)</f>
        <v>0</v>
      </c>
      <c r="Z22" s="34">
        <f>COUNTIF(D:D,X22)</f>
        <v>0</v>
      </c>
      <c r="AA22" s="41">
        <f>IFERROR(COUNTIFS(D:D, X22)/COUNTA($D$2:$D$994),0)</f>
        <v>0</v>
      </c>
      <c r="AC22" s="17" t="str" cm="1">
        <f t="array" ref="AC22">IFERROR(INDEX($AL$2:$AL$300, MATCH(0, COUNTIF($AC$2:AC21, $AL$2:$AL$300) + IF($AL$2:$AL$300="", 1, 0), 0)), "")</f>
        <v/>
      </c>
      <c r="AD22" s="9">
        <f t="shared" si="8"/>
        <v>0</v>
      </c>
      <c r="AE22" s="19">
        <f>SUM(AD$3:AD22)</f>
        <v>0</v>
      </c>
      <c r="AL22" s="18" t="str">
        <f>IF(COUNTIF($A$2:A21, A21) = 1, A21, "")</f>
        <v/>
      </c>
    </row>
    <row r="23" spans="6:38" ht="17" thickBot="1" x14ac:dyDescent="0.25">
      <c r="F23" t="str">
        <f t="shared" si="0"/>
        <v/>
      </c>
      <c r="L23" s="7" t="str">
        <f t="shared" si="1"/>
        <v/>
      </c>
      <c r="N23" s="7" t="str">
        <f t="shared" si="2"/>
        <v/>
      </c>
      <c r="O23" t="str">
        <f t="shared" si="3"/>
        <v/>
      </c>
      <c r="P23" t="str">
        <f t="shared" si="12"/>
        <v/>
      </c>
      <c r="Q23" t="str">
        <f t="shared" si="5"/>
        <v/>
      </c>
      <c r="S23" t="str">
        <f>""</f>
        <v/>
      </c>
      <c r="X23" s="50" t="s">
        <v>31</v>
      </c>
      <c r="Y23" s="44">
        <f>SUMIF(D:D,X23,N:N)</f>
        <v>0</v>
      </c>
      <c r="Z23" s="35">
        <f>COUNTIF(D:D,X23)</f>
        <v>0</v>
      </c>
      <c r="AA23" s="52">
        <f>IFERROR(COUNTIFS(D:D, X23)/COUNTA($D$2:$D$994),0)</f>
        <v>0</v>
      </c>
      <c r="AC23" s="17" t="str" cm="1">
        <f t="array" ref="AC23">IFERROR(INDEX($AL$2:$AL$300, MATCH(0, COUNTIF($AC$2:AC22, $AL$2:$AL$300) + IF($AL$2:$AL$300="", 1, 0), 0)), "")</f>
        <v/>
      </c>
      <c r="AD23" s="9">
        <f t="shared" si="8"/>
        <v>0</v>
      </c>
      <c r="AE23" s="20">
        <f>SUM(AD$3:AD23)</f>
        <v>0</v>
      </c>
      <c r="AL23" s="18" t="str">
        <f>IF(COUNTIF($A$2:A22, A22) = 1, A22, "")</f>
        <v/>
      </c>
    </row>
    <row r="24" spans="6:38" ht="17" thickBot="1" x14ac:dyDescent="0.25">
      <c r="F24" t="str">
        <f t="shared" si="0"/>
        <v/>
      </c>
      <c r="L24" s="7" t="str">
        <f t="shared" si="1"/>
        <v/>
      </c>
      <c r="N24" s="7" t="str">
        <f t="shared" si="2"/>
        <v/>
      </c>
      <c r="O24" t="str">
        <f t="shared" si="3"/>
        <v/>
      </c>
      <c r="P24" t="str">
        <f t="shared" si="12"/>
        <v/>
      </c>
      <c r="Q24" t="str">
        <f t="shared" si="5"/>
        <v/>
      </c>
      <c r="S24" t="str">
        <f>""</f>
        <v/>
      </c>
      <c r="Y24" s="60"/>
      <c r="AC24" s="17" t="str" cm="1">
        <f t="array" ref="AC24">IFERROR(INDEX($AL$2:$AL$300, MATCH(0, COUNTIF($AC$2:AC23, $AL$2:$AL$300) + IF($AL$2:$AL$300="", 1, 0), 0)), "")</f>
        <v/>
      </c>
      <c r="AD24" s="9">
        <f t="shared" si="8"/>
        <v>0</v>
      </c>
      <c r="AE24" s="19">
        <f>SUM(AD$3:AD24)</f>
        <v>0</v>
      </c>
      <c r="AL24" s="18" t="str">
        <f>IF(COUNTIF($A$2:A23, A23) = 1, A23, "")</f>
        <v/>
      </c>
    </row>
    <row r="25" spans="6:38" ht="17" thickBot="1" x14ac:dyDescent="0.25">
      <c r="F25" t="str">
        <f t="shared" si="0"/>
        <v/>
      </c>
      <c r="L25" s="7" t="str">
        <f t="shared" si="1"/>
        <v/>
      </c>
      <c r="N25" s="7" t="str">
        <f t="shared" si="2"/>
        <v/>
      </c>
      <c r="O25" t="str">
        <f t="shared" si="3"/>
        <v/>
      </c>
      <c r="P25" t="str">
        <f t="shared" si="12"/>
        <v/>
      </c>
      <c r="Q25" t="str">
        <f t="shared" si="5"/>
        <v/>
      </c>
      <c r="S25" t="str">
        <f>""</f>
        <v/>
      </c>
      <c r="X25" s="79" t="s">
        <v>12</v>
      </c>
      <c r="Y25" s="83" t="s">
        <v>9</v>
      </c>
      <c r="Z25" s="81" t="s">
        <v>84</v>
      </c>
      <c r="AA25" s="82" t="s">
        <v>39</v>
      </c>
      <c r="AC25" s="21" t="str" cm="1">
        <f t="array" ref="AC25">IFERROR(INDEX($AL$2:$AL$300, MATCH(0, COUNTIF($AC$2:AC24, $AL$2:$AL$300) + IF($AL$2:$AL$300="", 1, 0), 0)), "")</f>
        <v/>
      </c>
      <c r="AD25" s="22">
        <f t="shared" si="8"/>
        <v>0</v>
      </c>
      <c r="AE25" s="23">
        <f>SUM(AD$3:AD25)</f>
        <v>0</v>
      </c>
      <c r="AL25" s="18" t="str">
        <f>IF(COUNTIF($A$2:A24, A24) = 1, A24, "")</f>
        <v/>
      </c>
    </row>
    <row r="26" spans="6:38" x14ac:dyDescent="0.2">
      <c r="F26" t="str">
        <f t="shared" si="0"/>
        <v/>
      </c>
      <c r="L26" s="7" t="str">
        <f t="shared" si="1"/>
        <v/>
      </c>
      <c r="N26" s="7" t="str">
        <f t="shared" si="2"/>
        <v/>
      </c>
      <c r="O26" t="str">
        <f t="shared" si="3"/>
        <v/>
      </c>
      <c r="P26" t="str">
        <f t="shared" si="12"/>
        <v/>
      </c>
      <c r="Q26" t="str">
        <f t="shared" si="5"/>
        <v/>
      </c>
      <c r="S26" t="str">
        <f>""</f>
        <v/>
      </c>
      <c r="X26" s="47" t="s">
        <v>32</v>
      </c>
      <c r="Y26" s="45">
        <f>SUMIFS(N:N, E:E, "&lt;-150")</f>
        <v>0</v>
      </c>
      <c r="Z26" s="40">
        <f>COUNTIFS(E:E, "&lt; -150")</f>
        <v>0</v>
      </c>
      <c r="AA26" s="41">
        <f>IFERROR(COUNTIFS(E:E, "&lt; -150")/COUNTA($E$2:$E$993),0)</f>
        <v>0</v>
      </c>
      <c r="AC26" s="59"/>
      <c r="AD26" s="7"/>
      <c r="AE26" s="7"/>
      <c r="AL26" s="18" t="str">
        <f>IF(COUNTIF($A$2:A25, A25) = 1, A25, "")</f>
        <v/>
      </c>
    </row>
    <row r="27" spans="6:38" x14ac:dyDescent="0.2">
      <c r="F27" t="str">
        <f t="shared" si="0"/>
        <v/>
      </c>
      <c r="L27" s="7" t="str">
        <f t="shared" si="1"/>
        <v/>
      </c>
      <c r="N27" s="7" t="str">
        <f t="shared" si="2"/>
        <v/>
      </c>
      <c r="O27" t="str">
        <f t="shared" si="3"/>
        <v/>
      </c>
      <c r="P27" t="str">
        <f t="shared" si="12"/>
        <v/>
      </c>
      <c r="Q27" t="str">
        <f t="shared" si="5"/>
        <v/>
      </c>
      <c r="S27" t="str">
        <f>""</f>
        <v/>
      </c>
      <c r="X27" s="48" t="s">
        <v>33</v>
      </c>
      <c r="Y27" s="45">
        <f>SUMIFS(N:N, E:E, "&gt;=-150", E:E, "&lt;100")</f>
        <v>0</v>
      </c>
      <c r="Z27" s="34">
        <f>COUNTIFS(E:E, "&lt; 100", E:E, "&gt;=-150")</f>
        <v>0</v>
      </c>
      <c r="AA27" s="38">
        <f>IFERROR(COUNTIFS(E:E, "&lt; 100", E:E, "&gt;=-150")/COUNTA($E$2:$E$6993),0)</f>
        <v>0</v>
      </c>
      <c r="AC27" s="59"/>
      <c r="AD27" s="7"/>
      <c r="AE27" s="7"/>
      <c r="AL27" s="18" t="str">
        <f>IF(COUNTIF($A$2:A26, A26) = 1, A26, "")</f>
        <v/>
      </c>
    </row>
    <row r="28" spans="6:38" x14ac:dyDescent="0.2">
      <c r="F28" t="str">
        <f t="shared" si="0"/>
        <v/>
      </c>
      <c r="L28" s="7" t="str">
        <f t="shared" si="1"/>
        <v/>
      </c>
      <c r="N28" s="7" t="str">
        <f t="shared" si="2"/>
        <v/>
      </c>
      <c r="O28" t="str">
        <f t="shared" si="3"/>
        <v/>
      </c>
      <c r="P28" t="str">
        <f t="shared" si="12"/>
        <v/>
      </c>
      <c r="Q28" t="str">
        <f t="shared" si="5"/>
        <v/>
      </c>
      <c r="S28" t="str">
        <f>""</f>
        <v/>
      </c>
      <c r="X28" s="48" t="s">
        <v>34</v>
      </c>
      <c r="Y28" s="45">
        <f>SUMIFS(N:N, E:E, "&gt;=100", E:E, "&lt;125")</f>
        <v>0</v>
      </c>
      <c r="Z28" s="34">
        <f>COUNTIFS(E:E, "&lt; 125", E:E, "&gt;=100")</f>
        <v>0</v>
      </c>
      <c r="AA28" s="38">
        <f>IFERROR(COUNTIFS(E:E, "&lt; 125", E:E, "&gt;=100")/COUNTA($E$2:$E$6993),0)</f>
        <v>0</v>
      </c>
      <c r="AC28" s="59"/>
      <c r="AD28" s="7"/>
      <c r="AE28" s="7"/>
      <c r="AL28" s="18" t="str">
        <f>IF(COUNTIF($A$2:A27, A27) = 1, A27, "")</f>
        <v/>
      </c>
    </row>
    <row r="29" spans="6:38" x14ac:dyDescent="0.2">
      <c r="F29" t="str">
        <f t="shared" si="0"/>
        <v/>
      </c>
      <c r="L29" s="7" t="str">
        <f t="shared" si="1"/>
        <v/>
      </c>
      <c r="N29" s="7" t="str">
        <f t="shared" si="2"/>
        <v/>
      </c>
      <c r="O29" t="str">
        <f t="shared" si="3"/>
        <v/>
      </c>
      <c r="P29" t="str">
        <f t="shared" si="12"/>
        <v/>
      </c>
      <c r="Q29" t="str">
        <f t="shared" si="5"/>
        <v/>
      </c>
      <c r="S29" t="str">
        <f>""</f>
        <v/>
      </c>
      <c r="X29" s="47" t="s">
        <v>35</v>
      </c>
      <c r="Y29" s="45">
        <f>SUMIFS(N:N, E:E, "&gt;=125", E:E, "&lt;150")</f>
        <v>0</v>
      </c>
      <c r="Z29" s="40">
        <f>COUNTIFS(E:E, "&lt; 150", E:E, "&gt;=125")</f>
        <v>0</v>
      </c>
      <c r="AA29" s="41">
        <f>IFERROR(COUNTIFS(E:E, "&lt; 150", E:E, "&gt;=125")/COUNTA($E$2:$E$6993),0)</f>
        <v>0</v>
      </c>
      <c r="AC29" s="59"/>
      <c r="AD29" s="7"/>
      <c r="AE29" s="7"/>
      <c r="AL29" s="18" t="str">
        <f>IF(COUNTIF($A$2:A28, A28) = 1, A28, "")</f>
        <v/>
      </c>
    </row>
    <row r="30" spans="6:38" x14ac:dyDescent="0.2">
      <c r="F30" t="str">
        <f t="shared" si="0"/>
        <v/>
      </c>
      <c r="L30" s="7" t="str">
        <f t="shared" si="1"/>
        <v/>
      </c>
      <c r="N30" s="7" t="str">
        <f t="shared" si="2"/>
        <v/>
      </c>
      <c r="O30" t="str">
        <f t="shared" si="3"/>
        <v/>
      </c>
      <c r="P30" t="str">
        <f t="shared" si="12"/>
        <v/>
      </c>
      <c r="Q30" t="str">
        <f t="shared" si="5"/>
        <v/>
      </c>
      <c r="S30" t="str">
        <f>""</f>
        <v/>
      </c>
      <c r="X30" s="48" t="s">
        <v>36</v>
      </c>
      <c r="Y30" s="45">
        <f>SUMIFS(N:N, E:E, "&gt;=150", E:E, "&lt;200")</f>
        <v>0</v>
      </c>
      <c r="Z30" s="34">
        <f>COUNTIFS(E:E, "&lt; 200", E:E, "&gt;=150")</f>
        <v>0</v>
      </c>
      <c r="AA30" s="38">
        <f>IFERROR(COUNTIFS(E:E, "&lt; 200", E:E, "&gt;=150")/COUNTA($E$2:$E$6993),0)</f>
        <v>0</v>
      </c>
      <c r="AC30" s="59"/>
      <c r="AD30" s="7"/>
      <c r="AE30" s="7"/>
      <c r="AL30" s="18" t="str">
        <f>IF(COUNTIF($A$2:A29, A29) = 1, A29, "")</f>
        <v/>
      </c>
    </row>
    <row r="31" spans="6:38" ht="17" thickBot="1" x14ac:dyDescent="0.25">
      <c r="F31" t="str">
        <f t="shared" si="0"/>
        <v/>
      </c>
      <c r="L31" s="7" t="str">
        <f t="shared" si="1"/>
        <v/>
      </c>
      <c r="N31" s="7" t="str">
        <f t="shared" si="2"/>
        <v/>
      </c>
      <c r="O31" t="str">
        <f t="shared" si="3"/>
        <v/>
      </c>
      <c r="P31" t="str">
        <f t="shared" si="12"/>
        <v/>
      </c>
      <c r="Q31" t="str">
        <f t="shared" si="5"/>
        <v/>
      </c>
      <c r="S31" t="str">
        <f>""</f>
        <v/>
      </c>
      <c r="X31" s="49" t="s">
        <v>37</v>
      </c>
      <c r="Y31" s="44">
        <f>SUMIFS(N:N, E:E, "&gt;=200")</f>
        <v>0</v>
      </c>
      <c r="Z31" s="35">
        <f>COUNTIFS(E:E, "&gt;=200")</f>
        <v>0</v>
      </c>
      <c r="AA31" s="39">
        <f>IFERROR(COUNTIFS(E:E, "&gt;=200")/COUNTA($E$2:$E$69993),0)</f>
        <v>0</v>
      </c>
      <c r="AC31" s="59"/>
      <c r="AD31" s="7"/>
      <c r="AE31" s="7"/>
      <c r="AL31" s="18" t="str">
        <f>IF(COUNTIF($A$2:A30, A30) = 1, A30, "")</f>
        <v/>
      </c>
    </row>
    <row r="32" spans="6:38" ht="17" thickBot="1" x14ac:dyDescent="0.25">
      <c r="F32" t="str">
        <f t="shared" si="0"/>
        <v/>
      </c>
      <c r="L32" s="7" t="str">
        <f t="shared" si="1"/>
        <v/>
      </c>
      <c r="N32" s="7" t="str">
        <f t="shared" si="2"/>
        <v/>
      </c>
      <c r="O32" t="str">
        <f t="shared" si="3"/>
        <v/>
      </c>
      <c r="P32" t="str">
        <f t="shared" si="12"/>
        <v/>
      </c>
      <c r="Q32" t="str">
        <f t="shared" si="5"/>
        <v/>
      </c>
      <c r="S32" t="str">
        <f>""</f>
        <v/>
      </c>
      <c r="Y32" s="60"/>
      <c r="AC32" s="59"/>
      <c r="AD32" s="7"/>
      <c r="AE32" s="7"/>
      <c r="AL32" s="18" t="str">
        <f>IF(COUNTIF($A$2:A31, A31) = 1, A31, "")</f>
        <v/>
      </c>
    </row>
    <row r="33" spans="6:38" ht="17" thickBot="1" x14ac:dyDescent="0.25">
      <c r="F33" t="str">
        <f t="shared" si="0"/>
        <v/>
      </c>
      <c r="L33" s="7" t="str">
        <f t="shared" si="1"/>
        <v/>
      </c>
      <c r="N33" s="7" t="str">
        <f t="shared" si="2"/>
        <v/>
      </c>
      <c r="O33" t="str">
        <f t="shared" si="3"/>
        <v/>
      </c>
      <c r="P33" t="str">
        <f t="shared" si="12"/>
        <v/>
      </c>
      <c r="Q33" t="str">
        <f t="shared" si="5"/>
        <v/>
      </c>
      <c r="S33" t="str">
        <f>""</f>
        <v/>
      </c>
      <c r="X33" s="79" t="s">
        <v>3</v>
      </c>
      <c r="Y33" s="83" t="s">
        <v>9</v>
      </c>
      <c r="Z33" s="81" t="s">
        <v>84</v>
      </c>
      <c r="AA33" s="82" t="s">
        <v>39</v>
      </c>
      <c r="AC33" s="59"/>
      <c r="AD33" s="7"/>
      <c r="AE33" s="7"/>
      <c r="AL33" s="18" t="str">
        <f>IF(COUNTIF($A$2:A32, A32) = 1, A32, "")</f>
        <v/>
      </c>
    </row>
    <row r="34" spans="6:38" x14ac:dyDescent="0.2">
      <c r="F34" t="str">
        <f t="shared" si="0"/>
        <v/>
      </c>
      <c r="L34" s="7" t="str">
        <f t="shared" si="1"/>
        <v/>
      </c>
      <c r="N34" s="7" t="str">
        <f t="shared" si="2"/>
        <v/>
      </c>
      <c r="O34" t="str">
        <f t="shared" si="3"/>
        <v/>
      </c>
      <c r="P34" t="str">
        <f t="shared" si="12"/>
        <v/>
      </c>
      <c r="Q34" t="str">
        <f t="shared" si="5"/>
        <v/>
      </c>
      <c r="S34" t="str">
        <f>""</f>
        <v/>
      </c>
      <c r="X34" s="47">
        <v>1</v>
      </c>
      <c r="Y34" s="45">
        <f>SUMIFS(N:N, F:F, X34)</f>
        <v>0</v>
      </c>
      <c r="Z34" s="40">
        <f>COUNTIF(F:F,X34)</f>
        <v>0</v>
      </c>
      <c r="AA34" s="41">
        <f>IFERROR(COUNTIFS(F:F, X34)/COUNTA($E$2:$E$993),0)</f>
        <v>0</v>
      </c>
      <c r="AC34" s="59"/>
      <c r="AD34" s="7"/>
      <c r="AE34" s="7"/>
      <c r="AL34" s="18" t="str">
        <f>IF(COUNTIF($A$2:A33, A33) = 1, A33, "")</f>
        <v/>
      </c>
    </row>
    <row r="35" spans="6:38" x14ac:dyDescent="0.2">
      <c r="F35" t="str">
        <f t="shared" si="0"/>
        <v/>
      </c>
      <c r="L35" s="7" t="str">
        <f t="shared" si="1"/>
        <v/>
      </c>
      <c r="N35" s="7" t="str">
        <f t="shared" si="2"/>
        <v/>
      </c>
      <c r="O35" t="str">
        <f t="shared" si="3"/>
        <v/>
      </c>
      <c r="P35" t="str">
        <f t="shared" si="12"/>
        <v/>
      </c>
      <c r="Q35" t="str">
        <f t="shared" si="5"/>
        <v/>
      </c>
      <c r="S35" t="str">
        <f>""</f>
        <v/>
      </c>
      <c r="X35" s="48">
        <v>2</v>
      </c>
      <c r="Y35" s="45">
        <f>SUMIFS(N:N, F:F, X35)</f>
        <v>0</v>
      </c>
      <c r="Z35" s="34">
        <f>COUNTIF(F:F,X35)</f>
        <v>0</v>
      </c>
      <c r="AA35" s="41">
        <f>IFERROR(COUNTIFS(F:F, X35)/COUNTA($E$2:$E$993),0)</f>
        <v>0</v>
      </c>
      <c r="AC35" s="59"/>
      <c r="AD35" s="7"/>
      <c r="AE35" s="7"/>
      <c r="AL35" s="18" t="str">
        <f>IF(COUNTIF($A$2:A34, A34) = 1, A34, "")</f>
        <v/>
      </c>
    </row>
    <row r="36" spans="6:38" x14ac:dyDescent="0.2">
      <c r="F36" t="str">
        <f t="shared" si="0"/>
        <v/>
      </c>
      <c r="L36" s="7" t="str">
        <f t="shared" si="1"/>
        <v/>
      </c>
      <c r="N36" s="7" t="str">
        <f t="shared" si="2"/>
        <v/>
      </c>
      <c r="O36" t="str">
        <f t="shared" si="3"/>
        <v/>
      </c>
      <c r="P36" t="str">
        <f t="shared" si="12"/>
        <v/>
      </c>
      <c r="Q36" t="str">
        <f t="shared" si="5"/>
        <v/>
      </c>
      <c r="S36" t="str">
        <f>""</f>
        <v/>
      </c>
      <c r="X36" s="48">
        <v>3</v>
      </c>
      <c r="Y36" s="45">
        <f>SUMIFS(N:N, F:F, X36)</f>
        <v>0</v>
      </c>
      <c r="Z36" s="34">
        <f>COUNTIF(F:F,X36)</f>
        <v>0</v>
      </c>
      <c r="AA36" s="41">
        <f>IFERROR(COUNTIFS(F:F, X36)/COUNTA($E$2:$E$993),0)</f>
        <v>0</v>
      </c>
      <c r="AD36" s="7"/>
      <c r="AE36" s="7"/>
      <c r="AL36" s="18" t="str">
        <f>IF(COUNTIF($A$2:A35, A35) = 1, A35, "")</f>
        <v/>
      </c>
    </row>
    <row r="37" spans="6:38" x14ac:dyDescent="0.2">
      <c r="F37" t="str">
        <f t="shared" si="0"/>
        <v/>
      </c>
      <c r="L37" s="7" t="str">
        <f t="shared" si="1"/>
        <v/>
      </c>
      <c r="N37" s="7" t="str">
        <f t="shared" si="2"/>
        <v/>
      </c>
      <c r="O37" t="str">
        <f t="shared" si="3"/>
        <v/>
      </c>
      <c r="P37" t="str">
        <f t="shared" si="12"/>
        <v/>
      </c>
      <c r="Q37" t="str">
        <f t="shared" si="5"/>
        <v/>
      </c>
      <c r="S37" t="str">
        <f>""</f>
        <v/>
      </c>
      <c r="X37" s="47">
        <v>4</v>
      </c>
      <c r="Y37" s="45">
        <f>SUMIFS(N:N, F:F, X37)</f>
        <v>0</v>
      </c>
      <c r="Z37" s="34">
        <f>COUNTIF(F:F,X37)</f>
        <v>0</v>
      </c>
      <c r="AA37" s="41">
        <f>IFERROR(COUNTIFS(F:F, X37)/COUNTA($E$2:$E$993),0)</f>
        <v>0</v>
      </c>
      <c r="AD37" s="7"/>
      <c r="AE37" s="7"/>
      <c r="AL37" s="18" t="str">
        <f>IF(COUNTIF($A$2:A36, A36) = 1, A36, "")</f>
        <v/>
      </c>
    </row>
    <row r="38" spans="6:38" ht="17" thickBot="1" x14ac:dyDescent="0.25">
      <c r="F38" t="str">
        <f t="shared" si="0"/>
        <v/>
      </c>
      <c r="L38" s="7" t="str">
        <f t="shared" si="1"/>
        <v/>
      </c>
      <c r="N38" s="7" t="str">
        <f t="shared" si="2"/>
        <v/>
      </c>
      <c r="O38" t="str">
        <f t="shared" si="3"/>
        <v/>
      </c>
      <c r="P38" t="str">
        <f t="shared" si="12"/>
        <v/>
      </c>
      <c r="Q38" t="str">
        <f t="shared" si="5"/>
        <v/>
      </c>
      <c r="S38" t="str">
        <f>""</f>
        <v/>
      </c>
      <c r="X38" s="49" t="s">
        <v>88</v>
      </c>
      <c r="Y38" s="44">
        <f>SUMIFS(N:N, F:F, "&gt;4")</f>
        <v>0</v>
      </c>
      <c r="Z38" s="35">
        <f>COUNTIF(F:F,"&gt;4")</f>
        <v>0</v>
      </c>
      <c r="AA38" s="52">
        <f>IFERROR(COUNTIFS(F:F, X38)/COUNTA($E$2:$E$993),0)</f>
        <v>0</v>
      </c>
      <c r="AD38" s="7"/>
      <c r="AE38" s="7"/>
      <c r="AL38" s="18" t="str">
        <f>IF(COUNTIF($A$2:A37, A37) = 1, A37, "")</f>
        <v/>
      </c>
    </row>
    <row r="39" spans="6:38" ht="17" thickBot="1" x14ac:dyDescent="0.25">
      <c r="F39" t="str">
        <f t="shared" si="0"/>
        <v/>
      </c>
      <c r="L39" s="7" t="str">
        <f t="shared" si="1"/>
        <v/>
      </c>
      <c r="N39" s="7" t="str">
        <f t="shared" si="2"/>
        <v/>
      </c>
      <c r="O39" t="str">
        <f t="shared" si="3"/>
        <v/>
      </c>
      <c r="P39" t="str">
        <f t="shared" si="12"/>
        <v/>
      </c>
      <c r="Q39" t="str">
        <f t="shared" si="5"/>
        <v/>
      </c>
      <c r="S39" t="str">
        <f>""</f>
        <v/>
      </c>
      <c r="Y39" s="60"/>
      <c r="AD39" s="7"/>
      <c r="AE39" s="7"/>
      <c r="AL39" s="18" t="str">
        <f>IF(COUNTIF($A$2:A38, A38) = 1, A38, "")</f>
        <v/>
      </c>
    </row>
    <row r="40" spans="6:38" ht="17" thickBot="1" x14ac:dyDescent="0.25">
      <c r="F40" t="str">
        <f t="shared" si="0"/>
        <v/>
      </c>
      <c r="L40" s="7" t="str">
        <f t="shared" si="1"/>
        <v/>
      </c>
      <c r="N40" s="7" t="str">
        <f t="shared" si="2"/>
        <v/>
      </c>
      <c r="O40" t="str">
        <f t="shared" si="3"/>
        <v/>
      </c>
      <c r="P40" t="str">
        <f t="shared" si="12"/>
        <v/>
      </c>
      <c r="Q40" t="str">
        <f t="shared" si="5"/>
        <v/>
      </c>
      <c r="S40" t="str">
        <f>""</f>
        <v/>
      </c>
      <c r="X40" s="79" t="s">
        <v>38</v>
      </c>
      <c r="Y40" s="83" t="s">
        <v>9</v>
      </c>
      <c r="Z40" s="81" t="s">
        <v>84</v>
      </c>
      <c r="AA40" s="82" t="s">
        <v>39</v>
      </c>
      <c r="AD40" s="7"/>
      <c r="AE40" s="7"/>
      <c r="AL40" s="18" t="str">
        <f>IF(COUNTIF($A$2:A39, A39) = 1, A39, "")</f>
        <v/>
      </c>
    </row>
    <row r="41" spans="6:38" x14ac:dyDescent="0.2">
      <c r="F41" t="str">
        <f t="shared" si="0"/>
        <v/>
      </c>
      <c r="L41" s="7" t="str">
        <f t="shared" si="1"/>
        <v/>
      </c>
      <c r="N41" s="7" t="str">
        <f t="shared" si="2"/>
        <v/>
      </c>
      <c r="O41" t="str">
        <f t="shared" si="3"/>
        <v/>
      </c>
      <c r="P41" t="str">
        <f t="shared" si="12"/>
        <v/>
      </c>
      <c r="Q41" t="str">
        <f t="shared" si="5"/>
        <v/>
      </c>
      <c r="S41" t="str">
        <f>""</f>
        <v/>
      </c>
      <c r="X41" s="47" t="s">
        <v>4</v>
      </c>
      <c r="Y41" s="45">
        <f>SUMIFS(N:N,G:G, "Yes")</f>
        <v>0</v>
      </c>
      <c r="Z41" s="40">
        <f>COUNTIF(G:G,"Yes")</f>
        <v>0</v>
      </c>
      <c r="AA41" s="41">
        <f>IFERROR(COUNTIFS(G:G, "Yes")/COUNTA($G$2:$G$994),0)</f>
        <v>0</v>
      </c>
      <c r="AD41" s="7"/>
      <c r="AE41" s="7"/>
      <c r="AL41" s="18" t="str">
        <f>IF(COUNTIF($A$2:A40, A40) = 1, A40, "")</f>
        <v/>
      </c>
    </row>
    <row r="42" spans="6:38" x14ac:dyDescent="0.2">
      <c r="F42" t="str">
        <f t="shared" si="0"/>
        <v/>
      </c>
      <c r="L42" s="7" t="str">
        <f t="shared" si="1"/>
        <v/>
      </c>
      <c r="N42" s="7" t="str">
        <f t="shared" si="2"/>
        <v/>
      </c>
      <c r="O42" t="str">
        <f t="shared" si="3"/>
        <v/>
      </c>
      <c r="P42" t="str">
        <f t="shared" si="12"/>
        <v/>
      </c>
      <c r="Q42" t="str">
        <f t="shared" si="5"/>
        <v/>
      </c>
      <c r="S42" t="str">
        <f>""</f>
        <v/>
      </c>
      <c r="X42" s="48" t="s">
        <v>5</v>
      </c>
      <c r="Y42" s="45">
        <f>SUMIFS(N:N,H:H, "Yes")</f>
        <v>0</v>
      </c>
      <c r="Z42" s="34">
        <f>COUNTIF(H:H,"Yes")</f>
        <v>0</v>
      </c>
      <c r="AA42" s="38">
        <f>IFERROR(COUNTIFS(H:H, "Yes")/COUNTA($G$2:$G$994),0)</f>
        <v>0</v>
      </c>
      <c r="AD42" s="7"/>
      <c r="AE42" s="7"/>
      <c r="AL42" s="18" t="str">
        <f>IF(COUNTIF($A$2:A41, A41) = 1, A41, "")</f>
        <v/>
      </c>
    </row>
    <row r="43" spans="6:38" ht="17" thickBot="1" x14ac:dyDescent="0.25">
      <c r="F43" t="str">
        <f t="shared" si="0"/>
        <v/>
      </c>
      <c r="L43" s="7" t="str">
        <f t="shared" si="1"/>
        <v/>
      </c>
      <c r="N43" s="7" t="str">
        <f t="shared" si="2"/>
        <v/>
      </c>
      <c r="O43" t="str">
        <f t="shared" si="3"/>
        <v/>
      </c>
      <c r="P43" t="str">
        <f t="shared" si="12"/>
        <v/>
      </c>
      <c r="Q43" t="str">
        <f t="shared" si="5"/>
        <v/>
      </c>
      <c r="S43" t="str">
        <f>""</f>
        <v/>
      </c>
      <c r="X43" s="50" t="s">
        <v>6</v>
      </c>
      <c r="Y43" s="45">
        <f>SUMIFS(N:N,I:I, "Yes")</f>
        <v>0</v>
      </c>
      <c r="Z43" s="42">
        <f>COUNTIF(I:I,"Yes")</f>
        <v>0</v>
      </c>
      <c r="AA43" s="39">
        <f>IFERROR(COUNTIFS(I:I, "Yes")/COUNTA($G$2:$G$994),0)</f>
        <v>0</v>
      </c>
      <c r="AD43" s="7"/>
      <c r="AE43" s="7"/>
      <c r="AL43" s="18" t="str">
        <f>IF(COUNTIF($A$2:A42, A42) = 1, A42, "")</f>
        <v/>
      </c>
    </row>
    <row r="44" spans="6:38" ht="17" thickBot="1" x14ac:dyDescent="0.25">
      <c r="F44" t="str">
        <f t="shared" si="0"/>
        <v/>
      </c>
      <c r="L44" s="7" t="str">
        <f t="shared" si="1"/>
        <v/>
      </c>
      <c r="N44" s="7" t="str">
        <f t="shared" si="2"/>
        <v/>
      </c>
      <c r="O44" t="str">
        <f t="shared" si="3"/>
        <v/>
      </c>
      <c r="P44" t="str">
        <f t="shared" si="12"/>
        <v/>
      </c>
      <c r="Q44" t="str">
        <f t="shared" si="5"/>
        <v/>
      </c>
      <c r="S44" t="str">
        <f>""</f>
        <v/>
      </c>
      <c r="Y44" s="60"/>
      <c r="AD44" s="7"/>
      <c r="AE44" s="7"/>
      <c r="AL44" s="18" t="str">
        <f>IF(COUNTIF($A$2:A43, A43) = 1, A43, "")</f>
        <v/>
      </c>
    </row>
    <row r="45" spans="6:38" ht="17" thickBot="1" x14ac:dyDescent="0.25">
      <c r="F45" t="str">
        <f t="shared" si="0"/>
        <v/>
      </c>
      <c r="L45" s="7" t="str">
        <f t="shared" si="1"/>
        <v/>
      </c>
      <c r="N45" s="7" t="str">
        <f t="shared" si="2"/>
        <v/>
      </c>
      <c r="O45" t="str">
        <f t="shared" si="3"/>
        <v/>
      </c>
      <c r="P45" t="str">
        <f t="shared" si="12"/>
        <v/>
      </c>
      <c r="Q45" t="str">
        <f t="shared" si="5"/>
        <v/>
      </c>
      <c r="S45" t="str">
        <f>""</f>
        <v/>
      </c>
      <c r="X45" s="79" t="s">
        <v>74</v>
      </c>
      <c r="Y45" s="83" t="s">
        <v>9</v>
      </c>
      <c r="Z45" s="81" t="s">
        <v>84</v>
      </c>
      <c r="AA45" s="82" t="s">
        <v>39</v>
      </c>
      <c r="AD45" s="7"/>
      <c r="AE45" s="7"/>
      <c r="AL45" s="18" t="str">
        <f>IF(COUNTIF($A$2:A44, A44) = 1, A44, "")</f>
        <v/>
      </c>
    </row>
    <row r="46" spans="6:38" x14ac:dyDescent="0.2">
      <c r="F46" t="str">
        <f t="shared" si="0"/>
        <v/>
      </c>
      <c r="L46" s="7" t="str">
        <f t="shared" si="1"/>
        <v/>
      </c>
      <c r="N46" s="7" t="str">
        <f t="shared" si="2"/>
        <v/>
      </c>
      <c r="O46" t="str">
        <f t="shared" si="3"/>
        <v/>
      </c>
      <c r="P46" t="str">
        <f t="shared" si="12"/>
        <v/>
      </c>
      <c r="Q46" t="str">
        <f t="shared" si="5"/>
        <v/>
      </c>
      <c r="S46" t="str">
        <f>""</f>
        <v/>
      </c>
      <c r="X46" s="47" t="s">
        <v>75</v>
      </c>
      <c r="Y46" s="45">
        <f>SUMIFS(N:N,J:J,"No")</f>
        <v>0</v>
      </c>
      <c r="Z46" s="40">
        <f>COUNTIF(J:J,"No")</f>
        <v>0</v>
      </c>
      <c r="AA46" s="46">
        <f>IFERROR(COUNTIFS($J$2:$J$1048576, "No")/COUNTA($G$2:$G$994), 0)</f>
        <v>0</v>
      </c>
      <c r="AD46" s="7"/>
      <c r="AE46" s="7"/>
      <c r="AL46" s="18" t="str">
        <f>IF(COUNTIF($A$2:A45, A45) = 1, A45, "")</f>
        <v/>
      </c>
    </row>
    <row r="47" spans="6:38" ht="17" thickBot="1" x14ac:dyDescent="0.25">
      <c r="F47" t="str">
        <f t="shared" si="0"/>
        <v/>
      </c>
      <c r="L47" s="7" t="str">
        <f t="shared" si="1"/>
        <v/>
      </c>
      <c r="N47" s="7" t="str">
        <f t="shared" si="2"/>
        <v/>
      </c>
      <c r="O47" t="str">
        <f t="shared" si="3"/>
        <v/>
      </c>
      <c r="P47" t="str">
        <f t="shared" si="12"/>
        <v/>
      </c>
      <c r="Q47" t="str">
        <f t="shared" si="5"/>
        <v/>
      </c>
      <c r="S47" t="str">
        <f>""</f>
        <v/>
      </c>
      <c r="X47" s="49" t="s">
        <v>69</v>
      </c>
      <c r="Y47" s="44">
        <f>SUMIFS(N:N,J:J,"Yes")</f>
        <v>0</v>
      </c>
      <c r="Z47" s="35">
        <f>COUNTIF(J:J,"Yes")</f>
        <v>0</v>
      </c>
      <c r="AA47" s="53">
        <f>IFERROR(COUNTIFS($J$2:$J$1048576, "Yes")/COUNTA($G$2:$G$994), 0)</f>
        <v>0</v>
      </c>
      <c r="AD47" s="7"/>
      <c r="AE47" s="7"/>
      <c r="AL47" s="18" t="str">
        <f>IF(COUNTIF($A$2:A46, A46) = 1, A46, "")</f>
        <v/>
      </c>
    </row>
    <row r="48" spans="6:38" ht="17" thickBot="1" x14ac:dyDescent="0.25">
      <c r="F48" t="str">
        <f t="shared" si="0"/>
        <v/>
      </c>
      <c r="L48" s="7" t="str">
        <f t="shared" si="1"/>
        <v/>
      </c>
      <c r="N48" s="7" t="str">
        <f t="shared" si="2"/>
        <v/>
      </c>
      <c r="O48" t="str">
        <f t="shared" si="3"/>
        <v/>
      </c>
      <c r="P48" t="str">
        <f t="shared" si="12"/>
        <v/>
      </c>
      <c r="Q48" t="str">
        <f t="shared" si="5"/>
        <v/>
      </c>
      <c r="S48" t="str">
        <f>""</f>
        <v/>
      </c>
      <c r="AD48" s="7"/>
      <c r="AE48" s="7"/>
      <c r="AL48" s="18" t="str">
        <f>IF(COUNTIF($A$2:A47, A47) = 1, A47, "")</f>
        <v/>
      </c>
    </row>
    <row r="49" spans="6:38" ht="17" thickBot="1" x14ac:dyDescent="0.25">
      <c r="F49" t="str">
        <f t="shared" si="0"/>
        <v/>
      </c>
      <c r="L49" s="7" t="str">
        <f t="shared" si="1"/>
        <v/>
      </c>
      <c r="N49" s="7" t="str">
        <f t="shared" si="2"/>
        <v/>
      </c>
      <c r="O49" t="str">
        <f t="shared" si="3"/>
        <v/>
      </c>
      <c r="P49" t="str">
        <f t="shared" si="12"/>
        <v/>
      </c>
      <c r="Q49" t="str">
        <f t="shared" si="5"/>
        <v/>
      </c>
      <c r="S49" t="str">
        <f>""</f>
        <v/>
      </c>
      <c r="X49" s="92" t="s">
        <v>89</v>
      </c>
      <c r="Y49" s="83" t="s">
        <v>9</v>
      </c>
      <c r="Z49" s="81" t="s">
        <v>84</v>
      </c>
      <c r="AA49" s="82" t="s">
        <v>39</v>
      </c>
      <c r="AD49" s="7"/>
      <c r="AE49" s="7"/>
      <c r="AL49" s="18" t="str">
        <f>IF(COUNTIF($A$2:A48, A48) = 1, A48, "")</f>
        <v/>
      </c>
    </row>
    <row r="50" spans="6:38" x14ac:dyDescent="0.2">
      <c r="F50" t="str">
        <f t="shared" si="0"/>
        <v/>
      </c>
      <c r="L50" s="7" t="str">
        <f t="shared" si="1"/>
        <v/>
      </c>
      <c r="N50" s="7" t="str">
        <f t="shared" si="2"/>
        <v/>
      </c>
      <c r="O50" t="str">
        <f t="shared" si="3"/>
        <v/>
      </c>
      <c r="P50" t="str">
        <f t="shared" si="12"/>
        <v/>
      </c>
      <c r="Q50" t="str">
        <f t="shared" si="5"/>
        <v/>
      </c>
      <c r="S50" t="str">
        <f>""</f>
        <v/>
      </c>
      <c r="X50" s="48" t="str">
        <f>Master!F50</f>
        <v>Source 1</v>
      </c>
      <c r="Y50" s="62">
        <f>SUMIFS(N:N,R:R,X50)</f>
        <v>0</v>
      </c>
      <c r="Z50" s="63">
        <f t="shared" ref="Z50:Z58" si="13">COUNTIF(R:R,X50)</f>
        <v>0</v>
      </c>
      <c r="AA50" s="54">
        <f>IFERROR(COUNTIFS(R:R, X50)/COUNTA($R$2:$R$994), 0)</f>
        <v>0</v>
      </c>
      <c r="AD50" s="7"/>
      <c r="AE50" s="7"/>
      <c r="AL50" s="18" t="str">
        <f>IF(COUNTIF($A$2:A49, A49) = 1, A49, "")</f>
        <v/>
      </c>
    </row>
    <row r="51" spans="6:38" x14ac:dyDescent="0.2">
      <c r="F51" t="str">
        <f t="shared" si="0"/>
        <v/>
      </c>
      <c r="L51" s="7" t="str">
        <f t="shared" si="1"/>
        <v/>
      </c>
      <c r="N51" s="7" t="str">
        <f t="shared" si="2"/>
        <v/>
      </c>
      <c r="O51" t="str">
        <f t="shared" si="3"/>
        <v/>
      </c>
      <c r="P51" t="str">
        <f t="shared" si="12"/>
        <v/>
      </c>
      <c r="Q51" t="str">
        <f t="shared" si="5"/>
        <v/>
      </c>
      <c r="S51" t="str">
        <f>""</f>
        <v/>
      </c>
      <c r="X51" s="48" t="str">
        <f>Master!F51</f>
        <v>Source 2</v>
      </c>
      <c r="Y51" s="45">
        <f t="shared" ref="Y51:Y58" si="14">SUMIFS(N:N,R:R,X51)</f>
        <v>0</v>
      </c>
      <c r="Z51" s="64">
        <f t="shared" si="13"/>
        <v>0</v>
      </c>
      <c r="AA51" s="46">
        <f t="shared" ref="AA51:AA56" si="15">IFERROR(COUNTIFS(R:R, X51)/COUNTA($R$2:$R$994), 0)</f>
        <v>0</v>
      </c>
      <c r="AD51" s="7"/>
      <c r="AE51" s="7"/>
      <c r="AL51" s="18" t="str">
        <f>IF(COUNTIF($A$2:A50, A50) = 1, A50, "")</f>
        <v/>
      </c>
    </row>
    <row r="52" spans="6:38" x14ac:dyDescent="0.2">
      <c r="F52" t="str">
        <f t="shared" si="0"/>
        <v/>
      </c>
      <c r="L52" s="7" t="str">
        <f t="shared" si="1"/>
        <v/>
      </c>
      <c r="N52" s="7" t="str">
        <f t="shared" si="2"/>
        <v/>
      </c>
      <c r="O52" t="str">
        <f t="shared" si="3"/>
        <v/>
      </c>
      <c r="P52" t="str">
        <f t="shared" si="12"/>
        <v/>
      </c>
      <c r="Q52" t="str">
        <f t="shared" si="5"/>
        <v/>
      </c>
      <c r="S52" t="str">
        <f>""</f>
        <v/>
      </c>
      <c r="X52" s="48" t="str">
        <f>Master!F52</f>
        <v>Source 3</v>
      </c>
      <c r="Y52" s="45">
        <f t="shared" si="14"/>
        <v>0</v>
      </c>
      <c r="Z52" s="64">
        <f t="shared" si="13"/>
        <v>0</v>
      </c>
      <c r="AA52" s="46">
        <f t="shared" si="15"/>
        <v>0</v>
      </c>
      <c r="AD52" s="7"/>
      <c r="AE52" s="7"/>
      <c r="AL52" s="18" t="str">
        <f>IF(COUNTIF($A$2:A51, A51) = 1, A51, "")</f>
        <v/>
      </c>
    </row>
    <row r="53" spans="6:38" x14ac:dyDescent="0.2">
      <c r="F53" t="str">
        <f t="shared" si="0"/>
        <v/>
      </c>
      <c r="L53" s="7" t="str">
        <f t="shared" si="1"/>
        <v/>
      </c>
      <c r="N53" s="7" t="str">
        <f t="shared" si="2"/>
        <v/>
      </c>
      <c r="O53" t="str">
        <f t="shared" si="3"/>
        <v/>
      </c>
      <c r="P53" t="str">
        <f t="shared" si="12"/>
        <v/>
      </c>
      <c r="Q53" t="str">
        <f t="shared" si="5"/>
        <v/>
      </c>
      <c r="S53" t="str">
        <f>""</f>
        <v/>
      </c>
      <c r="X53" s="48" t="str">
        <f>Master!F53</f>
        <v>Source 4</v>
      </c>
      <c r="Y53" s="45">
        <f t="shared" si="14"/>
        <v>0</v>
      </c>
      <c r="Z53" s="64">
        <f t="shared" si="13"/>
        <v>0</v>
      </c>
      <c r="AA53" s="46">
        <f t="shared" si="15"/>
        <v>0</v>
      </c>
      <c r="AD53" s="7"/>
      <c r="AE53" s="7"/>
      <c r="AL53" s="18" t="str">
        <f>IF(COUNTIF($A$2:A52, A52) = 1, A52, "")</f>
        <v/>
      </c>
    </row>
    <row r="54" spans="6:38" x14ac:dyDescent="0.2">
      <c r="F54" t="str">
        <f t="shared" si="0"/>
        <v/>
      </c>
      <c r="L54" s="7" t="str">
        <f t="shared" si="1"/>
        <v/>
      </c>
      <c r="N54" s="7" t="str">
        <f t="shared" si="2"/>
        <v/>
      </c>
      <c r="O54" t="str">
        <f t="shared" si="3"/>
        <v/>
      </c>
      <c r="P54" t="str">
        <f t="shared" si="12"/>
        <v/>
      </c>
      <c r="Q54" t="str">
        <f t="shared" si="5"/>
        <v/>
      </c>
      <c r="S54" t="str">
        <f>""</f>
        <v/>
      </c>
      <c r="X54" s="48" t="str">
        <f>Master!F54</f>
        <v>Source 5</v>
      </c>
      <c r="Y54" s="45">
        <f t="shared" si="14"/>
        <v>0</v>
      </c>
      <c r="Z54" s="64">
        <f t="shared" si="13"/>
        <v>0</v>
      </c>
      <c r="AA54" s="46">
        <f t="shared" si="15"/>
        <v>0</v>
      </c>
      <c r="AD54" s="7"/>
      <c r="AE54" s="7"/>
      <c r="AL54" s="18" t="str">
        <f>IF(COUNTIF($A$2:A53, A53) = 1, A53, "")</f>
        <v/>
      </c>
    </row>
    <row r="55" spans="6:38" x14ac:dyDescent="0.2">
      <c r="F55" t="str">
        <f t="shared" si="0"/>
        <v/>
      </c>
      <c r="L55" s="7" t="str">
        <f t="shared" si="1"/>
        <v/>
      </c>
      <c r="N55" s="7" t="str">
        <f t="shared" si="2"/>
        <v/>
      </c>
      <c r="O55" t="str">
        <f t="shared" si="3"/>
        <v/>
      </c>
      <c r="P55" t="str">
        <f t="shared" si="12"/>
        <v/>
      </c>
      <c r="Q55" t="str">
        <f t="shared" si="5"/>
        <v/>
      </c>
      <c r="S55" t="str">
        <f>""</f>
        <v/>
      </c>
      <c r="X55" s="48" t="str">
        <f>Master!F55</f>
        <v>Source 6</v>
      </c>
      <c r="Y55" s="45">
        <f t="shared" si="14"/>
        <v>0</v>
      </c>
      <c r="Z55" s="64">
        <f t="shared" si="13"/>
        <v>0</v>
      </c>
      <c r="AA55" s="46">
        <f>IFERROR(COUNTIFS(R:R, X55)/COUNTA($R$2:$R$994), 0)</f>
        <v>0</v>
      </c>
      <c r="AD55" s="7"/>
      <c r="AE55" s="7"/>
      <c r="AL55" s="18" t="str">
        <f>IF(COUNTIF($A$2:A54, A54) = 1, A54, "")</f>
        <v/>
      </c>
    </row>
    <row r="56" spans="6:38" x14ac:dyDescent="0.2">
      <c r="F56" t="str">
        <f t="shared" si="0"/>
        <v/>
      </c>
      <c r="L56" s="7" t="str">
        <f t="shared" si="1"/>
        <v/>
      </c>
      <c r="N56" s="7" t="str">
        <f t="shared" si="2"/>
        <v/>
      </c>
      <c r="O56" t="str">
        <f t="shared" si="3"/>
        <v/>
      </c>
      <c r="P56" t="str">
        <f t="shared" si="12"/>
        <v/>
      </c>
      <c r="Q56" t="str">
        <f t="shared" si="5"/>
        <v/>
      </c>
      <c r="S56" t="str">
        <f>""</f>
        <v/>
      </c>
      <c r="X56" s="48" t="str">
        <f>Master!F56</f>
        <v>Source 7</v>
      </c>
      <c r="Y56" s="45">
        <f t="shared" si="14"/>
        <v>0</v>
      </c>
      <c r="Z56" s="64">
        <f t="shared" si="13"/>
        <v>0</v>
      </c>
      <c r="AA56" s="46">
        <f t="shared" si="15"/>
        <v>0</v>
      </c>
      <c r="AD56" s="7"/>
      <c r="AE56" s="7"/>
      <c r="AL56" s="18" t="str">
        <f>IF(COUNTIF($A$2:A55, A55) = 1, A55, "")</f>
        <v/>
      </c>
    </row>
    <row r="57" spans="6:38" x14ac:dyDescent="0.2">
      <c r="F57" t="str">
        <f t="shared" si="0"/>
        <v/>
      </c>
      <c r="L57" s="7" t="str">
        <f t="shared" si="1"/>
        <v/>
      </c>
      <c r="N57" s="7" t="str">
        <f t="shared" si="2"/>
        <v/>
      </c>
      <c r="O57" t="str">
        <f t="shared" si="3"/>
        <v/>
      </c>
      <c r="P57" t="str">
        <f t="shared" si="12"/>
        <v/>
      </c>
      <c r="Q57" t="str">
        <f t="shared" si="5"/>
        <v/>
      </c>
      <c r="S57" t="str">
        <f>""</f>
        <v/>
      </c>
      <c r="X57" s="48" t="str">
        <f>Master!F57</f>
        <v>Source 8</v>
      </c>
      <c r="Y57" s="45">
        <f t="shared" si="14"/>
        <v>0</v>
      </c>
      <c r="Z57" s="64">
        <f t="shared" si="13"/>
        <v>0</v>
      </c>
      <c r="AA57" s="46">
        <f>IFERROR(COUNTIFS(R:R, X57)/COUNTA($R$2:$R$994), 0)</f>
        <v>0</v>
      </c>
      <c r="AD57" s="7"/>
      <c r="AE57" s="7"/>
      <c r="AL57" s="18" t="str">
        <f>IF(COUNTIF($A$2:A56, A56) = 1, A56, "")</f>
        <v/>
      </c>
    </row>
    <row r="58" spans="6:38" ht="17" thickBot="1" x14ac:dyDescent="0.25">
      <c r="F58" t="str">
        <f t="shared" si="0"/>
        <v/>
      </c>
      <c r="L58" s="7" t="str">
        <f t="shared" si="1"/>
        <v/>
      </c>
      <c r="N58" s="7" t="str">
        <f t="shared" si="2"/>
        <v/>
      </c>
      <c r="O58" t="str">
        <f t="shared" si="3"/>
        <v/>
      </c>
      <c r="P58" t="str">
        <f t="shared" si="12"/>
        <v/>
      </c>
      <c r="Q58" t="str">
        <f t="shared" si="5"/>
        <v/>
      </c>
      <c r="S58" t="str">
        <f>""</f>
        <v/>
      </c>
      <c r="X58" s="49" t="s">
        <v>90</v>
      </c>
      <c r="Y58" s="44">
        <f t="shared" si="14"/>
        <v>0</v>
      </c>
      <c r="Z58" s="65">
        <f t="shared" si="13"/>
        <v>0</v>
      </c>
      <c r="AA58" s="53">
        <f>IFERROR(COUNTIFS(R:R, X58)/COUNTA($R$2:$R$994), 0)</f>
        <v>0</v>
      </c>
      <c r="AD58" s="7"/>
      <c r="AE58" s="7"/>
      <c r="AL58" s="18" t="str">
        <f>IF(COUNTIF($A$2:A57, A57) = 1, A57, "")</f>
        <v/>
      </c>
    </row>
    <row r="59" spans="6:38" x14ac:dyDescent="0.2">
      <c r="F59" t="str">
        <f t="shared" si="0"/>
        <v/>
      </c>
      <c r="L59" s="7" t="str">
        <f t="shared" si="1"/>
        <v/>
      </c>
      <c r="N59" s="7" t="str">
        <f t="shared" si="2"/>
        <v/>
      </c>
      <c r="O59" t="str">
        <f t="shared" si="3"/>
        <v/>
      </c>
      <c r="P59" t="str">
        <f t="shared" si="12"/>
        <v/>
      </c>
      <c r="Q59" t="str">
        <f t="shared" si="5"/>
        <v/>
      </c>
      <c r="S59" t="str">
        <f>""</f>
        <v/>
      </c>
      <c r="AL59" s="18" t="str">
        <f>IF(COUNTIF($A$2:A58, A58) = 1, A58, "")</f>
        <v/>
      </c>
    </row>
    <row r="60" spans="6:38" x14ac:dyDescent="0.2">
      <c r="F60" t="str">
        <f t="shared" si="0"/>
        <v/>
      </c>
      <c r="L60" s="7" t="str">
        <f t="shared" si="1"/>
        <v/>
      </c>
      <c r="N60" s="7" t="str">
        <f t="shared" si="2"/>
        <v/>
      </c>
      <c r="O60" t="str">
        <f t="shared" si="3"/>
        <v/>
      </c>
      <c r="P60" t="str">
        <f t="shared" si="12"/>
        <v/>
      </c>
      <c r="Q60" t="str">
        <f t="shared" si="5"/>
        <v/>
      </c>
      <c r="S60" t="str">
        <f>""</f>
        <v/>
      </c>
      <c r="AL60" s="18" t="str">
        <f>IF(COUNTIF($A$2:A59, A59) = 1, A59, "")</f>
        <v/>
      </c>
    </row>
    <row r="61" spans="6:38" x14ac:dyDescent="0.2">
      <c r="F61" t="str">
        <f t="shared" si="0"/>
        <v/>
      </c>
      <c r="L61" s="7" t="str">
        <f t="shared" si="1"/>
        <v/>
      </c>
      <c r="N61" s="7" t="str">
        <f t="shared" si="2"/>
        <v/>
      </c>
      <c r="O61" t="str">
        <f t="shared" si="3"/>
        <v/>
      </c>
      <c r="P61" t="str">
        <f t="shared" si="12"/>
        <v/>
      </c>
      <c r="Q61" t="str">
        <f t="shared" si="5"/>
        <v/>
      </c>
      <c r="S61" t="str">
        <f>""</f>
        <v/>
      </c>
      <c r="AL61" s="18" t="str">
        <f>IF(COUNTIF($A$2:A60, A60) = 1, A60, "")</f>
        <v/>
      </c>
    </row>
    <row r="62" spans="6:38" x14ac:dyDescent="0.2">
      <c r="F62" t="str">
        <f t="shared" si="0"/>
        <v/>
      </c>
      <c r="L62" s="7" t="str">
        <f t="shared" si="1"/>
        <v/>
      </c>
      <c r="N62" s="7" t="str">
        <f t="shared" si="2"/>
        <v/>
      </c>
      <c r="O62" t="str">
        <f t="shared" si="3"/>
        <v/>
      </c>
      <c r="P62" t="str">
        <f t="shared" si="12"/>
        <v/>
      </c>
      <c r="Q62" t="str">
        <f t="shared" si="5"/>
        <v/>
      </c>
      <c r="S62" t="str">
        <f>""</f>
        <v/>
      </c>
      <c r="AL62" s="18" t="str">
        <f>IF(COUNTIF($A$2:A61, A61) = 1, A61, "")</f>
        <v/>
      </c>
    </row>
    <row r="63" spans="6:38" x14ac:dyDescent="0.2">
      <c r="F63" t="str">
        <f t="shared" si="0"/>
        <v/>
      </c>
      <c r="L63" s="7" t="str">
        <f t="shared" si="1"/>
        <v/>
      </c>
      <c r="N63" s="7" t="str">
        <f t="shared" si="2"/>
        <v/>
      </c>
      <c r="O63" t="str">
        <f t="shared" si="3"/>
        <v/>
      </c>
      <c r="P63" t="str">
        <f t="shared" si="12"/>
        <v/>
      </c>
      <c r="Q63" t="str">
        <f t="shared" si="5"/>
        <v/>
      </c>
      <c r="S63" t="str">
        <f>""</f>
        <v/>
      </c>
      <c r="AL63" s="18" t="str">
        <f>IF(COUNTIF($A$2:A62, A62) = 1, A62, "")</f>
        <v/>
      </c>
    </row>
    <row r="64" spans="6:38" x14ac:dyDescent="0.2">
      <c r="F64" t="str">
        <f t="shared" si="0"/>
        <v/>
      </c>
      <c r="L64" s="7" t="str">
        <f t="shared" si="1"/>
        <v/>
      </c>
      <c r="N64" s="7" t="str">
        <f t="shared" si="2"/>
        <v/>
      </c>
      <c r="O64" t="str">
        <f t="shared" si="3"/>
        <v/>
      </c>
      <c r="P64" t="str">
        <f t="shared" si="12"/>
        <v/>
      </c>
      <c r="Q64" t="str">
        <f t="shared" si="5"/>
        <v/>
      </c>
      <c r="S64" t="str">
        <f>""</f>
        <v/>
      </c>
      <c r="AL64" s="18" t="str">
        <f>IF(COUNTIF($A$2:A63, A63) = 1, A63, "")</f>
        <v/>
      </c>
    </row>
    <row r="65" spans="6:38" x14ac:dyDescent="0.2">
      <c r="F65" t="str">
        <f t="shared" si="0"/>
        <v/>
      </c>
      <c r="L65" s="7" t="str">
        <f t="shared" si="1"/>
        <v/>
      </c>
      <c r="N65" s="7" t="str">
        <f t="shared" si="2"/>
        <v/>
      </c>
      <c r="O65" t="str">
        <f t="shared" si="3"/>
        <v/>
      </c>
      <c r="P65" t="str">
        <f t="shared" si="12"/>
        <v/>
      </c>
      <c r="Q65" t="str">
        <f t="shared" si="5"/>
        <v/>
      </c>
      <c r="S65" t="str">
        <f>""</f>
        <v/>
      </c>
      <c r="AL65" s="18" t="str">
        <f>IF(COUNTIF($A$2:A64, A64) = 1, A64, "")</f>
        <v/>
      </c>
    </row>
    <row r="66" spans="6:38" x14ac:dyDescent="0.2">
      <c r="F66" t="str">
        <f t="shared" ref="F66:F129" si="16">IF(OR(O66="", P66=""), "", SUM(IF((O66&lt;&gt;"None")*(O66&lt;&gt;""),LEN(O66)-LEN(SUBSTITUTE(O66,",",""))+1,0)) + SUM(IF((P66&lt;&gt;"None")*(P66&lt;&gt;""),LEN(P66)-LEN(SUBSTITUTE(P66,",",""))+1,0)))</f>
        <v/>
      </c>
      <c r="L66" s="7" t="str">
        <f t="shared" ref="L66:L129" si="17">IF(LEN(E66)=0, "", IFERROR(IF(E66&gt;=0, K66 * (1 + E66/100) - K66, K66 / (ABS(E66)/100))+K66, ""))</f>
        <v/>
      </c>
      <c r="N66" s="7" t="str">
        <f t="shared" ref="N66:N129" si="18">IF(M66="Yes",L66-K66,IF(M66="No",-K66,""))</f>
        <v/>
      </c>
      <c r="O66" t="str">
        <f t="shared" ref="O66:O129" si="19">IF(AND(G66="No",H66="No"), "None", "")</f>
        <v/>
      </c>
      <c r="P66" t="str">
        <f t="shared" si="12"/>
        <v/>
      </c>
      <c r="Q66" t="str">
        <f t="shared" ref="Q66:Q129" si="20">IF(AND(D66="Straight", M66 = "No"),IF(O66="None",P66,IF(P66="None",O66) ),"")</f>
        <v/>
      </c>
      <c r="S66" t="str">
        <f>""</f>
        <v/>
      </c>
      <c r="AL66" s="18" t="str">
        <f>IF(COUNTIF($A$2:A65, A65) = 1, A65, "")</f>
        <v/>
      </c>
    </row>
    <row r="67" spans="6:38" x14ac:dyDescent="0.2">
      <c r="F67" t="str">
        <f t="shared" si="16"/>
        <v/>
      </c>
      <c r="L67" s="7" t="str">
        <f t="shared" si="17"/>
        <v/>
      </c>
      <c r="N67" s="7" t="str">
        <f t="shared" si="18"/>
        <v/>
      </c>
      <c r="O67" t="str">
        <f t="shared" si="19"/>
        <v/>
      </c>
      <c r="P67" t="str">
        <f t="shared" si="12"/>
        <v/>
      </c>
      <c r="Q67" t="str">
        <f t="shared" si="20"/>
        <v/>
      </c>
      <c r="S67" t="str">
        <f>""</f>
        <v/>
      </c>
      <c r="AL67" s="18" t="str">
        <f>IF(COUNTIF($A$2:A66, A66) = 1, A66, "")</f>
        <v/>
      </c>
    </row>
    <row r="68" spans="6:38" x14ac:dyDescent="0.2">
      <c r="F68" t="str">
        <f t="shared" si="16"/>
        <v/>
      </c>
      <c r="L68" s="7" t="str">
        <f t="shared" si="17"/>
        <v/>
      </c>
      <c r="N68" s="7" t="str">
        <f t="shared" si="18"/>
        <v/>
      </c>
      <c r="O68" t="str">
        <f t="shared" si="19"/>
        <v/>
      </c>
      <c r="P68" t="str">
        <f t="shared" si="12"/>
        <v/>
      </c>
      <c r="Q68" t="str">
        <f t="shared" si="20"/>
        <v/>
      </c>
      <c r="S68" t="str">
        <f>""</f>
        <v/>
      </c>
      <c r="AL68" s="18" t="str">
        <f>IF(COUNTIF($A$2:A67, A67) = 1, A67, "")</f>
        <v/>
      </c>
    </row>
    <row r="69" spans="6:38" x14ac:dyDescent="0.2">
      <c r="F69" t="str">
        <f t="shared" si="16"/>
        <v/>
      </c>
      <c r="L69" s="7" t="str">
        <f t="shared" si="17"/>
        <v/>
      </c>
      <c r="N69" s="7" t="str">
        <f t="shared" si="18"/>
        <v/>
      </c>
      <c r="O69" t="str">
        <f t="shared" si="19"/>
        <v/>
      </c>
      <c r="P69" t="str">
        <f t="shared" si="12"/>
        <v/>
      </c>
      <c r="Q69" t="str">
        <f t="shared" si="20"/>
        <v/>
      </c>
      <c r="S69" t="str">
        <f>""</f>
        <v/>
      </c>
      <c r="AL69" s="18" t="str">
        <f>IF(COUNTIF($A$2:A68, A68) = 1, A68, "")</f>
        <v/>
      </c>
    </row>
    <row r="70" spans="6:38" x14ac:dyDescent="0.2">
      <c r="F70" t="str">
        <f t="shared" si="16"/>
        <v/>
      </c>
      <c r="L70" s="7" t="str">
        <f t="shared" si="17"/>
        <v/>
      </c>
      <c r="N70" s="7" t="str">
        <f t="shared" si="18"/>
        <v/>
      </c>
      <c r="O70" t="str">
        <f t="shared" si="19"/>
        <v/>
      </c>
      <c r="P70" t="str">
        <f t="shared" si="12"/>
        <v/>
      </c>
      <c r="Q70" t="str">
        <f t="shared" si="20"/>
        <v/>
      </c>
      <c r="S70" t="str">
        <f>""</f>
        <v/>
      </c>
      <c r="AL70" s="18" t="str">
        <f>IF(COUNTIF($A$2:A69, A69) = 1, A69, "")</f>
        <v/>
      </c>
    </row>
    <row r="71" spans="6:38" x14ac:dyDescent="0.2">
      <c r="F71" t="str">
        <f t="shared" si="16"/>
        <v/>
      </c>
      <c r="L71" s="7" t="str">
        <f t="shared" si="17"/>
        <v/>
      </c>
      <c r="N71" s="7" t="str">
        <f t="shared" si="18"/>
        <v/>
      </c>
      <c r="O71" t="str">
        <f t="shared" si="19"/>
        <v/>
      </c>
      <c r="P71" t="str">
        <f t="shared" si="12"/>
        <v/>
      </c>
      <c r="Q71" t="str">
        <f t="shared" si="20"/>
        <v/>
      </c>
      <c r="S71" t="str">
        <f>""</f>
        <v/>
      </c>
      <c r="AL71" s="18" t="str">
        <f>IF(COUNTIF($A$2:A70, A70) = 1, A70, "")</f>
        <v/>
      </c>
    </row>
    <row r="72" spans="6:38" x14ac:dyDescent="0.2">
      <c r="F72" t="str">
        <f t="shared" si="16"/>
        <v/>
      </c>
      <c r="L72" s="7" t="str">
        <f t="shared" si="17"/>
        <v/>
      </c>
      <c r="N72" s="7" t="str">
        <f t="shared" si="18"/>
        <v/>
      </c>
      <c r="O72" t="str">
        <f t="shared" si="19"/>
        <v/>
      </c>
      <c r="P72" t="str">
        <f t="shared" si="12"/>
        <v/>
      </c>
      <c r="Q72" t="str">
        <f t="shared" si="20"/>
        <v/>
      </c>
      <c r="S72" t="str">
        <f>""</f>
        <v/>
      </c>
      <c r="AL72" s="18" t="str">
        <f>IF(COUNTIF($A$2:A71, A71) = 1, A71, "")</f>
        <v/>
      </c>
    </row>
    <row r="73" spans="6:38" x14ac:dyDescent="0.2">
      <c r="F73" t="str">
        <f t="shared" si="16"/>
        <v/>
      </c>
      <c r="L73" s="7" t="str">
        <f t="shared" si="17"/>
        <v/>
      </c>
      <c r="N73" s="7" t="str">
        <f t="shared" si="18"/>
        <v/>
      </c>
      <c r="O73" t="str">
        <f t="shared" si="19"/>
        <v/>
      </c>
      <c r="P73" t="str">
        <f t="shared" si="12"/>
        <v/>
      </c>
      <c r="Q73" t="str">
        <f t="shared" si="20"/>
        <v/>
      </c>
      <c r="S73" t="str">
        <f>""</f>
        <v/>
      </c>
      <c r="AL73" s="18" t="str">
        <f>IF(COUNTIF($A$2:A72, A72) = 1, A72, "")</f>
        <v/>
      </c>
    </row>
    <row r="74" spans="6:38" x14ac:dyDescent="0.2">
      <c r="F74" t="str">
        <f t="shared" si="16"/>
        <v/>
      </c>
      <c r="L74" s="7" t="str">
        <f t="shared" si="17"/>
        <v/>
      </c>
      <c r="N74" s="7" t="str">
        <f t="shared" si="18"/>
        <v/>
      </c>
      <c r="O74" t="str">
        <f t="shared" si="19"/>
        <v/>
      </c>
      <c r="P74" t="str">
        <f t="shared" si="12"/>
        <v/>
      </c>
      <c r="Q74" t="str">
        <f t="shared" si="20"/>
        <v/>
      </c>
      <c r="S74" t="str">
        <f>""</f>
        <v/>
      </c>
      <c r="AL74" s="18" t="str">
        <f>IF(COUNTIF($A$2:A73, A73) = 1, A73, "")</f>
        <v/>
      </c>
    </row>
    <row r="75" spans="6:38" x14ac:dyDescent="0.2">
      <c r="F75" t="str">
        <f t="shared" si="16"/>
        <v/>
      </c>
      <c r="L75" s="7" t="str">
        <f t="shared" si="17"/>
        <v/>
      </c>
      <c r="N75" s="7" t="str">
        <f t="shared" si="18"/>
        <v/>
      </c>
      <c r="O75" t="str">
        <f t="shared" si="19"/>
        <v/>
      </c>
      <c r="P75" t="str">
        <f t="shared" si="12"/>
        <v/>
      </c>
      <c r="Q75" t="str">
        <f t="shared" si="20"/>
        <v/>
      </c>
      <c r="S75" t="str">
        <f>""</f>
        <v/>
      </c>
      <c r="AL75" s="18" t="str">
        <f>IF(COUNTIF($A$2:A74, A74) = 1, A74, "")</f>
        <v/>
      </c>
    </row>
    <row r="76" spans="6:38" x14ac:dyDescent="0.2">
      <c r="F76" t="str">
        <f t="shared" si="16"/>
        <v/>
      </c>
      <c r="L76" s="7" t="str">
        <f t="shared" si="17"/>
        <v/>
      </c>
      <c r="N76" s="7" t="str">
        <f t="shared" si="18"/>
        <v/>
      </c>
      <c r="O76" t="str">
        <f t="shared" si="19"/>
        <v/>
      </c>
      <c r="P76" t="str">
        <f t="shared" si="12"/>
        <v/>
      </c>
      <c r="Q76" t="str">
        <f t="shared" si="20"/>
        <v/>
      </c>
      <c r="S76" t="str">
        <f>""</f>
        <v/>
      </c>
      <c r="AL76" s="18" t="str">
        <f>IF(COUNTIF($A$2:A75, A75) = 1, A75, "")</f>
        <v/>
      </c>
    </row>
    <row r="77" spans="6:38" x14ac:dyDescent="0.2">
      <c r="F77" t="str">
        <f t="shared" si="16"/>
        <v/>
      </c>
      <c r="L77" s="7" t="str">
        <f t="shared" si="17"/>
        <v/>
      </c>
      <c r="N77" s="7" t="str">
        <f t="shared" si="18"/>
        <v/>
      </c>
      <c r="O77" t="str">
        <f t="shared" si="19"/>
        <v/>
      </c>
      <c r="P77" t="str">
        <f t="shared" si="12"/>
        <v/>
      </c>
      <c r="Q77" t="str">
        <f t="shared" si="20"/>
        <v/>
      </c>
      <c r="S77" t="str">
        <f>""</f>
        <v/>
      </c>
      <c r="AL77" s="18" t="str">
        <f>IF(COUNTIF($A$2:A76, A76) = 1, A76, "")</f>
        <v/>
      </c>
    </row>
    <row r="78" spans="6:38" x14ac:dyDescent="0.2">
      <c r="F78" t="str">
        <f t="shared" si="16"/>
        <v/>
      </c>
      <c r="L78" s="7" t="str">
        <f t="shared" si="17"/>
        <v/>
      </c>
      <c r="N78" s="7" t="str">
        <f t="shared" si="18"/>
        <v/>
      </c>
      <c r="O78" t="str">
        <f t="shared" si="19"/>
        <v/>
      </c>
      <c r="P78" t="str">
        <f t="shared" si="12"/>
        <v/>
      </c>
      <c r="Q78" t="str">
        <f t="shared" si="20"/>
        <v/>
      </c>
      <c r="S78" t="str">
        <f>""</f>
        <v/>
      </c>
      <c r="AL78" s="18" t="str">
        <f>IF(COUNTIF($A$2:A77, A77) = 1, A77, "")</f>
        <v/>
      </c>
    </row>
    <row r="79" spans="6:38" x14ac:dyDescent="0.2">
      <c r="F79" t="str">
        <f t="shared" si="16"/>
        <v/>
      </c>
      <c r="L79" s="7" t="str">
        <f t="shared" si="17"/>
        <v/>
      </c>
      <c r="N79" s="7" t="str">
        <f t="shared" si="18"/>
        <v/>
      </c>
      <c r="O79" t="str">
        <f t="shared" si="19"/>
        <v/>
      </c>
      <c r="P79" t="str">
        <f t="shared" si="12"/>
        <v/>
      </c>
      <c r="Q79" t="str">
        <f t="shared" si="20"/>
        <v/>
      </c>
      <c r="S79" t="str">
        <f>""</f>
        <v/>
      </c>
      <c r="AL79" s="18" t="str">
        <f>IF(COUNTIF($A$2:A78, A78) = 1, A78, "")</f>
        <v/>
      </c>
    </row>
    <row r="80" spans="6:38" x14ac:dyDescent="0.2">
      <c r="F80" t="str">
        <f t="shared" si="16"/>
        <v/>
      </c>
      <c r="L80" s="7" t="str">
        <f t="shared" si="17"/>
        <v/>
      </c>
      <c r="N80" s="7" t="str">
        <f t="shared" si="18"/>
        <v/>
      </c>
      <c r="O80" t="str">
        <f t="shared" si="19"/>
        <v/>
      </c>
      <c r="P80" t="str">
        <f t="shared" si="12"/>
        <v/>
      </c>
      <c r="Q80" t="str">
        <f t="shared" si="20"/>
        <v/>
      </c>
      <c r="S80" t="str">
        <f>""</f>
        <v/>
      </c>
      <c r="AL80" s="18" t="str">
        <f>IF(COUNTIF($A$2:A79, A79) = 1, A79, "")</f>
        <v/>
      </c>
    </row>
    <row r="81" spans="6:38" x14ac:dyDescent="0.2">
      <c r="F81" t="str">
        <f t="shared" si="16"/>
        <v/>
      </c>
      <c r="L81" s="7" t="str">
        <f t="shared" si="17"/>
        <v/>
      </c>
      <c r="N81" s="7" t="str">
        <f t="shared" si="18"/>
        <v/>
      </c>
      <c r="O81" t="str">
        <f t="shared" si="19"/>
        <v/>
      </c>
      <c r="P81" t="str">
        <f t="shared" si="12"/>
        <v/>
      </c>
      <c r="Q81" t="str">
        <f t="shared" si="20"/>
        <v/>
      </c>
      <c r="S81" t="str">
        <f>""</f>
        <v/>
      </c>
      <c r="AL81" s="18" t="str">
        <f>IF(COUNTIF($A$2:A80, A80) = 1, A80, "")</f>
        <v/>
      </c>
    </row>
    <row r="82" spans="6:38" x14ac:dyDescent="0.2">
      <c r="F82" t="str">
        <f t="shared" si="16"/>
        <v/>
      </c>
      <c r="L82" s="7" t="str">
        <f t="shared" si="17"/>
        <v/>
      </c>
      <c r="N82" s="7" t="str">
        <f t="shared" si="18"/>
        <v/>
      </c>
      <c r="O82" t="str">
        <f t="shared" si="19"/>
        <v/>
      </c>
      <c r="P82" t="str">
        <f t="shared" si="12"/>
        <v/>
      </c>
      <c r="Q82" t="str">
        <f t="shared" si="20"/>
        <v/>
      </c>
      <c r="S82" t="str">
        <f>""</f>
        <v/>
      </c>
      <c r="AL82" s="18" t="str">
        <f>IF(COUNTIF($A$2:A81, A81) = 1, A81, "")</f>
        <v/>
      </c>
    </row>
    <row r="83" spans="6:38" x14ac:dyDescent="0.2">
      <c r="F83" t="str">
        <f t="shared" si="16"/>
        <v/>
      </c>
      <c r="L83" s="7" t="str">
        <f t="shared" si="17"/>
        <v/>
      </c>
      <c r="N83" s="7" t="str">
        <f t="shared" si="18"/>
        <v/>
      </c>
      <c r="O83" t="str">
        <f t="shared" si="19"/>
        <v/>
      </c>
      <c r="P83" t="str">
        <f t="shared" ref="P83:P143" si="21">IF(I83="No", "None", "")</f>
        <v/>
      </c>
      <c r="Q83" t="str">
        <f t="shared" si="20"/>
        <v/>
      </c>
      <c r="S83" t="str">
        <f>""</f>
        <v/>
      </c>
      <c r="AL83" s="18" t="str">
        <f>IF(COUNTIF($A$2:A82, A82) = 1, A82, "")</f>
        <v/>
      </c>
    </row>
    <row r="84" spans="6:38" x14ac:dyDescent="0.2">
      <c r="F84" t="str">
        <f t="shared" si="16"/>
        <v/>
      </c>
      <c r="L84" s="7" t="str">
        <f t="shared" si="17"/>
        <v/>
      </c>
      <c r="N84" s="7" t="str">
        <f t="shared" si="18"/>
        <v/>
      </c>
      <c r="O84" t="str">
        <f t="shared" si="19"/>
        <v/>
      </c>
      <c r="P84" t="str">
        <f t="shared" si="21"/>
        <v/>
      </c>
      <c r="Q84" t="str">
        <f t="shared" si="20"/>
        <v/>
      </c>
      <c r="S84" t="str">
        <f>""</f>
        <v/>
      </c>
      <c r="AL84" s="18" t="str">
        <f>IF(COUNTIF($A$2:A83, A83) = 1, A83, "")</f>
        <v/>
      </c>
    </row>
    <row r="85" spans="6:38" x14ac:dyDescent="0.2">
      <c r="F85" t="str">
        <f t="shared" si="16"/>
        <v/>
      </c>
      <c r="L85" s="7" t="str">
        <f t="shared" si="17"/>
        <v/>
      </c>
      <c r="N85" s="7" t="str">
        <f t="shared" si="18"/>
        <v/>
      </c>
      <c r="O85" t="str">
        <f t="shared" si="19"/>
        <v/>
      </c>
      <c r="P85" t="str">
        <f t="shared" si="21"/>
        <v/>
      </c>
      <c r="Q85" t="str">
        <f t="shared" si="20"/>
        <v/>
      </c>
      <c r="S85" t="str">
        <f>""</f>
        <v/>
      </c>
      <c r="AL85" s="18" t="str">
        <f>IF(COUNTIF($A$2:A84, A84) = 1, A84, "")</f>
        <v/>
      </c>
    </row>
    <row r="86" spans="6:38" x14ac:dyDescent="0.2">
      <c r="F86" t="str">
        <f t="shared" si="16"/>
        <v/>
      </c>
      <c r="L86" s="7" t="str">
        <f t="shared" si="17"/>
        <v/>
      </c>
      <c r="N86" s="7" t="str">
        <f t="shared" si="18"/>
        <v/>
      </c>
      <c r="O86" t="str">
        <f t="shared" si="19"/>
        <v/>
      </c>
      <c r="P86" t="str">
        <f t="shared" si="21"/>
        <v/>
      </c>
      <c r="Q86" t="str">
        <f t="shared" si="20"/>
        <v/>
      </c>
      <c r="S86" t="str">
        <f>""</f>
        <v/>
      </c>
      <c r="AL86" s="18" t="str">
        <f>IF(COUNTIF($A$2:A85, A85) = 1, A85, "")</f>
        <v/>
      </c>
    </row>
    <row r="87" spans="6:38" x14ac:dyDescent="0.2">
      <c r="F87" t="str">
        <f t="shared" si="16"/>
        <v/>
      </c>
      <c r="L87" s="7" t="str">
        <f t="shared" si="17"/>
        <v/>
      </c>
      <c r="N87" s="7" t="str">
        <f t="shared" si="18"/>
        <v/>
      </c>
      <c r="O87" t="str">
        <f t="shared" si="19"/>
        <v/>
      </c>
      <c r="P87" t="str">
        <f t="shared" si="21"/>
        <v/>
      </c>
      <c r="Q87" t="str">
        <f t="shared" si="20"/>
        <v/>
      </c>
      <c r="S87" t="str">
        <f>""</f>
        <v/>
      </c>
      <c r="AL87" s="18" t="str">
        <f>IF(COUNTIF($A$2:A86, A86) = 1, A86, "")</f>
        <v/>
      </c>
    </row>
    <row r="88" spans="6:38" x14ac:dyDescent="0.2">
      <c r="F88" t="str">
        <f t="shared" si="16"/>
        <v/>
      </c>
      <c r="L88" s="7" t="str">
        <f t="shared" si="17"/>
        <v/>
      </c>
      <c r="N88" s="7" t="str">
        <f t="shared" si="18"/>
        <v/>
      </c>
      <c r="O88" t="str">
        <f t="shared" si="19"/>
        <v/>
      </c>
      <c r="P88" t="str">
        <f t="shared" si="21"/>
        <v/>
      </c>
      <c r="Q88" t="str">
        <f t="shared" si="20"/>
        <v/>
      </c>
      <c r="S88" t="str">
        <f>""</f>
        <v/>
      </c>
      <c r="AL88" s="18" t="str">
        <f>IF(COUNTIF($A$2:A87, A87) = 1, A87, "")</f>
        <v/>
      </c>
    </row>
    <row r="89" spans="6:38" x14ac:dyDescent="0.2">
      <c r="F89" t="str">
        <f t="shared" si="16"/>
        <v/>
      </c>
      <c r="L89" s="7" t="str">
        <f t="shared" si="17"/>
        <v/>
      </c>
      <c r="N89" s="7" t="str">
        <f t="shared" si="18"/>
        <v/>
      </c>
      <c r="O89" t="str">
        <f t="shared" si="19"/>
        <v/>
      </c>
      <c r="P89" t="str">
        <f t="shared" si="21"/>
        <v/>
      </c>
      <c r="Q89" t="str">
        <f t="shared" si="20"/>
        <v/>
      </c>
      <c r="S89" t="str">
        <f>""</f>
        <v/>
      </c>
      <c r="AL89" s="18" t="str">
        <f>IF(COUNTIF($A$2:A88, A88) = 1, A88, "")</f>
        <v/>
      </c>
    </row>
    <row r="90" spans="6:38" x14ac:dyDescent="0.2">
      <c r="F90" t="str">
        <f t="shared" si="16"/>
        <v/>
      </c>
      <c r="L90" s="7" t="str">
        <f t="shared" si="17"/>
        <v/>
      </c>
      <c r="N90" s="7" t="str">
        <f t="shared" si="18"/>
        <v/>
      </c>
      <c r="O90" t="str">
        <f t="shared" si="19"/>
        <v/>
      </c>
      <c r="P90" t="str">
        <f t="shared" si="21"/>
        <v/>
      </c>
      <c r="Q90" t="str">
        <f t="shared" si="20"/>
        <v/>
      </c>
      <c r="S90" t="str">
        <f>""</f>
        <v/>
      </c>
      <c r="AL90" s="18" t="str">
        <f>IF(COUNTIF($A$2:A89, A89) = 1, A89, "")</f>
        <v/>
      </c>
    </row>
    <row r="91" spans="6:38" x14ac:dyDescent="0.2">
      <c r="F91" t="str">
        <f t="shared" si="16"/>
        <v/>
      </c>
      <c r="L91" s="7" t="str">
        <f t="shared" si="17"/>
        <v/>
      </c>
      <c r="N91" s="7" t="str">
        <f t="shared" si="18"/>
        <v/>
      </c>
      <c r="O91" t="str">
        <f t="shared" si="19"/>
        <v/>
      </c>
      <c r="P91" t="str">
        <f t="shared" si="21"/>
        <v/>
      </c>
      <c r="Q91" t="str">
        <f t="shared" si="20"/>
        <v/>
      </c>
      <c r="S91" t="str">
        <f>""</f>
        <v/>
      </c>
      <c r="AL91" s="18" t="str">
        <f>IF(COUNTIF($A$2:A90, A90) = 1, A90, "")</f>
        <v/>
      </c>
    </row>
    <row r="92" spans="6:38" x14ac:dyDescent="0.2">
      <c r="F92" t="str">
        <f t="shared" si="16"/>
        <v/>
      </c>
      <c r="L92" s="7" t="str">
        <f t="shared" si="17"/>
        <v/>
      </c>
      <c r="N92" s="7" t="str">
        <f t="shared" si="18"/>
        <v/>
      </c>
      <c r="O92" t="str">
        <f t="shared" si="19"/>
        <v/>
      </c>
      <c r="P92" t="str">
        <f t="shared" si="21"/>
        <v/>
      </c>
      <c r="Q92" t="str">
        <f t="shared" si="20"/>
        <v/>
      </c>
      <c r="S92" t="str">
        <f>""</f>
        <v/>
      </c>
      <c r="AL92" s="18" t="str">
        <f>IF(COUNTIF($A$2:A91, A91) = 1, A91, "")</f>
        <v/>
      </c>
    </row>
    <row r="93" spans="6:38" x14ac:dyDescent="0.2">
      <c r="F93" t="str">
        <f t="shared" si="16"/>
        <v/>
      </c>
      <c r="L93" s="7" t="str">
        <f t="shared" si="17"/>
        <v/>
      </c>
      <c r="N93" s="7" t="str">
        <f t="shared" si="18"/>
        <v/>
      </c>
      <c r="O93" t="str">
        <f t="shared" si="19"/>
        <v/>
      </c>
      <c r="P93" t="str">
        <f t="shared" si="21"/>
        <v/>
      </c>
      <c r="Q93" t="str">
        <f t="shared" si="20"/>
        <v/>
      </c>
      <c r="S93" t="str">
        <f>""</f>
        <v/>
      </c>
      <c r="AL93" s="18" t="str">
        <f>IF(COUNTIF($A$2:A92, A92) = 1, A92, "")</f>
        <v/>
      </c>
    </row>
    <row r="94" spans="6:38" x14ac:dyDescent="0.2">
      <c r="F94" t="str">
        <f t="shared" si="16"/>
        <v/>
      </c>
      <c r="L94" s="7" t="str">
        <f t="shared" si="17"/>
        <v/>
      </c>
      <c r="N94" s="7" t="str">
        <f t="shared" si="18"/>
        <v/>
      </c>
      <c r="O94" t="str">
        <f t="shared" si="19"/>
        <v/>
      </c>
      <c r="P94" t="str">
        <f t="shared" si="21"/>
        <v/>
      </c>
      <c r="Q94" t="str">
        <f t="shared" si="20"/>
        <v/>
      </c>
      <c r="S94" t="str">
        <f>""</f>
        <v/>
      </c>
      <c r="AL94" s="18" t="str">
        <f>IF(COUNTIF($A$2:A93, A93) = 1, A93, "")</f>
        <v/>
      </c>
    </row>
    <row r="95" spans="6:38" x14ac:dyDescent="0.2">
      <c r="F95" t="str">
        <f t="shared" si="16"/>
        <v/>
      </c>
      <c r="L95" s="7" t="str">
        <f t="shared" si="17"/>
        <v/>
      </c>
      <c r="N95" s="7" t="str">
        <f t="shared" si="18"/>
        <v/>
      </c>
      <c r="O95" t="str">
        <f t="shared" si="19"/>
        <v/>
      </c>
      <c r="P95" t="str">
        <f t="shared" si="21"/>
        <v/>
      </c>
      <c r="Q95" t="str">
        <f t="shared" si="20"/>
        <v/>
      </c>
      <c r="S95" t="str">
        <f>""</f>
        <v/>
      </c>
      <c r="AL95" s="18" t="str">
        <f>IF(COUNTIF($A$2:A94, A94) = 1, A94, "")</f>
        <v/>
      </c>
    </row>
    <row r="96" spans="6:38" x14ac:dyDescent="0.2">
      <c r="F96" t="str">
        <f t="shared" si="16"/>
        <v/>
      </c>
      <c r="L96" s="7" t="str">
        <f t="shared" si="17"/>
        <v/>
      </c>
      <c r="N96" s="7" t="str">
        <f t="shared" si="18"/>
        <v/>
      </c>
      <c r="O96" t="str">
        <f t="shared" si="19"/>
        <v/>
      </c>
      <c r="P96" t="str">
        <f t="shared" si="21"/>
        <v/>
      </c>
      <c r="Q96" t="str">
        <f t="shared" si="20"/>
        <v/>
      </c>
      <c r="S96" t="str">
        <f>""</f>
        <v/>
      </c>
      <c r="AL96" s="18" t="str">
        <f>IF(COUNTIF($A$2:A95, A95) = 1, A95, "")</f>
        <v/>
      </c>
    </row>
    <row r="97" spans="6:38" x14ac:dyDescent="0.2">
      <c r="F97" t="str">
        <f t="shared" si="16"/>
        <v/>
      </c>
      <c r="L97" s="7" t="str">
        <f t="shared" si="17"/>
        <v/>
      </c>
      <c r="N97" s="7" t="str">
        <f t="shared" si="18"/>
        <v/>
      </c>
      <c r="O97" t="str">
        <f t="shared" si="19"/>
        <v/>
      </c>
      <c r="P97" t="str">
        <f t="shared" si="21"/>
        <v/>
      </c>
      <c r="Q97" t="str">
        <f t="shared" si="20"/>
        <v/>
      </c>
      <c r="S97" t="str">
        <f>""</f>
        <v/>
      </c>
      <c r="AL97" s="18" t="str">
        <f>IF(COUNTIF($A$2:A96, A96) = 1, A96, "")</f>
        <v/>
      </c>
    </row>
    <row r="98" spans="6:38" x14ac:dyDescent="0.2">
      <c r="F98" t="str">
        <f t="shared" si="16"/>
        <v/>
      </c>
      <c r="L98" s="7" t="str">
        <f t="shared" si="17"/>
        <v/>
      </c>
      <c r="N98" s="7" t="str">
        <f t="shared" si="18"/>
        <v/>
      </c>
      <c r="O98" t="str">
        <f t="shared" si="19"/>
        <v/>
      </c>
      <c r="P98" t="str">
        <f t="shared" si="21"/>
        <v/>
      </c>
      <c r="Q98" t="str">
        <f t="shared" si="20"/>
        <v/>
      </c>
      <c r="S98" t="str">
        <f>""</f>
        <v/>
      </c>
      <c r="AL98" s="18" t="str">
        <f>IF(COUNTIF($A$2:A97, A97) = 1, A97, "")</f>
        <v/>
      </c>
    </row>
    <row r="99" spans="6:38" x14ac:dyDescent="0.2">
      <c r="F99" t="str">
        <f t="shared" si="16"/>
        <v/>
      </c>
      <c r="L99" s="7" t="str">
        <f t="shared" si="17"/>
        <v/>
      </c>
      <c r="N99" s="7" t="str">
        <f t="shared" si="18"/>
        <v/>
      </c>
      <c r="O99" t="str">
        <f t="shared" si="19"/>
        <v/>
      </c>
      <c r="P99" t="str">
        <f t="shared" si="21"/>
        <v/>
      </c>
      <c r="Q99" t="str">
        <f t="shared" si="20"/>
        <v/>
      </c>
      <c r="S99" t="str">
        <f>""</f>
        <v/>
      </c>
      <c r="AL99" s="18" t="str">
        <f>IF(COUNTIF($A$2:A98, A98) = 1, A98, "")</f>
        <v/>
      </c>
    </row>
    <row r="100" spans="6:38" x14ac:dyDescent="0.2">
      <c r="F100" t="str">
        <f t="shared" si="16"/>
        <v/>
      </c>
      <c r="L100" s="7" t="str">
        <f t="shared" si="17"/>
        <v/>
      </c>
      <c r="N100" s="7" t="str">
        <f t="shared" si="18"/>
        <v/>
      </c>
      <c r="O100" t="str">
        <f t="shared" si="19"/>
        <v/>
      </c>
      <c r="P100" t="str">
        <f t="shared" si="21"/>
        <v/>
      </c>
      <c r="Q100" t="str">
        <f t="shared" si="20"/>
        <v/>
      </c>
      <c r="S100" t="str">
        <f>""</f>
        <v/>
      </c>
      <c r="AL100" s="18" t="str">
        <f>IF(COUNTIF($A$2:A99, A99) = 1, A99, "")</f>
        <v/>
      </c>
    </row>
    <row r="101" spans="6:38" x14ac:dyDescent="0.2">
      <c r="F101" t="str">
        <f t="shared" si="16"/>
        <v/>
      </c>
      <c r="L101" s="7" t="str">
        <f t="shared" si="17"/>
        <v/>
      </c>
      <c r="N101" s="7" t="str">
        <f t="shared" si="18"/>
        <v/>
      </c>
      <c r="O101" t="str">
        <f t="shared" si="19"/>
        <v/>
      </c>
      <c r="P101" t="str">
        <f t="shared" si="21"/>
        <v/>
      </c>
      <c r="Q101" t="str">
        <f t="shared" si="20"/>
        <v/>
      </c>
      <c r="S101" t="str">
        <f>""</f>
        <v/>
      </c>
      <c r="AL101" s="18" t="str">
        <f>IF(COUNTIF($A$2:A100, A100) = 1, A100, "")</f>
        <v/>
      </c>
    </row>
    <row r="102" spans="6:38" x14ac:dyDescent="0.2">
      <c r="F102" t="str">
        <f t="shared" si="16"/>
        <v/>
      </c>
      <c r="L102" s="7" t="str">
        <f t="shared" si="17"/>
        <v/>
      </c>
      <c r="N102" s="7" t="str">
        <f t="shared" si="18"/>
        <v/>
      </c>
      <c r="O102" t="str">
        <f t="shared" si="19"/>
        <v/>
      </c>
      <c r="P102" t="str">
        <f t="shared" si="21"/>
        <v/>
      </c>
      <c r="Q102" t="str">
        <f t="shared" si="20"/>
        <v/>
      </c>
      <c r="S102" t="str">
        <f>""</f>
        <v/>
      </c>
      <c r="AL102" s="18" t="str">
        <f>IF(COUNTIF($A$2:A101, A101) = 1, A101, "")</f>
        <v/>
      </c>
    </row>
    <row r="103" spans="6:38" x14ac:dyDescent="0.2">
      <c r="F103" t="str">
        <f t="shared" si="16"/>
        <v/>
      </c>
      <c r="L103" s="7" t="str">
        <f t="shared" si="17"/>
        <v/>
      </c>
      <c r="N103" s="7" t="str">
        <f t="shared" si="18"/>
        <v/>
      </c>
      <c r="O103" t="str">
        <f t="shared" si="19"/>
        <v/>
      </c>
      <c r="P103" t="str">
        <f t="shared" si="21"/>
        <v/>
      </c>
      <c r="Q103" t="str">
        <f t="shared" si="20"/>
        <v/>
      </c>
      <c r="S103" t="str">
        <f>""</f>
        <v/>
      </c>
      <c r="AL103" s="18" t="str">
        <f>IF(COUNTIF($A$2:A102, A102) = 1, A102, "")</f>
        <v/>
      </c>
    </row>
    <row r="104" spans="6:38" x14ac:dyDescent="0.2">
      <c r="F104" t="str">
        <f t="shared" si="16"/>
        <v/>
      </c>
      <c r="L104" s="7" t="str">
        <f t="shared" si="17"/>
        <v/>
      </c>
      <c r="N104" s="7" t="str">
        <f t="shared" si="18"/>
        <v/>
      </c>
      <c r="O104" t="str">
        <f t="shared" si="19"/>
        <v/>
      </c>
      <c r="P104" t="str">
        <f t="shared" si="21"/>
        <v/>
      </c>
      <c r="Q104" t="str">
        <f t="shared" si="20"/>
        <v/>
      </c>
      <c r="S104" t="str">
        <f>""</f>
        <v/>
      </c>
      <c r="AL104" s="18" t="str">
        <f>IF(COUNTIF($A$2:A103, A103) = 1, A103, "")</f>
        <v/>
      </c>
    </row>
    <row r="105" spans="6:38" x14ac:dyDescent="0.2">
      <c r="F105" t="str">
        <f t="shared" si="16"/>
        <v/>
      </c>
      <c r="L105" s="7" t="str">
        <f t="shared" si="17"/>
        <v/>
      </c>
      <c r="N105" s="7" t="str">
        <f t="shared" si="18"/>
        <v/>
      </c>
      <c r="O105" t="str">
        <f t="shared" si="19"/>
        <v/>
      </c>
      <c r="P105" t="str">
        <f t="shared" si="21"/>
        <v/>
      </c>
      <c r="Q105" t="str">
        <f t="shared" si="20"/>
        <v/>
      </c>
      <c r="S105" t="str">
        <f>""</f>
        <v/>
      </c>
      <c r="AL105" s="18" t="str">
        <f>IF(COUNTIF($A$2:A104, A104) = 1, A104, "")</f>
        <v/>
      </c>
    </row>
    <row r="106" spans="6:38" x14ac:dyDescent="0.2">
      <c r="F106" t="str">
        <f t="shared" si="16"/>
        <v/>
      </c>
      <c r="L106" s="7" t="str">
        <f t="shared" si="17"/>
        <v/>
      </c>
      <c r="N106" s="7" t="str">
        <f t="shared" si="18"/>
        <v/>
      </c>
      <c r="O106" t="str">
        <f t="shared" si="19"/>
        <v/>
      </c>
      <c r="P106" t="str">
        <f t="shared" si="21"/>
        <v/>
      </c>
      <c r="Q106" t="str">
        <f t="shared" si="20"/>
        <v/>
      </c>
      <c r="S106" t="str">
        <f>""</f>
        <v/>
      </c>
      <c r="AL106" s="18" t="str">
        <f>IF(COUNTIF($A$2:A105, A105) = 1, A105, "")</f>
        <v/>
      </c>
    </row>
    <row r="107" spans="6:38" x14ac:dyDescent="0.2">
      <c r="F107" t="str">
        <f t="shared" si="16"/>
        <v/>
      </c>
      <c r="L107" s="7" t="str">
        <f t="shared" si="17"/>
        <v/>
      </c>
      <c r="N107" s="7" t="str">
        <f t="shared" si="18"/>
        <v/>
      </c>
      <c r="O107" t="str">
        <f t="shared" si="19"/>
        <v/>
      </c>
      <c r="P107" t="str">
        <f t="shared" si="21"/>
        <v/>
      </c>
      <c r="Q107" t="str">
        <f t="shared" si="20"/>
        <v/>
      </c>
      <c r="S107" t="str">
        <f>""</f>
        <v/>
      </c>
      <c r="AL107" s="18" t="str">
        <f>IF(COUNTIF($A$2:A106, A106) = 1, A106, "")</f>
        <v/>
      </c>
    </row>
    <row r="108" spans="6:38" x14ac:dyDescent="0.2">
      <c r="F108" t="str">
        <f t="shared" si="16"/>
        <v/>
      </c>
      <c r="L108" s="7" t="str">
        <f t="shared" si="17"/>
        <v/>
      </c>
      <c r="N108" s="7" t="str">
        <f t="shared" si="18"/>
        <v/>
      </c>
      <c r="O108" t="str">
        <f t="shared" si="19"/>
        <v/>
      </c>
      <c r="P108" t="str">
        <f t="shared" si="21"/>
        <v/>
      </c>
      <c r="Q108" t="str">
        <f t="shared" si="20"/>
        <v/>
      </c>
      <c r="S108" t="str">
        <f>""</f>
        <v/>
      </c>
      <c r="AL108" s="18" t="str">
        <f>IF(COUNTIF($A$2:A107, A107) = 1, A107, "")</f>
        <v/>
      </c>
    </row>
    <row r="109" spans="6:38" x14ac:dyDescent="0.2">
      <c r="F109" t="str">
        <f t="shared" si="16"/>
        <v/>
      </c>
      <c r="L109" s="7" t="str">
        <f t="shared" si="17"/>
        <v/>
      </c>
      <c r="N109" s="7" t="str">
        <f t="shared" si="18"/>
        <v/>
      </c>
      <c r="O109" t="str">
        <f t="shared" si="19"/>
        <v/>
      </c>
      <c r="P109" t="str">
        <f t="shared" si="21"/>
        <v/>
      </c>
      <c r="Q109" t="str">
        <f t="shared" si="20"/>
        <v/>
      </c>
      <c r="S109" t="str">
        <f>""</f>
        <v/>
      </c>
      <c r="AL109" s="18" t="str">
        <f>IF(COUNTIF($A$2:A108, A108) = 1, A108, "")</f>
        <v/>
      </c>
    </row>
    <row r="110" spans="6:38" x14ac:dyDescent="0.2">
      <c r="F110" t="str">
        <f t="shared" si="16"/>
        <v/>
      </c>
      <c r="L110" s="7" t="str">
        <f t="shared" si="17"/>
        <v/>
      </c>
      <c r="N110" s="7" t="str">
        <f t="shared" si="18"/>
        <v/>
      </c>
      <c r="O110" t="str">
        <f t="shared" si="19"/>
        <v/>
      </c>
      <c r="P110" t="str">
        <f t="shared" si="21"/>
        <v/>
      </c>
      <c r="Q110" t="str">
        <f t="shared" si="20"/>
        <v/>
      </c>
      <c r="S110" t="str">
        <f>""</f>
        <v/>
      </c>
      <c r="AL110" s="18" t="str">
        <f>IF(COUNTIF($A$2:A109, A109) = 1, A109, "")</f>
        <v/>
      </c>
    </row>
    <row r="111" spans="6:38" x14ac:dyDescent="0.2">
      <c r="F111" t="str">
        <f t="shared" si="16"/>
        <v/>
      </c>
      <c r="L111" s="7" t="str">
        <f t="shared" si="17"/>
        <v/>
      </c>
      <c r="N111" s="7" t="str">
        <f t="shared" si="18"/>
        <v/>
      </c>
      <c r="O111" t="str">
        <f t="shared" si="19"/>
        <v/>
      </c>
      <c r="P111" t="str">
        <f t="shared" si="21"/>
        <v/>
      </c>
      <c r="Q111" t="str">
        <f t="shared" si="20"/>
        <v/>
      </c>
      <c r="S111" t="str">
        <f>""</f>
        <v/>
      </c>
      <c r="AL111" s="18" t="str">
        <f>IF(COUNTIF($A$2:A110, A110) = 1, A110, "")</f>
        <v/>
      </c>
    </row>
    <row r="112" spans="6:38" x14ac:dyDescent="0.2">
      <c r="F112" t="str">
        <f t="shared" si="16"/>
        <v/>
      </c>
      <c r="L112" s="7" t="str">
        <f t="shared" si="17"/>
        <v/>
      </c>
      <c r="N112" s="7" t="str">
        <f t="shared" si="18"/>
        <v/>
      </c>
      <c r="O112" t="str">
        <f t="shared" si="19"/>
        <v/>
      </c>
      <c r="P112" t="str">
        <f t="shared" si="21"/>
        <v/>
      </c>
      <c r="Q112" t="str">
        <f t="shared" si="20"/>
        <v/>
      </c>
      <c r="S112" t="str">
        <f>""</f>
        <v/>
      </c>
      <c r="AL112" s="18" t="str">
        <f>IF(COUNTIF($A$2:A111, A111) = 1, A111, "")</f>
        <v/>
      </c>
    </row>
    <row r="113" spans="6:38" x14ac:dyDescent="0.2">
      <c r="F113" t="str">
        <f t="shared" si="16"/>
        <v/>
      </c>
      <c r="L113" s="7" t="str">
        <f t="shared" si="17"/>
        <v/>
      </c>
      <c r="N113" s="7" t="str">
        <f t="shared" si="18"/>
        <v/>
      </c>
      <c r="O113" t="str">
        <f t="shared" si="19"/>
        <v/>
      </c>
      <c r="P113" t="str">
        <f t="shared" si="21"/>
        <v/>
      </c>
      <c r="Q113" t="str">
        <f t="shared" si="20"/>
        <v/>
      </c>
      <c r="S113" t="str">
        <f>""</f>
        <v/>
      </c>
      <c r="AL113" s="18" t="str">
        <f>IF(COUNTIF($A$2:A112, A112) = 1, A112, "")</f>
        <v/>
      </c>
    </row>
    <row r="114" spans="6:38" x14ac:dyDescent="0.2">
      <c r="F114" t="str">
        <f t="shared" si="16"/>
        <v/>
      </c>
      <c r="L114" s="7" t="str">
        <f t="shared" si="17"/>
        <v/>
      </c>
      <c r="N114" s="7" t="str">
        <f t="shared" si="18"/>
        <v/>
      </c>
      <c r="O114" t="str">
        <f t="shared" si="19"/>
        <v/>
      </c>
      <c r="P114" t="str">
        <f t="shared" si="21"/>
        <v/>
      </c>
      <c r="Q114" t="str">
        <f t="shared" si="20"/>
        <v/>
      </c>
      <c r="S114" t="str">
        <f>""</f>
        <v/>
      </c>
      <c r="AL114" s="18" t="str">
        <f>IF(COUNTIF($A$2:A113, A113) = 1, A113, "")</f>
        <v/>
      </c>
    </row>
    <row r="115" spans="6:38" x14ac:dyDescent="0.2">
      <c r="F115" t="str">
        <f t="shared" si="16"/>
        <v/>
      </c>
      <c r="L115" s="7" t="str">
        <f t="shared" si="17"/>
        <v/>
      </c>
      <c r="N115" s="7" t="str">
        <f t="shared" si="18"/>
        <v/>
      </c>
      <c r="O115" t="str">
        <f t="shared" si="19"/>
        <v/>
      </c>
      <c r="P115" t="str">
        <f t="shared" si="21"/>
        <v/>
      </c>
      <c r="Q115" t="str">
        <f t="shared" si="20"/>
        <v/>
      </c>
      <c r="S115" t="str">
        <f>""</f>
        <v/>
      </c>
      <c r="AL115" s="18" t="str">
        <f>IF(COUNTIF($A$2:A114, A114) = 1, A114, "")</f>
        <v/>
      </c>
    </row>
    <row r="116" spans="6:38" x14ac:dyDescent="0.2">
      <c r="F116" t="str">
        <f t="shared" si="16"/>
        <v/>
      </c>
      <c r="L116" s="7" t="str">
        <f t="shared" si="17"/>
        <v/>
      </c>
      <c r="N116" s="7" t="str">
        <f t="shared" si="18"/>
        <v/>
      </c>
      <c r="O116" t="str">
        <f t="shared" si="19"/>
        <v/>
      </c>
      <c r="P116" t="str">
        <f t="shared" si="21"/>
        <v/>
      </c>
      <c r="Q116" t="str">
        <f t="shared" si="20"/>
        <v/>
      </c>
      <c r="S116" t="str">
        <f>""</f>
        <v/>
      </c>
      <c r="AL116" s="18" t="str">
        <f>IF(COUNTIF($A$2:A115, A115) = 1, A115, "")</f>
        <v/>
      </c>
    </row>
    <row r="117" spans="6:38" x14ac:dyDescent="0.2">
      <c r="F117" t="str">
        <f t="shared" si="16"/>
        <v/>
      </c>
      <c r="L117" s="7" t="str">
        <f t="shared" si="17"/>
        <v/>
      </c>
      <c r="N117" s="7" t="str">
        <f t="shared" si="18"/>
        <v/>
      </c>
      <c r="O117" t="str">
        <f t="shared" si="19"/>
        <v/>
      </c>
      <c r="P117" t="str">
        <f t="shared" si="21"/>
        <v/>
      </c>
      <c r="Q117" t="str">
        <f t="shared" si="20"/>
        <v/>
      </c>
      <c r="S117" t="str">
        <f>""</f>
        <v/>
      </c>
      <c r="AL117" s="18" t="str">
        <f>IF(COUNTIF($A$2:A116, A116) = 1, A116, "")</f>
        <v/>
      </c>
    </row>
    <row r="118" spans="6:38" x14ac:dyDescent="0.2">
      <c r="F118" t="str">
        <f t="shared" si="16"/>
        <v/>
      </c>
      <c r="L118" s="7" t="str">
        <f t="shared" si="17"/>
        <v/>
      </c>
      <c r="N118" s="7" t="str">
        <f t="shared" si="18"/>
        <v/>
      </c>
      <c r="O118" t="str">
        <f t="shared" si="19"/>
        <v/>
      </c>
      <c r="P118" t="str">
        <f t="shared" si="21"/>
        <v/>
      </c>
      <c r="Q118" t="str">
        <f t="shared" si="20"/>
        <v/>
      </c>
      <c r="S118" t="str">
        <f>""</f>
        <v/>
      </c>
      <c r="AL118" s="18" t="str">
        <f>IF(COUNTIF($A$2:A117, A117) = 1, A117, "")</f>
        <v/>
      </c>
    </row>
    <row r="119" spans="6:38" x14ac:dyDescent="0.2">
      <c r="F119" t="str">
        <f t="shared" si="16"/>
        <v/>
      </c>
      <c r="L119" s="7" t="str">
        <f t="shared" si="17"/>
        <v/>
      </c>
      <c r="N119" s="7" t="str">
        <f t="shared" si="18"/>
        <v/>
      </c>
      <c r="O119" t="str">
        <f t="shared" si="19"/>
        <v/>
      </c>
      <c r="P119" t="str">
        <f t="shared" si="21"/>
        <v/>
      </c>
      <c r="Q119" t="str">
        <f t="shared" si="20"/>
        <v/>
      </c>
      <c r="S119" t="str">
        <f>""</f>
        <v/>
      </c>
      <c r="AL119" s="18" t="str">
        <f>IF(COUNTIF($A$2:A118, A118) = 1, A118, "")</f>
        <v/>
      </c>
    </row>
    <row r="120" spans="6:38" x14ac:dyDescent="0.2">
      <c r="F120" t="str">
        <f t="shared" si="16"/>
        <v/>
      </c>
      <c r="L120" s="7" t="str">
        <f t="shared" si="17"/>
        <v/>
      </c>
      <c r="N120" s="7" t="str">
        <f t="shared" si="18"/>
        <v/>
      </c>
      <c r="O120" t="str">
        <f t="shared" si="19"/>
        <v/>
      </c>
      <c r="P120" t="str">
        <f t="shared" si="21"/>
        <v/>
      </c>
      <c r="Q120" t="str">
        <f t="shared" si="20"/>
        <v/>
      </c>
      <c r="S120" t="str">
        <f>""</f>
        <v/>
      </c>
      <c r="AL120" s="18" t="str">
        <f>IF(COUNTIF($A$2:A119, A119) = 1, A119, "")</f>
        <v/>
      </c>
    </row>
    <row r="121" spans="6:38" x14ac:dyDescent="0.2">
      <c r="F121" t="str">
        <f t="shared" si="16"/>
        <v/>
      </c>
      <c r="L121" s="7" t="str">
        <f t="shared" si="17"/>
        <v/>
      </c>
      <c r="N121" s="7" t="str">
        <f t="shared" si="18"/>
        <v/>
      </c>
      <c r="O121" t="str">
        <f t="shared" si="19"/>
        <v/>
      </c>
      <c r="P121" t="str">
        <f t="shared" si="21"/>
        <v/>
      </c>
      <c r="Q121" t="str">
        <f t="shared" si="20"/>
        <v/>
      </c>
      <c r="S121" t="str">
        <f>""</f>
        <v/>
      </c>
      <c r="AL121" s="18" t="str">
        <f>IF(COUNTIF($A$2:A120, A120) = 1, A120, "")</f>
        <v/>
      </c>
    </row>
    <row r="122" spans="6:38" x14ac:dyDescent="0.2">
      <c r="F122" t="str">
        <f t="shared" si="16"/>
        <v/>
      </c>
      <c r="L122" s="7" t="str">
        <f t="shared" si="17"/>
        <v/>
      </c>
      <c r="N122" s="7" t="str">
        <f t="shared" si="18"/>
        <v/>
      </c>
      <c r="O122" t="str">
        <f t="shared" si="19"/>
        <v/>
      </c>
      <c r="P122" t="str">
        <f t="shared" si="21"/>
        <v/>
      </c>
      <c r="Q122" t="str">
        <f t="shared" si="20"/>
        <v/>
      </c>
      <c r="S122" t="str">
        <f>""</f>
        <v/>
      </c>
      <c r="AL122" s="18" t="str">
        <f>IF(COUNTIF($A$2:A121, A121) = 1, A121, "")</f>
        <v/>
      </c>
    </row>
    <row r="123" spans="6:38" x14ac:dyDescent="0.2">
      <c r="F123" t="str">
        <f t="shared" si="16"/>
        <v/>
      </c>
      <c r="L123" s="7" t="str">
        <f t="shared" si="17"/>
        <v/>
      </c>
      <c r="N123" s="7" t="str">
        <f t="shared" si="18"/>
        <v/>
      </c>
      <c r="O123" t="str">
        <f t="shared" si="19"/>
        <v/>
      </c>
      <c r="P123" t="str">
        <f t="shared" si="21"/>
        <v/>
      </c>
      <c r="Q123" t="str">
        <f t="shared" si="20"/>
        <v/>
      </c>
      <c r="S123" t="str">
        <f>""</f>
        <v/>
      </c>
      <c r="AL123" s="18" t="str">
        <f>IF(COUNTIF($A$2:A122, A122) = 1, A122, "")</f>
        <v/>
      </c>
    </row>
    <row r="124" spans="6:38" x14ac:dyDescent="0.2">
      <c r="F124" t="str">
        <f t="shared" si="16"/>
        <v/>
      </c>
      <c r="L124" s="7" t="str">
        <f t="shared" si="17"/>
        <v/>
      </c>
      <c r="N124" s="7" t="str">
        <f t="shared" si="18"/>
        <v/>
      </c>
      <c r="O124" t="str">
        <f t="shared" si="19"/>
        <v/>
      </c>
      <c r="P124" t="str">
        <f t="shared" si="21"/>
        <v/>
      </c>
      <c r="Q124" t="str">
        <f t="shared" si="20"/>
        <v/>
      </c>
      <c r="S124" t="str">
        <f>""</f>
        <v/>
      </c>
      <c r="AL124" s="18" t="str">
        <f>IF(COUNTIF($A$2:A123, A123) = 1, A123, "")</f>
        <v/>
      </c>
    </row>
    <row r="125" spans="6:38" x14ac:dyDescent="0.2">
      <c r="F125" t="str">
        <f t="shared" si="16"/>
        <v/>
      </c>
      <c r="L125" s="7" t="str">
        <f t="shared" si="17"/>
        <v/>
      </c>
      <c r="N125" s="7" t="str">
        <f t="shared" si="18"/>
        <v/>
      </c>
      <c r="O125" t="str">
        <f t="shared" si="19"/>
        <v/>
      </c>
      <c r="P125" t="str">
        <f t="shared" si="21"/>
        <v/>
      </c>
      <c r="Q125" t="str">
        <f t="shared" si="20"/>
        <v/>
      </c>
      <c r="S125" t="str">
        <f>""</f>
        <v/>
      </c>
      <c r="AL125" s="18" t="str">
        <f>IF(COUNTIF($A$2:A124, A124) = 1, A124, "")</f>
        <v/>
      </c>
    </row>
    <row r="126" spans="6:38" x14ac:dyDescent="0.2">
      <c r="F126" t="str">
        <f t="shared" si="16"/>
        <v/>
      </c>
      <c r="L126" s="7" t="str">
        <f t="shared" si="17"/>
        <v/>
      </c>
      <c r="N126" s="7" t="str">
        <f t="shared" si="18"/>
        <v/>
      </c>
      <c r="O126" t="str">
        <f t="shared" si="19"/>
        <v/>
      </c>
      <c r="P126" t="str">
        <f t="shared" si="21"/>
        <v/>
      </c>
      <c r="Q126" t="str">
        <f t="shared" si="20"/>
        <v/>
      </c>
      <c r="S126" t="str">
        <f>""</f>
        <v/>
      </c>
      <c r="AL126" s="18" t="str">
        <f>IF(COUNTIF($A$2:A125, A125) = 1, A125, "")</f>
        <v/>
      </c>
    </row>
    <row r="127" spans="6:38" x14ac:dyDescent="0.2">
      <c r="F127" t="str">
        <f t="shared" si="16"/>
        <v/>
      </c>
      <c r="L127" s="7" t="str">
        <f t="shared" si="17"/>
        <v/>
      </c>
      <c r="N127" s="7" t="str">
        <f t="shared" si="18"/>
        <v/>
      </c>
      <c r="O127" t="str">
        <f t="shared" si="19"/>
        <v/>
      </c>
      <c r="P127" t="str">
        <f t="shared" si="21"/>
        <v/>
      </c>
      <c r="Q127" t="str">
        <f t="shared" si="20"/>
        <v/>
      </c>
      <c r="S127" t="str">
        <f>""</f>
        <v/>
      </c>
      <c r="AL127" s="18" t="str">
        <f>IF(COUNTIF($A$2:A126, A126) = 1, A126, "")</f>
        <v/>
      </c>
    </row>
    <row r="128" spans="6:38" x14ac:dyDescent="0.2">
      <c r="F128" t="str">
        <f t="shared" si="16"/>
        <v/>
      </c>
      <c r="L128" s="7" t="str">
        <f t="shared" si="17"/>
        <v/>
      </c>
      <c r="N128" s="7" t="str">
        <f t="shared" si="18"/>
        <v/>
      </c>
      <c r="O128" t="str">
        <f t="shared" si="19"/>
        <v/>
      </c>
      <c r="P128" t="str">
        <f t="shared" si="21"/>
        <v/>
      </c>
      <c r="Q128" t="str">
        <f t="shared" si="20"/>
        <v/>
      </c>
      <c r="S128" t="str">
        <f>""</f>
        <v/>
      </c>
      <c r="AL128" s="18" t="str">
        <f>IF(COUNTIF($A$2:A127, A127) = 1, A127, "")</f>
        <v/>
      </c>
    </row>
    <row r="129" spans="6:38" x14ac:dyDescent="0.2">
      <c r="F129" t="str">
        <f t="shared" si="16"/>
        <v/>
      </c>
      <c r="L129" s="7" t="str">
        <f t="shared" si="17"/>
        <v/>
      </c>
      <c r="N129" s="7" t="str">
        <f t="shared" si="18"/>
        <v/>
      </c>
      <c r="O129" t="str">
        <f t="shared" si="19"/>
        <v/>
      </c>
      <c r="P129" t="str">
        <f t="shared" si="21"/>
        <v/>
      </c>
      <c r="Q129" t="str">
        <f t="shared" si="20"/>
        <v/>
      </c>
      <c r="S129" t="str">
        <f>""</f>
        <v/>
      </c>
      <c r="AL129" s="18" t="str">
        <f>IF(COUNTIF($A$2:A128, A128) = 1, A128, "")</f>
        <v/>
      </c>
    </row>
    <row r="130" spans="6:38" x14ac:dyDescent="0.2">
      <c r="F130" t="str">
        <f t="shared" ref="F130:F143" si="22">IF(OR(O130="", P130=""), "", SUM(IF((O130&lt;&gt;"None")*(O130&lt;&gt;""),LEN(O130)-LEN(SUBSTITUTE(O130,",",""))+1,0)) + SUM(IF((P130&lt;&gt;"None")*(P130&lt;&gt;""),LEN(P130)-LEN(SUBSTITUTE(P130,",",""))+1,0)))</f>
        <v/>
      </c>
      <c r="L130" s="7" t="str">
        <f t="shared" ref="L130:L143" si="23">IF(LEN(E130)=0, "", IFERROR(IF(E130&gt;=0, K130 * (1 + E130/100) - K130, K130 / (ABS(E130)/100))+K130, ""))</f>
        <v/>
      </c>
      <c r="N130" s="7" t="str">
        <f t="shared" ref="N130:N143" si="24">IF(M130="Yes",L130-K130,IF(M130="No",-K130,""))</f>
        <v/>
      </c>
      <c r="O130" t="str">
        <f t="shared" ref="O130:O143" si="25">IF(AND(G130="No",H130="No"), "None", "")</f>
        <v/>
      </c>
      <c r="P130" t="str">
        <f t="shared" si="21"/>
        <v/>
      </c>
      <c r="Q130" t="str">
        <f t="shared" ref="Q130:Q143" si="26">IF(AND(D130="Straight", M130 = "No"),IF(O130="None",P130,IF(P130="None",O130) ),"")</f>
        <v/>
      </c>
      <c r="S130" t="str">
        <f>""</f>
        <v/>
      </c>
      <c r="AL130" s="18" t="str">
        <f>IF(COUNTIF($A$2:A129, A129) = 1, A129, "")</f>
        <v/>
      </c>
    </row>
    <row r="131" spans="6:38" x14ac:dyDescent="0.2">
      <c r="F131" t="str">
        <f t="shared" si="22"/>
        <v/>
      </c>
      <c r="L131" s="7" t="str">
        <f t="shared" si="23"/>
        <v/>
      </c>
      <c r="N131" s="7" t="str">
        <f t="shared" si="24"/>
        <v/>
      </c>
      <c r="O131" t="str">
        <f t="shared" si="25"/>
        <v/>
      </c>
      <c r="P131" t="str">
        <f t="shared" si="21"/>
        <v/>
      </c>
      <c r="Q131" t="str">
        <f t="shared" si="26"/>
        <v/>
      </c>
      <c r="S131" t="str">
        <f>""</f>
        <v/>
      </c>
      <c r="AL131" s="18" t="str">
        <f>IF(COUNTIF($A$2:A130, A130) = 1, A130, "")</f>
        <v/>
      </c>
    </row>
    <row r="132" spans="6:38" x14ac:dyDescent="0.2">
      <c r="F132" t="str">
        <f t="shared" si="22"/>
        <v/>
      </c>
      <c r="L132" s="7" t="str">
        <f t="shared" si="23"/>
        <v/>
      </c>
      <c r="N132" s="7" t="str">
        <f t="shared" si="24"/>
        <v/>
      </c>
      <c r="O132" t="str">
        <f t="shared" si="25"/>
        <v/>
      </c>
      <c r="P132" t="str">
        <f t="shared" si="21"/>
        <v/>
      </c>
      <c r="Q132" t="str">
        <f t="shared" si="26"/>
        <v/>
      </c>
      <c r="S132" t="str">
        <f>""</f>
        <v/>
      </c>
      <c r="AL132" s="18" t="str">
        <f>IF(COUNTIF($A$2:A131, A131) = 1, A131, "")</f>
        <v/>
      </c>
    </row>
    <row r="133" spans="6:38" x14ac:dyDescent="0.2">
      <c r="F133" t="str">
        <f t="shared" si="22"/>
        <v/>
      </c>
      <c r="L133" s="7" t="str">
        <f t="shared" si="23"/>
        <v/>
      </c>
      <c r="N133" s="7" t="str">
        <f t="shared" si="24"/>
        <v/>
      </c>
      <c r="O133" t="str">
        <f t="shared" si="25"/>
        <v/>
      </c>
      <c r="P133" t="str">
        <f t="shared" si="21"/>
        <v/>
      </c>
      <c r="Q133" t="str">
        <f t="shared" si="26"/>
        <v/>
      </c>
      <c r="S133" t="str">
        <f>""</f>
        <v/>
      </c>
      <c r="AL133" s="18" t="str">
        <f>IF(COUNTIF($A$2:A132, A132) = 1, A132, "")</f>
        <v/>
      </c>
    </row>
    <row r="134" spans="6:38" x14ac:dyDescent="0.2">
      <c r="F134" t="str">
        <f t="shared" si="22"/>
        <v/>
      </c>
      <c r="L134" s="7" t="str">
        <f t="shared" si="23"/>
        <v/>
      </c>
      <c r="N134" s="7" t="str">
        <f t="shared" si="24"/>
        <v/>
      </c>
      <c r="O134" t="str">
        <f t="shared" si="25"/>
        <v/>
      </c>
      <c r="P134" t="str">
        <f t="shared" si="21"/>
        <v/>
      </c>
      <c r="Q134" t="str">
        <f t="shared" si="26"/>
        <v/>
      </c>
      <c r="S134" t="str">
        <f>""</f>
        <v/>
      </c>
      <c r="AL134" s="18" t="str">
        <f>IF(COUNTIF($A$2:A133, A133) = 1, A133, "")</f>
        <v/>
      </c>
    </row>
    <row r="135" spans="6:38" x14ac:dyDescent="0.2">
      <c r="F135" t="str">
        <f t="shared" si="22"/>
        <v/>
      </c>
      <c r="L135" s="7" t="str">
        <f t="shared" si="23"/>
        <v/>
      </c>
      <c r="N135" s="7" t="str">
        <f t="shared" si="24"/>
        <v/>
      </c>
      <c r="O135" t="str">
        <f t="shared" si="25"/>
        <v/>
      </c>
      <c r="P135" t="str">
        <f t="shared" si="21"/>
        <v/>
      </c>
      <c r="Q135" t="str">
        <f t="shared" si="26"/>
        <v/>
      </c>
      <c r="S135" t="str">
        <f>""</f>
        <v/>
      </c>
      <c r="AL135" s="18" t="str">
        <f>IF(COUNTIF($A$2:A134, A134) = 1, A134, "")</f>
        <v/>
      </c>
    </row>
    <row r="136" spans="6:38" x14ac:dyDescent="0.2">
      <c r="F136" t="str">
        <f t="shared" si="22"/>
        <v/>
      </c>
      <c r="L136" s="7" t="str">
        <f t="shared" si="23"/>
        <v/>
      </c>
      <c r="N136" s="7" t="str">
        <f t="shared" si="24"/>
        <v/>
      </c>
      <c r="O136" t="str">
        <f t="shared" si="25"/>
        <v/>
      </c>
      <c r="P136" t="str">
        <f t="shared" si="21"/>
        <v/>
      </c>
      <c r="Q136" t="str">
        <f t="shared" si="26"/>
        <v/>
      </c>
      <c r="S136" t="str">
        <f>""</f>
        <v/>
      </c>
      <c r="AL136" s="18" t="str">
        <f>IF(COUNTIF($A$2:A135, A135) = 1, A135, "")</f>
        <v/>
      </c>
    </row>
    <row r="137" spans="6:38" x14ac:dyDescent="0.2">
      <c r="F137" t="str">
        <f t="shared" si="22"/>
        <v/>
      </c>
      <c r="L137" s="7" t="str">
        <f t="shared" si="23"/>
        <v/>
      </c>
      <c r="N137" s="7" t="str">
        <f t="shared" si="24"/>
        <v/>
      </c>
      <c r="O137" t="str">
        <f t="shared" si="25"/>
        <v/>
      </c>
      <c r="P137" t="str">
        <f t="shared" si="21"/>
        <v/>
      </c>
      <c r="Q137" t="str">
        <f t="shared" si="26"/>
        <v/>
      </c>
      <c r="S137" t="str">
        <f>""</f>
        <v/>
      </c>
      <c r="AL137" s="18" t="str">
        <f>IF(COUNTIF($A$2:A136, A136) = 1, A136, "")</f>
        <v/>
      </c>
    </row>
    <row r="138" spans="6:38" x14ac:dyDescent="0.2">
      <c r="F138" t="str">
        <f t="shared" si="22"/>
        <v/>
      </c>
      <c r="L138" s="7" t="str">
        <f t="shared" si="23"/>
        <v/>
      </c>
      <c r="N138" s="7" t="str">
        <f t="shared" si="24"/>
        <v/>
      </c>
      <c r="O138" t="str">
        <f t="shared" si="25"/>
        <v/>
      </c>
      <c r="P138" t="str">
        <f t="shared" si="21"/>
        <v/>
      </c>
      <c r="Q138" t="str">
        <f t="shared" si="26"/>
        <v/>
      </c>
      <c r="S138" t="str">
        <f>""</f>
        <v/>
      </c>
      <c r="AL138" s="18" t="str">
        <f>IF(COUNTIF($A$2:A137, A137) = 1, A137, "")</f>
        <v/>
      </c>
    </row>
    <row r="139" spans="6:38" x14ac:dyDescent="0.2">
      <c r="F139" t="str">
        <f t="shared" si="22"/>
        <v/>
      </c>
      <c r="L139" s="7" t="str">
        <f t="shared" si="23"/>
        <v/>
      </c>
      <c r="N139" s="7" t="str">
        <f t="shared" si="24"/>
        <v/>
      </c>
      <c r="O139" t="str">
        <f t="shared" si="25"/>
        <v/>
      </c>
      <c r="P139" t="str">
        <f t="shared" si="21"/>
        <v/>
      </c>
      <c r="Q139" t="str">
        <f t="shared" si="26"/>
        <v/>
      </c>
      <c r="S139" t="str">
        <f>""</f>
        <v/>
      </c>
      <c r="AL139" s="18" t="str">
        <f>IF(COUNTIF($A$2:A138, A138) = 1, A138, "")</f>
        <v/>
      </c>
    </row>
    <row r="140" spans="6:38" x14ac:dyDescent="0.2">
      <c r="F140" t="str">
        <f t="shared" si="22"/>
        <v/>
      </c>
      <c r="L140" s="7" t="str">
        <f t="shared" si="23"/>
        <v/>
      </c>
      <c r="N140" s="7" t="str">
        <f t="shared" si="24"/>
        <v/>
      </c>
      <c r="O140" t="str">
        <f t="shared" si="25"/>
        <v/>
      </c>
      <c r="P140" t="str">
        <f t="shared" si="21"/>
        <v/>
      </c>
      <c r="Q140" t="str">
        <f t="shared" si="26"/>
        <v/>
      </c>
      <c r="S140" t="str">
        <f>""</f>
        <v/>
      </c>
      <c r="AL140" s="18" t="str">
        <f>IF(COUNTIF($A$2:A139, A139) = 1, A139, "")</f>
        <v/>
      </c>
    </row>
    <row r="141" spans="6:38" x14ac:dyDescent="0.2">
      <c r="F141" t="str">
        <f t="shared" si="22"/>
        <v/>
      </c>
      <c r="L141" s="7" t="str">
        <f t="shared" si="23"/>
        <v/>
      </c>
      <c r="N141" s="7" t="str">
        <f t="shared" si="24"/>
        <v/>
      </c>
      <c r="O141" t="str">
        <f t="shared" si="25"/>
        <v/>
      </c>
      <c r="P141" t="str">
        <f t="shared" si="21"/>
        <v/>
      </c>
      <c r="Q141" t="str">
        <f t="shared" si="26"/>
        <v/>
      </c>
      <c r="S141" t="str">
        <f>""</f>
        <v/>
      </c>
      <c r="AL141" s="18" t="str">
        <f>IF(COUNTIF($A$2:A140, A140) = 1, A140, "")</f>
        <v/>
      </c>
    </row>
    <row r="142" spans="6:38" x14ac:dyDescent="0.2">
      <c r="F142" t="str">
        <f t="shared" si="22"/>
        <v/>
      </c>
      <c r="L142" s="7" t="str">
        <f t="shared" si="23"/>
        <v/>
      </c>
      <c r="N142" s="7" t="str">
        <f t="shared" si="24"/>
        <v/>
      </c>
      <c r="O142" t="str">
        <f t="shared" si="25"/>
        <v/>
      </c>
      <c r="P142" t="str">
        <f t="shared" si="21"/>
        <v/>
      </c>
      <c r="Q142" t="str">
        <f t="shared" si="26"/>
        <v/>
      </c>
      <c r="S142" t="str">
        <f>""</f>
        <v/>
      </c>
      <c r="AL142" s="18" t="str">
        <f>IF(COUNTIF($A$2:A141, A141) = 1, A141, "")</f>
        <v/>
      </c>
    </row>
    <row r="143" spans="6:38" x14ac:dyDescent="0.2">
      <c r="F143" t="str">
        <f t="shared" si="22"/>
        <v/>
      </c>
      <c r="L143" s="7" t="str">
        <f t="shared" si="23"/>
        <v/>
      </c>
      <c r="N143" s="7" t="str">
        <f t="shared" si="24"/>
        <v/>
      </c>
      <c r="O143" t="str">
        <f t="shared" si="25"/>
        <v/>
      </c>
      <c r="P143" t="str">
        <f t="shared" si="21"/>
        <v/>
      </c>
      <c r="Q143" t="str">
        <f t="shared" si="26"/>
        <v/>
      </c>
      <c r="S143" t="str">
        <f>""</f>
        <v/>
      </c>
      <c r="AL143" s="18" t="str">
        <f>IF(COUNTIF($A$2:A142, A142) = 1, A142, "")</f>
        <v/>
      </c>
    </row>
    <row r="144" spans="6:38" x14ac:dyDescent="0.2">
      <c r="F144" t="str">
        <f t="shared" ref="F144:F207" si="27">IF(OR(O144="", P144=""), "", SUM(IF((O144&lt;&gt;"None")*(O144&lt;&gt;""),LEN(O144)-LEN(SUBSTITUTE(O144,",",""))+1,0)) + SUM(IF((P144&lt;&gt;"None")*(P144&lt;&gt;""),LEN(P144)-LEN(SUBSTITUTE(P144,",",""))+1,0)))</f>
        <v/>
      </c>
      <c r="L144" s="7" t="str">
        <f t="shared" ref="L144:L207" si="28">IF(LEN(E144)=0, "", IFERROR(IF(E144&gt;=0, K144 * (1 + E144/100) - K144, K144 / (ABS(E144)/100))+K144, ""))</f>
        <v/>
      </c>
      <c r="N144" s="7" t="str">
        <f t="shared" ref="N144:N207" si="29">IF(M144="Yes",L144-K144,IF(M144="No",-K144,""))</f>
        <v/>
      </c>
      <c r="O144" t="str">
        <f t="shared" ref="O144:O207" si="30">IF(AND(G144="No",H144="No"), "None", "")</f>
        <v/>
      </c>
      <c r="P144" t="str">
        <f t="shared" ref="P144:P207" si="31">IF(I144="No", "None", "")</f>
        <v/>
      </c>
      <c r="Q144" t="str">
        <f t="shared" ref="Q144:Q207" si="32">IF(AND(D144="Straight", M144 = "No"),IF(O144="None",P144,IF(P144="None",O144) ),"")</f>
        <v/>
      </c>
      <c r="S144" t="str">
        <f>""</f>
        <v/>
      </c>
      <c r="AL144" s="18" t="str">
        <f>IF(COUNTIF($A$2:A143, A143) = 1, A143, "")</f>
        <v/>
      </c>
    </row>
    <row r="145" spans="6:38" x14ac:dyDescent="0.2">
      <c r="F145" t="str">
        <f t="shared" si="27"/>
        <v/>
      </c>
      <c r="L145" s="7" t="str">
        <f t="shared" si="28"/>
        <v/>
      </c>
      <c r="N145" s="7" t="str">
        <f t="shared" si="29"/>
        <v/>
      </c>
      <c r="O145" t="str">
        <f t="shared" si="30"/>
        <v/>
      </c>
      <c r="P145" t="str">
        <f t="shared" si="31"/>
        <v/>
      </c>
      <c r="Q145" t="str">
        <f t="shared" si="32"/>
        <v/>
      </c>
      <c r="S145" t="str">
        <f>""</f>
        <v/>
      </c>
      <c r="AL145" s="18" t="str">
        <f>IF(COUNTIF($A$2:A144, A144) = 1, A144, "")</f>
        <v/>
      </c>
    </row>
    <row r="146" spans="6:38" x14ac:dyDescent="0.2">
      <c r="F146" t="str">
        <f t="shared" si="27"/>
        <v/>
      </c>
      <c r="L146" s="7" t="str">
        <f t="shared" si="28"/>
        <v/>
      </c>
      <c r="N146" s="7" t="str">
        <f t="shared" si="29"/>
        <v/>
      </c>
      <c r="O146" t="str">
        <f t="shared" si="30"/>
        <v/>
      </c>
      <c r="P146" t="str">
        <f t="shared" si="31"/>
        <v/>
      </c>
      <c r="Q146" t="str">
        <f t="shared" si="32"/>
        <v/>
      </c>
      <c r="S146" t="str">
        <f>""</f>
        <v/>
      </c>
      <c r="AL146" s="18" t="str">
        <f>IF(COUNTIF($A$2:A145, A145) = 1, A145, "")</f>
        <v/>
      </c>
    </row>
    <row r="147" spans="6:38" x14ac:dyDescent="0.2">
      <c r="F147" t="str">
        <f t="shared" si="27"/>
        <v/>
      </c>
      <c r="L147" s="7" t="str">
        <f t="shared" si="28"/>
        <v/>
      </c>
      <c r="N147" s="7" t="str">
        <f t="shared" si="29"/>
        <v/>
      </c>
      <c r="O147" t="str">
        <f t="shared" si="30"/>
        <v/>
      </c>
      <c r="P147" t="str">
        <f t="shared" si="31"/>
        <v/>
      </c>
      <c r="Q147" t="str">
        <f t="shared" si="32"/>
        <v/>
      </c>
      <c r="S147" t="str">
        <f>""</f>
        <v/>
      </c>
      <c r="AL147" s="18" t="str">
        <f>IF(COUNTIF($A$2:A146, A146) = 1, A146, "")</f>
        <v/>
      </c>
    </row>
    <row r="148" spans="6:38" x14ac:dyDescent="0.2">
      <c r="F148" t="str">
        <f t="shared" si="27"/>
        <v/>
      </c>
      <c r="L148" s="7" t="str">
        <f t="shared" si="28"/>
        <v/>
      </c>
      <c r="N148" s="7" t="str">
        <f t="shared" si="29"/>
        <v/>
      </c>
      <c r="O148" t="str">
        <f t="shared" si="30"/>
        <v/>
      </c>
      <c r="P148" t="str">
        <f t="shared" si="31"/>
        <v/>
      </c>
      <c r="Q148" t="str">
        <f t="shared" si="32"/>
        <v/>
      </c>
      <c r="S148" t="str">
        <f>""</f>
        <v/>
      </c>
      <c r="AL148" s="18" t="str">
        <f>IF(COUNTIF($A$2:A147, A147) = 1, A147, "")</f>
        <v/>
      </c>
    </row>
    <row r="149" spans="6:38" x14ac:dyDescent="0.2">
      <c r="F149" t="str">
        <f t="shared" si="27"/>
        <v/>
      </c>
      <c r="L149" s="7" t="str">
        <f t="shared" si="28"/>
        <v/>
      </c>
      <c r="N149" s="7" t="str">
        <f t="shared" si="29"/>
        <v/>
      </c>
      <c r="O149" t="str">
        <f t="shared" si="30"/>
        <v/>
      </c>
      <c r="P149" t="str">
        <f t="shared" si="31"/>
        <v/>
      </c>
      <c r="Q149" t="str">
        <f t="shared" si="32"/>
        <v/>
      </c>
      <c r="S149" t="str">
        <f>""</f>
        <v/>
      </c>
      <c r="AL149" s="18" t="str">
        <f>IF(COUNTIF($A$2:A148, A148) = 1, A148, "")</f>
        <v/>
      </c>
    </row>
    <row r="150" spans="6:38" x14ac:dyDescent="0.2">
      <c r="F150" t="str">
        <f t="shared" si="27"/>
        <v/>
      </c>
      <c r="L150" s="7" t="str">
        <f t="shared" si="28"/>
        <v/>
      </c>
      <c r="N150" s="7" t="str">
        <f t="shared" si="29"/>
        <v/>
      </c>
      <c r="O150" t="str">
        <f t="shared" si="30"/>
        <v/>
      </c>
      <c r="P150" t="str">
        <f t="shared" si="31"/>
        <v/>
      </c>
      <c r="Q150" t="str">
        <f t="shared" si="32"/>
        <v/>
      </c>
      <c r="S150" t="str">
        <f>""</f>
        <v/>
      </c>
      <c r="AL150" s="18" t="str">
        <f>IF(COUNTIF($A$2:A149, A149) = 1, A149, "")</f>
        <v/>
      </c>
    </row>
    <row r="151" spans="6:38" x14ac:dyDescent="0.2">
      <c r="F151" t="str">
        <f t="shared" si="27"/>
        <v/>
      </c>
      <c r="L151" s="7" t="str">
        <f t="shared" si="28"/>
        <v/>
      </c>
      <c r="N151" s="7" t="str">
        <f t="shared" si="29"/>
        <v/>
      </c>
      <c r="O151" t="str">
        <f t="shared" si="30"/>
        <v/>
      </c>
      <c r="P151" t="str">
        <f t="shared" si="31"/>
        <v/>
      </c>
      <c r="Q151" t="str">
        <f t="shared" si="32"/>
        <v/>
      </c>
      <c r="S151" t="str">
        <f>""</f>
        <v/>
      </c>
      <c r="AL151" s="18" t="str">
        <f>IF(COUNTIF($A$2:A150, A150) = 1, A150, "")</f>
        <v/>
      </c>
    </row>
    <row r="152" spans="6:38" x14ac:dyDescent="0.2">
      <c r="F152" t="str">
        <f t="shared" si="27"/>
        <v/>
      </c>
      <c r="L152" s="7" t="str">
        <f t="shared" si="28"/>
        <v/>
      </c>
      <c r="N152" s="7" t="str">
        <f t="shared" si="29"/>
        <v/>
      </c>
      <c r="O152" t="str">
        <f t="shared" si="30"/>
        <v/>
      </c>
      <c r="P152" t="str">
        <f t="shared" si="31"/>
        <v/>
      </c>
      <c r="Q152" t="str">
        <f t="shared" si="32"/>
        <v/>
      </c>
      <c r="S152" t="str">
        <f>""</f>
        <v/>
      </c>
      <c r="AL152" s="18" t="str">
        <f>IF(COUNTIF($A$2:A151, A151) = 1, A151, "")</f>
        <v/>
      </c>
    </row>
    <row r="153" spans="6:38" x14ac:dyDescent="0.2">
      <c r="F153" t="str">
        <f t="shared" si="27"/>
        <v/>
      </c>
      <c r="L153" s="7" t="str">
        <f t="shared" si="28"/>
        <v/>
      </c>
      <c r="N153" s="7" t="str">
        <f t="shared" si="29"/>
        <v/>
      </c>
      <c r="O153" t="str">
        <f t="shared" si="30"/>
        <v/>
      </c>
      <c r="P153" t="str">
        <f t="shared" si="31"/>
        <v/>
      </c>
      <c r="Q153" t="str">
        <f t="shared" si="32"/>
        <v/>
      </c>
      <c r="S153" t="str">
        <f>""</f>
        <v/>
      </c>
      <c r="AL153" s="18" t="str">
        <f>IF(COUNTIF($A$2:A152, A152) = 1, A152, "")</f>
        <v/>
      </c>
    </row>
    <row r="154" spans="6:38" x14ac:dyDescent="0.2">
      <c r="F154" t="str">
        <f t="shared" si="27"/>
        <v/>
      </c>
      <c r="L154" s="7" t="str">
        <f t="shared" si="28"/>
        <v/>
      </c>
      <c r="N154" s="7" t="str">
        <f t="shared" si="29"/>
        <v/>
      </c>
      <c r="O154" t="str">
        <f t="shared" si="30"/>
        <v/>
      </c>
      <c r="P154" t="str">
        <f t="shared" si="31"/>
        <v/>
      </c>
      <c r="Q154" t="str">
        <f t="shared" si="32"/>
        <v/>
      </c>
      <c r="S154" t="str">
        <f>""</f>
        <v/>
      </c>
      <c r="AL154" s="18" t="str">
        <f>IF(COUNTIF($A$2:A153, A153) = 1, A153, "")</f>
        <v/>
      </c>
    </row>
    <row r="155" spans="6:38" x14ac:dyDescent="0.2">
      <c r="F155" t="str">
        <f t="shared" si="27"/>
        <v/>
      </c>
      <c r="L155" s="7" t="str">
        <f t="shared" si="28"/>
        <v/>
      </c>
      <c r="N155" s="7" t="str">
        <f t="shared" si="29"/>
        <v/>
      </c>
      <c r="O155" t="str">
        <f t="shared" si="30"/>
        <v/>
      </c>
      <c r="P155" t="str">
        <f t="shared" si="31"/>
        <v/>
      </c>
      <c r="Q155" t="str">
        <f t="shared" si="32"/>
        <v/>
      </c>
      <c r="S155" t="str">
        <f>""</f>
        <v/>
      </c>
      <c r="AL155" s="18" t="str">
        <f>IF(COUNTIF($A$2:A154, A154) = 1, A154, "")</f>
        <v/>
      </c>
    </row>
    <row r="156" spans="6:38" x14ac:dyDescent="0.2">
      <c r="F156" t="str">
        <f t="shared" si="27"/>
        <v/>
      </c>
      <c r="L156" s="7" t="str">
        <f t="shared" si="28"/>
        <v/>
      </c>
      <c r="N156" s="7" t="str">
        <f t="shared" si="29"/>
        <v/>
      </c>
      <c r="O156" t="str">
        <f t="shared" si="30"/>
        <v/>
      </c>
      <c r="P156" t="str">
        <f t="shared" si="31"/>
        <v/>
      </c>
      <c r="Q156" t="str">
        <f t="shared" si="32"/>
        <v/>
      </c>
      <c r="S156" t="str">
        <f>""</f>
        <v/>
      </c>
      <c r="AL156" s="18" t="str">
        <f>IF(COUNTIF($A$2:A155, A155) = 1, A155, "")</f>
        <v/>
      </c>
    </row>
    <row r="157" spans="6:38" x14ac:dyDescent="0.2">
      <c r="F157" t="str">
        <f t="shared" si="27"/>
        <v/>
      </c>
      <c r="L157" s="7" t="str">
        <f t="shared" si="28"/>
        <v/>
      </c>
      <c r="N157" s="7" t="str">
        <f t="shared" si="29"/>
        <v/>
      </c>
      <c r="O157" t="str">
        <f t="shared" si="30"/>
        <v/>
      </c>
      <c r="P157" t="str">
        <f t="shared" si="31"/>
        <v/>
      </c>
      <c r="Q157" t="str">
        <f t="shared" si="32"/>
        <v/>
      </c>
      <c r="S157" t="str">
        <f>""</f>
        <v/>
      </c>
      <c r="AL157" s="18" t="str">
        <f>IF(COUNTIF($A$2:A156, A156) = 1, A156, "")</f>
        <v/>
      </c>
    </row>
    <row r="158" spans="6:38" x14ac:dyDescent="0.2">
      <c r="F158" t="str">
        <f t="shared" si="27"/>
        <v/>
      </c>
      <c r="L158" s="7" t="str">
        <f t="shared" si="28"/>
        <v/>
      </c>
      <c r="N158" s="7" t="str">
        <f t="shared" si="29"/>
        <v/>
      </c>
      <c r="O158" t="str">
        <f t="shared" si="30"/>
        <v/>
      </c>
      <c r="P158" t="str">
        <f t="shared" si="31"/>
        <v/>
      </c>
      <c r="Q158" t="str">
        <f t="shared" si="32"/>
        <v/>
      </c>
      <c r="S158" t="str">
        <f>""</f>
        <v/>
      </c>
      <c r="AL158" s="18" t="str">
        <f>IF(COUNTIF($A$2:A157, A157) = 1, A157, "")</f>
        <v/>
      </c>
    </row>
    <row r="159" spans="6:38" x14ac:dyDescent="0.2">
      <c r="F159" t="str">
        <f t="shared" si="27"/>
        <v/>
      </c>
      <c r="L159" s="7" t="str">
        <f t="shared" si="28"/>
        <v/>
      </c>
      <c r="N159" s="7" t="str">
        <f t="shared" si="29"/>
        <v/>
      </c>
      <c r="O159" t="str">
        <f t="shared" si="30"/>
        <v/>
      </c>
      <c r="P159" t="str">
        <f t="shared" si="31"/>
        <v/>
      </c>
      <c r="Q159" t="str">
        <f t="shared" si="32"/>
        <v/>
      </c>
      <c r="S159" t="str">
        <f>""</f>
        <v/>
      </c>
      <c r="AL159" s="18" t="str">
        <f>IF(COUNTIF($A$2:A158, A158) = 1, A158, "")</f>
        <v/>
      </c>
    </row>
    <row r="160" spans="6:38" x14ac:dyDescent="0.2">
      <c r="F160" t="str">
        <f t="shared" si="27"/>
        <v/>
      </c>
      <c r="L160" s="7" t="str">
        <f t="shared" si="28"/>
        <v/>
      </c>
      <c r="N160" s="7" t="str">
        <f t="shared" si="29"/>
        <v/>
      </c>
      <c r="O160" t="str">
        <f t="shared" si="30"/>
        <v/>
      </c>
      <c r="P160" t="str">
        <f t="shared" si="31"/>
        <v/>
      </c>
      <c r="Q160" t="str">
        <f t="shared" si="32"/>
        <v/>
      </c>
      <c r="S160" t="str">
        <f>""</f>
        <v/>
      </c>
      <c r="AL160" s="18" t="str">
        <f>IF(COUNTIF($A$2:A159, A159) = 1, A159, "")</f>
        <v/>
      </c>
    </row>
    <row r="161" spans="6:38" x14ac:dyDescent="0.2">
      <c r="F161" t="str">
        <f t="shared" si="27"/>
        <v/>
      </c>
      <c r="L161" s="7" t="str">
        <f t="shared" si="28"/>
        <v/>
      </c>
      <c r="N161" s="7" t="str">
        <f t="shared" si="29"/>
        <v/>
      </c>
      <c r="O161" t="str">
        <f t="shared" si="30"/>
        <v/>
      </c>
      <c r="P161" t="str">
        <f t="shared" si="31"/>
        <v/>
      </c>
      <c r="Q161" t="str">
        <f t="shared" si="32"/>
        <v/>
      </c>
      <c r="S161" t="str">
        <f>""</f>
        <v/>
      </c>
      <c r="AL161" s="18" t="str">
        <f>IF(COUNTIF($A$2:A160, A160) = 1, A160, "")</f>
        <v/>
      </c>
    </row>
    <row r="162" spans="6:38" x14ac:dyDescent="0.2">
      <c r="F162" t="str">
        <f t="shared" si="27"/>
        <v/>
      </c>
      <c r="L162" s="7" t="str">
        <f t="shared" si="28"/>
        <v/>
      </c>
      <c r="N162" s="7" t="str">
        <f t="shared" si="29"/>
        <v/>
      </c>
      <c r="O162" t="str">
        <f t="shared" si="30"/>
        <v/>
      </c>
      <c r="P162" t="str">
        <f t="shared" si="31"/>
        <v/>
      </c>
      <c r="Q162" t="str">
        <f t="shared" si="32"/>
        <v/>
      </c>
      <c r="S162" t="str">
        <f>""</f>
        <v/>
      </c>
      <c r="AL162" s="18" t="str">
        <f>IF(COUNTIF($A$2:A161, A161) = 1, A161, "")</f>
        <v/>
      </c>
    </row>
    <row r="163" spans="6:38" x14ac:dyDescent="0.2">
      <c r="F163" t="str">
        <f t="shared" si="27"/>
        <v/>
      </c>
      <c r="L163" s="7" t="str">
        <f t="shared" si="28"/>
        <v/>
      </c>
      <c r="N163" s="7" t="str">
        <f t="shared" si="29"/>
        <v/>
      </c>
      <c r="O163" t="str">
        <f t="shared" si="30"/>
        <v/>
      </c>
      <c r="P163" t="str">
        <f t="shared" si="31"/>
        <v/>
      </c>
      <c r="Q163" t="str">
        <f t="shared" si="32"/>
        <v/>
      </c>
      <c r="S163" t="str">
        <f>""</f>
        <v/>
      </c>
      <c r="AL163" s="18" t="str">
        <f>IF(COUNTIF($A$2:A162, A162) = 1, A162, "")</f>
        <v/>
      </c>
    </row>
    <row r="164" spans="6:38" x14ac:dyDescent="0.2">
      <c r="F164" t="str">
        <f t="shared" si="27"/>
        <v/>
      </c>
      <c r="L164" s="7" t="str">
        <f t="shared" si="28"/>
        <v/>
      </c>
      <c r="N164" s="7" t="str">
        <f t="shared" si="29"/>
        <v/>
      </c>
      <c r="O164" t="str">
        <f t="shared" si="30"/>
        <v/>
      </c>
      <c r="P164" t="str">
        <f t="shared" si="31"/>
        <v/>
      </c>
      <c r="Q164" t="str">
        <f t="shared" si="32"/>
        <v/>
      </c>
      <c r="S164" t="str">
        <f>""</f>
        <v/>
      </c>
      <c r="AL164" s="18" t="str">
        <f>IF(COUNTIF($A$2:A163, A163) = 1, A163, "")</f>
        <v/>
      </c>
    </row>
    <row r="165" spans="6:38" x14ac:dyDescent="0.2">
      <c r="F165" t="str">
        <f t="shared" si="27"/>
        <v/>
      </c>
      <c r="L165" s="7" t="str">
        <f t="shared" si="28"/>
        <v/>
      </c>
      <c r="N165" s="7" t="str">
        <f t="shared" si="29"/>
        <v/>
      </c>
      <c r="O165" t="str">
        <f t="shared" si="30"/>
        <v/>
      </c>
      <c r="P165" t="str">
        <f t="shared" si="31"/>
        <v/>
      </c>
      <c r="Q165" t="str">
        <f t="shared" si="32"/>
        <v/>
      </c>
      <c r="S165" t="str">
        <f>""</f>
        <v/>
      </c>
      <c r="AL165" s="18" t="str">
        <f>IF(COUNTIF($A$2:A164, A164) = 1, A164, "")</f>
        <v/>
      </c>
    </row>
    <row r="166" spans="6:38" x14ac:dyDescent="0.2">
      <c r="F166" t="str">
        <f t="shared" si="27"/>
        <v/>
      </c>
      <c r="L166" s="7" t="str">
        <f t="shared" si="28"/>
        <v/>
      </c>
      <c r="N166" s="7" t="str">
        <f t="shared" si="29"/>
        <v/>
      </c>
      <c r="O166" t="str">
        <f t="shared" si="30"/>
        <v/>
      </c>
      <c r="P166" t="str">
        <f t="shared" si="31"/>
        <v/>
      </c>
      <c r="Q166" t="str">
        <f t="shared" si="32"/>
        <v/>
      </c>
      <c r="S166" t="str">
        <f>""</f>
        <v/>
      </c>
      <c r="AL166" s="18" t="str">
        <f>IF(COUNTIF($A$2:A165, A165) = 1, A165, "")</f>
        <v/>
      </c>
    </row>
    <row r="167" spans="6:38" x14ac:dyDescent="0.2">
      <c r="F167" t="str">
        <f t="shared" si="27"/>
        <v/>
      </c>
      <c r="L167" s="7" t="str">
        <f t="shared" si="28"/>
        <v/>
      </c>
      <c r="N167" s="7" t="str">
        <f t="shared" si="29"/>
        <v/>
      </c>
      <c r="O167" t="str">
        <f t="shared" si="30"/>
        <v/>
      </c>
      <c r="P167" t="str">
        <f t="shared" si="31"/>
        <v/>
      </c>
      <c r="Q167" t="str">
        <f t="shared" si="32"/>
        <v/>
      </c>
      <c r="S167" t="str">
        <f>""</f>
        <v/>
      </c>
      <c r="AL167" s="18" t="str">
        <f>IF(COUNTIF($A$2:A166, A166) = 1, A166, "")</f>
        <v/>
      </c>
    </row>
    <row r="168" spans="6:38" x14ac:dyDescent="0.2">
      <c r="F168" t="str">
        <f t="shared" si="27"/>
        <v/>
      </c>
      <c r="L168" s="7" t="str">
        <f t="shared" si="28"/>
        <v/>
      </c>
      <c r="N168" s="7" t="str">
        <f t="shared" si="29"/>
        <v/>
      </c>
      <c r="O168" t="str">
        <f t="shared" si="30"/>
        <v/>
      </c>
      <c r="P168" t="str">
        <f t="shared" si="31"/>
        <v/>
      </c>
      <c r="Q168" t="str">
        <f t="shared" si="32"/>
        <v/>
      </c>
      <c r="S168" t="str">
        <f>""</f>
        <v/>
      </c>
      <c r="AL168" s="18" t="str">
        <f>IF(COUNTIF($A$2:A167, A167) = 1, A167, "")</f>
        <v/>
      </c>
    </row>
    <row r="169" spans="6:38" x14ac:dyDescent="0.2">
      <c r="F169" t="str">
        <f t="shared" si="27"/>
        <v/>
      </c>
      <c r="L169" s="7" t="str">
        <f t="shared" si="28"/>
        <v/>
      </c>
      <c r="N169" s="7" t="str">
        <f t="shared" si="29"/>
        <v/>
      </c>
      <c r="O169" t="str">
        <f t="shared" si="30"/>
        <v/>
      </c>
      <c r="P169" t="str">
        <f t="shared" si="31"/>
        <v/>
      </c>
      <c r="Q169" t="str">
        <f t="shared" si="32"/>
        <v/>
      </c>
      <c r="S169" t="str">
        <f>""</f>
        <v/>
      </c>
      <c r="AL169" s="18" t="str">
        <f>IF(COUNTIF($A$2:A168, A168) = 1, A168, "")</f>
        <v/>
      </c>
    </row>
    <row r="170" spans="6:38" x14ac:dyDescent="0.2">
      <c r="F170" t="str">
        <f t="shared" si="27"/>
        <v/>
      </c>
      <c r="L170" s="7" t="str">
        <f t="shared" si="28"/>
        <v/>
      </c>
      <c r="N170" s="7" t="str">
        <f t="shared" si="29"/>
        <v/>
      </c>
      <c r="O170" t="str">
        <f t="shared" si="30"/>
        <v/>
      </c>
      <c r="P170" t="str">
        <f t="shared" si="31"/>
        <v/>
      </c>
      <c r="Q170" t="str">
        <f t="shared" si="32"/>
        <v/>
      </c>
      <c r="S170" t="str">
        <f>""</f>
        <v/>
      </c>
      <c r="AL170" s="18" t="str">
        <f>IF(COUNTIF($A$2:A169, A169) = 1, A169, "")</f>
        <v/>
      </c>
    </row>
    <row r="171" spans="6:38" x14ac:dyDescent="0.2">
      <c r="F171" t="str">
        <f t="shared" si="27"/>
        <v/>
      </c>
      <c r="L171" s="7" t="str">
        <f t="shared" si="28"/>
        <v/>
      </c>
      <c r="N171" s="7" t="str">
        <f t="shared" si="29"/>
        <v/>
      </c>
      <c r="O171" t="str">
        <f t="shared" si="30"/>
        <v/>
      </c>
      <c r="P171" t="str">
        <f t="shared" si="31"/>
        <v/>
      </c>
      <c r="Q171" t="str">
        <f t="shared" si="32"/>
        <v/>
      </c>
      <c r="S171" t="str">
        <f>""</f>
        <v/>
      </c>
      <c r="AL171" s="18" t="str">
        <f>IF(COUNTIF($A$2:A170, A170) = 1, A170, "")</f>
        <v/>
      </c>
    </row>
    <row r="172" spans="6:38" x14ac:dyDescent="0.2">
      <c r="F172" t="str">
        <f t="shared" si="27"/>
        <v/>
      </c>
      <c r="L172" s="7" t="str">
        <f t="shared" si="28"/>
        <v/>
      </c>
      <c r="N172" s="7" t="str">
        <f t="shared" si="29"/>
        <v/>
      </c>
      <c r="O172" t="str">
        <f t="shared" si="30"/>
        <v/>
      </c>
      <c r="P172" t="str">
        <f t="shared" si="31"/>
        <v/>
      </c>
      <c r="Q172" t="str">
        <f t="shared" si="32"/>
        <v/>
      </c>
      <c r="S172" t="str">
        <f>""</f>
        <v/>
      </c>
      <c r="AL172" s="18" t="str">
        <f>IF(COUNTIF($A$2:A171, A171) = 1, A171, "")</f>
        <v/>
      </c>
    </row>
    <row r="173" spans="6:38" x14ac:dyDescent="0.2">
      <c r="F173" t="str">
        <f t="shared" si="27"/>
        <v/>
      </c>
      <c r="L173" s="7" t="str">
        <f t="shared" si="28"/>
        <v/>
      </c>
      <c r="N173" s="7" t="str">
        <f t="shared" si="29"/>
        <v/>
      </c>
      <c r="O173" t="str">
        <f t="shared" si="30"/>
        <v/>
      </c>
      <c r="P173" t="str">
        <f t="shared" si="31"/>
        <v/>
      </c>
      <c r="Q173" t="str">
        <f t="shared" si="32"/>
        <v/>
      </c>
      <c r="S173" t="str">
        <f>""</f>
        <v/>
      </c>
      <c r="AL173" s="18" t="str">
        <f>IF(COUNTIF($A$2:A172, A172) = 1, A172, "")</f>
        <v/>
      </c>
    </row>
    <row r="174" spans="6:38" x14ac:dyDescent="0.2">
      <c r="F174" t="str">
        <f t="shared" si="27"/>
        <v/>
      </c>
      <c r="L174" s="7" t="str">
        <f t="shared" si="28"/>
        <v/>
      </c>
      <c r="N174" s="7" t="str">
        <f t="shared" si="29"/>
        <v/>
      </c>
      <c r="O174" t="str">
        <f t="shared" si="30"/>
        <v/>
      </c>
      <c r="P174" t="str">
        <f t="shared" si="31"/>
        <v/>
      </c>
      <c r="Q174" t="str">
        <f t="shared" si="32"/>
        <v/>
      </c>
      <c r="S174" t="str">
        <f>""</f>
        <v/>
      </c>
      <c r="AL174" s="18" t="str">
        <f>IF(COUNTIF($A$2:A173, A173) = 1, A173, "")</f>
        <v/>
      </c>
    </row>
    <row r="175" spans="6:38" x14ac:dyDescent="0.2">
      <c r="F175" t="str">
        <f t="shared" si="27"/>
        <v/>
      </c>
      <c r="L175" s="7" t="str">
        <f t="shared" si="28"/>
        <v/>
      </c>
      <c r="N175" s="7" t="str">
        <f t="shared" si="29"/>
        <v/>
      </c>
      <c r="O175" t="str">
        <f t="shared" si="30"/>
        <v/>
      </c>
      <c r="P175" t="str">
        <f t="shared" si="31"/>
        <v/>
      </c>
      <c r="Q175" t="str">
        <f t="shared" si="32"/>
        <v/>
      </c>
      <c r="S175" t="str">
        <f>""</f>
        <v/>
      </c>
      <c r="AL175" s="18" t="str">
        <f>IF(COUNTIF($A$2:A174, A174) = 1, A174, "")</f>
        <v/>
      </c>
    </row>
    <row r="176" spans="6:38" x14ac:dyDescent="0.2">
      <c r="F176" t="str">
        <f t="shared" si="27"/>
        <v/>
      </c>
      <c r="L176" s="7" t="str">
        <f t="shared" si="28"/>
        <v/>
      </c>
      <c r="N176" s="7" t="str">
        <f t="shared" si="29"/>
        <v/>
      </c>
      <c r="O176" t="str">
        <f t="shared" si="30"/>
        <v/>
      </c>
      <c r="P176" t="str">
        <f t="shared" si="31"/>
        <v/>
      </c>
      <c r="Q176" t="str">
        <f t="shared" si="32"/>
        <v/>
      </c>
      <c r="S176" t="str">
        <f>""</f>
        <v/>
      </c>
      <c r="AL176" s="18" t="str">
        <f>IF(COUNTIF($A$2:A175, A175) = 1, A175, "")</f>
        <v/>
      </c>
    </row>
    <row r="177" spans="6:38" x14ac:dyDescent="0.2">
      <c r="F177" t="str">
        <f t="shared" si="27"/>
        <v/>
      </c>
      <c r="L177" s="7" t="str">
        <f t="shared" si="28"/>
        <v/>
      </c>
      <c r="N177" s="7" t="str">
        <f t="shared" si="29"/>
        <v/>
      </c>
      <c r="O177" t="str">
        <f t="shared" si="30"/>
        <v/>
      </c>
      <c r="P177" t="str">
        <f t="shared" si="31"/>
        <v/>
      </c>
      <c r="Q177" t="str">
        <f t="shared" si="32"/>
        <v/>
      </c>
      <c r="S177" t="str">
        <f>""</f>
        <v/>
      </c>
      <c r="AL177" s="18" t="str">
        <f>IF(COUNTIF($A$2:A176, A176) = 1, A176, "")</f>
        <v/>
      </c>
    </row>
    <row r="178" spans="6:38" x14ac:dyDescent="0.2">
      <c r="F178" t="str">
        <f t="shared" si="27"/>
        <v/>
      </c>
      <c r="L178" s="7" t="str">
        <f t="shared" si="28"/>
        <v/>
      </c>
      <c r="N178" s="7" t="str">
        <f t="shared" si="29"/>
        <v/>
      </c>
      <c r="O178" t="str">
        <f t="shared" si="30"/>
        <v/>
      </c>
      <c r="P178" t="str">
        <f t="shared" si="31"/>
        <v/>
      </c>
      <c r="Q178" t="str">
        <f t="shared" si="32"/>
        <v/>
      </c>
      <c r="S178" t="str">
        <f>""</f>
        <v/>
      </c>
      <c r="AL178" s="18" t="str">
        <f>IF(COUNTIF($A$2:A177, A177) = 1, A177, "")</f>
        <v/>
      </c>
    </row>
    <row r="179" spans="6:38" x14ac:dyDescent="0.2">
      <c r="F179" t="str">
        <f t="shared" si="27"/>
        <v/>
      </c>
      <c r="L179" s="7" t="str">
        <f t="shared" si="28"/>
        <v/>
      </c>
      <c r="N179" s="7" t="str">
        <f t="shared" si="29"/>
        <v/>
      </c>
      <c r="O179" t="str">
        <f t="shared" si="30"/>
        <v/>
      </c>
      <c r="P179" t="str">
        <f t="shared" si="31"/>
        <v/>
      </c>
      <c r="Q179" t="str">
        <f t="shared" si="32"/>
        <v/>
      </c>
      <c r="S179" t="str">
        <f>""</f>
        <v/>
      </c>
      <c r="AL179" s="18" t="str">
        <f>IF(COUNTIF($A$2:A178, A178) = 1, A178, "")</f>
        <v/>
      </c>
    </row>
    <row r="180" spans="6:38" x14ac:dyDescent="0.2">
      <c r="F180" t="str">
        <f t="shared" si="27"/>
        <v/>
      </c>
      <c r="L180" s="7" t="str">
        <f t="shared" si="28"/>
        <v/>
      </c>
      <c r="N180" s="7" t="str">
        <f t="shared" si="29"/>
        <v/>
      </c>
      <c r="O180" t="str">
        <f t="shared" si="30"/>
        <v/>
      </c>
      <c r="P180" t="str">
        <f t="shared" si="31"/>
        <v/>
      </c>
      <c r="Q180" t="str">
        <f t="shared" si="32"/>
        <v/>
      </c>
      <c r="S180" t="str">
        <f>""</f>
        <v/>
      </c>
      <c r="AL180" s="18" t="str">
        <f>IF(COUNTIF($A$2:A179, A179) = 1, A179, "")</f>
        <v/>
      </c>
    </row>
    <row r="181" spans="6:38" x14ac:dyDescent="0.2">
      <c r="F181" t="str">
        <f t="shared" si="27"/>
        <v/>
      </c>
      <c r="L181" s="7" t="str">
        <f t="shared" si="28"/>
        <v/>
      </c>
      <c r="N181" s="7" t="str">
        <f t="shared" si="29"/>
        <v/>
      </c>
      <c r="O181" t="str">
        <f t="shared" si="30"/>
        <v/>
      </c>
      <c r="P181" t="str">
        <f t="shared" si="31"/>
        <v/>
      </c>
      <c r="Q181" t="str">
        <f t="shared" si="32"/>
        <v/>
      </c>
      <c r="S181" t="str">
        <f>""</f>
        <v/>
      </c>
      <c r="AL181" s="18" t="str">
        <f>IF(COUNTIF($A$2:A180, A180) = 1, A180, "")</f>
        <v/>
      </c>
    </row>
    <row r="182" spans="6:38" x14ac:dyDescent="0.2">
      <c r="F182" t="str">
        <f t="shared" si="27"/>
        <v/>
      </c>
      <c r="L182" s="7" t="str">
        <f t="shared" si="28"/>
        <v/>
      </c>
      <c r="N182" s="7" t="str">
        <f t="shared" si="29"/>
        <v/>
      </c>
      <c r="O182" t="str">
        <f t="shared" si="30"/>
        <v/>
      </c>
      <c r="P182" t="str">
        <f t="shared" si="31"/>
        <v/>
      </c>
      <c r="Q182" t="str">
        <f t="shared" si="32"/>
        <v/>
      </c>
      <c r="S182" t="str">
        <f>""</f>
        <v/>
      </c>
      <c r="AL182" s="18" t="str">
        <f>IF(COUNTIF($A$2:A181, A181) = 1, A181, "")</f>
        <v/>
      </c>
    </row>
    <row r="183" spans="6:38" x14ac:dyDescent="0.2">
      <c r="F183" t="str">
        <f t="shared" si="27"/>
        <v/>
      </c>
      <c r="L183" s="7" t="str">
        <f t="shared" si="28"/>
        <v/>
      </c>
      <c r="N183" s="7" t="str">
        <f t="shared" si="29"/>
        <v/>
      </c>
      <c r="O183" t="str">
        <f t="shared" si="30"/>
        <v/>
      </c>
      <c r="P183" t="str">
        <f t="shared" si="31"/>
        <v/>
      </c>
      <c r="Q183" t="str">
        <f t="shared" si="32"/>
        <v/>
      </c>
      <c r="S183" t="str">
        <f>""</f>
        <v/>
      </c>
      <c r="AL183" s="18" t="str">
        <f>IF(COUNTIF($A$2:A182, A182) = 1, A182, "")</f>
        <v/>
      </c>
    </row>
    <row r="184" spans="6:38" x14ac:dyDescent="0.2">
      <c r="F184" t="str">
        <f t="shared" si="27"/>
        <v/>
      </c>
      <c r="L184" s="7" t="str">
        <f t="shared" si="28"/>
        <v/>
      </c>
      <c r="N184" s="7" t="str">
        <f t="shared" si="29"/>
        <v/>
      </c>
      <c r="O184" t="str">
        <f t="shared" si="30"/>
        <v/>
      </c>
      <c r="P184" t="str">
        <f t="shared" si="31"/>
        <v/>
      </c>
      <c r="Q184" t="str">
        <f t="shared" si="32"/>
        <v/>
      </c>
      <c r="S184" t="str">
        <f>""</f>
        <v/>
      </c>
      <c r="AL184" s="18" t="str">
        <f>IF(COUNTIF($A$2:A183, A183) = 1, A183, "")</f>
        <v/>
      </c>
    </row>
    <row r="185" spans="6:38" x14ac:dyDescent="0.2">
      <c r="F185" t="str">
        <f t="shared" si="27"/>
        <v/>
      </c>
      <c r="L185" s="7" t="str">
        <f t="shared" si="28"/>
        <v/>
      </c>
      <c r="N185" s="7" t="str">
        <f t="shared" si="29"/>
        <v/>
      </c>
      <c r="O185" t="str">
        <f t="shared" si="30"/>
        <v/>
      </c>
      <c r="P185" t="str">
        <f t="shared" si="31"/>
        <v/>
      </c>
      <c r="Q185" t="str">
        <f t="shared" si="32"/>
        <v/>
      </c>
      <c r="S185" t="str">
        <f>""</f>
        <v/>
      </c>
      <c r="AL185" s="18" t="str">
        <f>IF(COUNTIF($A$2:A184, A184) = 1, A184, "")</f>
        <v/>
      </c>
    </row>
    <row r="186" spans="6:38" x14ac:dyDescent="0.2">
      <c r="F186" t="str">
        <f t="shared" si="27"/>
        <v/>
      </c>
      <c r="L186" s="7" t="str">
        <f t="shared" si="28"/>
        <v/>
      </c>
      <c r="N186" s="7" t="str">
        <f t="shared" si="29"/>
        <v/>
      </c>
      <c r="O186" t="str">
        <f t="shared" si="30"/>
        <v/>
      </c>
      <c r="P186" t="str">
        <f t="shared" si="31"/>
        <v/>
      </c>
      <c r="Q186" t="str">
        <f t="shared" si="32"/>
        <v/>
      </c>
      <c r="S186" t="str">
        <f>""</f>
        <v/>
      </c>
      <c r="AL186" s="18" t="str">
        <f>IF(COUNTIF($A$2:A185, A185) = 1, A185, "")</f>
        <v/>
      </c>
    </row>
    <row r="187" spans="6:38" x14ac:dyDescent="0.2">
      <c r="F187" t="str">
        <f t="shared" si="27"/>
        <v/>
      </c>
      <c r="L187" s="7" t="str">
        <f t="shared" si="28"/>
        <v/>
      </c>
      <c r="N187" s="7" t="str">
        <f t="shared" si="29"/>
        <v/>
      </c>
      <c r="O187" t="str">
        <f t="shared" si="30"/>
        <v/>
      </c>
      <c r="P187" t="str">
        <f t="shared" si="31"/>
        <v/>
      </c>
      <c r="Q187" t="str">
        <f t="shared" si="32"/>
        <v/>
      </c>
      <c r="S187" t="str">
        <f>""</f>
        <v/>
      </c>
      <c r="AL187" s="18" t="str">
        <f>IF(COUNTIF($A$2:A186, A186) = 1, A186, "")</f>
        <v/>
      </c>
    </row>
    <row r="188" spans="6:38" x14ac:dyDescent="0.2">
      <c r="F188" t="str">
        <f t="shared" si="27"/>
        <v/>
      </c>
      <c r="L188" s="7" t="str">
        <f t="shared" si="28"/>
        <v/>
      </c>
      <c r="N188" s="7" t="str">
        <f t="shared" si="29"/>
        <v/>
      </c>
      <c r="O188" t="str">
        <f t="shared" si="30"/>
        <v/>
      </c>
      <c r="P188" t="str">
        <f t="shared" si="31"/>
        <v/>
      </c>
      <c r="Q188" t="str">
        <f t="shared" si="32"/>
        <v/>
      </c>
      <c r="S188" t="str">
        <f>""</f>
        <v/>
      </c>
      <c r="AL188" s="18" t="str">
        <f>IF(COUNTIF($A$2:A187, A187) = 1, A187, "")</f>
        <v/>
      </c>
    </row>
    <row r="189" spans="6:38" x14ac:dyDescent="0.2">
      <c r="F189" t="str">
        <f t="shared" si="27"/>
        <v/>
      </c>
      <c r="L189" s="7" t="str">
        <f t="shared" si="28"/>
        <v/>
      </c>
      <c r="N189" s="7" t="str">
        <f t="shared" si="29"/>
        <v/>
      </c>
      <c r="O189" t="str">
        <f t="shared" si="30"/>
        <v/>
      </c>
      <c r="P189" t="str">
        <f t="shared" si="31"/>
        <v/>
      </c>
      <c r="Q189" t="str">
        <f t="shared" si="32"/>
        <v/>
      </c>
      <c r="S189" t="str">
        <f>""</f>
        <v/>
      </c>
      <c r="AL189" s="18" t="str">
        <f>IF(COUNTIF($A$2:A188, A188) = 1, A188, "")</f>
        <v/>
      </c>
    </row>
    <row r="190" spans="6:38" x14ac:dyDescent="0.2">
      <c r="F190" t="str">
        <f t="shared" si="27"/>
        <v/>
      </c>
      <c r="L190" s="7" t="str">
        <f t="shared" si="28"/>
        <v/>
      </c>
      <c r="N190" s="7" t="str">
        <f t="shared" si="29"/>
        <v/>
      </c>
      <c r="O190" t="str">
        <f t="shared" si="30"/>
        <v/>
      </c>
      <c r="P190" t="str">
        <f t="shared" si="31"/>
        <v/>
      </c>
      <c r="Q190" t="str">
        <f t="shared" si="32"/>
        <v/>
      </c>
      <c r="S190" t="str">
        <f>""</f>
        <v/>
      </c>
      <c r="AL190" s="18" t="str">
        <f>IF(COUNTIF($A$2:A189, A189) = 1, A189, "")</f>
        <v/>
      </c>
    </row>
    <row r="191" spans="6:38" x14ac:dyDescent="0.2">
      <c r="F191" t="str">
        <f t="shared" si="27"/>
        <v/>
      </c>
      <c r="L191" s="7" t="str">
        <f t="shared" si="28"/>
        <v/>
      </c>
      <c r="N191" s="7" t="str">
        <f t="shared" si="29"/>
        <v/>
      </c>
      <c r="O191" t="str">
        <f t="shared" si="30"/>
        <v/>
      </c>
      <c r="P191" t="str">
        <f t="shared" si="31"/>
        <v/>
      </c>
      <c r="Q191" t="str">
        <f t="shared" si="32"/>
        <v/>
      </c>
      <c r="S191" t="str">
        <f>""</f>
        <v/>
      </c>
      <c r="AL191" s="18" t="str">
        <f>IF(COUNTIF($A$2:A190, A190) = 1, A190, "")</f>
        <v/>
      </c>
    </row>
    <row r="192" spans="6:38" x14ac:dyDescent="0.2">
      <c r="F192" t="str">
        <f t="shared" si="27"/>
        <v/>
      </c>
      <c r="L192" s="7" t="str">
        <f t="shared" si="28"/>
        <v/>
      </c>
      <c r="N192" s="7" t="str">
        <f t="shared" si="29"/>
        <v/>
      </c>
      <c r="O192" t="str">
        <f t="shared" si="30"/>
        <v/>
      </c>
      <c r="P192" t="str">
        <f t="shared" si="31"/>
        <v/>
      </c>
      <c r="Q192" t="str">
        <f t="shared" si="32"/>
        <v/>
      </c>
      <c r="S192" t="str">
        <f>""</f>
        <v/>
      </c>
      <c r="AL192" s="18" t="str">
        <f>IF(COUNTIF($A$2:A191, A191) = 1, A191, "")</f>
        <v/>
      </c>
    </row>
    <row r="193" spans="6:38" x14ac:dyDescent="0.2">
      <c r="F193" t="str">
        <f t="shared" si="27"/>
        <v/>
      </c>
      <c r="L193" s="7" t="str">
        <f t="shared" si="28"/>
        <v/>
      </c>
      <c r="N193" s="7" t="str">
        <f t="shared" si="29"/>
        <v/>
      </c>
      <c r="O193" t="str">
        <f t="shared" si="30"/>
        <v/>
      </c>
      <c r="P193" t="str">
        <f t="shared" si="31"/>
        <v/>
      </c>
      <c r="Q193" t="str">
        <f t="shared" si="32"/>
        <v/>
      </c>
      <c r="S193" t="str">
        <f>""</f>
        <v/>
      </c>
      <c r="AL193" s="18" t="str">
        <f>IF(COUNTIF($A$2:A192, A192) = 1, A192, "")</f>
        <v/>
      </c>
    </row>
    <row r="194" spans="6:38" x14ac:dyDescent="0.2">
      <c r="F194" t="str">
        <f t="shared" si="27"/>
        <v/>
      </c>
      <c r="L194" s="7" t="str">
        <f t="shared" si="28"/>
        <v/>
      </c>
      <c r="N194" s="7" t="str">
        <f t="shared" si="29"/>
        <v/>
      </c>
      <c r="O194" t="str">
        <f t="shared" si="30"/>
        <v/>
      </c>
      <c r="P194" t="str">
        <f t="shared" si="31"/>
        <v/>
      </c>
      <c r="Q194" t="str">
        <f t="shared" si="32"/>
        <v/>
      </c>
      <c r="S194" t="str">
        <f>""</f>
        <v/>
      </c>
      <c r="AL194" s="18" t="str">
        <f>IF(COUNTIF($A$2:A193, A193) = 1, A193, "")</f>
        <v/>
      </c>
    </row>
    <row r="195" spans="6:38" x14ac:dyDescent="0.2">
      <c r="F195" t="str">
        <f t="shared" si="27"/>
        <v/>
      </c>
      <c r="L195" s="7" t="str">
        <f t="shared" si="28"/>
        <v/>
      </c>
      <c r="N195" s="7" t="str">
        <f t="shared" si="29"/>
        <v/>
      </c>
      <c r="O195" t="str">
        <f t="shared" si="30"/>
        <v/>
      </c>
      <c r="P195" t="str">
        <f t="shared" si="31"/>
        <v/>
      </c>
      <c r="Q195" t="str">
        <f t="shared" si="32"/>
        <v/>
      </c>
      <c r="S195" t="str">
        <f>""</f>
        <v/>
      </c>
      <c r="AL195" s="18" t="str">
        <f>IF(COUNTIF($A$2:A194, A194) = 1, A194, "")</f>
        <v/>
      </c>
    </row>
    <row r="196" spans="6:38" x14ac:dyDescent="0.2">
      <c r="F196" t="str">
        <f t="shared" si="27"/>
        <v/>
      </c>
      <c r="L196" s="7" t="str">
        <f t="shared" si="28"/>
        <v/>
      </c>
      <c r="N196" s="7" t="str">
        <f t="shared" si="29"/>
        <v/>
      </c>
      <c r="O196" t="str">
        <f t="shared" si="30"/>
        <v/>
      </c>
      <c r="P196" t="str">
        <f t="shared" si="31"/>
        <v/>
      </c>
      <c r="Q196" t="str">
        <f t="shared" si="32"/>
        <v/>
      </c>
      <c r="S196" t="str">
        <f>""</f>
        <v/>
      </c>
      <c r="AL196" s="18" t="str">
        <f>IF(COUNTIF($A$2:A195, A195) = 1, A195, "")</f>
        <v/>
      </c>
    </row>
    <row r="197" spans="6:38" x14ac:dyDescent="0.2">
      <c r="F197" t="str">
        <f t="shared" si="27"/>
        <v/>
      </c>
      <c r="L197" s="7" t="str">
        <f t="shared" si="28"/>
        <v/>
      </c>
      <c r="N197" s="7" t="str">
        <f t="shared" si="29"/>
        <v/>
      </c>
      <c r="O197" t="str">
        <f t="shared" si="30"/>
        <v/>
      </c>
      <c r="P197" t="str">
        <f t="shared" si="31"/>
        <v/>
      </c>
      <c r="Q197" t="str">
        <f t="shared" si="32"/>
        <v/>
      </c>
      <c r="S197" t="str">
        <f>""</f>
        <v/>
      </c>
      <c r="AL197" s="18" t="str">
        <f>IF(COUNTIF($A$2:A196, A196) = 1, A196, "")</f>
        <v/>
      </c>
    </row>
    <row r="198" spans="6:38" x14ac:dyDescent="0.2">
      <c r="F198" t="str">
        <f t="shared" si="27"/>
        <v/>
      </c>
      <c r="L198" s="7" t="str">
        <f t="shared" si="28"/>
        <v/>
      </c>
      <c r="N198" s="7" t="str">
        <f t="shared" si="29"/>
        <v/>
      </c>
      <c r="O198" t="str">
        <f t="shared" si="30"/>
        <v/>
      </c>
      <c r="P198" t="str">
        <f t="shared" si="31"/>
        <v/>
      </c>
      <c r="Q198" t="str">
        <f t="shared" si="32"/>
        <v/>
      </c>
      <c r="S198" t="str">
        <f>""</f>
        <v/>
      </c>
      <c r="AL198" s="18" t="str">
        <f>IF(COUNTIF($A$2:A197, A197) = 1, A197, "")</f>
        <v/>
      </c>
    </row>
    <row r="199" spans="6:38" x14ac:dyDescent="0.2">
      <c r="F199" t="str">
        <f t="shared" si="27"/>
        <v/>
      </c>
      <c r="L199" s="7" t="str">
        <f t="shared" si="28"/>
        <v/>
      </c>
      <c r="N199" s="7" t="str">
        <f t="shared" si="29"/>
        <v/>
      </c>
      <c r="O199" t="str">
        <f t="shared" si="30"/>
        <v/>
      </c>
      <c r="P199" t="str">
        <f t="shared" si="31"/>
        <v/>
      </c>
      <c r="Q199" t="str">
        <f t="shared" si="32"/>
        <v/>
      </c>
      <c r="S199" t="str">
        <f>""</f>
        <v/>
      </c>
      <c r="AL199" s="18" t="str">
        <f>IF(COUNTIF($A$2:A198, A198) = 1, A198, "")</f>
        <v/>
      </c>
    </row>
    <row r="200" spans="6:38" x14ac:dyDescent="0.2">
      <c r="F200" t="str">
        <f t="shared" si="27"/>
        <v/>
      </c>
      <c r="L200" s="7" t="str">
        <f t="shared" si="28"/>
        <v/>
      </c>
      <c r="N200" s="7" t="str">
        <f t="shared" si="29"/>
        <v/>
      </c>
      <c r="O200" t="str">
        <f t="shared" si="30"/>
        <v/>
      </c>
      <c r="P200" t="str">
        <f t="shared" si="31"/>
        <v/>
      </c>
      <c r="Q200" t="str">
        <f t="shared" si="32"/>
        <v/>
      </c>
      <c r="S200" t="str">
        <f>""</f>
        <v/>
      </c>
      <c r="AL200" s="18" t="str">
        <f>IF(COUNTIF($A$2:A199, A199) = 1, A199, "")</f>
        <v/>
      </c>
    </row>
    <row r="201" spans="6:38" x14ac:dyDescent="0.2">
      <c r="F201" t="str">
        <f t="shared" si="27"/>
        <v/>
      </c>
      <c r="L201" s="7" t="str">
        <f t="shared" si="28"/>
        <v/>
      </c>
      <c r="N201" s="7" t="str">
        <f t="shared" si="29"/>
        <v/>
      </c>
      <c r="O201" t="str">
        <f t="shared" si="30"/>
        <v/>
      </c>
      <c r="P201" t="str">
        <f t="shared" si="31"/>
        <v/>
      </c>
      <c r="Q201" t="str">
        <f t="shared" si="32"/>
        <v/>
      </c>
      <c r="S201" t="str">
        <f>""</f>
        <v/>
      </c>
      <c r="AL201" s="18" t="str">
        <f>IF(COUNTIF($A$2:A200, A200) = 1, A200, "")</f>
        <v/>
      </c>
    </row>
    <row r="202" spans="6:38" x14ac:dyDescent="0.2">
      <c r="F202" t="str">
        <f t="shared" si="27"/>
        <v/>
      </c>
      <c r="L202" s="7" t="str">
        <f t="shared" si="28"/>
        <v/>
      </c>
      <c r="N202" s="7" t="str">
        <f t="shared" si="29"/>
        <v/>
      </c>
      <c r="O202" t="str">
        <f t="shared" si="30"/>
        <v/>
      </c>
      <c r="P202" t="str">
        <f t="shared" si="31"/>
        <v/>
      </c>
      <c r="Q202" t="str">
        <f t="shared" si="32"/>
        <v/>
      </c>
      <c r="S202" t="str">
        <f>""</f>
        <v/>
      </c>
      <c r="AL202" s="18" t="str">
        <f>IF(COUNTIF($A$2:A201, A201) = 1, A201, "")</f>
        <v/>
      </c>
    </row>
    <row r="203" spans="6:38" x14ac:dyDescent="0.2">
      <c r="F203" t="str">
        <f t="shared" si="27"/>
        <v/>
      </c>
      <c r="L203" s="7" t="str">
        <f t="shared" si="28"/>
        <v/>
      </c>
      <c r="N203" s="7" t="str">
        <f t="shared" si="29"/>
        <v/>
      </c>
      <c r="O203" t="str">
        <f t="shared" si="30"/>
        <v/>
      </c>
      <c r="P203" t="str">
        <f t="shared" si="31"/>
        <v/>
      </c>
      <c r="Q203" t="str">
        <f t="shared" si="32"/>
        <v/>
      </c>
      <c r="S203" t="str">
        <f>""</f>
        <v/>
      </c>
      <c r="AL203" s="18" t="str">
        <f>IF(COUNTIF($A$2:A202, A202) = 1, A202, "")</f>
        <v/>
      </c>
    </row>
    <row r="204" spans="6:38" x14ac:dyDescent="0.2">
      <c r="F204" t="str">
        <f t="shared" si="27"/>
        <v/>
      </c>
      <c r="L204" s="7" t="str">
        <f t="shared" si="28"/>
        <v/>
      </c>
      <c r="N204" s="7" t="str">
        <f t="shared" si="29"/>
        <v/>
      </c>
      <c r="O204" t="str">
        <f t="shared" si="30"/>
        <v/>
      </c>
      <c r="P204" t="str">
        <f t="shared" si="31"/>
        <v/>
      </c>
      <c r="Q204" t="str">
        <f t="shared" si="32"/>
        <v/>
      </c>
      <c r="S204" t="str">
        <f>""</f>
        <v/>
      </c>
      <c r="AL204" s="18" t="str">
        <f>IF(COUNTIF($A$2:A203, A203) = 1, A203, "")</f>
        <v/>
      </c>
    </row>
    <row r="205" spans="6:38" x14ac:dyDescent="0.2">
      <c r="F205" t="str">
        <f t="shared" si="27"/>
        <v/>
      </c>
      <c r="L205" s="7" t="str">
        <f t="shared" si="28"/>
        <v/>
      </c>
      <c r="N205" s="7" t="str">
        <f t="shared" si="29"/>
        <v/>
      </c>
      <c r="O205" t="str">
        <f t="shared" si="30"/>
        <v/>
      </c>
      <c r="P205" t="str">
        <f t="shared" si="31"/>
        <v/>
      </c>
      <c r="Q205" t="str">
        <f t="shared" si="32"/>
        <v/>
      </c>
      <c r="S205" t="str">
        <f>""</f>
        <v/>
      </c>
      <c r="AL205" s="18" t="str">
        <f>IF(COUNTIF($A$2:A204, A204) = 1, A204, "")</f>
        <v/>
      </c>
    </row>
    <row r="206" spans="6:38" x14ac:dyDescent="0.2">
      <c r="F206" t="str">
        <f t="shared" si="27"/>
        <v/>
      </c>
      <c r="L206" s="7" t="str">
        <f t="shared" si="28"/>
        <v/>
      </c>
      <c r="N206" s="7" t="str">
        <f t="shared" si="29"/>
        <v/>
      </c>
      <c r="O206" t="str">
        <f t="shared" si="30"/>
        <v/>
      </c>
      <c r="P206" t="str">
        <f t="shared" si="31"/>
        <v/>
      </c>
      <c r="Q206" t="str">
        <f t="shared" si="32"/>
        <v/>
      </c>
      <c r="S206" t="str">
        <f>""</f>
        <v/>
      </c>
      <c r="AL206" s="18" t="str">
        <f>IF(COUNTIF($A$2:A205, A205) = 1, A205, "")</f>
        <v/>
      </c>
    </row>
    <row r="207" spans="6:38" x14ac:dyDescent="0.2">
      <c r="F207" t="str">
        <f t="shared" si="27"/>
        <v/>
      </c>
      <c r="L207" s="7" t="str">
        <f t="shared" si="28"/>
        <v/>
      </c>
      <c r="N207" s="7" t="str">
        <f t="shared" si="29"/>
        <v/>
      </c>
      <c r="O207" t="str">
        <f t="shared" si="30"/>
        <v/>
      </c>
      <c r="P207" t="str">
        <f t="shared" si="31"/>
        <v/>
      </c>
      <c r="Q207" t="str">
        <f t="shared" si="32"/>
        <v/>
      </c>
      <c r="S207" t="str">
        <f>""</f>
        <v/>
      </c>
      <c r="AL207" s="18" t="str">
        <f>IF(COUNTIF($A$2:A206, A206) = 1, A206, "")</f>
        <v/>
      </c>
    </row>
    <row r="208" spans="6:38" x14ac:dyDescent="0.2">
      <c r="F208" t="str">
        <f t="shared" ref="F208:F271" si="33">IF(OR(O208="", P208=""), "", SUM(IF((O208&lt;&gt;"None")*(O208&lt;&gt;""),LEN(O208)-LEN(SUBSTITUTE(O208,",",""))+1,0)) + SUM(IF((P208&lt;&gt;"None")*(P208&lt;&gt;""),LEN(P208)-LEN(SUBSTITUTE(P208,",",""))+1,0)))</f>
        <v/>
      </c>
      <c r="L208" s="7" t="str">
        <f t="shared" ref="L208:L271" si="34">IF(LEN(E208)=0, "", IFERROR(IF(E208&gt;=0, K208 * (1 + E208/100) - K208, K208 / (ABS(E208)/100))+K208, ""))</f>
        <v/>
      </c>
      <c r="N208" s="7" t="str">
        <f t="shared" ref="N208:N271" si="35">IF(M208="Yes",L208-K208,IF(M208="No",-K208,""))</f>
        <v/>
      </c>
      <c r="O208" t="str">
        <f t="shared" ref="O208:O271" si="36">IF(AND(G208="No",H208="No"), "None", "")</f>
        <v/>
      </c>
      <c r="P208" t="str">
        <f t="shared" ref="P208:P271" si="37">IF(I208="No", "None", "")</f>
        <v/>
      </c>
      <c r="Q208" t="str">
        <f t="shared" ref="Q208:Q271" si="38">IF(AND(D208="Straight", M208 = "No"),IF(O208="None",P208,IF(P208="None",O208) ),"")</f>
        <v/>
      </c>
      <c r="S208" t="str">
        <f>""</f>
        <v/>
      </c>
      <c r="AL208" s="18" t="str">
        <f>IF(COUNTIF($A$2:A207, A207) = 1, A207, "")</f>
        <v/>
      </c>
    </row>
    <row r="209" spans="6:38" x14ac:dyDescent="0.2">
      <c r="F209" t="str">
        <f t="shared" si="33"/>
        <v/>
      </c>
      <c r="L209" s="7" t="str">
        <f t="shared" si="34"/>
        <v/>
      </c>
      <c r="N209" s="7" t="str">
        <f t="shared" si="35"/>
        <v/>
      </c>
      <c r="O209" t="str">
        <f t="shared" si="36"/>
        <v/>
      </c>
      <c r="P209" t="str">
        <f t="shared" si="37"/>
        <v/>
      </c>
      <c r="Q209" t="str">
        <f t="shared" si="38"/>
        <v/>
      </c>
      <c r="S209" t="str">
        <f>""</f>
        <v/>
      </c>
      <c r="AL209" s="18" t="str">
        <f>IF(COUNTIF($A$2:A208, A208) = 1, A208, "")</f>
        <v/>
      </c>
    </row>
    <row r="210" spans="6:38" x14ac:dyDescent="0.2">
      <c r="F210" t="str">
        <f t="shared" si="33"/>
        <v/>
      </c>
      <c r="L210" s="7" t="str">
        <f t="shared" si="34"/>
        <v/>
      </c>
      <c r="N210" s="7" t="str">
        <f t="shared" si="35"/>
        <v/>
      </c>
      <c r="O210" t="str">
        <f t="shared" si="36"/>
        <v/>
      </c>
      <c r="P210" t="str">
        <f t="shared" si="37"/>
        <v/>
      </c>
      <c r="Q210" t="str">
        <f t="shared" si="38"/>
        <v/>
      </c>
      <c r="S210" t="str">
        <f>""</f>
        <v/>
      </c>
      <c r="AL210" s="18" t="str">
        <f>IF(COUNTIF($A$2:A209, A209) = 1, A209, "")</f>
        <v/>
      </c>
    </row>
    <row r="211" spans="6:38" x14ac:dyDescent="0.2">
      <c r="F211" t="str">
        <f t="shared" si="33"/>
        <v/>
      </c>
      <c r="L211" s="7" t="str">
        <f t="shared" si="34"/>
        <v/>
      </c>
      <c r="N211" s="7" t="str">
        <f t="shared" si="35"/>
        <v/>
      </c>
      <c r="O211" t="str">
        <f t="shared" si="36"/>
        <v/>
      </c>
      <c r="P211" t="str">
        <f t="shared" si="37"/>
        <v/>
      </c>
      <c r="Q211" t="str">
        <f t="shared" si="38"/>
        <v/>
      </c>
      <c r="S211" t="str">
        <f>""</f>
        <v/>
      </c>
      <c r="AL211" s="18" t="str">
        <f>IF(COUNTIF($A$2:A210, A210) = 1, A210, "")</f>
        <v/>
      </c>
    </row>
    <row r="212" spans="6:38" x14ac:dyDescent="0.2">
      <c r="F212" t="str">
        <f t="shared" si="33"/>
        <v/>
      </c>
      <c r="L212" s="7" t="str">
        <f t="shared" si="34"/>
        <v/>
      </c>
      <c r="N212" s="7" t="str">
        <f t="shared" si="35"/>
        <v/>
      </c>
      <c r="O212" t="str">
        <f t="shared" si="36"/>
        <v/>
      </c>
      <c r="P212" t="str">
        <f t="shared" si="37"/>
        <v/>
      </c>
      <c r="Q212" t="str">
        <f t="shared" si="38"/>
        <v/>
      </c>
      <c r="S212" t="str">
        <f>""</f>
        <v/>
      </c>
      <c r="AL212" s="18" t="str">
        <f>IF(COUNTIF($A$2:A211, A211) = 1, A211, "")</f>
        <v/>
      </c>
    </row>
    <row r="213" spans="6:38" x14ac:dyDescent="0.2">
      <c r="F213" t="str">
        <f t="shared" si="33"/>
        <v/>
      </c>
      <c r="L213" s="7" t="str">
        <f t="shared" si="34"/>
        <v/>
      </c>
      <c r="N213" s="7" t="str">
        <f t="shared" si="35"/>
        <v/>
      </c>
      <c r="O213" t="str">
        <f t="shared" si="36"/>
        <v/>
      </c>
      <c r="P213" t="str">
        <f t="shared" si="37"/>
        <v/>
      </c>
      <c r="Q213" t="str">
        <f t="shared" si="38"/>
        <v/>
      </c>
      <c r="S213" t="str">
        <f>""</f>
        <v/>
      </c>
      <c r="AL213" s="18" t="str">
        <f>IF(COUNTIF($A$2:A212, A212) = 1, A212, "")</f>
        <v/>
      </c>
    </row>
    <row r="214" spans="6:38" x14ac:dyDescent="0.2">
      <c r="F214" t="str">
        <f t="shared" si="33"/>
        <v/>
      </c>
      <c r="L214" s="7" t="str">
        <f t="shared" si="34"/>
        <v/>
      </c>
      <c r="N214" s="7" t="str">
        <f t="shared" si="35"/>
        <v/>
      </c>
      <c r="O214" t="str">
        <f t="shared" si="36"/>
        <v/>
      </c>
      <c r="P214" t="str">
        <f t="shared" si="37"/>
        <v/>
      </c>
      <c r="Q214" t="str">
        <f t="shared" si="38"/>
        <v/>
      </c>
      <c r="S214" t="str">
        <f>""</f>
        <v/>
      </c>
      <c r="AL214" s="18" t="str">
        <f>IF(COUNTIF($A$2:A213, A213) = 1, A213, "")</f>
        <v/>
      </c>
    </row>
    <row r="215" spans="6:38" x14ac:dyDescent="0.2">
      <c r="F215" t="str">
        <f t="shared" si="33"/>
        <v/>
      </c>
      <c r="L215" s="7" t="str">
        <f t="shared" si="34"/>
        <v/>
      </c>
      <c r="N215" s="7" t="str">
        <f t="shared" si="35"/>
        <v/>
      </c>
      <c r="O215" t="str">
        <f t="shared" si="36"/>
        <v/>
      </c>
      <c r="P215" t="str">
        <f t="shared" si="37"/>
        <v/>
      </c>
      <c r="Q215" t="str">
        <f t="shared" si="38"/>
        <v/>
      </c>
      <c r="S215" t="str">
        <f>""</f>
        <v/>
      </c>
      <c r="AL215" s="18" t="str">
        <f>IF(COUNTIF($A$2:A214, A214) = 1, A214, "")</f>
        <v/>
      </c>
    </row>
    <row r="216" spans="6:38" x14ac:dyDescent="0.2">
      <c r="F216" t="str">
        <f t="shared" si="33"/>
        <v/>
      </c>
      <c r="L216" s="7" t="str">
        <f t="shared" si="34"/>
        <v/>
      </c>
      <c r="N216" s="7" t="str">
        <f t="shared" si="35"/>
        <v/>
      </c>
      <c r="O216" t="str">
        <f t="shared" si="36"/>
        <v/>
      </c>
      <c r="P216" t="str">
        <f t="shared" si="37"/>
        <v/>
      </c>
      <c r="Q216" t="str">
        <f t="shared" si="38"/>
        <v/>
      </c>
      <c r="S216" t="str">
        <f>""</f>
        <v/>
      </c>
      <c r="AL216" s="18" t="str">
        <f>IF(COUNTIF($A$2:A215, A215) = 1, A215, "")</f>
        <v/>
      </c>
    </row>
    <row r="217" spans="6:38" x14ac:dyDescent="0.2">
      <c r="F217" t="str">
        <f t="shared" si="33"/>
        <v/>
      </c>
      <c r="L217" s="7" t="str">
        <f t="shared" si="34"/>
        <v/>
      </c>
      <c r="N217" s="7" t="str">
        <f t="shared" si="35"/>
        <v/>
      </c>
      <c r="O217" t="str">
        <f t="shared" si="36"/>
        <v/>
      </c>
      <c r="P217" t="str">
        <f t="shared" si="37"/>
        <v/>
      </c>
      <c r="Q217" t="str">
        <f t="shared" si="38"/>
        <v/>
      </c>
      <c r="S217" t="str">
        <f>""</f>
        <v/>
      </c>
      <c r="AL217" s="18" t="str">
        <f>IF(COUNTIF($A$2:A216, A216) = 1, A216, "")</f>
        <v/>
      </c>
    </row>
    <row r="218" spans="6:38" x14ac:dyDescent="0.2">
      <c r="F218" t="str">
        <f t="shared" si="33"/>
        <v/>
      </c>
      <c r="L218" s="7" t="str">
        <f t="shared" si="34"/>
        <v/>
      </c>
      <c r="N218" s="7" t="str">
        <f t="shared" si="35"/>
        <v/>
      </c>
      <c r="O218" t="str">
        <f t="shared" si="36"/>
        <v/>
      </c>
      <c r="P218" t="str">
        <f t="shared" si="37"/>
        <v/>
      </c>
      <c r="Q218" t="str">
        <f t="shared" si="38"/>
        <v/>
      </c>
      <c r="S218" t="str">
        <f>""</f>
        <v/>
      </c>
      <c r="AL218" s="18" t="str">
        <f>IF(COUNTIF($A$2:A217, A217) = 1, A217, "")</f>
        <v/>
      </c>
    </row>
    <row r="219" spans="6:38" x14ac:dyDescent="0.2">
      <c r="F219" t="str">
        <f t="shared" si="33"/>
        <v/>
      </c>
      <c r="L219" s="7" t="str">
        <f t="shared" si="34"/>
        <v/>
      </c>
      <c r="N219" s="7" t="str">
        <f t="shared" si="35"/>
        <v/>
      </c>
      <c r="O219" t="str">
        <f t="shared" si="36"/>
        <v/>
      </c>
      <c r="P219" t="str">
        <f t="shared" si="37"/>
        <v/>
      </c>
      <c r="Q219" t="str">
        <f t="shared" si="38"/>
        <v/>
      </c>
      <c r="S219" t="str">
        <f>""</f>
        <v/>
      </c>
      <c r="AL219" s="18" t="str">
        <f>IF(COUNTIF($A$2:A218, A218) = 1, A218, "")</f>
        <v/>
      </c>
    </row>
    <row r="220" spans="6:38" x14ac:dyDescent="0.2">
      <c r="F220" t="str">
        <f t="shared" si="33"/>
        <v/>
      </c>
      <c r="L220" s="7" t="str">
        <f t="shared" si="34"/>
        <v/>
      </c>
      <c r="N220" s="7" t="str">
        <f t="shared" si="35"/>
        <v/>
      </c>
      <c r="O220" t="str">
        <f t="shared" si="36"/>
        <v/>
      </c>
      <c r="P220" t="str">
        <f t="shared" si="37"/>
        <v/>
      </c>
      <c r="Q220" t="str">
        <f t="shared" si="38"/>
        <v/>
      </c>
      <c r="S220" t="str">
        <f>""</f>
        <v/>
      </c>
      <c r="AL220" s="18" t="str">
        <f>IF(COUNTIF($A$2:A219, A219) = 1, A219, "")</f>
        <v/>
      </c>
    </row>
    <row r="221" spans="6:38" x14ac:dyDescent="0.2">
      <c r="F221" t="str">
        <f t="shared" si="33"/>
        <v/>
      </c>
      <c r="L221" s="7" t="str">
        <f t="shared" si="34"/>
        <v/>
      </c>
      <c r="N221" s="7" t="str">
        <f t="shared" si="35"/>
        <v/>
      </c>
      <c r="O221" t="str">
        <f t="shared" si="36"/>
        <v/>
      </c>
      <c r="P221" t="str">
        <f t="shared" si="37"/>
        <v/>
      </c>
      <c r="Q221" t="str">
        <f t="shared" si="38"/>
        <v/>
      </c>
      <c r="S221" t="str">
        <f>""</f>
        <v/>
      </c>
      <c r="AL221" s="18" t="str">
        <f>IF(COUNTIF($A$2:A220, A220) = 1, A220, "")</f>
        <v/>
      </c>
    </row>
    <row r="222" spans="6:38" x14ac:dyDescent="0.2">
      <c r="F222" t="str">
        <f t="shared" si="33"/>
        <v/>
      </c>
      <c r="L222" s="7" t="str">
        <f t="shared" si="34"/>
        <v/>
      </c>
      <c r="N222" s="7" t="str">
        <f t="shared" si="35"/>
        <v/>
      </c>
      <c r="O222" t="str">
        <f t="shared" si="36"/>
        <v/>
      </c>
      <c r="P222" t="str">
        <f t="shared" si="37"/>
        <v/>
      </c>
      <c r="Q222" t="str">
        <f t="shared" si="38"/>
        <v/>
      </c>
      <c r="S222" t="str">
        <f>""</f>
        <v/>
      </c>
      <c r="AL222" s="18" t="str">
        <f>IF(COUNTIF($A$2:A221, A221) = 1, A221, "")</f>
        <v/>
      </c>
    </row>
    <row r="223" spans="6:38" x14ac:dyDescent="0.2">
      <c r="F223" t="str">
        <f t="shared" si="33"/>
        <v/>
      </c>
      <c r="L223" s="7" t="str">
        <f t="shared" si="34"/>
        <v/>
      </c>
      <c r="N223" s="7" t="str">
        <f t="shared" si="35"/>
        <v/>
      </c>
      <c r="O223" t="str">
        <f t="shared" si="36"/>
        <v/>
      </c>
      <c r="P223" t="str">
        <f t="shared" si="37"/>
        <v/>
      </c>
      <c r="Q223" t="str">
        <f t="shared" si="38"/>
        <v/>
      </c>
      <c r="S223" t="str">
        <f>""</f>
        <v/>
      </c>
      <c r="AL223" s="18" t="str">
        <f>IF(COUNTIF($A$2:A222, A222) = 1, A222, "")</f>
        <v/>
      </c>
    </row>
    <row r="224" spans="6:38" x14ac:dyDescent="0.2">
      <c r="F224" t="str">
        <f t="shared" si="33"/>
        <v/>
      </c>
      <c r="L224" s="7" t="str">
        <f t="shared" si="34"/>
        <v/>
      </c>
      <c r="N224" s="7" t="str">
        <f t="shared" si="35"/>
        <v/>
      </c>
      <c r="O224" t="str">
        <f t="shared" si="36"/>
        <v/>
      </c>
      <c r="P224" t="str">
        <f t="shared" si="37"/>
        <v/>
      </c>
      <c r="Q224" t="str">
        <f t="shared" si="38"/>
        <v/>
      </c>
      <c r="S224" t="str">
        <f>""</f>
        <v/>
      </c>
      <c r="AL224" s="18" t="str">
        <f>IF(COUNTIF($A$2:A223, A223) = 1, A223, "")</f>
        <v/>
      </c>
    </row>
    <row r="225" spans="6:38" x14ac:dyDescent="0.2">
      <c r="F225" t="str">
        <f t="shared" si="33"/>
        <v/>
      </c>
      <c r="L225" s="7" t="str">
        <f t="shared" si="34"/>
        <v/>
      </c>
      <c r="N225" s="7" t="str">
        <f t="shared" si="35"/>
        <v/>
      </c>
      <c r="O225" t="str">
        <f t="shared" si="36"/>
        <v/>
      </c>
      <c r="P225" t="str">
        <f t="shared" si="37"/>
        <v/>
      </c>
      <c r="Q225" t="str">
        <f t="shared" si="38"/>
        <v/>
      </c>
      <c r="S225" t="str">
        <f>""</f>
        <v/>
      </c>
      <c r="AL225" s="18" t="str">
        <f>IF(COUNTIF($A$2:A224, A224) = 1, A224, "")</f>
        <v/>
      </c>
    </row>
    <row r="226" spans="6:38" x14ac:dyDescent="0.2">
      <c r="F226" t="str">
        <f t="shared" si="33"/>
        <v/>
      </c>
      <c r="L226" s="7" t="str">
        <f t="shared" si="34"/>
        <v/>
      </c>
      <c r="N226" s="7" t="str">
        <f t="shared" si="35"/>
        <v/>
      </c>
      <c r="O226" t="str">
        <f t="shared" si="36"/>
        <v/>
      </c>
      <c r="P226" t="str">
        <f t="shared" si="37"/>
        <v/>
      </c>
      <c r="Q226" t="str">
        <f t="shared" si="38"/>
        <v/>
      </c>
      <c r="S226" t="str">
        <f>""</f>
        <v/>
      </c>
      <c r="AL226" s="18" t="str">
        <f>IF(COUNTIF($A$2:A225, A225) = 1, A225, "")</f>
        <v/>
      </c>
    </row>
    <row r="227" spans="6:38" x14ac:dyDescent="0.2">
      <c r="F227" t="str">
        <f t="shared" si="33"/>
        <v/>
      </c>
      <c r="L227" s="7" t="str">
        <f t="shared" si="34"/>
        <v/>
      </c>
      <c r="N227" s="7" t="str">
        <f t="shared" si="35"/>
        <v/>
      </c>
      <c r="O227" t="str">
        <f t="shared" si="36"/>
        <v/>
      </c>
      <c r="P227" t="str">
        <f t="shared" si="37"/>
        <v/>
      </c>
      <c r="Q227" t="str">
        <f t="shared" si="38"/>
        <v/>
      </c>
      <c r="S227" t="str">
        <f>""</f>
        <v/>
      </c>
      <c r="AL227" s="18" t="str">
        <f>IF(COUNTIF($A$2:A226, A226) = 1, A226, "")</f>
        <v/>
      </c>
    </row>
    <row r="228" spans="6:38" x14ac:dyDescent="0.2">
      <c r="F228" t="str">
        <f t="shared" si="33"/>
        <v/>
      </c>
      <c r="L228" s="7" t="str">
        <f t="shared" si="34"/>
        <v/>
      </c>
      <c r="N228" s="7" t="str">
        <f t="shared" si="35"/>
        <v/>
      </c>
      <c r="O228" t="str">
        <f t="shared" si="36"/>
        <v/>
      </c>
      <c r="P228" t="str">
        <f t="shared" si="37"/>
        <v/>
      </c>
      <c r="Q228" t="str">
        <f t="shared" si="38"/>
        <v/>
      </c>
      <c r="S228" t="str">
        <f>""</f>
        <v/>
      </c>
      <c r="AL228" s="18" t="str">
        <f>IF(COUNTIF($A$2:A227, A227) = 1, A227, "")</f>
        <v/>
      </c>
    </row>
    <row r="229" spans="6:38" x14ac:dyDescent="0.2">
      <c r="F229" t="str">
        <f t="shared" si="33"/>
        <v/>
      </c>
      <c r="L229" s="7" t="str">
        <f t="shared" si="34"/>
        <v/>
      </c>
      <c r="N229" s="7" t="str">
        <f t="shared" si="35"/>
        <v/>
      </c>
      <c r="O229" t="str">
        <f t="shared" si="36"/>
        <v/>
      </c>
      <c r="P229" t="str">
        <f t="shared" si="37"/>
        <v/>
      </c>
      <c r="Q229" t="str">
        <f t="shared" si="38"/>
        <v/>
      </c>
      <c r="S229" t="str">
        <f>""</f>
        <v/>
      </c>
      <c r="AL229" s="18" t="str">
        <f>IF(COUNTIF($A$2:A228, A228) = 1, A228, "")</f>
        <v/>
      </c>
    </row>
    <row r="230" spans="6:38" x14ac:dyDescent="0.2">
      <c r="F230" t="str">
        <f t="shared" si="33"/>
        <v/>
      </c>
      <c r="L230" s="7" t="str">
        <f t="shared" si="34"/>
        <v/>
      </c>
      <c r="N230" s="7" t="str">
        <f t="shared" si="35"/>
        <v/>
      </c>
      <c r="O230" t="str">
        <f t="shared" si="36"/>
        <v/>
      </c>
      <c r="P230" t="str">
        <f t="shared" si="37"/>
        <v/>
      </c>
      <c r="Q230" t="str">
        <f t="shared" si="38"/>
        <v/>
      </c>
      <c r="S230" t="str">
        <f>""</f>
        <v/>
      </c>
      <c r="AL230" s="18" t="str">
        <f>IF(COUNTIF($A$2:A229, A229) = 1, A229, "")</f>
        <v/>
      </c>
    </row>
    <row r="231" spans="6:38" x14ac:dyDescent="0.2">
      <c r="F231" t="str">
        <f t="shared" si="33"/>
        <v/>
      </c>
      <c r="L231" s="7" t="str">
        <f t="shared" si="34"/>
        <v/>
      </c>
      <c r="N231" s="7" t="str">
        <f t="shared" si="35"/>
        <v/>
      </c>
      <c r="O231" t="str">
        <f t="shared" si="36"/>
        <v/>
      </c>
      <c r="P231" t="str">
        <f t="shared" si="37"/>
        <v/>
      </c>
      <c r="Q231" t="str">
        <f t="shared" si="38"/>
        <v/>
      </c>
      <c r="S231" t="str">
        <f>""</f>
        <v/>
      </c>
      <c r="AL231" s="18" t="str">
        <f>IF(COUNTIF($A$2:A230, A230) = 1, A230, "")</f>
        <v/>
      </c>
    </row>
    <row r="232" spans="6:38" x14ac:dyDescent="0.2">
      <c r="F232" t="str">
        <f t="shared" si="33"/>
        <v/>
      </c>
      <c r="L232" s="7" t="str">
        <f t="shared" si="34"/>
        <v/>
      </c>
      <c r="N232" s="7" t="str">
        <f t="shared" si="35"/>
        <v/>
      </c>
      <c r="O232" t="str">
        <f t="shared" si="36"/>
        <v/>
      </c>
      <c r="P232" t="str">
        <f t="shared" si="37"/>
        <v/>
      </c>
      <c r="Q232" t="str">
        <f t="shared" si="38"/>
        <v/>
      </c>
      <c r="S232" t="str">
        <f>""</f>
        <v/>
      </c>
      <c r="AL232" s="18" t="str">
        <f>IF(COUNTIF($A$2:A231, A231) = 1, A231, "")</f>
        <v/>
      </c>
    </row>
    <row r="233" spans="6:38" x14ac:dyDescent="0.2">
      <c r="F233" t="str">
        <f t="shared" si="33"/>
        <v/>
      </c>
      <c r="L233" s="7" t="str">
        <f t="shared" si="34"/>
        <v/>
      </c>
      <c r="N233" s="7" t="str">
        <f t="shared" si="35"/>
        <v/>
      </c>
      <c r="O233" t="str">
        <f t="shared" si="36"/>
        <v/>
      </c>
      <c r="P233" t="str">
        <f t="shared" si="37"/>
        <v/>
      </c>
      <c r="Q233" t="str">
        <f t="shared" si="38"/>
        <v/>
      </c>
      <c r="S233" t="str">
        <f>""</f>
        <v/>
      </c>
      <c r="AL233" s="18" t="str">
        <f>IF(COUNTIF($A$2:A232, A232) = 1, A232, "")</f>
        <v/>
      </c>
    </row>
    <row r="234" spans="6:38" x14ac:dyDescent="0.2">
      <c r="F234" t="str">
        <f t="shared" si="33"/>
        <v/>
      </c>
      <c r="L234" s="7" t="str">
        <f t="shared" si="34"/>
        <v/>
      </c>
      <c r="N234" s="7" t="str">
        <f t="shared" si="35"/>
        <v/>
      </c>
      <c r="O234" t="str">
        <f t="shared" si="36"/>
        <v/>
      </c>
      <c r="P234" t="str">
        <f t="shared" si="37"/>
        <v/>
      </c>
      <c r="Q234" t="str">
        <f t="shared" si="38"/>
        <v/>
      </c>
      <c r="S234" t="str">
        <f>""</f>
        <v/>
      </c>
      <c r="AL234" s="18" t="str">
        <f>IF(COUNTIF($A$2:A233, A233) = 1, A233, "")</f>
        <v/>
      </c>
    </row>
    <row r="235" spans="6:38" x14ac:dyDescent="0.2">
      <c r="F235" t="str">
        <f t="shared" si="33"/>
        <v/>
      </c>
      <c r="L235" s="7" t="str">
        <f t="shared" si="34"/>
        <v/>
      </c>
      <c r="N235" s="7" t="str">
        <f t="shared" si="35"/>
        <v/>
      </c>
      <c r="O235" t="str">
        <f t="shared" si="36"/>
        <v/>
      </c>
      <c r="P235" t="str">
        <f t="shared" si="37"/>
        <v/>
      </c>
      <c r="Q235" t="str">
        <f t="shared" si="38"/>
        <v/>
      </c>
      <c r="S235" t="str">
        <f>""</f>
        <v/>
      </c>
      <c r="AL235" s="18" t="str">
        <f>IF(COUNTIF($A$2:A234, A234) = 1, A234, "")</f>
        <v/>
      </c>
    </row>
    <row r="236" spans="6:38" x14ac:dyDescent="0.2">
      <c r="F236" t="str">
        <f t="shared" si="33"/>
        <v/>
      </c>
      <c r="L236" s="7" t="str">
        <f t="shared" si="34"/>
        <v/>
      </c>
      <c r="N236" s="7" t="str">
        <f t="shared" si="35"/>
        <v/>
      </c>
      <c r="O236" t="str">
        <f t="shared" si="36"/>
        <v/>
      </c>
      <c r="P236" t="str">
        <f t="shared" si="37"/>
        <v/>
      </c>
      <c r="Q236" t="str">
        <f t="shared" si="38"/>
        <v/>
      </c>
      <c r="S236" t="str">
        <f>""</f>
        <v/>
      </c>
      <c r="AL236" s="18" t="str">
        <f>IF(COUNTIF($A$2:A235, A235) = 1, A235, "")</f>
        <v/>
      </c>
    </row>
    <row r="237" spans="6:38" x14ac:dyDescent="0.2">
      <c r="F237" t="str">
        <f t="shared" si="33"/>
        <v/>
      </c>
      <c r="L237" s="7" t="str">
        <f t="shared" si="34"/>
        <v/>
      </c>
      <c r="N237" s="7" t="str">
        <f t="shared" si="35"/>
        <v/>
      </c>
      <c r="O237" t="str">
        <f t="shared" si="36"/>
        <v/>
      </c>
      <c r="P237" t="str">
        <f t="shared" si="37"/>
        <v/>
      </c>
      <c r="Q237" t="str">
        <f t="shared" si="38"/>
        <v/>
      </c>
      <c r="S237" t="str">
        <f>""</f>
        <v/>
      </c>
      <c r="AL237" s="18" t="str">
        <f>IF(COUNTIF($A$2:A236, A236) = 1, A236, "")</f>
        <v/>
      </c>
    </row>
    <row r="238" spans="6:38" x14ac:dyDescent="0.2">
      <c r="F238" t="str">
        <f t="shared" si="33"/>
        <v/>
      </c>
      <c r="L238" s="7" t="str">
        <f t="shared" si="34"/>
        <v/>
      </c>
      <c r="N238" s="7" t="str">
        <f t="shared" si="35"/>
        <v/>
      </c>
      <c r="O238" t="str">
        <f t="shared" si="36"/>
        <v/>
      </c>
      <c r="P238" t="str">
        <f t="shared" si="37"/>
        <v/>
      </c>
      <c r="Q238" t="str">
        <f t="shared" si="38"/>
        <v/>
      </c>
      <c r="S238" t="str">
        <f>""</f>
        <v/>
      </c>
      <c r="AL238" s="18" t="str">
        <f>IF(COUNTIF($A$2:A237, A237) = 1, A237, "")</f>
        <v/>
      </c>
    </row>
    <row r="239" spans="6:38" x14ac:dyDescent="0.2">
      <c r="F239" t="str">
        <f t="shared" si="33"/>
        <v/>
      </c>
      <c r="L239" s="7" t="str">
        <f t="shared" si="34"/>
        <v/>
      </c>
      <c r="N239" s="7" t="str">
        <f t="shared" si="35"/>
        <v/>
      </c>
      <c r="O239" t="str">
        <f t="shared" si="36"/>
        <v/>
      </c>
      <c r="P239" t="str">
        <f t="shared" si="37"/>
        <v/>
      </c>
      <c r="Q239" t="str">
        <f t="shared" si="38"/>
        <v/>
      </c>
      <c r="S239" t="str">
        <f>""</f>
        <v/>
      </c>
      <c r="AL239" s="18" t="str">
        <f>IF(COUNTIF($A$2:A238, A238) = 1, A238, "")</f>
        <v/>
      </c>
    </row>
    <row r="240" spans="6:38" x14ac:dyDescent="0.2">
      <c r="F240" t="str">
        <f t="shared" si="33"/>
        <v/>
      </c>
      <c r="L240" s="7" t="str">
        <f t="shared" si="34"/>
        <v/>
      </c>
      <c r="N240" s="7" t="str">
        <f t="shared" si="35"/>
        <v/>
      </c>
      <c r="O240" t="str">
        <f t="shared" si="36"/>
        <v/>
      </c>
      <c r="P240" t="str">
        <f t="shared" si="37"/>
        <v/>
      </c>
      <c r="Q240" t="str">
        <f t="shared" si="38"/>
        <v/>
      </c>
      <c r="S240" t="str">
        <f>""</f>
        <v/>
      </c>
      <c r="AL240" s="18" t="str">
        <f>IF(COUNTIF($A$2:A239, A239) = 1, A239, "")</f>
        <v/>
      </c>
    </row>
    <row r="241" spans="6:38" x14ac:dyDescent="0.2">
      <c r="F241" t="str">
        <f t="shared" si="33"/>
        <v/>
      </c>
      <c r="L241" s="7" t="str">
        <f t="shared" si="34"/>
        <v/>
      </c>
      <c r="N241" s="7" t="str">
        <f t="shared" si="35"/>
        <v/>
      </c>
      <c r="O241" t="str">
        <f t="shared" si="36"/>
        <v/>
      </c>
      <c r="P241" t="str">
        <f t="shared" si="37"/>
        <v/>
      </c>
      <c r="Q241" t="str">
        <f t="shared" si="38"/>
        <v/>
      </c>
      <c r="S241" t="str">
        <f>""</f>
        <v/>
      </c>
      <c r="AL241" s="18" t="str">
        <f>IF(COUNTIF($A$2:A240, A240) = 1, A240, "")</f>
        <v/>
      </c>
    </row>
    <row r="242" spans="6:38" x14ac:dyDescent="0.2">
      <c r="F242" t="str">
        <f t="shared" si="33"/>
        <v/>
      </c>
      <c r="L242" s="7" t="str">
        <f t="shared" si="34"/>
        <v/>
      </c>
      <c r="N242" s="7" t="str">
        <f t="shared" si="35"/>
        <v/>
      </c>
      <c r="O242" t="str">
        <f t="shared" si="36"/>
        <v/>
      </c>
      <c r="P242" t="str">
        <f t="shared" si="37"/>
        <v/>
      </c>
      <c r="Q242" t="str">
        <f t="shared" si="38"/>
        <v/>
      </c>
      <c r="S242" t="str">
        <f>""</f>
        <v/>
      </c>
      <c r="AL242" s="18" t="str">
        <f>IF(COUNTIF($A$2:A241, A241) = 1, A241, "")</f>
        <v/>
      </c>
    </row>
    <row r="243" spans="6:38" x14ac:dyDescent="0.2">
      <c r="F243" t="str">
        <f t="shared" si="33"/>
        <v/>
      </c>
      <c r="L243" s="7" t="str">
        <f t="shared" si="34"/>
        <v/>
      </c>
      <c r="N243" s="7" t="str">
        <f t="shared" si="35"/>
        <v/>
      </c>
      <c r="O243" t="str">
        <f t="shared" si="36"/>
        <v/>
      </c>
      <c r="P243" t="str">
        <f t="shared" si="37"/>
        <v/>
      </c>
      <c r="Q243" t="str">
        <f t="shared" si="38"/>
        <v/>
      </c>
      <c r="S243" t="str">
        <f>""</f>
        <v/>
      </c>
      <c r="AL243" s="18" t="str">
        <f>IF(COUNTIF($A$2:A242, A242) = 1, A242, "")</f>
        <v/>
      </c>
    </row>
    <row r="244" spans="6:38" x14ac:dyDescent="0.2">
      <c r="F244" t="str">
        <f t="shared" si="33"/>
        <v/>
      </c>
      <c r="L244" s="7" t="str">
        <f t="shared" si="34"/>
        <v/>
      </c>
      <c r="N244" s="7" t="str">
        <f t="shared" si="35"/>
        <v/>
      </c>
      <c r="O244" t="str">
        <f t="shared" si="36"/>
        <v/>
      </c>
      <c r="P244" t="str">
        <f t="shared" si="37"/>
        <v/>
      </c>
      <c r="Q244" t="str">
        <f t="shared" si="38"/>
        <v/>
      </c>
      <c r="S244" t="str">
        <f>""</f>
        <v/>
      </c>
      <c r="AL244" s="18" t="str">
        <f>IF(COUNTIF($A$2:A243, A243) = 1, A243, "")</f>
        <v/>
      </c>
    </row>
    <row r="245" spans="6:38" x14ac:dyDescent="0.2">
      <c r="F245" t="str">
        <f t="shared" si="33"/>
        <v/>
      </c>
      <c r="L245" s="7" t="str">
        <f t="shared" si="34"/>
        <v/>
      </c>
      <c r="N245" s="7" t="str">
        <f t="shared" si="35"/>
        <v/>
      </c>
      <c r="O245" t="str">
        <f t="shared" si="36"/>
        <v/>
      </c>
      <c r="P245" t="str">
        <f t="shared" si="37"/>
        <v/>
      </c>
      <c r="Q245" t="str">
        <f t="shared" si="38"/>
        <v/>
      </c>
      <c r="S245" t="str">
        <f>""</f>
        <v/>
      </c>
      <c r="AL245" s="18" t="str">
        <f>IF(COUNTIF($A$2:A244, A244) = 1, A244, "")</f>
        <v/>
      </c>
    </row>
    <row r="246" spans="6:38" x14ac:dyDescent="0.2">
      <c r="F246" t="str">
        <f t="shared" si="33"/>
        <v/>
      </c>
      <c r="L246" s="7" t="str">
        <f t="shared" si="34"/>
        <v/>
      </c>
      <c r="N246" s="7" t="str">
        <f t="shared" si="35"/>
        <v/>
      </c>
      <c r="O246" t="str">
        <f t="shared" si="36"/>
        <v/>
      </c>
      <c r="P246" t="str">
        <f t="shared" si="37"/>
        <v/>
      </c>
      <c r="Q246" t="str">
        <f t="shared" si="38"/>
        <v/>
      </c>
      <c r="S246" t="str">
        <f>""</f>
        <v/>
      </c>
      <c r="AL246" s="18" t="str">
        <f>IF(COUNTIF($A$2:A245, A245) = 1, A245, "")</f>
        <v/>
      </c>
    </row>
    <row r="247" spans="6:38" x14ac:dyDescent="0.2">
      <c r="F247" t="str">
        <f t="shared" si="33"/>
        <v/>
      </c>
      <c r="L247" s="7" t="str">
        <f t="shared" si="34"/>
        <v/>
      </c>
      <c r="N247" s="7" t="str">
        <f t="shared" si="35"/>
        <v/>
      </c>
      <c r="O247" t="str">
        <f t="shared" si="36"/>
        <v/>
      </c>
      <c r="P247" t="str">
        <f t="shared" si="37"/>
        <v/>
      </c>
      <c r="Q247" t="str">
        <f t="shared" si="38"/>
        <v/>
      </c>
      <c r="S247" t="str">
        <f>""</f>
        <v/>
      </c>
      <c r="AL247" s="18" t="str">
        <f>IF(COUNTIF($A$2:A246, A246) = 1, A246, "")</f>
        <v/>
      </c>
    </row>
    <row r="248" spans="6:38" x14ac:dyDescent="0.2">
      <c r="F248" t="str">
        <f t="shared" si="33"/>
        <v/>
      </c>
      <c r="L248" s="7" t="str">
        <f t="shared" si="34"/>
        <v/>
      </c>
      <c r="N248" s="7" t="str">
        <f t="shared" si="35"/>
        <v/>
      </c>
      <c r="O248" t="str">
        <f t="shared" si="36"/>
        <v/>
      </c>
      <c r="P248" t="str">
        <f t="shared" si="37"/>
        <v/>
      </c>
      <c r="Q248" t="str">
        <f t="shared" si="38"/>
        <v/>
      </c>
      <c r="S248" t="str">
        <f>""</f>
        <v/>
      </c>
      <c r="AL248" s="18" t="str">
        <f>IF(COUNTIF($A$2:A247, A247) = 1, A247, "")</f>
        <v/>
      </c>
    </row>
    <row r="249" spans="6:38" x14ac:dyDescent="0.2">
      <c r="F249" t="str">
        <f t="shared" si="33"/>
        <v/>
      </c>
      <c r="L249" s="7" t="str">
        <f t="shared" si="34"/>
        <v/>
      </c>
      <c r="N249" s="7" t="str">
        <f t="shared" si="35"/>
        <v/>
      </c>
      <c r="O249" t="str">
        <f t="shared" si="36"/>
        <v/>
      </c>
      <c r="P249" t="str">
        <f t="shared" si="37"/>
        <v/>
      </c>
      <c r="Q249" t="str">
        <f t="shared" si="38"/>
        <v/>
      </c>
      <c r="S249" t="str">
        <f>""</f>
        <v/>
      </c>
      <c r="AL249" s="18" t="str">
        <f>IF(COUNTIF($A$2:A248, A248) = 1, A248, "")</f>
        <v/>
      </c>
    </row>
    <row r="250" spans="6:38" x14ac:dyDescent="0.2">
      <c r="F250" t="str">
        <f t="shared" si="33"/>
        <v/>
      </c>
      <c r="L250" s="7" t="str">
        <f t="shared" si="34"/>
        <v/>
      </c>
      <c r="N250" s="7" t="str">
        <f t="shared" si="35"/>
        <v/>
      </c>
      <c r="O250" t="str">
        <f t="shared" si="36"/>
        <v/>
      </c>
      <c r="P250" t="str">
        <f t="shared" si="37"/>
        <v/>
      </c>
      <c r="Q250" t="str">
        <f t="shared" si="38"/>
        <v/>
      </c>
      <c r="S250" t="str">
        <f>""</f>
        <v/>
      </c>
      <c r="AL250" s="18" t="str">
        <f>IF(COUNTIF($A$2:A249, A249) = 1, A249, "")</f>
        <v/>
      </c>
    </row>
    <row r="251" spans="6:38" x14ac:dyDescent="0.2">
      <c r="F251" t="str">
        <f t="shared" si="33"/>
        <v/>
      </c>
      <c r="L251" s="7" t="str">
        <f t="shared" si="34"/>
        <v/>
      </c>
      <c r="N251" s="7" t="str">
        <f t="shared" si="35"/>
        <v/>
      </c>
      <c r="O251" t="str">
        <f t="shared" si="36"/>
        <v/>
      </c>
      <c r="P251" t="str">
        <f t="shared" si="37"/>
        <v/>
      </c>
      <c r="Q251" t="str">
        <f t="shared" si="38"/>
        <v/>
      </c>
      <c r="S251" t="str">
        <f>""</f>
        <v/>
      </c>
      <c r="AL251" s="18" t="str">
        <f>IF(COUNTIF($A$2:A250, A250) = 1, A250, "")</f>
        <v/>
      </c>
    </row>
    <row r="252" spans="6:38" x14ac:dyDescent="0.2">
      <c r="F252" t="str">
        <f t="shared" si="33"/>
        <v/>
      </c>
      <c r="L252" s="7" t="str">
        <f t="shared" si="34"/>
        <v/>
      </c>
      <c r="N252" s="7" t="str">
        <f t="shared" si="35"/>
        <v/>
      </c>
      <c r="O252" t="str">
        <f t="shared" si="36"/>
        <v/>
      </c>
      <c r="P252" t="str">
        <f t="shared" si="37"/>
        <v/>
      </c>
      <c r="Q252" t="str">
        <f t="shared" si="38"/>
        <v/>
      </c>
      <c r="S252" t="str">
        <f>""</f>
        <v/>
      </c>
      <c r="AL252" s="18" t="str">
        <f>IF(COUNTIF($A$2:A251, A251) = 1, A251, "")</f>
        <v/>
      </c>
    </row>
    <row r="253" spans="6:38" x14ac:dyDescent="0.2">
      <c r="F253" t="str">
        <f t="shared" si="33"/>
        <v/>
      </c>
      <c r="L253" s="7" t="str">
        <f t="shared" si="34"/>
        <v/>
      </c>
      <c r="N253" s="7" t="str">
        <f t="shared" si="35"/>
        <v/>
      </c>
      <c r="O253" t="str">
        <f t="shared" si="36"/>
        <v/>
      </c>
      <c r="P253" t="str">
        <f t="shared" si="37"/>
        <v/>
      </c>
      <c r="Q253" t="str">
        <f t="shared" si="38"/>
        <v/>
      </c>
      <c r="S253" t="str">
        <f>""</f>
        <v/>
      </c>
      <c r="AL253" s="18" t="str">
        <f>IF(COUNTIF($A$2:A252, A252) = 1, A252, "")</f>
        <v/>
      </c>
    </row>
    <row r="254" spans="6:38" x14ac:dyDescent="0.2">
      <c r="F254" t="str">
        <f t="shared" si="33"/>
        <v/>
      </c>
      <c r="L254" s="7" t="str">
        <f t="shared" si="34"/>
        <v/>
      </c>
      <c r="N254" s="7" t="str">
        <f t="shared" si="35"/>
        <v/>
      </c>
      <c r="O254" t="str">
        <f t="shared" si="36"/>
        <v/>
      </c>
      <c r="P254" t="str">
        <f t="shared" si="37"/>
        <v/>
      </c>
      <c r="Q254" t="str">
        <f t="shared" si="38"/>
        <v/>
      </c>
      <c r="S254" t="str">
        <f>""</f>
        <v/>
      </c>
      <c r="AL254" s="18" t="str">
        <f>IF(COUNTIF($A$2:A253, A253) = 1, A253, "")</f>
        <v/>
      </c>
    </row>
    <row r="255" spans="6:38" x14ac:dyDescent="0.2">
      <c r="F255" t="str">
        <f t="shared" si="33"/>
        <v/>
      </c>
      <c r="L255" s="7" t="str">
        <f t="shared" si="34"/>
        <v/>
      </c>
      <c r="N255" s="7" t="str">
        <f t="shared" si="35"/>
        <v/>
      </c>
      <c r="O255" t="str">
        <f t="shared" si="36"/>
        <v/>
      </c>
      <c r="P255" t="str">
        <f t="shared" si="37"/>
        <v/>
      </c>
      <c r="Q255" t="str">
        <f t="shared" si="38"/>
        <v/>
      </c>
      <c r="S255" t="str">
        <f>""</f>
        <v/>
      </c>
      <c r="AL255" s="18" t="str">
        <f>IF(COUNTIF($A$2:A254, A254) = 1, A254, "")</f>
        <v/>
      </c>
    </row>
    <row r="256" spans="6:38" x14ac:dyDescent="0.2">
      <c r="F256" t="str">
        <f t="shared" si="33"/>
        <v/>
      </c>
      <c r="L256" s="7" t="str">
        <f t="shared" si="34"/>
        <v/>
      </c>
      <c r="N256" s="7" t="str">
        <f t="shared" si="35"/>
        <v/>
      </c>
      <c r="O256" t="str">
        <f t="shared" si="36"/>
        <v/>
      </c>
      <c r="P256" t="str">
        <f t="shared" si="37"/>
        <v/>
      </c>
      <c r="Q256" t="str">
        <f t="shared" si="38"/>
        <v/>
      </c>
      <c r="S256" t="str">
        <f>""</f>
        <v/>
      </c>
      <c r="AL256" s="18" t="str">
        <f>IF(COUNTIF($A$2:A255, A255) = 1, A255, "")</f>
        <v/>
      </c>
    </row>
    <row r="257" spans="6:38" x14ac:dyDescent="0.2">
      <c r="F257" t="str">
        <f t="shared" si="33"/>
        <v/>
      </c>
      <c r="L257" s="7" t="str">
        <f t="shared" si="34"/>
        <v/>
      </c>
      <c r="N257" s="7" t="str">
        <f t="shared" si="35"/>
        <v/>
      </c>
      <c r="O257" t="str">
        <f t="shared" si="36"/>
        <v/>
      </c>
      <c r="P257" t="str">
        <f t="shared" si="37"/>
        <v/>
      </c>
      <c r="Q257" t="str">
        <f t="shared" si="38"/>
        <v/>
      </c>
      <c r="S257" t="str">
        <f>""</f>
        <v/>
      </c>
      <c r="AL257" s="18" t="str">
        <f>IF(COUNTIF($A$2:A256, A256) = 1, A256, "")</f>
        <v/>
      </c>
    </row>
    <row r="258" spans="6:38" x14ac:dyDescent="0.2">
      <c r="F258" t="str">
        <f t="shared" si="33"/>
        <v/>
      </c>
      <c r="L258" s="7" t="str">
        <f t="shared" si="34"/>
        <v/>
      </c>
      <c r="N258" s="7" t="str">
        <f t="shared" si="35"/>
        <v/>
      </c>
      <c r="O258" t="str">
        <f t="shared" si="36"/>
        <v/>
      </c>
      <c r="P258" t="str">
        <f t="shared" si="37"/>
        <v/>
      </c>
      <c r="Q258" t="str">
        <f t="shared" si="38"/>
        <v/>
      </c>
      <c r="S258" t="str">
        <f>""</f>
        <v/>
      </c>
      <c r="AL258" s="18" t="str">
        <f>IF(COUNTIF($A$2:A257, A257) = 1, A257, "")</f>
        <v/>
      </c>
    </row>
    <row r="259" spans="6:38" x14ac:dyDescent="0.2">
      <c r="F259" t="str">
        <f t="shared" si="33"/>
        <v/>
      </c>
      <c r="L259" s="7" t="str">
        <f t="shared" si="34"/>
        <v/>
      </c>
      <c r="N259" s="7" t="str">
        <f t="shared" si="35"/>
        <v/>
      </c>
      <c r="O259" t="str">
        <f t="shared" si="36"/>
        <v/>
      </c>
      <c r="P259" t="str">
        <f t="shared" si="37"/>
        <v/>
      </c>
      <c r="Q259" t="str">
        <f t="shared" si="38"/>
        <v/>
      </c>
      <c r="S259" t="str">
        <f>""</f>
        <v/>
      </c>
      <c r="AL259" s="18" t="str">
        <f>IF(COUNTIF($A$2:A258, A258) = 1, A258, "")</f>
        <v/>
      </c>
    </row>
    <row r="260" spans="6:38" x14ac:dyDescent="0.2">
      <c r="F260" t="str">
        <f t="shared" si="33"/>
        <v/>
      </c>
      <c r="L260" s="7" t="str">
        <f t="shared" si="34"/>
        <v/>
      </c>
      <c r="N260" s="7" t="str">
        <f t="shared" si="35"/>
        <v/>
      </c>
      <c r="O260" t="str">
        <f t="shared" si="36"/>
        <v/>
      </c>
      <c r="P260" t="str">
        <f t="shared" si="37"/>
        <v/>
      </c>
      <c r="Q260" t="str">
        <f t="shared" si="38"/>
        <v/>
      </c>
      <c r="S260" t="str">
        <f>""</f>
        <v/>
      </c>
      <c r="AL260" s="18" t="str">
        <f>IF(COUNTIF($A$2:A259, A259) = 1, A259, "")</f>
        <v/>
      </c>
    </row>
    <row r="261" spans="6:38" x14ac:dyDescent="0.2">
      <c r="F261" t="str">
        <f t="shared" si="33"/>
        <v/>
      </c>
      <c r="L261" s="7" t="str">
        <f t="shared" si="34"/>
        <v/>
      </c>
      <c r="N261" s="7" t="str">
        <f t="shared" si="35"/>
        <v/>
      </c>
      <c r="O261" t="str">
        <f t="shared" si="36"/>
        <v/>
      </c>
      <c r="P261" t="str">
        <f t="shared" si="37"/>
        <v/>
      </c>
      <c r="Q261" t="str">
        <f t="shared" si="38"/>
        <v/>
      </c>
      <c r="S261" t="str">
        <f>""</f>
        <v/>
      </c>
      <c r="AL261" s="18" t="str">
        <f>IF(COUNTIF($A$2:A260, A260) = 1, A260, "")</f>
        <v/>
      </c>
    </row>
    <row r="262" spans="6:38" x14ac:dyDescent="0.2">
      <c r="F262" t="str">
        <f t="shared" si="33"/>
        <v/>
      </c>
      <c r="L262" s="7" t="str">
        <f t="shared" si="34"/>
        <v/>
      </c>
      <c r="N262" s="7" t="str">
        <f t="shared" si="35"/>
        <v/>
      </c>
      <c r="O262" t="str">
        <f t="shared" si="36"/>
        <v/>
      </c>
      <c r="P262" t="str">
        <f t="shared" si="37"/>
        <v/>
      </c>
      <c r="Q262" t="str">
        <f t="shared" si="38"/>
        <v/>
      </c>
      <c r="S262" t="str">
        <f>""</f>
        <v/>
      </c>
      <c r="AL262" s="18" t="str">
        <f>IF(COUNTIF($A$2:A261, A261) = 1, A261, "")</f>
        <v/>
      </c>
    </row>
    <row r="263" spans="6:38" x14ac:dyDescent="0.2">
      <c r="F263" t="str">
        <f t="shared" si="33"/>
        <v/>
      </c>
      <c r="L263" s="7" t="str">
        <f t="shared" si="34"/>
        <v/>
      </c>
      <c r="N263" s="7" t="str">
        <f t="shared" si="35"/>
        <v/>
      </c>
      <c r="O263" t="str">
        <f t="shared" si="36"/>
        <v/>
      </c>
      <c r="P263" t="str">
        <f t="shared" si="37"/>
        <v/>
      </c>
      <c r="Q263" t="str">
        <f t="shared" si="38"/>
        <v/>
      </c>
      <c r="S263" t="str">
        <f>""</f>
        <v/>
      </c>
      <c r="AL263" s="18" t="str">
        <f>IF(COUNTIF($A$2:A262, A262) = 1, A262, "")</f>
        <v/>
      </c>
    </row>
    <row r="264" spans="6:38" x14ac:dyDescent="0.2">
      <c r="F264" t="str">
        <f t="shared" si="33"/>
        <v/>
      </c>
      <c r="L264" s="7" t="str">
        <f t="shared" si="34"/>
        <v/>
      </c>
      <c r="N264" s="7" t="str">
        <f t="shared" si="35"/>
        <v/>
      </c>
      <c r="O264" t="str">
        <f t="shared" si="36"/>
        <v/>
      </c>
      <c r="P264" t="str">
        <f t="shared" si="37"/>
        <v/>
      </c>
      <c r="Q264" t="str">
        <f t="shared" si="38"/>
        <v/>
      </c>
      <c r="S264" t="str">
        <f>""</f>
        <v/>
      </c>
      <c r="AL264" s="18" t="str">
        <f>IF(COUNTIF($A$2:A263, A263) = 1, A263, "")</f>
        <v/>
      </c>
    </row>
    <row r="265" spans="6:38" x14ac:dyDescent="0.2">
      <c r="F265" t="str">
        <f t="shared" si="33"/>
        <v/>
      </c>
      <c r="L265" s="7" t="str">
        <f t="shared" si="34"/>
        <v/>
      </c>
      <c r="N265" s="7" t="str">
        <f t="shared" si="35"/>
        <v/>
      </c>
      <c r="O265" t="str">
        <f t="shared" si="36"/>
        <v/>
      </c>
      <c r="P265" t="str">
        <f t="shared" si="37"/>
        <v/>
      </c>
      <c r="Q265" t="str">
        <f t="shared" si="38"/>
        <v/>
      </c>
      <c r="S265" t="str">
        <f>""</f>
        <v/>
      </c>
      <c r="AL265" s="18" t="str">
        <f>IF(COUNTIF($A$2:A264, A264) = 1, A264, "")</f>
        <v/>
      </c>
    </row>
    <row r="266" spans="6:38" x14ac:dyDescent="0.2">
      <c r="F266" t="str">
        <f t="shared" si="33"/>
        <v/>
      </c>
      <c r="L266" s="7" t="str">
        <f t="shared" si="34"/>
        <v/>
      </c>
      <c r="N266" s="7" t="str">
        <f t="shared" si="35"/>
        <v/>
      </c>
      <c r="O266" t="str">
        <f t="shared" si="36"/>
        <v/>
      </c>
      <c r="P266" t="str">
        <f t="shared" si="37"/>
        <v/>
      </c>
      <c r="Q266" t="str">
        <f t="shared" si="38"/>
        <v/>
      </c>
      <c r="S266" t="str">
        <f>""</f>
        <v/>
      </c>
      <c r="AL266" s="18" t="str">
        <f>IF(COUNTIF($A$2:A265, A265) = 1, A265, "")</f>
        <v/>
      </c>
    </row>
    <row r="267" spans="6:38" x14ac:dyDescent="0.2">
      <c r="F267" t="str">
        <f t="shared" si="33"/>
        <v/>
      </c>
      <c r="L267" s="7" t="str">
        <f t="shared" si="34"/>
        <v/>
      </c>
      <c r="N267" s="7" t="str">
        <f t="shared" si="35"/>
        <v/>
      </c>
      <c r="O267" t="str">
        <f t="shared" si="36"/>
        <v/>
      </c>
      <c r="P267" t="str">
        <f t="shared" si="37"/>
        <v/>
      </c>
      <c r="Q267" t="str">
        <f t="shared" si="38"/>
        <v/>
      </c>
      <c r="S267" t="str">
        <f>""</f>
        <v/>
      </c>
      <c r="AL267" s="18" t="str">
        <f>IF(COUNTIF($A$2:A266, A266) = 1, A266, "")</f>
        <v/>
      </c>
    </row>
    <row r="268" spans="6:38" x14ac:dyDescent="0.2">
      <c r="F268" t="str">
        <f t="shared" si="33"/>
        <v/>
      </c>
      <c r="L268" s="7" t="str">
        <f t="shared" si="34"/>
        <v/>
      </c>
      <c r="N268" s="7" t="str">
        <f t="shared" si="35"/>
        <v/>
      </c>
      <c r="O268" t="str">
        <f t="shared" si="36"/>
        <v/>
      </c>
      <c r="P268" t="str">
        <f t="shared" si="37"/>
        <v/>
      </c>
      <c r="Q268" t="str">
        <f t="shared" si="38"/>
        <v/>
      </c>
      <c r="S268" t="str">
        <f>""</f>
        <v/>
      </c>
      <c r="AL268" s="18" t="str">
        <f>IF(COUNTIF($A$2:A267, A267) = 1, A267, "")</f>
        <v/>
      </c>
    </row>
    <row r="269" spans="6:38" x14ac:dyDescent="0.2">
      <c r="F269" t="str">
        <f t="shared" si="33"/>
        <v/>
      </c>
      <c r="L269" s="7" t="str">
        <f t="shared" si="34"/>
        <v/>
      </c>
      <c r="N269" s="7" t="str">
        <f t="shared" si="35"/>
        <v/>
      </c>
      <c r="O269" t="str">
        <f t="shared" si="36"/>
        <v/>
      </c>
      <c r="P269" t="str">
        <f t="shared" si="37"/>
        <v/>
      </c>
      <c r="Q269" t="str">
        <f t="shared" si="38"/>
        <v/>
      </c>
      <c r="S269" t="str">
        <f>""</f>
        <v/>
      </c>
      <c r="AL269" s="18" t="str">
        <f>IF(COUNTIF($A$2:A268, A268) = 1, A268, "")</f>
        <v/>
      </c>
    </row>
    <row r="270" spans="6:38" x14ac:dyDescent="0.2">
      <c r="F270" t="str">
        <f t="shared" si="33"/>
        <v/>
      </c>
      <c r="L270" s="7" t="str">
        <f t="shared" si="34"/>
        <v/>
      </c>
      <c r="N270" s="7" t="str">
        <f t="shared" si="35"/>
        <v/>
      </c>
      <c r="O270" t="str">
        <f t="shared" si="36"/>
        <v/>
      </c>
      <c r="P270" t="str">
        <f t="shared" si="37"/>
        <v/>
      </c>
      <c r="Q270" t="str">
        <f t="shared" si="38"/>
        <v/>
      </c>
      <c r="S270" t="str">
        <f>""</f>
        <v/>
      </c>
      <c r="AL270" s="18" t="str">
        <f>IF(COUNTIF($A$2:A269, A269) = 1, A269, "")</f>
        <v/>
      </c>
    </row>
    <row r="271" spans="6:38" x14ac:dyDescent="0.2">
      <c r="F271" t="str">
        <f t="shared" si="33"/>
        <v/>
      </c>
      <c r="L271" s="7" t="str">
        <f t="shared" si="34"/>
        <v/>
      </c>
      <c r="N271" s="7" t="str">
        <f t="shared" si="35"/>
        <v/>
      </c>
      <c r="O271" t="str">
        <f t="shared" si="36"/>
        <v/>
      </c>
      <c r="P271" t="str">
        <f t="shared" si="37"/>
        <v/>
      </c>
      <c r="Q271" t="str">
        <f t="shared" si="38"/>
        <v/>
      </c>
      <c r="S271" t="str">
        <f>""</f>
        <v/>
      </c>
      <c r="AL271" s="18" t="str">
        <f>IF(COUNTIF($A$2:A270, A270) = 1, A270, "")</f>
        <v/>
      </c>
    </row>
    <row r="272" spans="6:38" x14ac:dyDescent="0.2">
      <c r="F272" t="str">
        <f t="shared" ref="F272:F335" si="39">IF(OR(O272="", P272=""), "", SUM(IF((O272&lt;&gt;"None")*(O272&lt;&gt;""),LEN(O272)-LEN(SUBSTITUTE(O272,",",""))+1,0)) + SUM(IF((P272&lt;&gt;"None")*(P272&lt;&gt;""),LEN(P272)-LEN(SUBSTITUTE(P272,",",""))+1,0)))</f>
        <v/>
      </c>
      <c r="L272" s="7" t="str">
        <f t="shared" ref="L272:L335" si="40">IF(LEN(E272)=0, "", IFERROR(IF(E272&gt;=0, K272 * (1 + E272/100) - K272, K272 / (ABS(E272)/100))+K272, ""))</f>
        <v/>
      </c>
      <c r="N272" s="7" t="str">
        <f t="shared" ref="N272:N335" si="41">IF(M272="Yes",L272-K272,IF(M272="No",-K272,""))</f>
        <v/>
      </c>
      <c r="O272" t="str">
        <f t="shared" ref="O272:O335" si="42">IF(AND(G272="No",H272="No"), "None", "")</f>
        <v/>
      </c>
      <c r="P272" t="str">
        <f t="shared" ref="P272:P335" si="43">IF(I272="No", "None", "")</f>
        <v/>
      </c>
      <c r="Q272" t="str">
        <f t="shared" ref="Q272:Q335" si="44">IF(AND(D272="Straight", M272 = "No"),IF(O272="None",P272,IF(P272="None",O272) ),"")</f>
        <v/>
      </c>
      <c r="S272" t="str">
        <f>""</f>
        <v/>
      </c>
      <c r="AL272" s="18" t="str">
        <f>IF(COUNTIF($A$2:A271, A271) = 1, A271, "")</f>
        <v/>
      </c>
    </row>
    <row r="273" spans="6:38" x14ac:dyDescent="0.2">
      <c r="F273" t="str">
        <f t="shared" si="39"/>
        <v/>
      </c>
      <c r="L273" s="7" t="str">
        <f t="shared" si="40"/>
        <v/>
      </c>
      <c r="N273" s="7" t="str">
        <f t="shared" si="41"/>
        <v/>
      </c>
      <c r="O273" t="str">
        <f t="shared" si="42"/>
        <v/>
      </c>
      <c r="P273" t="str">
        <f t="shared" si="43"/>
        <v/>
      </c>
      <c r="Q273" t="str">
        <f t="shared" si="44"/>
        <v/>
      </c>
      <c r="S273" t="str">
        <f>""</f>
        <v/>
      </c>
      <c r="AL273" s="18" t="str">
        <f>IF(COUNTIF($A$2:A272, A272) = 1, A272, "")</f>
        <v/>
      </c>
    </row>
    <row r="274" spans="6:38" x14ac:dyDescent="0.2">
      <c r="F274" t="str">
        <f t="shared" si="39"/>
        <v/>
      </c>
      <c r="L274" s="7" t="str">
        <f t="shared" si="40"/>
        <v/>
      </c>
      <c r="N274" s="7" t="str">
        <f t="shared" si="41"/>
        <v/>
      </c>
      <c r="O274" t="str">
        <f t="shared" si="42"/>
        <v/>
      </c>
      <c r="P274" t="str">
        <f t="shared" si="43"/>
        <v/>
      </c>
      <c r="Q274" t="str">
        <f t="shared" si="44"/>
        <v/>
      </c>
      <c r="S274" t="str">
        <f>""</f>
        <v/>
      </c>
      <c r="AL274" s="18" t="str">
        <f>IF(COUNTIF($A$2:A273, A273) = 1, A273, "")</f>
        <v/>
      </c>
    </row>
    <row r="275" spans="6:38" x14ac:dyDescent="0.2">
      <c r="F275" t="str">
        <f t="shared" si="39"/>
        <v/>
      </c>
      <c r="L275" s="7" t="str">
        <f t="shared" si="40"/>
        <v/>
      </c>
      <c r="N275" s="7" t="str">
        <f t="shared" si="41"/>
        <v/>
      </c>
      <c r="O275" t="str">
        <f t="shared" si="42"/>
        <v/>
      </c>
      <c r="P275" t="str">
        <f t="shared" si="43"/>
        <v/>
      </c>
      <c r="Q275" t="str">
        <f t="shared" si="44"/>
        <v/>
      </c>
      <c r="S275" t="str">
        <f>""</f>
        <v/>
      </c>
      <c r="AL275" s="18" t="str">
        <f>IF(COUNTIF($A$2:A274, A274) = 1, A274, "")</f>
        <v/>
      </c>
    </row>
    <row r="276" spans="6:38" x14ac:dyDescent="0.2">
      <c r="F276" t="str">
        <f t="shared" si="39"/>
        <v/>
      </c>
      <c r="L276" s="7" t="str">
        <f t="shared" si="40"/>
        <v/>
      </c>
      <c r="N276" s="7" t="str">
        <f t="shared" si="41"/>
        <v/>
      </c>
      <c r="O276" t="str">
        <f t="shared" si="42"/>
        <v/>
      </c>
      <c r="P276" t="str">
        <f t="shared" si="43"/>
        <v/>
      </c>
      <c r="Q276" t="str">
        <f t="shared" si="44"/>
        <v/>
      </c>
      <c r="S276" t="str">
        <f>""</f>
        <v/>
      </c>
      <c r="AL276" s="18" t="str">
        <f>IF(COUNTIF($A$2:A275, A275) = 1, A275, "")</f>
        <v/>
      </c>
    </row>
    <row r="277" spans="6:38" x14ac:dyDescent="0.2">
      <c r="F277" t="str">
        <f t="shared" si="39"/>
        <v/>
      </c>
      <c r="L277" s="7" t="str">
        <f t="shared" si="40"/>
        <v/>
      </c>
      <c r="N277" s="7" t="str">
        <f t="shared" si="41"/>
        <v/>
      </c>
      <c r="O277" t="str">
        <f t="shared" si="42"/>
        <v/>
      </c>
      <c r="P277" t="str">
        <f t="shared" si="43"/>
        <v/>
      </c>
      <c r="Q277" t="str">
        <f t="shared" si="44"/>
        <v/>
      </c>
      <c r="S277" t="str">
        <f>""</f>
        <v/>
      </c>
      <c r="AL277" s="18" t="str">
        <f>IF(COUNTIF($A$2:A276, A276) = 1, A276, "")</f>
        <v/>
      </c>
    </row>
    <row r="278" spans="6:38" x14ac:dyDescent="0.2">
      <c r="F278" t="str">
        <f t="shared" si="39"/>
        <v/>
      </c>
      <c r="L278" s="7" t="str">
        <f t="shared" si="40"/>
        <v/>
      </c>
      <c r="N278" s="7" t="str">
        <f t="shared" si="41"/>
        <v/>
      </c>
      <c r="O278" t="str">
        <f t="shared" si="42"/>
        <v/>
      </c>
      <c r="P278" t="str">
        <f t="shared" si="43"/>
        <v/>
      </c>
      <c r="Q278" t="str">
        <f t="shared" si="44"/>
        <v/>
      </c>
      <c r="S278" t="str">
        <f>""</f>
        <v/>
      </c>
      <c r="AL278" s="18" t="str">
        <f>IF(COUNTIF($A$2:A277, A277) = 1, A277, "")</f>
        <v/>
      </c>
    </row>
    <row r="279" spans="6:38" x14ac:dyDescent="0.2">
      <c r="F279" t="str">
        <f t="shared" si="39"/>
        <v/>
      </c>
      <c r="L279" s="7" t="str">
        <f t="shared" si="40"/>
        <v/>
      </c>
      <c r="N279" s="7" t="str">
        <f t="shared" si="41"/>
        <v/>
      </c>
      <c r="O279" t="str">
        <f t="shared" si="42"/>
        <v/>
      </c>
      <c r="P279" t="str">
        <f t="shared" si="43"/>
        <v/>
      </c>
      <c r="Q279" t="str">
        <f t="shared" si="44"/>
        <v/>
      </c>
      <c r="S279" t="str">
        <f>""</f>
        <v/>
      </c>
      <c r="AL279" s="18" t="str">
        <f>IF(COUNTIF($A$2:A278, A278) = 1, A278, "")</f>
        <v/>
      </c>
    </row>
    <row r="280" spans="6:38" x14ac:dyDescent="0.2">
      <c r="F280" t="str">
        <f t="shared" si="39"/>
        <v/>
      </c>
      <c r="L280" s="7" t="str">
        <f t="shared" si="40"/>
        <v/>
      </c>
      <c r="N280" s="7" t="str">
        <f t="shared" si="41"/>
        <v/>
      </c>
      <c r="O280" t="str">
        <f t="shared" si="42"/>
        <v/>
      </c>
      <c r="P280" t="str">
        <f t="shared" si="43"/>
        <v/>
      </c>
      <c r="Q280" t="str">
        <f t="shared" si="44"/>
        <v/>
      </c>
      <c r="S280" t="str">
        <f>""</f>
        <v/>
      </c>
      <c r="AL280" s="18" t="str">
        <f>IF(COUNTIF($A$2:A279, A279) = 1, A279, "")</f>
        <v/>
      </c>
    </row>
    <row r="281" spans="6:38" x14ac:dyDescent="0.2">
      <c r="F281" t="str">
        <f t="shared" si="39"/>
        <v/>
      </c>
      <c r="L281" s="7" t="str">
        <f t="shared" si="40"/>
        <v/>
      </c>
      <c r="N281" s="7" t="str">
        <f t="shared" si="41"/>
        <v/>
      </c>
      <c r="O281" t="str">
        <f t="shared" si="42"/>
        <v/>
      </c>
      <c r="P281" t="str">
        <f t="shared" si="43"/>
        <v/>
      </c>
      <c r="Q281" t="str">
        <f t="shared" si="44"/>
        <v/>
      </c>
      <c r="S281" t="str">
        <f>""</f>
        <v/>
      </c>
      <c r="AL281" s="18" t="str">
        <f>IF(COUNTIF($A$2:A280, A280) = 1, A280, "")</f>
        <v/>
      </c>
    </row>
    <row r="282" spans="6:38" x14ac:dyDescent="0.2">
      <c r="F282" t="str">
        <f t="shared" si="39"/>
        <v/>
      </c>
      <c r="L282" s="7" t="str">
        <f t="shared" si="40"/>
        <v/>
      </c>
      <c r="N282" s="7" t="str">
        <f t="shared" si="41"/>
        <v/>
      </c>
      <c r="O282" t="str">
        <f t="shared" si="42"/>
        <v/>
      </c>
      <c r="P282" t="str">
        <f t="shared" si="43"/>
        <v/>
      </c>
      <c r="Q282" t="str">
        <f t="shared" si="44"/>
        <v/>
      </c>
      <c r="S282" t="str">
        <f>""</f>
        <v/>
      </c>
      <c r="AL282" s="18" t="str">
        <f>IF(COUNTIF($A$2:A281, A281) = 1, A281, "")</f>
        <v/>
      </c>
    </row>
    <row r="283" spans="6:38" x14ac:dyDescent="0.2">
      <c r="F283" t="str">
        <f t="shared" si="39"/>
        <v/>
      </c>
      <c r="L283" s="7" t="str">
        <f t="shared" si="40"/>
        <v/>
      </c>
      <c r="N283" s="7" t="str">
        <f t="shared" si="41"/>
        <v/>
      </c>
      <c r="O283" t="str">
        <f t="shared" si="42"/>
        <v/>
      </c>
      <c r="P283" t="str">
        <f t="shared" si="43"/>
        <v/>
      </c>
      <c r="Q283" t="str">
        <f t="shared" si="44"/>
        <v/>
      </c>
      <c r="S283" t="str">
        <f>""</f>
        <v/>
      </c>
      <c r="AL283" s="18" t="str">
        <f>IF(COUNTIF($A$2:A282, A282) = 1, A282, "")</f>
        <v/>
      </c>
    </row>
    <row r="284" spans="6:38" x14ac:dyDescent="0.2">
      <c r="F284" t="str">
        <f t="shared" si="39"/>
        <v/>
      </c>
      <c r="L284" s="7" t="str">
        <f t="shared" si="40"/>
        <v/>
      </c>
      <c r="N284" s="7" t="str">
        <f t="shared" si="41"/>
        <v/>
      </c>
      <c r="O284" t="str">
        <f t="shared" si="42"/>
        <v/>
      </c>
      <c r="P284" t="str">
        <f t="shared" si="43"/>
        <v/>
      </c>
      <c r="Q284" t="str">
        <f t="shared" si="44"/>
        <v/>
      </c>
      <c r="S284" t="str">
        <f>""</f>
        <v/>
      </c>
      <c r="AL284" s="18" t="str">
        <f>IF(COUNTIF($A$2:A283, A283) = 1, A283, "")</f>
        <v/>
      </c>
    </row>
    <row r="285" spans="6:38" x14ac:dyDescent="0.2">
      <c r="F285" t="str">
        <f t="shared" si="39"/>
        <v/>
      </c>
      <c r="L285" s="7" t="str">
        <f t="shared" si="40"/>
        <v/>
      </c>
      <c r="N285" s="7" t="str">
        <f t="shared" si="41"/>
        <v/>
      </c>
      <c r="O285" t="str">
        <f t="shared" si="42"/>
        <v/>
      </c>
      <c r="P285" t="str">
        <f t="shared" si="43"/>
        <v/>
      </c>
      <c r="Q285" t="str">
        <f t="shared" si="44"/>
        <v/>
      </c>
      <c r="S285" t="str">
        <f>""</f>
        <v/>
      </c>
      <c r="AL285" s="18" t="str">
        <f>IF(COUNTIF($A$2:A284, A284) = 1, A284, "")</f>
        <v/>
      </c>
    </row>
    <row r="286" spans="6:38" x14ac:dyDescent="0.2">
      <c r="F286" t="str">
        <f t="shared" si="39"/>
        <v/>
      </c>
      <c r="L286" s="7" t="str">
        <f t="shared" si="40"/>
        <v/>
      </c>
      <c r="N286" s="7" t="str">
        <f t="shared" si="41"/>
        <v/>
      </c>
      <c r="O286" t="str">
        <f t="shared" si="42"/>
        <v/>
      </c>
      <c r="P286" t="str">
        <f t="shared" si="43"/>
        <v/>
      </c>
      <c r="Q286" t="str">
        <f t="shared" si="44"/>
        <v/>
      </c>
      <c r="S286" t="str">
        <f>""</f>
        <v/>
      </c>
      <c r="AL286" s="18" t="str">
        <f>IF(COUNTIF($A$2:A285, A285) = 1, A285, "")</f>
        <v/>
      </c>
    </row>
    <row r="287" spans="6:38" x14ac:dyDescent="0.2">
      <c r="F287" t="str">
        <f t="shared" si="39"/>
        <v/>
      </c>
      <c r="L287" s="7" t="str">
        <f t="shared" si="40"/>
        <v/>
      </c>
      <c r="N287" s="7" t="str">
        <f t="shared" si="41"/>
        <v/>
      </c>
      <c r="O287" t="str">
        <f t="shared" si="42"/>
        <v/>
      </c>
      <c r="P287" t="str">
        <f t="shared" si="43"/>
        <v/>
      </c>
      <c r="Q287" t="str">
        <f t="shared" si="44"/>
        <v/>
      </c>
      <c r="S287" t="str">
        <f>""</f>
        <v/>
      </c>
      <c r="AL287" s="18" t="str">
        <f>IF(COUNTIF($A$2:A286, A286) = 1, A286, "")</f>
        <v/>
      </c>
    </row>
    <row r="288" spans="6:38" x14ac:dyDescent="0.2">
      <c r="F288" t="str">
        <f t="shared" si="39"/>
        <v/>
      </c>
      <c r="L288" s="7" t="str">
        <f t="shared" si="40"/>
        <v/>
      </c>
      <c r="N288" s="7" t="str">
        <f t="shared" si="41"/>
        <v/>
      </c>
      <c r="O288" t="str">
        <f t="shared" si="42"/>
        <v/>
      </c>
      <c r="P288" t="str">
        <f t="shared" si="43"/>
        <v/>
      </c>
      <c r="Q288" t="str">
        <f t="shared" si="44"/>
        <v/>
      </c>
      <c r="S288" t="str">
        <f>""</f>
        <v/>
      </c>
      <c r="AL288" s="18" t="str">
        <f>IF(COUNTIF($A$2:A287, A287) = 1, A287, "")</f>
        <v/>
      </c>
    </row>
    <row r="289" spans="6:38" x14ac:dyDescent="0.2">
      <c r="F289" t="str">
        <f t="shared" si="39"/>
        <v/>
      </c>
      <c r="L289" s="7" t="str">
        <f t="shared" si="40"/>
        <v/>
      </c>
      <c r="N289" s="7" t="str">
        <f t="shared" si="41"/>
        <v/>
      </c>
      <c r="O289" t="str">
        <f t="shared" si="42"/>
        <v/>
      </c>
      <c r="P289" t="str">
        <f t="shared" si="43"/>
        <v/>
      </c>
      <c r="Q289" t="str">
        <f t="shared" si="44"/>
        <v/>
      </c>
      <c r="S289" t="str">
        <f>""</f>
        <v/>
      </c>
      <c r="AL289" s="18" t="str">
        <f>IF(COUNTIF($A$2:A288, A288) = 1, A288, "")</f>
        <v/>
      </c>
    </row>
    <row r="290" spans="6:38" x14ac:dyDescent="0.2">
      <c r="F290" t="str">
        <f t="shared" si="39"/>
        <v/>
      </c>
      <c r="L290" s="7" t="str">
        <f t="shared" si="40"/>
        <v/>
      </c>
      <c r="N290" s="7" t="str">
        <f t="shared" si="41"/>
        <v/>
      </c>
      <c r="O290" t="str">
        <f t="shared" si="42"/>
        <v/>
      </c>
      <c r="P290" t="str">
        <f t="shared" si="43"/>
        <v/>
      </c>
      <c r="Q290" t="str">
        <f t="shared" si="44"/>
        <v/>
      </c>
      <c r="S290" t="str">
        <f>""</f>
        <v/>
      </c>
      <c r="AL290" s="18" t="str">
        <f>IF(COUNTIF($A$2:A289, A289) = 1, A289, "")</f>
        <v/>
      </c>
    </row>
    <row r="291" spans="6:38" x14ac:dyDescent="0.2">
      <c r="F291" t="str">
        <f t="shared" si="39"/>
        <v/>
      </c>
      <c r="L291" s="7" t="str">
        <f t="shared" si="40"/>
        <v/>
      </c>
      <c r="N291" s="7" t="str">
        <f t="shared" si="41"/>
        <v/>
      </c>
      <c r="O291" t="str">
        <f t="shared" si="42"/>
        <v/>
      </c>
      <c r="P291" t="str">
        <f t="shared" si="43"/>
        <v/>
      </c>
      <c r="Q291" t="str">
        <f t="shared" si="44"/>
        <v/>
      </c>
      <c r="S291" t="str">
        <f>""</f>
        <v/>
      </c>
      <c r="AL291" s="18" t="str">
        <f>IF(COUNTIF($A$2:A290, A290) = 1, A290, "")</f>
        <v/>
      </c>
    </row>
    <row r="292" spans="6:38" x14ac:dyDescent="0.2">
      <c r="F292" t="str">
        <f t="shared" si="39"/>
        <v/>
      </c>
      <c r="L292" s="7" t="str">
        <f t="shared" si="40"/>
        <v/>
      </c>
      <c r="N292" s="7" t="str">
        <f t="shared" si="41"/>
        <v/>
      </c>
      <c r="O292" t="str">
        <f t="shared" si="42"/>
        <v/>
      </c>
      <c r="P292" t="str">
        <f t="shared" si="43"/>
        <v/>
      </c>
      <c r="Q292" t="str">
        <f t="shared" si="44"/>
        <v/>
      </c>
      <c r="S292" t="str">
        <f>""</f>
        <v/>
      </c>
      <c r="AL292" s="18" t="str">
        <f>IF(COUNTIF($A$2:A291, A291) = 1, A291, "")</f>
        <v/>
      </c>
    </row>
    <row r="293" spans="6:38" x14ac:dyDescent="0.2">
      <c r="F293" t="str">
        <f t="shared" si="39"/>
        <v/>
      </c>
      <c r="L293" s="7" t="str">
        <f t="shared" si="40"/>
        <v/>
      </c>
      <c r="N293" s="7" t="str">
        <f t="shared" si="41"/>
        <v/>
      </c>
      <c r="O293" t="str">
        <f t="shared" si="42"/>
        <v/>
      </c>
      <c r="P293" t="str">
        <f t="shared" si="43"/>
        <v/>
      </c>
      <c r="Q293" t="str">
        <f t="shared" si="44"/>
        <v/>
      </c>
      <c r="S293" t="str">
        <f>""</f>
        <v/>
      </c>
      <c r="AL293" s="18" t="str">
        <f>IF(COUNTIF($A$2:A292, A292) = 1, A292, "")</f>
        <v/>
      </c>
    </row>
    <row r="294" spans="6:38" x14ac:dyDescent="0.2">
      <c r="F294" t="str">
        <f t="shared" si="39"/>
        <v/>
      </c>
      <c r="L294" s="7" t="str">
        <f t="shared" si="40"/>
        <v/>
      </c>
      <c r="N294" s="7" t="str">
        <f t="shared" si="41"/>
        <v/>
      </c>
      <c r="O294" t="str">
        <f t="shared" si="42"/>
        <v/>
      </c>
      <c r="P294" t="str">
        <f t="shared" si="43"/>
        <v/>
      </c>
      <c r="Q294" t="str">
        <f t="shared" si="44"/>
        <v/>
      </c>
      <c r="S294" t="str">
        <f>""</f>
        <v/>
      </c>
      <c r="AL294" s="18" t="str">
        <f>IF(COUNTIF($A$2:A293, A293) = 1, A293, "")</f>
        <v/>
      </c>
    </row>
    <row r="295" spans="6:38" x14ac:dyDescent="0.2">
      <c r="F295" t="str">
        <f t="shared" si="39"/>
        <v/>
      </c>
      <c r="L295" s="7" t="str">
        <f t="shared" si="40"/>
        <v/>
      </c>
      <c r="N295" s="7" t="str">
        <f t="shared" si="41"/>
        <v/>
      </c>
      <c r="O295" t="str">
        <f t="shared" si="42"/>
        <v/>
      </c>
      <c r="P295" t="str">
        <f t="shared" si="43"/>
        <v/>
      </c>
      <c r="Q295" t="str">
        <f t="shared" si="44"/>
        <v/>
      </c>
      <c r="S295" t="str">
        <f>""</f>
        <v/>
      </c>
      <c r="AL295" s="18" t="str">
        <f>IF(COUNTIF($A$2:A294, A294) = 1, A294, "")</f>
        <v/>
      </c>
    </row>
    <row r="296" spans="6:38" x14ac:dyDescent="0.2">
      <c r="F296" t="str">
        <f t="shared" si="39"/>
        <v/>
      </c>
      <c r="L296" s="7" t="str">
        <f t="shared" si="40"/>
        <v/>
      </c>
      <c r="N296" s="7" t="str">
        <f t="shared" si="41"/>
        <v/>
      </c>
      <c r="O296" t="str">
        <f t="shared" si="42"/>
        <v/>
      </c>
      <c r="P296" t="str">
        <f t="shared" si="43"/>
        <v/>
      </c>
      <c r="Q296" t="str">
        <f t="shared" si="44"/>
        <v/>
      </c>
      <c r="S296" t="str">
        <f>""</f>
        <v/>
      </c>
      <c r="AL296" s="18" t="str">
        <f>IF(COUNTIF($A$2:A295, A295) = 1, A295, "")</f>
        <v/>
      </c>
    </row>
    <row r="297" spans="6:38" x14ac:dyDescent="0.2">
      <c r="F297" t="str">
        <f t="shared" si="39"/>
        <v/>
      </c>
      <c r="L297" s="7" t="str">
        <f t="shared" si="40"/>
        <v/>
      </c>
      <c r="N297" s="7" t="str">
        <f t="shared" si="41"/>
        <v/>
      </c>
      <c r="O297" t="str">
        <f t="shared" si="42"/>
        <v/>
      </c>
      <c r="P297" t="str">
        <f t="shared" si="43"/>
        <v/>
      </c>
      <c r="Q297" t="str">
        <f t="shared" si="44"/>
        <v/>
      </c>
      <c r="S297" t="str">
        <f>""</f>
        <v/>
      </c>
      <c r="AL297" s="18" t="str">
        <f>IF(COUNTIF($A$2:A296, A296) = 1, A296, "")</f>
        <v/>
      </c>
    </row>
    <row r="298" spans="6:38" x14ac:dyDescent="0.2">
      <c r="F298" t="str">
        <f t="shared" si="39"/>
        <v/>
      </c>
      <c r="L298" s="7" t="str">
        <f t="shared" si="40"/>
        <v/>
      </c>
      <c r="N298" s="7" t="str">
        <f t="shared" si="41"/>
        <v/>
      </c>
      <c r="O298" t="str">
        <f t="shared" si="42"/>
        <v/>
      </c>
      <c r="P298" t="str">
        <f t="shared" si="43"/>
        <v/>
      </c>
      <c r="Q298" t="str">
        <f t="shared" si="44"/>
        <v/>
      </c>
      <c r="S298" t="str">
        <f>""</f>
        <v/>
      </c>
      <c r="AL298" s="18" t="str">
        <f>IF(COUNTIF($A$2:A297, A297) = 1, A297, "")</f>
        <v/>
      </c>
    </row>
    <row r="299" spans="6:38" x14ac:dyDescent="0.2">
      <c r="F299" t="str">
        <f t="shared" si="39"/>
        <v/>
      </c>
      <c r="L299" s="7" t="str">
        <f t="shared" si="40"/>
        <v/>
      </c>
      <c r="N299" s="7" t="str">
        <f t="shared" si="41"/>
        <v/>
      </c>
      <c r="O299" t="str">
        <f t="shared" si="42"/>
        <v/>
      </c>
      <c r="P299" t="str">
        <f t="shared" si="43"/>
        <v/>
      </c>
      <c r="Q299" t="str">
        <f t="shared" si="44"/>
        <v/>
      </c>
      <c r="S299" t="str">
        <f>""</f>
        <v/>
      </c>
      <c r="AL299" s="18" t="str">
        <f>IF(COUNTIF($A$2:A298, A298) = 1, A298, "")</f>
        <v/>
      </c>
    </row>
    <row r="300" spans="6:38" x14ac:dyDescent="0.2">
      <c r="F300" t="str">
        <f t="shared" si="39"/>
        <v/>
      </c>
      <c r="L300" s="7" t="str">
        <f t="shared" si="40"/>
        <v/>
      </c>
      <c r="N300" s="7" t="str">
        <f t="shared" si="41"/>
        <v/>
      </c>
      <c r="O300" t="str">
        <f t="shared" si="42"/>
        <v/>
      </c>
      <c r="P300" t="str">
        <f t="shared" si="43"/>
        <v/>
      </c>
      <c r="Q300" t="str">
        <f t="shared" si="44"/>
        <v/>
      </c>
      <c r="S300" t="str">
        <f>""</f>
        <v/>
      </c>
      <c r="AL300" s="18" t="str">
        <f>IF(COUNTIF($A$2:A299, A299) = 1, A299, "")</f>
        <v/>
      </c>
    </row>
    <row r="301" spans="6:38" x14ac:dyDescent="0.2">
      <c r="F301" t="str">
        <f t="shared" si="39"/>
        <v/>
      </c>
      <c r="L301" s="7" t="str">
        <f t="shared" si="40"/>
        <v/>
      </c>
      <c r="N301" s="7" t="str">
        <f t="shared" si="41"/>
        <v/>
      </c>
      <c r="O301" t="str">
        <f t="shared" si="42"/>
        <v/>
      </c>
      <c r="P301" t="str">
        <f t="shared" si="43"/>
        <v/>
      </c>
      <c r="Q301" t="str">
        <f t="shared" si="44"/>
        <v/>
      </c>
      <c r="S301" t="str">
        <f>""</f>
        <v/>
      </c>
      <c r="AL301" s="18" t="str">
        <f>IF(COUNTIF($A$2:A300, A300) = 1, A300, "")</f>
        <v/>
      </c>
    </row>
    <row r="302" spans="6:38" x14ac:dyDescent="0.2">
      <c r="F302" t="str">
        <f t="shared" si="39"/>
        <v/>
      </c>
      <c r="L302" s="7" t="str">
        <f t="shared" si="40"/>
        <v/>
      </c>
      <c r="N302" s="7" t="str">
        <f t="shared" si="41"/>
        <v/>
      </c>
      <c r="O302" t="str">
        <f t="shared" si="42"/>
        <v/>
      </c>
      <c r="P302" t="str">
        <f t="shared" si="43"/>
        <v/>
      </c>
      <c r="Q302" t="str">
        <f t="shared" si="44"/>
        <v/>
      </c>
      <c r="S302" t="str">
        <f>""</f>
        <v/>
      </c>
      <c r="AL302" s="18" t="str">
        <f>IF(COUNTIF($A$2:A301, A301) = 1, A301, "")</f>
        <v/>
      </c>
    </row>
    <row r="303" spans="6:38" x14ac:dyDescent="0.2">
      <c r="F303" t="str">
        <f t="shared" si="39"/>
        <v/>
      </c>
      <c r="L303" s="7" t="str">
        <f t="shared" si="40"/>
        <v/>
      </c>
      <c r="N303" s="7" t="str">
        <f t="shared" si="41"/>
        <v/>
      </c>
      <c r="O303" t="str">
        <f t="shared" si="42"/>
        <v/>
      </c>
      <c r="P303" t="str">
        <f t="shared" si="43"/>
        <v/>
      </c>
      <c r="Q303" t="str">
        <f t="shared" si="44"/>
        <v/>
      </c>
      <c r="S303" t="str">
        <f>""</f>
        <v/>
      </c>
      <c r="AL303" s="18" t="str">
        <f>IF(COUNTIF($A$2:A302, A302) = 1, A302, "")</f>
        <v/>
      </c>
    </row>
    <row r="304" spans="6:38" x14ac:dyDescent="0.2">
      <c r="F304" t="str">
        <f t="shared" si="39"/>
        <v/>
      </c>
      <c r="L304" s="7" t="str">
        <f t="shared" si="40"/>
        <v/>
      </c>
      <c r="N304" s="7" t="str">
        <f t="shared" si="41"/>
        <v/>
      </c>
      <c r="O304" t="str">
        <f t="shared" si="42"/>
        <v/>
      </c>
      <c r="P304" t="str">
        <f t="shared" si="43"/>
        <v/>
      </c>
      <c r="Q304" t="str">
        <f t="shared" si="44"/>
        <v/>
      </c>
      <c r="S304" t="str">
        <f>""</f>
        <v/>
      </c>
      <c r="AL304" s="18" t="str">
        <f>IF(COUNTIF($A$2:A303, A303) = 1, A303, "")</f>
        <v/>
      </c>
    </row>
    <row r="305" spans="6:38" x14ac:dyDescent="0.2">
      <c r="F305" t="str">
        <f t="shared" si="39"/>
        <v/>
      </c>
      <c r="L305" s="7" t="str">
        <f t="shared" si="40"/>
        <v/>
      </c>
      <c r="N305" s="7" t="str">
        <f t="shared" si="41"/>
        <v/>
      </c>
      <c r="O305" t="str">
        <f t="shared" si="42"/>
        <v/>
      </c>
      <c r="P305" t="str">
        <f t="shared" si="43"/>
        <v/>
      </c>
      <c r="Q305" t="str">
        <f t="shared" si="44"/>
        <v/>
      </c>
      <c r="S305" t="str">
        <f>""</f>
        <v/>
      </c>
      <c r="AL305" s="18" t="str">
        <f>IF(COUNTIF($A$2:A304, A304) = 1, A304, "")</f>
        <v/>
      </c>
    </row>
    <row r="306" spans="6:38" x14ac:dyDescent="0.2">
      <c r="F306" t="str">
        <f t="shared" si="39"/>
        <v/>
      </c>
      <c r="L306" s="7" t="str">
        <f t="shared" si="40"/>
        <v/>
      </c>
      <c r="N306" s="7" t="str">
        <f t="shared" si="41"/>
        <v/>
      </c>
      <c r="O306" t="str">
        <f t="shared" si="42"/>
        <v/>
      </c>
      <c r="P306" t="str">
        <f t="shared" si="43"/>
        <v/>
      </c>
      <c r="Q306" t="str">
        <f t="shared" si="44"/>
        <v/>
      </c>
      <c r="S306" t="str">
        <f>""</f>
        <v/>
      </c>
      <c r="AL306" s="18" t="str">
        <f>IF(COUNTIF($A$2:A305, A305) = 1, A305, "")</f>
        <v/>
      </c>
    </row>
    <row r="307" spans="6:38" x14ac:dyDescent="0.2">
      <c r="F307" t="str">
        <f t="shared" si="39"/>
        <v/>
      </c>
      <c r="L307" s="7" t="str">
        <f t="shared" si="40"/>
        <v/>
      </c>
      <c r="N307" s="7" t="str">
        <f t="shared" si="41"/>
        <v/>
      </c>
      <c r="O307" t="str">
        <f t="shared" si="42"/>
        <v/>
      </c>
      <c r="P307" t="str">
        <f t="shared" si="43"/>
        <v/>
      </c>
      <c r="Q307" t="str">
        <f t="shared" si="44"/>
        <v/>
      </c>
      <c r="S307" t="str">
        <f>""</f>
        <v/>
      </c>
      <c r="AL307" s="18" t="str">
        <f>IF(COUNTIF($A$2:A306, A306) = 1, A306, "")</f>
        <v/>
      </c>
    </row>
    <row r="308" spans="6:38" x14ac:dyDescent="0.2">
      <c r="F308" t="str">
        <f t="shared" si="39"/>
        <v/>
      </c>
      <c r="L308" s="7" t="str">
        <f t="shared" si="40"/>
        <v/>
      </c>
      <c r="N308" s="7" t="str">
        <f t="shared" si="41"/>
        <v/>
      </c>
      <c r="O308" t="str">
        <f t="shared" si="42"/>
        <v/>
      </c>
      <c r="P308" t="str">
        <f t="shared" si="43"/>
        <v/>
      </c>
      <c r="Q308" t="str">
        <f t="shared" si="44"/>
        <v/>
      </c>
      <c r="S308" t="str">
        <f>""</f>
        <v/>
      </c>
      <c r="AL308" s="18" t="str">
        <f>IF(COUNTIF($A$2:A307, A307) = 1, A307, "")</f>
        <v/>
      </c>
    </row>
    <row r="309" spans="6:38" x14ac:dyDescent="0.2">
      <c r="F309" t="str">
        <f t="shared" si="39"/>
        <v/>
      </c>
      <c r="L309" s="7" t="str">
        <f t="shared" si="40"/>
        <v/>
      </c>
      <c r="N309" s="7" t="str">
        <f t="shared" si="41"/>
        <v/>
      </c>
      <c r="O309" t="str">
        <f t="shared" si="42"/>
        <v/>
      </c>
      <c r="P309" t="str">
        <f t="shared" si="43"/>
        <v/>
      </c>
      <c r="Q309" t="str">
        <f t="shared" si="44"/>
        <v/>
      </c>
      <c r="S309" t="str">
        <f>""</f>
        <v/>
      </c>
      <c r="AL309" s="18" t="str">
        <f>IF(COUNTIF($A$2:A308, A308) = 1, A308, "")</f>
        <v/>
      </c>
    </row>
    <row r="310" spans="6:38" x14ac:dyDescent="0.2">
      <c r="F310" t="str">
        <f t="shared" si="39"/>
        <v/>
      </c>
      <c r="L310" s="7" t="str">
        <f t="shared" si="40"/>
        <v/>
      </c>
      <c r="N310" s="7" t="str">
        <f t="shared" si="41"/>
        <v/>
      </c>
      <c r="O310" t="str">
        <f t="shared" si="42"/>
        <v/>
      </c>
      <c r="P310" t="str">
        <f t="shared" si="43"/>
        <v/>
      </c>
      <c r="Q310" t="str">
        <f t="shared" si="44"/>
        <v/>
      </c>
      <c r="S310" t="str">
        <f>""</f>
        <v/>
      </c>
      <c r="AL310" s="18" t="str">
        <f>IF(COUNTIF($A$2:A309, A309) = 1, A309, "")</f>
        <v/>
      </c>
    </row>
    <row r="311" spans="6:38" x14ac:dyDescent="0.2">
      <c r="F311" t="str">
        <f t="shared" si="39"/>
        <v/>
      </c>
      <c r="L311" s="7" t="str">
        <f t="shared" si="40"/>
        <v/>
      </c>
      <c r="N311" s="7" t="str">
        <f t="shared" si="41"/>
        <v/>
      </c>
      <c r="O311" t="str">
        <f t="shared" si="42"/>
        <v/>
      </c>
      <c r="P311" t="str">
        <f t="shared" si="43"/>
        <v/>
      </c>
      <c r="Q311" t="str">
        <f t="shared" si="44"/>
        <v/>
      </c>
      <c r="S311" t="str">
        <f>""</f>
        <v/>
      </c>
      <c r="AL311" s="18" t="str">
        <f>IF(COUNTIF($A$2:A310, A310) = 1, A310, "")</f>
        <v/>
      </c>
    </row>
    <row r="312" spans="6:38" x14ac:dyDescent="0.2">
      <c r="F312" t="str">
        <f t="shared" si="39"/>
        <v/>
      </c>
      <c r="L312" s="7" t="str">
        <f t="shared" si="40"/>
        <v/>
      </c>
      <c r="N312" s="7" t="str">
        <f t="shared" si="41"/>
        <v/>
      </c>
      <c r="O312" t="str">
        <f t="shared" si="42"/>
        <v/>
      </c>
      <c r="P312" t="str">
        <f t="shared" si="43"/>
        <v/>
      </c>
      <c r="Q312" t="str">
        <f t="shared" si="44"/>
        <v/>
      </c>
      <c r="S312" t="str">
        <f>""</f>
        <v/>
      </c>
      <c r="AL312" s="18" t="str">
        <f>IF(COUNTIF($A$2:A311, A311) = 1, A311, "")</f>
        <v/>
      </c>
    </row>
    <row r="313" spans="6:38" x14ac:dyDescent="0.2">
      <c r="F313" t="str">
        <f t="shared" si="39"/>
        <v/>
      </c>
      <c r="L313" s="7" t="str">
        <f t="shared" si="40"/>
        <v/>
      </c>
      <c r="N313" s="7" t="str">
        <f t="shared" si="41"/>
        <v/>
      </c>
      <c r="O313" t="str">
        <f t="shared" si="42"/>
        <v/>
      </c>
      <c r="P313" t="str">
        <f t="shared" si="43"/>
        <v/>
      </c>
      <c r="Q313" t="str">
        <f t="shared" si="44"/>
        <v/>
      </c>
      <c r="S313" t="str">
        <f>""</f>
        <v/>
      </c>
      <c r="AL313" s="18" t="str">
        <f>IF(COUNTIF($A$2:A312, A312) = 1, A312, "")</f>
        <v/>
      </c>
    </row>
    <row r="314" spans="6:38" x14ac:dyDescent="0.2">
      <c r="F314" t="str">
        <f t="shared" si="39"/>
        <v/>
      </c>
      <c r="L314" s="7" t="str">
        <f t="shared" si="40"/>
        <v/>
      </c>
      <c r="N314" s="7" t="str">
        <f t="shared" si="41"/>
        <v/>
      </c>
      <c r="O314" t="str">
        <f t="shared" si="42"/>
        <v/>
      </c>
      <c r="P314" t="str">
        <f t="shared" si="43"/>
        <v/>
      </c>
      <c r="Q314" t="str">
        <f t="shared" si="44"/>
        <v/>
      </c>
      <c r="S314" t="str">
        <f>""</f>
        <v/>
      </c>
      <c r="AL314" s="18" t="str">
        <f>IF(COUNTIF($A$2:A313, A313) = 1, A313, "")</f>
        <v/>
      </c>
    </row>
    <row r="315" spans="6:38" x14ac:dyDescent="0.2">
      <c r="F315" t="str">
        <f t="shared" si="39"/>
        <v/>
      </c>
      <c r="L315" s="7" t="str">
        <f t="shared" si="40"/>
        <v/>
      </c>
      <c r="N315" s="7" t="str">
        <f t="shared" si="41"/>
        <v/>
      </c>
      <c r="O315" t="str">
        <f t="shared" si="42"/>
        <v/>
      </c>
      <c r="P315" t="str">
        <f t="shared" si="43"/>
        <v/>
      </c>
      <c r="Q315" t="str">
        <f t="shared" si="44"/>
        <v/>
      </c>
      <c r="S315" t="str">
        <f>""</f>
        <v/>
      </c>
      <c r="AL315" s="18" t="str">
        <f>IF(COUNTIF($A$2:A314, A314) = 1, A314, "")</f>
        <v/>
      </c>
    </row>
    <row r="316" spans="6:38" x14ac:dyDescent="0.2">
      <c r="F316" t="str">
        <f t="shared" si="39"/>
        <v/>
      </c>
      <c r="L316" s="7" t="str">
        <f t="shared" si="40"/>
        <v/>
      </c>
      <c r="N316" s="7" t="str">
        <f t="shared" si="41"/>
        <v/>
      </c>
      <c r="O316" t="str">
        <f t="shared" si="42"/>
        <v/>
      </c>
      <c r="P316" t="str">
        <f t="shared" si="43"/>
        <v/>
      </c>
      <c r="Q316" t="str">
        <f t="shared" si="44"/>
        <v/>
      </c>
      <c r="S316" t="str">
        <f>""</f>
        <v/>
      </c>
      <c r="AL316" s="18" t="str">
        <f>IF(COUNTIF($A$2:A315, A315) = 1, A315, "")</f>
        <v/>
      </c>
    </row>
    <row r="317" spans="6:38" x14ac:dyDescent="0.2">
      <c r="F317" t="str">
        <f t="shared" si="39"/>
        <v/>
      </c>
      <c r="L317" s="7" t="str">
        <f t="shared" si="40"/>
        <v/>
      </c>
      <c r="N317" s="7" t="str">
        <f t="shared" si="41"/>
        <v/>
      </c>
      <c r="O317" t="str">
        <f t="shared" si="42"/>
        <v/>
      </c>
      <c r="P317" t="str">
        <f t="shared" si="43"/>
        <v/>
      </c>
      <c r="Q317" t="str">
        <f t="shared" si="44"/>
        <v/>
      </c>
      <c r="S317" t="str">
        <f>""</f>
        <v/>
      </c>
      <c r="AL317" s="18" t="str">
        <f>IF(COUNTIF($A$2:A316, A316) = 1, A316, "")</f>
        <v/>
      </c>
    </row>
    <row r="318" spans="6:38" x14ac:dyDescent="0.2">
      <c r="F318" t="str">
        <f t="shared" si="39"/>
        <v/>
      </c>
      <c r="L318" s="7" t="str">
        <f t="shared" si="40"/>
        <v/>
      </c>
      <c r="N318" s="7" t="str">
        <f t="shared" si="41"/>
        <v/>
      </c>
      <c r="O318" t="str">
        <f t="shared" si="42"/>
        <v/>
      </c>
      <c r="P318" t="str">
        <f t="shared" si="43"/>
        <v/>
      </c>
      <c r="Q318" t="str">
        <f t="shared" si="44"/>
        <v/>
      </c>
      <c r="S318" t="str">
        <f>""</f>
        <v/>
      </c>
      <c r="AL318" s="18" t="str">
        <f>IF(COUNTIF($A$2:A317, A317) = 1, A317, "")</f>
        <v/>
      </c>
    </row>
    <row r="319" spans="6:38" x14ac:dyDescent="0.2">
      <c r="F319" t="str">
        <f t="shared" si="39"/>
        <v/>
      </c>
      <c r="L319" s="7" t="str">
        <f t="shared" si="40"/>
        <v/>
      </c>
      <c r="N319" s="7" t="str">
        <f t="shared" si="41"/>
        <v/>
      </c>
      <c r="O319" t="str">
        <f t="shared" si="42"/>
        <v/>
      </c>
      <c r="P319" t="str">
        <f t="shared" si="43"/>
        <v/>
      </c>
      <c r="Q319" t="str">
        <f t="shared" si="44"/>
        <v/>
      </c>
      <c r="S319" t="str">
        <f>""</f>
        <v/>
      </c>
      <c r="AL319" s="18" t="str">
        <f>IF(COUNTIF($A$2:A318, A318) = 1, A318, "")</f>
        <v/>
      </c>
    </row>
    <row r="320" spans="6:38" x14ac:dyDescent="0.2">
      <c r="F320" t="str">
        <f t="shared" si="39"/>
        <v/>
      </c>
      <c r="L320" s="7" t="str">
        <f t="shared" si="40"/>
        <v/>
      </c>
      <c r="N320" s="7" t="str">
        <f t="shared" si="41"/>
        <v/>
      </c>
      <c r="O320" t="str">
        <f t="shared" si="42"/>
        <v/>
      </c>
      <c r="P320" t="str">
        <f t="shared" si="43"/>
        <v/>
      </c>
      <c r="Q320" t="str">
        <f t="shared" si="44"/>
        <v/>
      </c>
      <c r="S320" t="str">
        <f>""</f>
        <v/>
      </c>
      <c r="AL320" s="18" t="str">
        <f>IF(COUNTIF($A$2:A319, A319) = 1, A319, "")</f>
        <v/>
      </c>
    </row>
    <row r="321" spans="6:38" x14ac:dyDescent="0.2">
      <c r="F321" t="str">
        <f t="shared" si="39"/>
        <v/>
      </c>
      <c r="L321" s="7" t="str">
        <f t="shared" si="40"/>
        <v/>
      </c>
      <c r="N321" s="7" t="str">
        <f t="shared" si="41"/>
        <v/>
      </c>
      <c r="O321" t="str">
        <f t="shared" si="42"/>
        <v/>
      </c>
      <c r="P321" t="str">
        <f t="shared" si="43"/>
        <v/>
      </c>
      <c r="Q321" t="str">
        <f t="shared" si="44"/>
        <v/>
      </c>
      <c r="S321" t="str">
        <f>""</f>
        <v/>
      </c>
      <c r="AL321" s="18" t="str">
        <f>IF(COUNTIF($A$2:A320, A320) = 1, A320, "")</f>
        <v/>
      </c>
    </row>
    <row r="322" spans="6:38" x14ac:dyDescent="0.2">
      <c r="F322" t="str">
        <f t="shared" si="39"/>
        <v/>
      </c>
      <c r="L322" s="7" t="str">
        <f t="shared" si="40"/>
        <v/>
      </c>
      <c r="N322" s="7" t="str">
        <f t="shared" si="41"/>
        <v/>
      </c>
      <c r="O322" t="str">
        <f t="shared" si="42"/>
        <v/>
      </c>
      <c r="P322" t="str">
        <f t="shared" si="43"/>
        <v/>
      </c>
      <c r="Q322" t="str">
        <f t="shared" si="44"/>
        <v/>
      </c>
      <c r="S322" t="str">
        <f>""</f>
        <v/>
      </c>
      <c r="AL322" s="18" t="str">
        <f>IF(COUNTIF($A$2:A321, A321) = 1, A321, "")</f>
        <v/>
      </c>
    </row>
    <row r="323" spans="6:38" x14ac:dyDescent="0.2">
      <c r="F323" t="str">
        <f t="shared" si="39"/>
        <v/>
      </c>
      <c r="L323" s="7" t="str">
        <f t="shared" si="40"/>
        <v/>
      </c>
      <c r="N323" s="7" t="str">
        <f t="shared" si="41"/>
        <v/>
      </c>
      <c r="O323" t="str">
        <f t="shared" si="42"/>
        <v/>
      </c>
      <c r="P323" t="str">
        <f t="shared" si="43"/>
        <v/>
      </c>
      <c r="Q323" t="str">
        <f t="shared" si="44"/>
        <v/>
      </c>
      <c r="S323" t="str">
        <f>""</f>
        <v/>
      </c>
      <c r="AL323" s="18" t="str">
        <f>IF(COUNTIF($A$2:A322, A322) = 1, A322, "")</f>
        <v/>
      </c>
    </row>
    <row r="324" spans="6:38" x14ac:dyDescent="0.2">
      <c r="F324" t="str">
        <f t="shared" si="39"/>
        <v/>
      </c>
      <c r="L324" s="7" t="str">
        <f t="shared" si="40"/>
        <v/>
      </c>
      <c r="N324" s="7" t="str">
        <f t="shared" si="41"/>
        <v/>
      </c>
      <c r="O324" t="str">
        <f t="shared" si="42"/>
        <v/>
      </c>
      <c r="P324" t="str">
        <f t="shared" si="43"/>
        <v/>
      </c>
      <c r="Q324" t="str">
        <f t="shared" si="44"/>
        <v/>
      </c>
      <c r="S324" t="str">
        <f>""</f>
        <v/>
      </c>
      <c r="AL324" s="18" t="str">
        <f>IF(COUNTIF($A$2:A323, A323) = 1, A323, "")</f>
        <v/>
      </c>
    </row>
    <row r="325" spans="6:38" x14ac:dyDescent="0.2">
      <c r="F325" t="str">
        <f t="shared" si="39"/>
        <v/>
      </c>
      <c r="L325" s="7" t="str">
        <f t="shared" si="40"/>
        <v/>
      </c>
      <c r="N325" s="7" t="str">
        <f t="shared" si="41"/>
        <v/>
      </c>
      <c r="O325" t="str">
        <f t="shared" si="42"/>
        <v/>
      </c>
      <c r="P325" t="str">
        <f t="shared" si="43"/>
        <v/>
      </c>
      <c r="Q325" t="str">
        <f t="shared" si="44"/>
        <v/>
      </c>
      <c r="S325" t="str">
        <f>""</f>
        <v/>
      </c>
      <c r="AL325" s="18" t="str">
        <f>IF(COUNTIF($A$2:A324, A324) = 1, A324, "")</f>
        <v/>
      </c>
    </row>
    <row r="326" spans="6:38" x14ac:dyDescent="0.2">
      <c r="F326" t="str">
        <f t="shared" si="39"/>
        <v/>
      </c>
      <c r="L326" s="7" t="str">
        <f t="shared" si="40"/>
        <v/>
      </c>
      <c r="N326" s="7" t="str">
        <f t="shared" si="41"/>
        <v/>
      </c>
      <c r="O326" t="str">
        <f t="shared" si="42"/>
        <v/>
      </c>
      <c r="P326" t="str">
        <f t="shared" si="43"/>
        <v/>
      </c>
      <c r="Q326" t="str">
        <f t="shared" si="44"/>
        <v/>
      </c>
      <c r="S326" t="str">
        <f>""</f>
        <v/>
      </c>
      <c r="AL326" s="18" t="str">
        <f>IF(COUNTIF($A$2:A325, A325) = 1, A325, "")</f>
        <v/>
      </c>
    </row>
    <row r="327" spans="6:38" x14ac:dyDescent="0.2">
      <c r="F327" t="str">
        <f t="shared" si="39"/>
        <v/>
      </c>
      <c r="L327" s="7" t="str">
        <f t="shared" si="40"/>
        <v/>
      </c>
      <c r="N327" s="7" t="str">
        <f t="shared" si="41"/>
        <v/>
      </c>
      <c r="O327" t="str">
        <f t="shared" si="42"/>
        <v/>
      </c>
      <c r="P327" t="str">
        <f t="shared" si="43"/>
        <v/>
      </c>
      <c r="Q327" t="str">
        <f t="shared" si="44"/>
        <v/>
      </c>
      <c r="S327" t="str">
        <f>""</f>
        <v/>
      </c>
      <c r="AL327" s="18" t="str">
        <f>IF(COUNTIF($A$2:A326, A326) = 1, A326, "")</f>
        <v/>
      </c>
    </row>
    <row r="328" spans="6:38" x14ac:dyDescent="0.2">
      <c r="F328" t="str">
        <f t="shared" si="39"/>
        <v/>
      </c>
      <c r="L328" s="7" t="str">
        <f t="shared" si="40"/>
        <v/>
      </c>
      <c r="N328" s="7" t="str">
        <f t="shared" si="41"/>
        <v/>
      </c>
      <c r="O328" t="str">
        <f t="shared" si="42"/>
        <v/>
      </c>
      <c r="P328" t="str">
        <f t="shared" si="43"/>
        <v/>
      </c>
      <c r="Q328" t="str">
        <f t="shared" si="44"/>
        <v/>
      </c>
      <c r="S328" t="str">
        <f>""</f>
        <v/>
      </c>
      <c r="AL328" s="18" t="str">
        <f>IF(COUNTIF($A$2:A327, A327) = 1, A327, "")</f>
        <v/>
      </c>
    </row>
    <row r="329" spans="6:38" x14ac:dyDescent="0.2">
      <c r="F329" t="str">
        <f t="shared" si="39"/>
        <v/>
      </c>
      <c r="L329" s="7" t="str">
        <f t="shared" si="40"/>
        <v/>
      </c>
      <c r="N329" s="7" t="str">
        <f t="shared" si="41"/>
        <v/>
      </c>
      <c r="O329" t="str">
        <f t="shared" si="42"/>
        <v/>
      </c>
      <c r="P329" t="str">
        <f t="shared" si="43"/>
        <v/>
      </c>
      <c r="Q329" t="str">
        <f t="shared" si="44"/>
        <v/>
      </c>
      <c r="S329" t="str">
        <f>""</f>
        <v/>
      </c>
      <c r="AL329" s="18" t="str">
        <f>IF(COUNTIF($A$2:A328, A328) = 1, A328, "")</f>
        <v/>
      </c>
    </row>
    <row r="330" spans="6:38" x14ac:dyDescent="0.2">
      <c r="F330" t="str">
        <f t="shared" si="39"/>
        <v/>
      </c>
      <c r="L330" s="7" t="str">
        <f t="shared" si="40"/>
        <v/>
      </c>
      <c r="N330" s="7" t="str">
        <f t="shared" si="41"/>
        <v/>
      </c>
      <c r="O330" t="str">
        <f t="shared" si="42"/>
        <v/>
      </c>
      <c r="P330" t="str">
        <f t="shared" si="43"/>
        <v/>
      </c>
      <c r="Q330" t="str">
        <f t="shared" si="44"/>
        <v/>
      </c>
      <c r="S330" t="str">
        <f>""</f>
        <v/>
      </c>
      <c r="AL330" s="18" t="str">
        <f>IF(COUNTIF($A$2:A329, A329) = 1, A329, "")</f>
        <v/>
      </c>
    </row>
    <row r="331" spans="6:38" x14ac:dyDescent="0.2">
      <c r="F331" t="str">
        <f t="shared" si="39"/>
        <v/>
      </c>
      <c r="L331" s="7" t="str">
        <f t="shared" si="40"/>
        <v/>
      </c>
      <c r="N331" s="7" t="str">
        <f t="shared" si="41"/>
        <v/>
      </c>
      <c r="O331" t="str">
        <f t="shared" si="42"/>
        <v/>
      </c>
      <c r="P331" t="str">
        <f t="shared" si="43"/>
        <v/>
      </c>
      <c r="Q331" t="str">
        <f t="shared" si="44"/>
        <v/>
      </c>
      <c r="S331" t="str">
        <f>""</f>
        <v/>
      </c>
      <c r="AL331" s="18" t="str">
        <f>IF(COUNTIF($A$2:A330, A330) = 1, A330, "")</f>
        <v/>
      </c>
    </row>
    <row r="332" spans="6:38" x14ac:dyDescent="0.2">
      <c r="F332" t="str">
        <f t="shared" si="39"/>
        <v/>
      </c>
      <c r="L332" s="7" t="str">
        <f t="shared" si="40"/>
        <v/>
      </c>
      <c r="N332" s="7" t="str">
        <f t="shared" si="41"/>
        <v/>
      </c>
      <c r="O332" t="str">
        <f t="shared" si="42"/>
        <v/>
      </c>
      <c r="P332" t="str">
        <f t="shared" si="43"/>
        <v/>
      </c>
      <c r="Q332" t="str">
        <f t="shared" si="44"/>
        <v/>
      </c>
      <c r="S332" t="str">
        <f>""</f>
        <v/>
      </c>
      <c r="AL332" s="18" t="str">
        <f>IF(COUNTIF($A$2:A331, A331) = 1, A331, "")</f>
        <v/>
      </c>
    </row>
    <row r="333" spans="6:38" x14ac:dyDescent="0.2">
      <c r="F333" t="str">
        <f t="shared" si="39"/>
        <v/>
      </c>
      <c r="L333" s="7" t="str">
        <f t="shared" si="40"/>
        <v/>
      </c>
      <c r="N333" s="7" t="str">
        <f t="shared" si="41"/>
        <v/>
      </c>
      <c r="O333" t="str">
        <f t="shared" si="42"/>
        <v/>
      </c>
      <c r="P333" t="str">
        <f t="shared" si="43"/>
        <v/>
      </c>
      <c r="Q333" t="str">
        <f t="shared" si="44"/>
        <v/>
      </c>
      <c r="S333" t="str">
        <f>""</f>
        <v/>
      </c>
      <c r="AL333" s="18" t="str">
        <f>IF(COUNTIF($A$2:A332, A332) = 1, A332, "")</f>
        <v/>
      </c>
    </row>
    <row r="334" spans="6:38" x14ac:dyDescent="0.2">
      <c r="F334" t="str">
        <f t="shared" si="39"/>
        <v/>
      </c>
      <c r="L334" s="7" t="str">
        <f t="shared" si="40"/>
        <v/>
      </c>
      <c r="N334" s="7" t="str">
        <f t="shared" si="41"/>
        <v/>
      </c>
      <c r="O334" t="str">
        <f t="shared" si="42"/>
        <v/>
      </c>
      <c r="P334" t="str">
        <f t="shared" si="43"/>
        <v/>
      </c>
      <c r="Q334" t="str">
        <f t="shared" si="44"/>
        <v/>
      </c>
      <c r="S334" t="str">
        <f>""</f>
        <v/>
      </c>
      <c r="AL334" s="18" t="str">
        <f>IF(COUNTIF($A$2:A333, A333) = 1, A333, "")</f>
        <v/>
      </c>
    </row>
    <row r="335" spans="6:38" x14ac:dyDescent="0.2">
      <c r="F335" t="str">
        <f t="shared" si="39"/>
        <v/>
      </c>
      <c r="L335" s="7" t="str">
        <f t="shared" si="40"/>
        <v/>
      </c>
      <c r="N335" s="7" t="str">
        <f t="shared" si="41"/>
        <v/>
      </c>
      <c r="O335" t="str">
        <f t="shared" si="42"/>
        <v/>
      </c>
      <c r="P335" t="str">
        <f t="shared" si="43"/>
        <v/>
      </c>
      <c r="Q335" t="str">
        <f t="shared" si="44"/>
        <v/>
      </c>
      <c r="S335" t="str">
        <f>""</f>
        <v/>
      </c>
      <c r="AL335" s="18" t="str">
        <f>IF(COUNTIF($A$2:A334, A334) = 1, A334, "")</f>
        <v/>
      </c>
    </row>
    <row r="336" spans="6:38" x14ac:dyDescent="0.2">
      <c r="F336" t="str">
        <f t="shared" ref="F336:F399" si="45">IF(OR(O336="", P336=""), "", SUM(IF((O336&lt;&gt;"None")*(O336&lt;&gt;""),LEN(O336)-LEN(SUBSTITUTE(O336,",",""))+1,0)) + SUM(IF((P336&lt;&gt;"None")*(P336&lt;&gt;""),LEN(P336)-LEN(SUBSTITUTE(P336,",",""))+1,0)))</f>
        <v/>
      </c>
      <c r="L336" s="7" t="str">
        <f t="shared" ref="L336:L399" si="46">IF(LEN(E336)=0, "", IFERROR(IF(E336&gt;=0, K336 * (1 + E336/100) - K336, K336 / (ABS(E336)/100))+K336, ""))</f>
        <v/>
      </c>
      <c r="N336" s="7" t="str">
        <f t="shared" ref="N336:N399" si="47">IF(M336="Yes",L336-K336,IF(M336="No",-K336,""))</f>
        <v/>
      </c>
      <c r="O336" t="str">
        <f t="shared" ref="O336:O399" si="48">IF(AND(G336="No",H336="No"), "None", "")</f>
        <v/>
      </c>
      <c r="P336" t="str">
        <f t="shared" ref="P336:P399" si="49">IF(I336="No", "None", "")</f>
        <v/>
      </c>
      <c r="Q336" t="str">
        <f t="shared" ref="Q336:Q399" si="50">IF(AND(D336="Straight", M336 = "No"),IF(O336="None",P336,IF(P336="None",O336) ),"")</f>
        <v/>
      </c>
      <c r="S336" t="str">
        <f>""</f>
        <v/>
      </c>
      <c r="AL336" s="18" t="str">
        <f>IF(COUNTIF($A$2:A335, A335) = 1, A335, "")</f>
        <v/>
      </c>
    </row>
    <row r="337" spans="6:38" x14ac:dyDescent="0.2">
      <c r="F337" t="str">
        <f t="shared" si="45"/>
        <v/>
      </c>
      <c r="L337" s="7" t="str">
        <f t="shared" si="46"/>
        <v/>
      </c>
      <c r="N337" s="7" t="str">
        <f t="shared" si="47"/>
        <v/>
      </c>
      <c r="O337" t="str">
        <f t="shared" si="48"/>
        <v/>
      </c>
      <c r="P337" t="str">
        <f t="shared" si="49"/>
        <v/>
      </c>
      <c r="Q337" t="str">
        <f t="shared" si="50"/>
        <v/>
      </c>
      <c r="S337" t="str">
        <f>""</f>
        <v/>
      </c>
      <c r="AL337" s="18" t="str">
        <f>IF(COUNTIF($A$2:A336, A336) = 1, A336, "")</f>
        <v/>
      </c>
    </row>
    <row r="338" spans="6:38" x14ac:dyDescent="0.2">
      <c r="F338" t="str">
        <f t="shared" si="45"/>
        <v/>
      </c>
      <c r="L338" s="7" t="str">
        <f t="shared" si="46"/>
        <v/>
      </c>
      <c r="N338" s="7" t="str">
        <f t="shared" si="47"/>
        <v/>
      </c>
      <c r="O338" t="str">
        <f t="shared" si="48"/>
        <v/>
      </c>
      <c r="P338" t="str">
        <f t="shared" si="49"/>
        <v/>
      </c>
      <c r="Q338" t="str">
        <f t="shared" si="50"/>
        <v/>
      </c>
      <c r="S338" t="str">
        <f>""</f>
        <v/>
      </c>
      <c r="AL338" s="18" t="str">
        <f>IF(COUNTIF($A$2:A337, A337) = 1, A337, "")</f>
        <v/>
      </c>
    </row>
    <row r="339" spans="6:38" x14ac:dyDescent="0.2">
      <c r="F339" t="str">
        <f t="shared" si="45"/>
        <v/>
      </c>
      <c r="L339" s="7" t="str">
        <f t="shared" si="46"/>
        <v/>
      </c>
      <c r="N339" s="7" t="str">
        <f t="shared" si="47"/>
        <v/>
      </c>
      <c r="O339" t="str">
        <f t="shared" si="48"/>
        <v/>
      </c>
      <c r="P339" t="str">
        <f t="shared" si="49"/>
        <v/>
      </c>
      <c r="Q339" t="str">
        <f t="shared" si="50"/>
        <v/>
      </c>
      <c r="S339" t="str">
        <f>""</f>
        <v/>
      </c>
      <c r="AL339" s="18" t="str">
        <f>IF(COUNTIF($A$2:A338, A338) = 1, A338, "")</f>
        <v/>
      </c>
    </row>
    <row r="340" spans="6:38" x14ac:dyDescent="0.2">
      <c r="F340" t="str">
        <f t="shared" si="45"/>
        <v/>
      </c>
      <c r="L340" s="7" t="str">
        <f t="shared" si="46"/>
        <v/>
      </c>
      <c r="N340" s="7" t="str">
        <f t="shared" si="47"/>
        <v/>
      </c>
      <c r="O340" t="str">
        <f t="shared" si="48"/>
        <v/>
      </c>
      <c r="P340" t="str">
        <f t="shared" si="49"/>
        <v/>
      </c>
      <c r="Q340" t="str">
        <f t="shared" si="50"/>
        <v/>
      </c>
      <c r="S340" t="str">
        <f>""</f>
        <v/>
      </c>
      <c r="AL340" s="18" t="str">
        <f>IF(COUNTIF($A$2:A339, A339) = 1, A339, "")</f>
        <v/>
      </c>
    </row>
    <row r="341" spans="6:38" x14ac:dyDescent="0.2">
      <c r="F341" t="str">
        <f t="shared" si="45"/>
        <v/>
      </c>
      <c r="L341" s="7" t="str">
        <f t="shared" si="46"/>
        <v/>
      </c>
      <c r="N341" s="7" t="str">
        <f t="shared" si="47"/>
        <v/>
      </c>
      <c r="O341" t="str">
        <f t="shared" si="48"/>
        <v/>
      </c>
      <c r="P341" t="str">
        <f t="shared" si="49"/>
        <v/>
      </c>
      <c r="Q341" t="str">
        <f t="shared" si="50"/>
        <v/>
      </c>
      <c r="S341" t="str">
        <f>""</f>
        <v/>
      </c>
      <c r="AL341" s="18" t="str">
        <f>IF(COUNTIF($A$2:A340, A340) = 1, A340, "")</f>
        <v/>
      </c>
    </row>
    <row r="342" spans="6:38" x14ac:dyDescent="0.2">
      <c r="F342" t="str">
        <f t="shared" si="45"/>
        <v/>
      </c>
      <c r="L342" s="7" t="str">
        <f t="shared" si="46"/>
        <v/>
      </c>
      <c r="N342" s="7" t="str">
        <f t="shared" si="47"/>
        <v/>
      </c>
      <c r="O342" t="str">
        <f t="shared" si="48"/>
        <v/>
      </c>
      <c r="P342" t="str">
        <f t="shared" si="49"/>
        <v/>
      </c>
      <c r="Q342" t="str">
        <f t="shared" si="50"/>
        <v/>
      </c>
      <c r="S342" t="str">
        <f>""</f>
        <v/>
      </c>
      <c r="AL342" s="18" t="str">
        <f>IF(COUNTIF($A$2:A341, A341) = 1, A341, "")</f>
        <v/>
      </c>
    </row>
    <row r="343" spans="6:38" x14ac:dyDescent="0.2">
      <c r="F343" t="str">
        <f t="shared" si="45"/>
        <v/>
      </c>
      <c r="L343" s="7" t="str">
        <f t="shared" si="46"/>
        <v/>
      </c>
      <c r="N343" s="7" t="str">
        <f t="shared" si="47"/>
        <v/>
      </c>
      <c r="O343" t="str">
        <f t="shared" si="48"/>
        <v/>
      </c>
      <c r="P343" t="str">
        <f t="shared" si="49"/>
        <v/>
      </c>
      <c r="Q343" t="str">
        <f t="shared" si="50"/>
        <v/>
      </c>
      <c r="S343" t="str">
        <f>""</f>
        <v/>
      </c>
      <c r="AL343" s="18" t="str">
        <f>IF(COUNTIF($A$2:A342, A342) = 1, A342, "")</f>
        <v/>
      </c>
    </row>
    <row r="344" spans="6:38" x14ac:dyDescent="0.2">
      <c r="F344" t="str">
        <f t="shared" si="45"/>
        <v/>
      </c>
      <c r="L344" s="7" t="str">
        <f t="shared" si="46"/>
        <v/>
      </c>
      <c r="N344" s="7" t="str">
        <f t="shared" si="47"/>
        <v/>
      </c>
      <c r="O344" t="str">
        <f t="shared" si="48"/>
        <v/>
      </c>
      <c r="P344" t="str">
        <f t="shared" si="49"/>
        <v/>
      </c>
      <c r="Q344" t="str">
        <f t="shared" si="50"/>
        <v/>
      </c>
      <c r="S344" t="str">
        <f>""</f>
        <v/>
      </c>
      <c r="AL344" s="18" t="str">
        <f>IF(COUNTIF($A$2:A343, A343) = 1, A343, "")</f>
        <v/>
      </c>
    </row>
    <row r="345" spans="6:38" x14ac:dyDescent="0.2">
      <c r="F345" t="str">
        <f t="shared" si="45"/>
        <v/>
      </c>
      <c r="L345" s="7" t="str">
        <f t="shared" si="46"/>
        <v/>
      </c>
      <c r="N345" s="7" t="str">
        <f t="shared" si="47"/>
        <v/>
      </c>
      <c r="O345" t="str">
        <f t="shared" si="48"/>
        <v/>
      </c>
      <c r="P345" t="str">
        <f t="shared" si="49"/>
        <v/>
      </c>
      <c r="Q345" t="str">
        <f t="shared" si="50"/>
        <v/>
      </c>
      <c r="S345" t="str">
        <f>""</f>
        <v/>
      </c>
      <c r="AL345" s="18" t="str">
        <f>IF(COUNTIF($A$2:A344, A344) = 1, A344, "")</f>
        <v/>
      </c>
    </row>
    <row r="346" spans="6:38" x14ac:dyDescent="0.2">
      <c r="F346" t="str">
        <f t="shared" si="45"/>
        <v/>
      </c>
      <c r="L346" s="7" t="str">
        <f t="shared" si="46"/>
        <v/>
      </c>
      <c r="N346" s="7" t="str">
        <f t="shared" si="47"/>
        <v/>
      </c>
      <c r="O346" t="str">
        <f t="shared" si="48"/>
        <v/>
      </c>
      <c r="P346" t="str">
        <f t="shared" si="49"/>
        <v/>
      </c>
      <c r="Q346" t="str">
        <f t="shared" si="50"/>
        <v/>
      </c>
      <c r="S346" t="str">
        <f>""</f>
        <v/>
      </c>
      <c r="AL346" s="18" t="str">
        <f>IF(COUNTIF($A$2:A345, A345) = 1, A345, "")</f>
        <v/>
      </c>
    </row>
    <row r="347" spans="6:38" x14ac:dyDescent="0.2">
      <c r="F347" t="str">
        <f t="shared" si="45"/>
        <v/>
      </c>
      <c r="L347" s="7" t="str">
        <f t="shared" si="46"/>
        <v/>
      </c>
      <c r="N347" s="7" t="str">
        <f t="shared" si="47"/>
        <v/>
      </c>
      <c r="O347" t="str">
        <f t="shared" si="48"/>
        <v/>
      </c>
      <c r="P347" t="str">
        <f t="shared" si="49"/>
        <v/>
      </c>
      <c r="Q347" t="str">
        <f t="shared" si="50"/>
        <v/>
      </c>
      <c r="S347" t="str">
        <f>""</f>
        <v/>
      </c>
      <c r="AL347" s="18" t="str">
        <f>IF(COUNTIF($A$2:A346, A346) = 1, A346, "")</f>
        <v/>
      </c>
    </row>
    <row r="348" spans="6:38" x14ac:dyDescent="0.2">
      <c r="F348" t="str">
        <f t="shared" si="45"/>
        <v/>
      </c>
      <c r="L348" s="7" t="str">
        <f t="shared" si="46"/>
        <v/>
      </c>
      <c r="N348" s="7" t="str">
        <f t="shared" si="47"/>
        <v/>
      </c>
      <c r="O348" t="str">
        <f t="shared" si="48"/>
        <v/>
      </c>
      <c r="P348" t="str">
        <f t="shared" si="49"/>
        <v/>
      </c>
      <c r="Q348" t="str">
        <f t="shared" si="50"/>
        <v/>
      </c>
      <c r="S348" t="str">
        <f>""</f>
        <v/>
      </c>
      <c r="AL348" s="18" t="str">
        <f>IF(COUNTIF($A$2:A347, A347) = 1, A347, "")</f>
        <v/>
      </c>
    </row>
    <row r="349" spans="6:38" x14ac:dyDescent="0.2">
      <c r="F349" t="str">
        <f t="shared" si="45"/>
        <v/>
      </c>
      <c r="L349" s="7" t="str">
        <f t="shared" si="46"/>
        <v/>
      </c>
      <c r="N349" s="7" t="str">
        <f t="shared" si="47"/>
        <v/>
      </c>
      <c r="O349" t="str">
        <f t="shared" si="48"/>
        <v/>
      </c>
      <c r="P349" t="str">
        <f t="shared" si="49"/>
        <v/>
      </c>
      <c r="Q349" t="str">
        <f t="shared" si="50"/>
        <v/>
      </c>
      <c r="S349" t="str">
        <f>""</f>
        <v/>
      </c>
      <c r="AL349" s="18" t="str">
        <f>IF(COUNTIF($A$2:A348, A348) = 1, A348, "")</f>
        <v/>
      </c>
    </row>
    <row r="350" spans="6:38" x14ac:dyDescent="0.2">
      <c r="F350" t="str">
        <f t="shared" si="45"/>
        <v/>
      </c>
      <c r="L350" s="7" t="str">
        <f t="shared" si="46"/>
        <v/>
      </c>
      <c r="N350" s="7" t="str">
        <f t="shared" si="47"/>
        <v/>
      </c>
      <c r="O350" t="str">
        <f t="shared" si="48"/>
        <v/>
      </c>
      <c r="P350" t="str">
        <f t="shared" si="49"/>
        <v/>
      </c>
      <c r="Q350" t="str">
        <f t="shared" si="50"/>
        <v/>
      </c>
      <c r="S350" t="str">
        <f>""</f>
        <v/>
      </c>
      <c r="AL350" s="18" t="str">
        <f>IF(COUNTIF($A$2:A349, A349) = 1, A349, "")</f>
        <v/>
      </c>
    </row>
    <row r="351" spans="6:38" x14ac:dyDescent="0.2">
      <c r="F351" t="str">
        <f t="shared" si="45"/>
        <v/>
      </c>
      <c r="L351" s="7" t="str">
        <f t="shared" si="46"/>
        <v/>
      </c>
      <c r="N351" s="7" t="str">
        <f t="shared" si="47"/>
        <v/>
      </c>
      <c r="O351" t="str">
        <f t="shared" si="48"/>
        <v/>
      </c>
      <c r="P351" t="str">
        <f t="shared" si="49"/>
        <v/>
      </c>
      <c r="Q351" t="str">
        <f t="shared" si="50"/>
        <v/>
      </c>
      <c r="S351" t="str">
        <f>""</f>
        <v/>
      </c>
      <c r="AL351" s="18" t="str">
        <f>IF(COUNTIF($A$2:A350, A350) = 1, A350, "")</f>
        <v/>
      </c>
    </row>
    <row r="352" spans="6:38" x14ac:dyDescent="0.2">
      <c r="F352" t="str">
        <f t="shared" si="45"/>
        <v/>
      </c>
      <c r="L352" s="7" t="str">
        <f t="shared" si="46"/>
        <v/>
      </c>
      <c r="N352" s="7" t="str">
        <f t="shared" si="47"/>
        <v/>
      </c>
      <c r="O352" t="str">
        <f t="shared" si="48"/>
        <v/>
      </c>
      <c r="P352" t="str">
        <f t="shared" si="49"/>
        <v/>
      </c>
      <c r="Q352" t="str">
        <f t="shared" si="50"/>
        <v/>
      </c>
      <c r="S352" t="str">
        <f>""</f>
        <v/>
      </c>
      <c r="AL352" s="18" t="str">
        <f>IF(COUNTIF($A$2:A351, A351) = 1, A351, "")</f>
        <v/>
      </c>
    </row>
    <row r="353" spans="6:38" x14ac:dyDescent="0.2">
      <c r="F353" t="str">
        <f t="shared" si="45"/>
        <v/>
      </c>
      <c r="L353" s="7" t="str">
        <f t="shared" si="46"/>
        <v/>
      </c>
      <c r="N353" s="7" t="str">
        <f t="shared" si="47"/>
        <v/>
      </c>
      <c r="O353" t="str">
        <f t="shared" si="48"/>
        <v/>
      </c>
      <c r="P353" t="str">
        <f t="shared" si="49"/>
        <v/>
      </c>
      <c r="Q353" t="str">
        <f t="shared" si="50"/>
        <v/>
      </c>
      <c r="S353" t="str">
        <f>""</f>
        <v/>
      </c>
      <c r="AL353" s="18" t="str">
        <f>IF(COUNTIF($A$2:A352, A352) = 1, A352, "")</f>
        <v/>
      </c>
    </row>
    <row r="354" spans="6:38" x14ac:dyDescent="0.2">
      <c r="F354" t="str">
        <f t="shared" si="45"/>
        <v/>
      </c>
      <c r="L354" s="7" t="str">
        <f t="shared" si="46"/>
        <v/>
      </c>
      <c r="N354" s="7" t="str">
        <f t="shared" si="47"/>
        <v/>
      </c>
      <c r="O354" t="str">
        <f t="shared" si="48"/>
        <v/>
      </c>
      <c r="P354" t="str">
        <f t="shared" si="49"/>
        <v/>
      </c>
      <c r="Q354" t="str">
        <f t="shared" si="50"/>
        <v/>
      </c>
      <c r="S354" t="str">
        <f>""</f>
        <v/>
      </c>
      <c r="AL354" s="18" t="str">
        <f>IF(COUNTIF($A$2:A353, A353) = 1, A353, "")</f>
        <v/>
      </c>
    </row>
    <row r="355" spans="6:38" x14ac:dyDescent="0.2">
      <c r="F355" t="str">
        <f t="shared" si="45"/>
        <v/>
      </c>
      <c r="L355" s="7" t="str">
        <f t="shared" si="46"/>
        <v/>
      </c>
      <c r="N355" s="7" t="str">
        <f t="shared" si="47"/>
        <v/>
      </c>
      <c r="O355" t="str">
        <f t="shared" si="48"/>
        <v/>
      </c>
      <c r="P355" t="str">
        <f t="shared" si="49"/>
        <v/>
      </c>
      <c r="Q355" t="str">
        <f t="shared" si="50"/>
        <v/>
      </c>
      <c r="S355" t="str">
        <f>""</f>
        <v/>
      </c>
      <c r="AL355" s="18" t="str">
        <f>IF(COUNTIF($A$2:A354, A354) = 1, A354, "")</f>
        <v/>
      </c>
    </row>
    <row r="356" spans="6:38" x14ac:dyDescent="0.2">
      <c r="F356" t="str">
        <f t="shared" si="45"/>
        <v/>
      </c>
      <c r="L356" s="7" t="str">
        <f t="shared" si="46"/>
        <v/>
      </c>
      <c r="N356" s="7" t="str">
        <f t="shared" si="47"/>
        <v/>
      </c>
      <c r="O356" t="str">
        <f t="shared" si="48"/>
        <v/>
      </c>
      <c r="P356" t="str">
        <f t="shared" si="49"/>
        <v/>
      </c>
      <c r="Q356" t="str">
        <f t="shared" si="50"/>
        <v/>
      </c>
      <c r="S356" t="str">
        <f>""</f>
        <v/>
      </c>
      <c r="AL356" s="18" t="str">
        <f>IF(COUNTIF($A$2:A355, A355) = 1, A355, "")</f>
        <v/>
      </c>
    </row>
    <row r="357" spans="6:38" x14ac:dyDescent="0.2">
      <c r="F357" t="str">
        <f t="shared" si="45"/>
        <v/>
      </c>
      <c r="L357" s="7" t="str">
        <f t="shared" si="46"/>
        <v/>
      </c>
      <c r="N357" s="7" t="str">
        <f t="shared" si="47"/>
        <v/>
      </c>
      <c r="O357" t="str">
        <f t="shared" si="48"/>
        <v/>
      </c>
      <c r="P357" t="str">
        <f t="shared" si="49"/>
        <v/>
      </c>
      <c r="Q357" t="str">
        <f t="shared" si="50"/>
        <v/>
      </c>
      <c r="S357" t="str">
        <f>""</f>
        <v/>
      </c>
      <c r="AL357" s="18" t="str">
        <f>IF(COUNTIF($A$2:A356, A356) = 1, A356, "")</f>
        <v/>
      </c>
    </row>
    <row r="358" spans="6:38" x14ac:dyDescent="0.2">
      <c r="F358" t="str">
        <f t="shared" si="45"/>
        <v/>
      </c>
      <c r="L358" s="7" t="str">
        <f t="shared" si="46"/>
        <v/>
      </c>
      <c r="N358" s="7" t="str">
        <f t="shared" si="47"/>
        <v/>
      </c>
      <c r="O358" t="str">
        <f t="shared" si="48"/>
        <v/>
      </c>
      <c r="P358" t="str">
        <f t="shared" si="49"/>
        <v/>
      </c>
      <c r="Q358" t="str">
        <f t="shared" si="50"/>
        <v/>
      </c>
      <c r="S358" t="str">
        <f>""</f>
        <v/>
      </c>
      <c r="AL358" s="18" t="str">
        <f>IF(COUNTIF($A$2:A357, A357) = 1, A357, "")</f>
        <v/>
      </c>
    </row>
    <row r="359" spans="6:38" x14ac:dyDescent="0.2">
      <c r="F359" t="str">
        <f t="shared" si="45"/>
        <v/>
      </c>
      <c r="L359" s="7" t="str">
        <f t="shared" si="46"/>
        <v/>
      </c>
      <c r="N359" s="7" t="str">
        <f t="shared" si="47"/>
        <v/>
      </c>
      <c r="O359" t="str">
        <f t="shared" si="48"/>
        <v/>
      </c>
      <c r="P359" t="str">
        <f t="shared" si="49"/>
        <v/>
      </c>
      <c r="Q359" t="str">
        <f t="shared" si="50"/>
        <v/>
      </c>
      <c r="S359" t="str">
        <f>""</f>
        <v/>
      </c>
      <c r="AL359" s="18" t="str">
        <f>IF(COUNTIF($A$2:A358, A358) = 1, A358, "")</f>
        <v/>
      </c>
    </row>
    <row r="360" spans="6:38" x14ac:dyDescent="0.2">
      <c r="F360" t="str">
        <f t="shared" si="45"/>
        <v/>
      </c>
      <c r="L360" s="7" t="str">
        <f t="shared" si="46"/>
        <v/>
      </c>
      <c r="N360" s="7" t="str">
        <f t="shared" si="47"/>
        <v/>
      </c>
      <c r="O360" t="str">
        <f t="shared" si="48"/>
        <v/>
      </c>
      <c r="P360" t="str">
        <f t="shared" si="49"/>
        <v/>
      </c>
      <c r="Q360" t="str">
        <f t="shared" si="50"/>
        <v/>
      </c>
      <c r="S360" t="str">
        <f>""</f>
        <v/>
      </c>
      <c r="AL360" s="18" t="str">
        <f>IF(COUNTIF($A$2:A359, A359) = 1, A359, "")</f>
        <v/>
      </c>
    </row>
    <row r="361" spans="6:38" x14ac:dyDescent="0.2">
      <c r="F361" t="str">
        <f t="shared" si="45"/>
        <v/>
      </c>
      <c r="L361" s="7" t="str">
        <f t="shared" si="46"/>
        <v/>
      </c>
      <c r="N361" s="7" t="str">
        <f t="shared" si="47"/>
        <v/>
      </c>
      <c r="O361" t="str">
        <f t="shared" si="48"/>
        <v/>
      </c>
      <c r="P361" t="str">
        <f t="shared" si="49"/>
        <v/>
      </c>
      <c r="Q361" t="str">
        <f t="shared" si="50"/>
        <v/>
      </c>
      <c r="S361" t="str">
        <f>""</f>
        <v/>
      </c>
      <c r="AL361" s="18" t="str">
        <f>IF(COUNTIF($A$2:A360, A360) = 1, A360, "")</f>
        <v/>
      </c>
    </row>
    <row r="362" spans="6:38" x14ac:dyDescent="0.2">
      <c r="F362" t="str">
        <f t="shared" si="45"/>
        <v/>
      </c>
      <c r="L362" s="7" t="str">
        <f t="shared" si="46"/>
        <v/>
      </c>
      <c r="N362" s="7" t="str">
        <f t="shared" si="47"/>
        <v/>
      </c>
      <c r="O362" t="str">
        <f t="shared" si="48"/>
        <v/>
      </c>
      <c r="P362" t="str">
        <f t="shared" si="49"/>
        <v/>
      </c>
      <c r="Q362" t="str">
        <f t="shared" si="50"/>
        <v/>
      </c>
      <c r="S362" t="str">
        <f>""</f>
        <v/>
      </c>
      <c r="AL362" s="18" t="str">
        <f>IF(COUNTIF($A$2:A361, A361) = 1, A361, "")</f>
        <v/>
      </c>
    </row>
    <row r="363" spans="6:38" x14ac:dyDescent="0.2">
      <c r="F363" t="str">
        <f t="shared" si="45"/>
        <v/>
      </c>
      <c r="L363" s="7" t="str">
        <f t="shared" si="46"/>
        <v/>
      </c>
      <c r="N363" s="7" t="str">
        <f t="shared" si="47"/>
        <v/>
      </c>
      <c r="O363" t="str">
        <f t="shared" si="48"/>
        <v/>
      </c>
      <c r="P363" t="str">
        <f t="shared" si="49"/>
        <v/>
      </c>
      <c r="Q363" t="str">
        <f t="shared" si="50"/>
        <v/>
      </c>
      <c r="S363" t="str">
        <f>""</f>
        <v/>
      </c>
      <c r="AL363" s="18" t="str">
        <f>IF(COUNTIF($A$2:A362, A362) = 1, A362, "")</f>
        <v/>
      </c>
    </row>
    <row r="364" spans="6:38" x14ac:dyDescent="0.2">
      <c r="F364" t="str">
        <f t="shared" si="45"/>
        <v/>
      </c>
      <c r="L364" s="7" t="str">
        <f t="shared" si="46"/>
        <v/>
      </c>
      <c r="N364" s="7" t="str">
        <f t="shared" si="47"/>
        <v/>
      </c>
      <c r="O364" t="str">
        <f t="shared" si="48"/>
        <v/>
      </c>
      <c r="P364" t="str">
        <f t="shared" si="49"/>
        <v/>
      </c>
      <c r="Q364" t="str">
        <f t="shared" si="50"/>
        <v/>
      </c>
      <c r="S364" t="str">
        <f>""</f>
        <v/>
      </c>
      <c r="AL364" s="18" t="str">
        <f>IF(COUNTIF($A$2:A363, A363) = 1, A363, "")</f>
        <v/>
      </c>
    </row>
    <row r="365" spans="6:38" x14ac:dyDescent="0.2">
      <c r="F365" t="str">
        <f t="shared" si="45"/>
        <v/>
      </c>
      <c r="L365" s="7" t="str">
        <f t="shared" si="46"/>
        <v/>
      </c>
      <c r="N365" s="7" t="str">
        <f t="shared" si="47"/>
        <v/>
      </c>
      <c r="O365" t="str">
        <f t="shared" si="48"/>
        <v/>
      </c>
      <c r="P365" t="str">
        <f t="shared" si="49"/>
        <v/>
      </c>
      <c r="Q365" t="str">
        <f t="shared" si="50"/>
        <v/>
      </c>
      <c r="S365" t="str">
        <f>""</f>
        <v/>
      </c>
      <c r="AL365" s="18" t="str">
        <f>IF(COUNTIF($A$2:A364, A364) = 1, A364, "")</f>
        <v/>
      </c>
    </row>
    <row r="366" spans="6:38" x14ac:dyDescent="0.2">
      <c r="F366" t="str">
        <f t="shared" si="45"/>
        <v/>
      </c>
      <c r="L366" s="7" t="str">
        <f t="shared" si="46"/>
        <v/>
      </c>
      <c r="N366" s="7" t="str">
        <f t="shared" si="47"/>
        <v/>
      </c>
      <c r="O366" t="str">
        <f t="shared" si="48"/>
        <v/>
      </c>
      <c r="P366" t="str">
        <f t="shared" si="49"/>
        <v/>
      </c>
      <c r="Q366" t="str">
        <f t="shared" si="50"/>
        <v/>
      </c>
      <c r="S366" t="str">
        <f>""</f>
        <v/>
      </c>
      <c r="AL366" s="18" t="str">
        <f>IF(COUNTIF($A$2:A365, A365) = 1, A365, "")</f>
        <v/>
      </c>
    </row>
    <row r="367" spans="6:38" x14ac:dyDescent="0.2">
      <c r="F367" t="str">
        <f t="shared" si="45"/>
        <v/>
      </c>
      <c r="L367" s="7" t="str">
        <f t="shared" si="46"/>
        <v/>
      </c>
      <c r="N367" s="7" t="str">
        <f t="shared" si="47"/>
        <v/>
      </c>
      <c r="O367" t="str">
        <f t="shared" si="48"/>
        <v/>
      </c>
      <c r="P367" t="str">
        <f t="shared" si="49"/>
        <v/>
      </c>
      <c r="Q367" t="str">
        <f t="shared" si="50"/>
        <v/>
      </c>
      <c r="S367" t="str">
        <f>""</f>
        <v/>
      </c>
      <c r="AL367" s="18" t="str">
        <f>IF(COUNTIF($A$2:A366, A366) = 1, A366, "")</f>
        <v/>
      </c>
    </row>
    <row r="368" spans="6:38" x14ac:dyDescent="0.2">
      <c r="F368" t="str">
        <f t="shared" si="45"/>
        <v/>
      </c>
      <c r="L368" s="7" t="str">
        <f t="shared" si="46"/>
        <v/>
      </c>
      <c r="N368" s="7" t="str">
        <f t="shared" si="47"/>
        <v/>
      </c>
      <c r="O368" t="str">
        <f t="shared" si="48"/>
        <v/>
      </c>
      <c r="P368" t="str">
        <f t="shared" si="49"/>
        <v/>
      </c>
      <c r="Q368" t="str">
        <f t="shared" si="50"/>
        <v/>
      </c>
      <c r="S368" t="str">
        <f>""</f>
        <v/>
      </c>
      <c r="AL368" s="18" t="str">
        <f>IF(COUNTIF($A$2:A367, A367) = 1, A367, "")</f>
        <v/>
      </c>
    </row>
    <row r="369" spans="6:38" x14ac:dyDescent="0.2">
      <c r="F369" t="str">
        <f t="shared" si="45"/>
        <v/>
      </c>
      <c r="L369" s="7" t="str">
        <f t="shared" si="46"/>
        <v/>
      </c>
      <c r="N369" s="7" t="str">
        <f t="shared" si="47"/>
        <v/>
      </c>
      <c r="O369" t="str">
        <f t="shared" si="48"/>
        <v/>
      </c>
      <c r="P369" t="str">
        <f t="shared" si="49"/>
        <v/>
      </c>
      <c r="Q369" t="str">
        <f t="shared" si="50"/>
        <v/>
      </c>
      <c r="S369" t="str">
        <f>""</f>
        <v/>
      </c>
      <c r="AL369" s="18" t="str">
        <f>IF(COUNTIF($A$2:A368, A368) = 1, A368, "")</f>
        <v/>
      </c>
    </row>
    <row r="370" spans="6:38" x14ac:dyDescent="0.2">
      <c r="F370" t="str">
        <f t="shared" si="45"/>
        <v/>
      </c>
      <c r="L370" s="7" t="str">
        <f t="shared" si="46"/>
        <v/>
      </c>
      <c r="N370" s="7" t="str">
        <f t="shared" si="47"/>
        <v/>
      </c>
      <c r="O370" t="str">
        <f t="shared" si="48"/>
        <v/>
      </c>
      <c r="P370" t="str">
        <f t="shared" si="49"/>
        <v/>
      </c>
      <c r="Q370" t="str">
        <f t="shared" si="50"/>
        <v/>
      </c>
      <c r="S370" t="str">
        <f>""</f>
        <v/>
      </c>
      <c r="AL370" s="18" t="str">
        <f>IF(COUNTIF($A$2:A369, A369) = 1, A369, "")</f>
        <v/>
      </c>
    </row>
    <row r="371" spans="6:38" x14ac:dyDescent="0.2">
      <c r="F371" t="str">
        <f t="shared" si="45"/>
        <v/>
      </c>
      <c r="L371" s="7" t="str">
        <f t="shared" si="46"/>
        <v/>
      </c>
      <c r="N371" s="7" t="str">
        <f t="shared" si="47"/>
        <v/>
      </c>
      <c r="O371" t="str">
        <f t="shared" si="48"/>
        <v/>
      </c>
      <c r="P371" t="str">
        <f t="shared" si="49"/>
        <v/>
      </c>
      <c r="Q371" t="str">
        <f t="shared" si="50"/>
        <v/>
      </c>
      <c r="S371" t="str">
        <f>""</f>
        <v/>
      </c>
      <c r="AL371" s="18" t="str">
        <f>IF(COUNTIF($A$2:A370, A370) = 1, A370, "")</f>
        <v/>
      </c>
    </row>
    <row r="372" spans="6:38" x14ac:dyDescent="0.2">
      <c r="F372" t="str">
        <f t="shared" si="45"/>
        <v/>
      </c>
      <c r="L372" s="7" t="str">
        <f t="shared" si="46"/>
        <v/>
      </c>
      <c r="N372" s="7" t="str">
        <f t="shared" si="47"/>
        <v/>
      </c>
      <c r="O372" t="str">
        <f t="shared" si="48"/>
        <v/>
      </c>
      <c r="P372" t="str">
        <f t="shared" si="49"/>
        <v/>
      </c>
      <c r="Q372" t="str">
        <f t="shared" si="50"/>
        <v/>
      </c>
      <c r="S372" t="str">
        <f>""</f>
        <v/>
      </c>
      <c r="AL372" s="18" t="str">
        <f>IF(COUNTIF($A$2:A371, A371) = 1, A371, "")</f>
        <v/>
      </c>
    </row>
    <row r="373" spans="6:38" x14ac:dyDescent="0.2">
      <c r="F373" t="str">
        <f t="shared" si="45"/>
        <v/>
      </c>
      <c r="L373" s="7" t="str">
        <f t="shared" si="46"/>
        <v/>
      </c>
      <c r="N373" s="7" t="str">
        <f t="shared" si="47"/>
        <v/>
      </c>
      <c r="O373" t="str">
        <f t="shared" si="48"/>
        <v/>
      </c>
      <c r="P373" t="str">
        <f t="shared" si="49"/>
        <v/>
      </c>
      <c r="Q373" t="str">
        <f t="shared" si="50"/>
        <v/>
      </c>
      <c r="S373" t="str">
        <f>""</f>
        <v/>
      </c>
      <c r="AL373" s="18" t="str">
        <f>IF(COUNTIF($A$2:A372, A372) = 1, A372, "")</f>
        <v/>
      </c>
    </row>
    <row r="374" spans="6:38" x14ac:dyDescent="0.2">
      <c r="F374" t="str">
        <f t="shared" si="45"/>
        <v/>
      </c>
      <c r="L374" s="7" t="str">
        <f t="shared" si="46"/>
        <v/>
      </c>
      <c r="N374" s="7" t="str">
        <f t="shared" si="47"/>
        <v/>
      </c>
      <c r="O374" t="str">
        <f t="shared" si="48"/>
        <v/>
      </c>
      <c r="P374" t="str">
        <f t="shared" si="49"/>
        <v/>
      </c>
      <c r="Q374" t="str">
        <f t="shared" si="50"/>
        <v/>
      </c>
      <c r="S374" t="str">
        <f>""</f>
        <v/>
      </c>
      <c r="AL374" s="18" t="str">
        <f>IF(COUNTIF($A$2:A373, A373) = 1, A373, "")</f>
        <v/>
      </c>
    </row>
    <row r="375" spans="6:38" x14ac:dyDescent="0.2">
      <c r="F375" t="str">
        <f t="shared" si="45"/>
        <v/>
      </c>
      <c r="L375" s="7" t="str">
        <f t="shared" si="46"/>
        <v/>
      </c>
      <c r="N375" s="7" t="str">
        <f t="shared" si="47"/>
        <v/>
      </c>
      <c r="O375" t="str">
        <f t="shared" si="48"/>
        <v/>
      </c>
      <c r="P375" t="str">
        <f t="shared" si="49"/>
        <v/>
      </c>
      <c r="Q375" t="str">
        <f t="shared" si="50"/>
        <v/>
      </c>
      <c r="S375" t="str">
        <f>""</f>
        <v/>
      </c>
      <c r="AL375" s="18" t="str">
        <f>IF(COUNTIF($A$2:A374, A374) = 1, A374, "")</f>
        <v/>
      </c>
    </row>
    <row r="376" spans="6:38" x14ac:dyDescent="0.2">
      <c r="F376" t="str">
        <f t="shared" si="45"/>
        <v/>
      </c>
      <c r="L376" s="7" t="str">
        <f t="shared" si="46"/>
        <v/>
      </c>
      <c r="N376" s="7" t="str">
        <f t="shared" si="47"/>
        <v/>
      </c>
      <c r="O376" t="str">
        <f t="shared" si="48"/>
        <v/>
      </c>
      <c r="P376" t="str">
        <f t="shared" si="49"/>
        <v/>
      </c>
      <c r="Q376" t="str">
        <f t="shared" si="50"/>
        <v/>
      </c>
      <c r="S376" t="str">
        <f>""</f>
        <v/>
      </c>
      <c r="AL376" s="18" t="str">
        <f>IF(COUNTIF($A$2:A375, A375) = 1, A375, "")</f>
        <v/>
      </c>
    </row>
    <row r="377" spans="6:38" x14ac:dyDescent="0.2">
      <c r="F377" t="str">
        <f t="shared" si="45"/>
        <v/>
      </c>
      <c r="L377" s="7" t="str">
        <f t="shared" si="46"/>
        <v/>
      </c>
      <c r="N377" s="7" t="str">
        <f t="shared" si="47"/>
        <v/>
      </c>
      <c r="O377" t="str">
        <f t="shared" si="48"/>
        <v/>
      </c>
      <c r="P377" t="str">
        <f t="shared" si="49"/>
        <v/>
      </c>
      <c r="Q377" t="str">
        <f t="shared" si="50"/>
        <v/>
      </c>
      <c r="S377" t="str">
        <f>""</f>
        <v/>
      </c>
      <c r="AL377" s="18" t="str">
        <f>IF(COUNTIF($A$2:A376, A376) = 1, A376, "")</f>
        <v/>
      </c>
    </row>
    <row r="378" spans="6:38" x14ac:dyDescent="0.2">
      <c r="F378" t="str">
        <f t="shared" si="45"/>
        <v/>
      </c>
      <c r="L378" s="7" t="str">
        <f t="shared" si="46"/>
        <v/>
      </c>
      <c r="N378" s="7" t="str">
        <f t="shared" si="47"/>
        <v/>
      </c>
      <c r="O378" t="str">
        <f t="shared" si="48"/>
        <v/>
      </c>
      <c r="P378" t="str">
        <f t="shared" si="49"/>
        <v/>
      </c>
      <c r="Q378" t="str">
        <f t="shared" si="50"/>
        <v/>
      </c>
      <c r="S378" t="str">
        <f>""</f>
        <v/>
      </c>
      <c r="AL378" s="18" t="str">
        <f>IF(COUNTIF($A$2:A377, A377) = 1, A377, "")</f>
        <v/>
      </c>
    </row>
    <row r="379" spans="6:38" x14ac:dyDescent="0.2">
      <c r="F379" t="str">
        <f t="shared" si="45"/>
        <v/>
      </c>
      <c r="L379" s="7" t="str">
        <f t="shared" si="46"/>
        <v/>
      </c>
      <c r="N379" s="7" t="str">
        <f t="shared" si="47"/>
        <v/>
      </c>
      <c r="O379" t="str">
        <f t="shared" si="48"/>
        <v/>
      </c>
      <c r="P379" t="str">
        <f t="shared" si="49"/>
        <v/>
      </c>
      <c r="Q379" t="str">
        <f t="shared" si="50"/>
        <v/>
      </c>
      <c r="S379" t="str">
        <f>""</f>
        <v/>
      </c>
      <c r="AL379" s="18" t="str">
        <f>IF(COUNTIF($A$2:A378, A378) = 1, A378, "")</f>
        <v/>
      </c>
    </row>
    <row r="380" spans="6:38" x14ac:dyDescent="0.2">
      <c r="F380" t="str">
        <f t="shared" si="45"/>
        <v/>
      </c>
      <c r="L380" s="7" t="str">
        <f t="shared" si="46"/>
        <v/>
      </c>
      <c r="N380" s="7" t="str">
        <f t="shared" si="47"/>
        <v/>
      </c>
      <c r="O380" t="str">
        <f t="shared" si="48"/>
        <v/>
      </c>
      <c r="P380" t="str">
        <f t="shared" si="49"/>
        <v/>
      </c>
      <c r="Q380" t="str">
        <f t="shared" si="50"/>
        <v/>
      </c>
      <c r="S380" t="str">
        <f>""</f>
        <v/>
      </c>
      <c r="AL380" s="18" t="str">
        <f>IF(COUNTIF($A$2:A379, A379) = 1, A379, "")</f>
        <v/>
      </c>
    </row>
    <row r="381" spans="6:38" x14ac:dyDescent="0.2">
      <c r="F381" t="str">
        <f t="shared" si="45"/>
        <v/>
      </c>
      <c r="L381" s="7" t="str">
        <f t="shared" si="46"/>
        <v/>
      </c>
      <c r="N381" s="7" t="str">
        <f t="shared" si="47"/>
        <v/>
      </c>
      <c r="O381" t="str">
        <f t="shared" si="48"/>
        <v/>
      </c>
      <c r="P381" t="str">
        <f t="shared" si="49"/>
        <v/>
      </c>
      <c r="Q381" t="str">
        <f t="shared" si="50"/>
        <v/>
      </c>
      <c r="S381" t="str">
        <f>""</f>
        <v/>
      </c>
      <c r="AL381" s="18" t="str">
        <f>IF(COUNTIF($A$2:A380, A380) = 1, A380, "")</f>
        <v/>
      </c>
    </row>
    <row r="382" spans="6:38" x14ac:dyDescent="0.2">
      <c r="F382" t="str">
        <f t="shared" si="45"/>
        <v/>
      </c>
      <c r="L382" s="7" t="str">
        <f t="shared" si="46"/>
        <v/>
      </c>
      <c r="N382" s="7" t="str">
        <f t="shared" si="47"/>
        <v/>
      </c>
      <c r="O382" t="str">
        <f t="shared" si="48"/>
        <v/>
      </c>
      <c r="P382" t="str">
        <f t="shared" si="49"/>
        <v/>
      </c>
      <c r="Q382" t="str">
        <f t="shared" si="50"/>
        <v/>
      </c>
      <c r="S382" t="str">
        <f>""</f>
        <v/>
      </c>
      <c r="AL382" s="18" t="str">
        <f>IF(COUNTIF($A$2:A381, A381) = 1, A381, "")</f>
        <v/>
      </c>
    </row>
    <row r="383" spans="6:38" x14ac:dyDescent="0.2">
      <c r="F383" t="str">
        <f t="shared" si="45"/>
        <v/>
      </c>
      <c r="L383" s="7" t="str">
        <f t="shared" si="46"/>
        <v/>
      </c>
      <c r="N383" s="7" t="str">
        <f t="shared" si="47"/>
        <v/>
      </c>
      <c r="O383" t="str">
        <f t="shared" si="48"/>
        <v/>
      </c>
      <c r="P383" t="str">
        <f t="shared" si="49"/>
        <v/>
      </c>
      <c r="Q383" t="str">
        <f t="shared" si="50"/>
        <v/>
      </c>
      <c r="S383" t="str">
        <f>""</f>
        <v/>
      </c>
      <c r="AL383" s="18" t="str">
        <f>IF(COUNTIF($A$2:A382, A382) = 1, A382, "")</f>
        <v/>
      </c>
    </row>
    <row r="384" spans="6:38" x14ac:dyDescent="0.2">
      <c r="F384" t="str">
        <f t="shared" si="45"/>
        <v/>
      </c>
      <c r="L384" s="7" t="str">
        <f t="shared" si="46"/>
        <v/>
      </c>
      <c r="N384" s="7" t="str">
        <f t="shared" si="47"/>
        <v/>
      </c>
      <c r="O384" t="str">
        <f t="shared" si="48"/>
        <v/>
      </c>
      <c r="P384" t="str">
        <f t="shared" si="49"/>
        <v/>
      </c>
      <c r="Q384" t="str">
        <f t="shared" si="50"/>
        <v/>
      </c>
      <c r="S384" t="str">
        <f>""</f>
        <v/>
      </c>
      <c r="AL384" s="18" t="str">
        <f>IF(COUNTIF($A$2:A383, A383) = 1, A383, "")</f>
        <v/>
      </c>
    </row>
    <row r="385" spans="6:38" x14ac:dyDescent="0.2">
      <c r="F385" t="str">
        <f t="shared" si="45"/>
        <v/>
      </c>
      <c r="L385" s="7" t="str">
        <f t="shared" si="46"/>
        <v/>
      </c>
      <c r="N385" s="7" t="str">
        <f t="shared" si="47"/>
        <v/>
      </c>
      <c r="O385" t="str">
        <f t="shared" si="48"/>
        <v/>
      </c>
      <c r="P385" t="str">
        <f t="shared" si="49"/>
        <v/>
      </c>
      <c r="Q385" t="str">
        <f t="shared" si="50"/>
        <v/>
      </c>
      <c r="S385" t="str">
        <f>""</f>
        <v/>
      </c>
      <c r="AL385" s="18" t="str">
        <f>IF(COUNTIF($A$2:A384, A384) = 1, A384, "")</f>
        <v/>
      </c>
    </row>
    <row r="386" spans="6:38" x14ac:dyDescent="0.2">
      <c r="F386" t="str">
        <f t="shared" si="45"/>
        <v/>
      </c>
      <c r="L386" s="7" t="str">
        <f t="shared" si="46"/>
        <v/>
      </c>
      <c r="N386" s="7" t="str">
        <f t="shared" si="47"/>
        <v/>
      </c>
      <c r="O386" t="str">
        <f t="shared" si="48"/>
        <v/>
      </c>
      <c r="P386" t="str">
        <f t="shared" si="49"/>
        <v/>
      </c>
      <c r="Q386" t="str">
        <f t="shared" si="50"/>
        <v/>
      </c>
      <c r="S386" t="str">
        <f>""</f>
        <v/>
      </c>
      <c r="AL386" s="18" t="str">
        <f>IF(COUNTIF($A$2:A385, A385) = 1, A385, "")</f>
        <v/>
      </c>
    </row>
    <row r="387" spans="6:38" x14ac:dyDescent="0.2">
      <c r="F387" t="str">
        <f t="shared" si="45"/>
        <v/>
      </c>
      <c r="L387" s="7" t="str">
        <f t="shared" si="46"/>
        <v/>
      </c>
      <c r="N387" s="7" t="str">
        <f t="shared" si="47"/>
        <v/>
      </c>
      <c r="O387" t="str">
        <f t="shared" si="48"/>
        <v/>
      </c>
      <c r="P387" t="str">
        <f t="shared" si="49"/>
        <v/>
      </c>
      <c r="Q387" t="str">
        <f t="shared" si="50"/>
        <v/>
      </c>
      <c r="S387" t="str">
        <f>""</f>
        <v/>
      </c>
      <c r="AL387" s="18" t="str">
        <f>IF(COUNTIF($A$2:A386, A386) = 1, A386, "")</f>
        <v/>
      </c>
    </row>
    <row r="388" spans="6:38" x14ac:dyDescent="0.2">
      <c r="F388" t="str">
        <f t="shared" si="45"/>
        <v/>
      </c>
      <c r="L388" s="7" t="str">
        <f t="shared" si="46"/>
        <v/>
      </c>
      <c r="N388" s="7" t="str">
        <f t="shared" si="47"/>
        <v/>
      </c>
      <c r="O388" t="str">
        <f t="shared" si="48"/>
        <v/>
      </c>
      <c r="P388" t="str">
        <f t="shared" si="49"/>
        <v/>
      </c>
      <c r="Q388" t="str">
        <f t="shared" si="50"/>
        <v/>
      </c>
      <c r="S388" t="str">
        <f>""</f>
        <v/>
      </c>
      <c r="AL388" s="18" t="str">
        <f>IF(COUNTIF($A$2:A387, A387) = 1, A387, "")</f>
        <v/>
      </c>
    </row>
    <row r="389" spans="6:38" x14ac:dyDescent="0.2">
      <c r="F389" t="str">
        <f t="shared" si="45"/>
        <v/>
      </c>
      <c r="L389" s="7" t="str">
        <f t="shared" si="46"/>
        <v/>
      </c>
      <c r="N389" s="7" t="str">
        <f t="shared" si="47"/>
        <v/>
      </c>
      <c r="O389" t="str">
        <f t="shared" si="48"/>
        <v/>
      </c>
      <c r="P389" t="str">
        <f t="shared" si="49"/>
        <v/>
      </c>
      <c r="Q389" t="str">
        <f t="shared" si="50"/>
        <v/>
      </c>
      <c r="S389" t="str">
        <f>""</f>
        <v/>
      </c>
      <c r="AL389" s="18" t="str">
        <f>IF(COUNTIF($A$2:A388, A388) = 1, A388, "")</f>
        <v/>
      </c>
    </row>
    <row r="390" spans="6:38" x14ac:dyDescent="0.2">
      <c r="F390" t="str">
        <f t="shared" si="45"/>
        <v/>
      </c>
      <c r="L390" s="7" t="str">
        <f t="shared" si="46"/>
        <v/>
      </c>
      <c r="N390" s="7" t="str">
        <f t="shared" si="47"/>
        <v/>
      </c>
      <c r="O390" t="str">
        <f t="shared" si="48"/>
        <v/>
      </c>
      <c r="P390" t="str">
        <f t="shared" si="49"/>
        <v/>
      </c>
      <c r="Q390" t="str">
        <f t="shared" si="50"/>
        <v/>
      </c>
      <c r="S390" t="str">
        <f>""</f>
        <v/>
      </c>
      <c r="AL390" s="18" t="str">
        <f>IF(COUNTIF($A$2:A389, A389) = 1, A389, "")</f>
        <v/>
      </c>
    </row>
    <row r="391" spans="6:38" x14ac:dyDescent="0.2">
      <c r="F391" t="str">
        <f t="shared" si="45"/>
        <v/>
      </c>
      <c r="L391" s="7" t="str">
        <f t="shared" si="46"/>
        <v/>
      </c>
      <c r="N391" s="7" t="str">
        <f t="shared" si="47"/>
        <v/>
      </c>
      <c r="O391" t="str">
        <f t="shared" si="48"/>
        <v/>
      </c>
      <c r="P391" t="str">
        <f t="shared" si="49"/>
        <v/>
      </c>
      <c r="Q391" t="str">
        <f t="shared" si="50"/>
        <v/>
      </c>
      <c r="S391" t="str">
        <f>""</f>
        <v/>
      </c>
      <c r="AL391" s="18" t="str">
        <f>IF(COUNTIF($A$2:A390, A390) = 1, A390, "")</f>
        <v/>
      </c>
    </row>
    <row r="392" spans="6:38" x14ac:dyDescent="0.2">
      <c r="F392" t="str">
        <f t="shared" si="45"/>
        <v/>
      </c>
      <c r="L392" s="7" t="str">
        <f t="shared" si="46"/>
        <v/>
      </c>
      <c r="N392" s="7" t="str">
        <f t="shared" si="47"/>
        <v/>
      </c>
      <c r="O392" t="str">
        <f t="shared" si="48"/>
        <v/>
      </c>
      <c r="P392" t="str">
        <f t="shared" si="49"/>
        <v/>
      </c>
      <c r="Q392" t="str">
        <f t="shared" si="50"/>
        <v/>
      </c>
      <c r="S392" t="str">
        <f>""</f>
        <v/>
      </c>
      <c r="AL392" s="18" t="str">
        <f>IF(COUNTIF($A$2:A391, A391) = 1, A391, "")</f>
        <v/>
      </c>
    </row>
    <row r="393" spans="6:38" x14ac:dyDescent="0.2">
      <c r="F393" t="str">
        <f t="shared" si="45"/>
        <v/>
      </c>
      <c r="L393" s="7" t="str">
        <f t="shared" si="46"/>
        <v/>
      </c>
      <c r="N393" s="7" t="str">
        <f t="shared" si="47"/>
        <v/>
      </c>
      <c r="O393" t="str">
        <f t="shared" si="48"/>
        <v/>
      </c>
      <c r="P393" t="str">
        <f t="shared" si="49"/>
        <v/>
      </c>
      <c r="Q393" t="str">
        <f t="shared" si="50"/>
        <v/>
      </c>
      <c r="S393" t="str">
        <f>""</f>
        <v/>
      </c>
      <c r="AL393" s="18" t="str">
        <f>IF(COUNTIF($A$2:A392, A392) = 1, A392, "")</f>
        <v/>
      </c>
    </row>
    <row r="394" spans="6:38" x14ac:dyDescent="0.2">
      <c r="F394" t="str">
        <f t="shared" si="45"/>
        <v/>
      </c>
      <c r="L394" s="7" t="str">
        <f t="shared" si="46"/>
        <v/>
      </c>
      <c r="N394" s="7" t="str">
        <f t="shared" si="47"/>
        <v/>
      </c>
      <c r="O394" t="str">
        <f t="shared" si="48"/>
        <v/>
      </c>
      <c r="P394" t="str">
        <f t="shared" si="49"/>
        <v/>
      </c>
      <c r="Q394" t="str">
        <f t="shared" si="50"/>
        <v/>
      </c>
      <c r="S394" t="str">
        <f>""</f>
        <v/>
      </c>
      <c r="AL394" s="18" t="str">
        <f>IF(COUNTIF($A$2:A393, A393) = 1, A393, "")</f>
        <v/>
      </c>
    </row>
    <row r="395" spans="6:38" x14ac:dyDescent="0.2">
      <c r="F395" t="str">
        <f t="shared" si="45"/>
        <v/>
      </c>
      <c r="L395" s="7" t="str">
        <f t="shared" si="46"/>
        <v/>
      </c>
      <c r="N395" s="7" t="str">
        <f t="shared" si="47"/>
        <v/>
      </c>
      <c r="O395" t="str">
        <f t="shared" si="48"/>
        <v/>
      </c>
      <c r="P395" t="str">
        <f t="shared" si="49"/>
        <v/>
      </c>
      <c r="Q395" t="str">
        <f t="shared" si="50"/>
        <v/>
      </c>
      <c r="S395" t="str">
        <f>""</f>
        <v/>
      </c>
      <c r="AL395" s="18" t="str">
        <f>IF(COUNTIF($A$2:A394, A394) = 1, A394, "")</f>
        <v/>
      </c>
    </row>
    <row r="396" spans="6:38" x14ac:dyDescent="0.2">
      <c r="F396" t="str">
        <f t="shared" si="45"/>
        <v/>
      </c>
      <c r="L396" s="7" t="str">
        <f t="shared" si="46"/>
        <v/>
      </c>
      <c r="N396" s="7" t="str">
        <f t="shared" si="47"/>
        <v/>
      </c>
      <c r="O396" t="str">
        <f t="shared" si="48"/>
        <v/>
      </c>
      <c r="P396" t="str">
        <f t="shared" si="49"/>
        <v/>
      </c>
      <c r="Q396" t="str">
        <f t="shared" si="50"/>
        <v/>
      </c>
      <c r="S396" t="str">
        <f>""</f>
        <v/>
      </c>
      <c r="AL396" s="18" t="str">
        <f>IF(COUNTIF($A$2:A395, A395) = 1, A395, "")</f>
        <v/>
      </c>
    </row>
    <row r="397" spans="6:38" x14ac:dyDescent="0.2">
      <c r="F397" t="str">
        <f t="shared" si="45"/>
        <v/>
      </c>
      <c r="L397" s="7" t="str">
        <f t="shared" si="46"/>
        <v/>
      </c>
      <c r="N397" s="7" t="str">
        <f t="shared" si="47"/>
        <v/>
      </c>
      <c r="O397" t="str">
        <f t="shared" si="48"/>
        <v/>
      </c>
      <c r="P397" t="str">
        <f t="shared" si="49"/>
        <v/>
      </c>
      <c r="Q397" t="str">
        <f t="shared" si="50"/>
        <v/>
      </c>
      <c r="S397" t="str">
        <f>""</f>
        <v/>
      </c>
      <c r="AL397" s="18" t="str">
        <f>IF(COUNTIF($A$2:A396, A396) = 1, A396, "")</f>
        <v/>
      </c>
    </row>
    <row r="398" spans="6:38" x14ac:dyDescent="0.2">
      <c r="F398" t="str">
        <f t="shared" si="45"/>
        <v/>
      </c>
      <c r="L398" s="7" t="str">
        <f t="shared" si="46"/>
        <v/>
      </c>
      <c r="N398" s="7" t="str">
        <f t="shared" si="47"/>
        <v/>
      </c>
      <c r="O398" t="str">
        <f t="shared" si="48"/>
        <v/>
      </c>
      <c r="P398" t="str">
        <f t="shared" si="49"/>
        <v/>
      </c>
      <c r="Q398" t="str">
        <f t="shared" si="50"/>
        <v/>
      </c>
      <c r="S398" t="str">
        <f>""</f>
        <v/>
      </c>
      <c r="AL398" s="18" t="str">
        <f>IF(COUNTIF($A$2:A397, A397) = 1, A397, "")</f>
        <v/>
      </c>
    </row>
    <row r="399" spans="6:38" x14ac:dyDescent="0.2">
      <c r="F399" t="str">
        <f t="shared" si="45"/>
        <v/>
      </c>
      <c r="L399" s="7" t="str">
        <f t="shared" si="46"/>
        <v/>
      </c>
      <c r="N399" s="7" t="str">
        <f t="shared" si="47"/>
        <v/>
      </c>
      <c r="O399" t="str">
        <f t="shared" si="48"/>
        <v/>
      </c>
      <c r="P399" t="str">
        <f t="shared" si="49"/>
        <v/>
      </c>
      <c r="Q399" t="str">
        <f t="shared" si="50"/>
        <v/>
      </c>
      <c r="S399" t="str">
        <f>""</f>
        <v/>
      </c>
      <c r="AL399" s="18" t="str">
        <f>IF(COUNTIF($A$2:A398, A398) = 1, A398, "")</f>
        <v/>
      </c>
    </row>
    <row r="400" spans="6:38" x14ac:dyDescent="0.2">
      <c r="F400" t="str">
        <f t="shared" ref="F400:F463" si="51">IF(OR(O400="", P400=""), "", SUM(IF((O400&lt;&gt;"None")*(O400&lt;&gt;""),LEN(O400)-LEN(SUBSTITUTE(O400,",",""))+1,0)) + SUM(IF((P400&lt;&gt;"None")*(P400&lt;&gt;""),LEN(P400)-LEN(SUBSTITUTE(P400,",",""))+1,0)))</f>
        <v/>
      </c>
      <c r="L400" s="7" t="str">
        <f t="shared" ref="L400:L463" si="52">IF(LEN(E400)=0, "", IFERROR(IF(E400&gt;=0, K400 * (1 + E400/100) - K400, K400 / (ABS(E400)/100))+K400, ""))</f>
        <v/>
      </c>
      <c r="N400" s="7" t="str">
        <f t="shared" ref="N400:N463" si="53">IF(M400="Yes",L400-K400,IF(M400="No",-K400,""))</f>
        <v/>
      </c>
      <c r="O400" t="str">
        <f t="shared" ref="O400:O463" si="54">IF(AND(G400="No",H400="No"), "None", "")</f>
        <v/>
      </c>
      <c r="P400" t="str">
        <f t="shared" ref="P400:P463" si="55">IF(I400="No", "None", "")</f>
        <v/>
      </c>
      <c r="Q400" t="str">
        <f t="shared" ref="Q400:Q463" si="56">IF(AND(D400="Straight", M400 = "No"),IF(O400="None",P400,IF(P400="None",O400) ),"")</f>
        <v/>
      </c>
      <c r="S400" t="str">
        <f>""</f>
        <v/>
      </c>
      <c r="AL400" s="18" t="str">
        <f>IF(COUNTIF($A$2:A399, A399) = 1, A399, "")</f>
        <v/>
      </c>
    </row>
    <row r="401" spans="6:38" x14ac:dyDescent="0.2">
      <c r="F401" t="str">
        <f t="shared" si="51"/>
        <v/>
      </c>
      <c r="L401" s="7" t="str">
        <f t="shared" si="52"/>
        <v/>
      </c>
      <c r="N401" s="7" t="str">
        <f t="shared" si="53"/>
        <v/>
      </c>
      <c r="O401" t="str">
        <f t="shared" si="54"/>
        <v/>
      </c>
      <c r="P401" t="str">
        <f t="shared" si="55"/>
        <v/>
      </c>
      <c r="Q401" t="str">
        <f t="shared" si="56"/>
        <v/>
      </c>
      <c r="S401" t="str">
        <f>""</f>
        <v/>
      </c>
      <c r="AL401" s="18" t="str">
        <f>IF(COUNTIF($A$2:A400, A400) = 1, A400, "")</f>
        <v/>
      </c>
    </row>
    <row r="402" spans="6:38" x14ac:dyDescent="0.2">
      <c r="F402" t="str">
        <f t="shared" si="51"/>
        <v/>
      </c>
      <c r="L402" s="7" t="str">
        <f t="shared" si="52"/>
        <v/>
      </c>
      <c r="N402" s="7" t="str">
        <f t="shared" si="53"/>
        <v/>
      </c>
      <c r="O402" t="str">
        <f t="shared" si="54"/>
        <v/>
      </c>
      <c r="P402" t="str">
        <f t="shared" si="55"/>
        <v/>
      </c>
      <c r="Q402" t="str">
        <f t="shared" si="56"/>
        <v/>
      </c>
      <c r="S402" t="str">
        <f>""</f>
        <v/>
      </c>
      <c r="AL402" s="18" t="str">
        <f>IF(COUNTIF($A$2:A401, A401) = 1, A401, "")</f>
        <v/>
      </c>
    </row>
    <row r="403" spans="6:38" x14ac:dyDescent="0.2">
      <c r="F403" t="str">
        <f t="shared" si="51"/>
        <v/>
      </c>
      <c r="L403" s="7" t="str">
        <f t="shared" si="52"/>
        <v/>
      </c>
      <c r="N403" s="7" t="str">
        <f t="shared" si="53"/>
        <v/>
      </c>
      <c r="O403" t="str">
        <f t="shared" si="54"/>
        <v/>
      </c>
      <c r="P403" t="str">
        <f t="shared" si="55"/>
        <v/>
      </c>
      <c r="Q403" t="str">
        <f t="shared" si="56"/>
        <v/>
      </c>
      <c r="S403" t="str">
        <f>""</f>
        <v/>
      </c>
      <c r="AL403" s="18" t="str">
        <f>IF(COUNTIF($A$2:A402, A402) = 1, A402, "")</f>
        <v/>
      </c>
    </row>
    <row r="404" spans="6:38" x14ac:dyDescent="0.2">
      <c r="F404" t="str">
        <f t="shared" si="51"/>
        <v/>
      </c>
      <c r="L404" s="7" t="str">
        <f t="shared" si="52"/>
        <v/>
      </c>
      <c r="N404" s="7" t="str">
        <f t="shared" si="53"/>
        <v/>
      </c>
      <c r="O404" t="str">
        <f t="shared" si="54"/>
        <v/>
      </c>
      <c r="P404" t="str">
        <f t="shared" si="55"/>
        <v/>
      </c>
      <c r="Q404" t="str">
        <f t="shared" si="56"/>
        <v/>
      </c>
      <c r="S404" t="str">
        <f>""</f>
        <v/>
      </c>
      <c r="AL404" s="18" t="str">
        <f>IF(COUNTIF($A$2:A403, A403) = 1, A403, "")</f>
        <v/>
      </c>
    </row>
    <row r="405" spans="6:38" x14ac:dyDescent="0.2">
      <c r="F405" t="str">
        <f t="shared" si="51"/>
        <v/>
      </c>
      <c r="L405" s="7" t="str">
        <f t="shared" si="52"/>
        <v/>
      </c>
      <c r="N405" s="7" t="str">
        <f t="shared" si="53"/>
        <v/>
      </c>
      <c r="O405" t="str">
        <f t="shared" si="54"/>
        <v/>
      </c>
      <c r="P405" t="str">
        <f t="shared" si="55"/>
        <v/>
      </c>
      <c r="Q405" t="str">
        <f t="shared" si="56"/>
        <v/>
      </c>
      <c r="S405" t="str">
        <f>""</f>
        <v/>
      </c>
      <c r="AL405" s="18" t="str">
        <f>IF(COUNTIF($A$2:A404, A404) = 1, A404, "")</f>
        <v/>
      </c>
    </row>
    <row r="406" spans="6:38" x14ac:dyDescent="0.2">
      <c r="F406" t="str">
        <f t="shared" si="51"/>
        <v/>
      </c>
      <c r="L406" s="7" t="str">
        <f t="shared" si="52"/>
        <v/>
      </c>
      <c r="N406" s="7" t="str">
        <f t="shared" si="53"/>
        <v/>
      </c>
      <c r="O406" t="str">
        <f t="shared" si="54"/>
        <v/>
      </c>
      <c r="P406" t="str">
        <f t="shared" si="55"/>
        <v/>
      </c>
      <c r="Q406" t="str">
        <f t="shared" si="56"/>
        <v/>
      </c>
      <c r="S406" t="str">
        <f>""</f>
        <v/>
      </c>
      <c r="AL406" s="18" t="str">
        <f>IF(COUNTIF($A$2:A405, A405) = 1, A405, "")</f>
        <v/>
      </c>
    </row>
    <row r="407" spans="6:38" x14ac:dyDescent="0.2">
      <c r="F407" t="str">
        <f t="shared" si="51"/>
        <v/>
      </c>
      <c r="L407" s="7" t="str">
        <f t="shared" si="52"/>
        <v/>
      </c>
      <c r="N407" s="7" t="str">
        <f t="shared" si="53"/>
        <v/>
      </c>
      <c r="O407" t="str">
        <f t="shared" si="54"/>
        <v/>
      </c>
      <c r="P407" t="str">
        <f t="shared" si="55"/>
        <v/>
      </c>
      <c r="Q407" t="str">
        <f t="shared" si="56"/>
        <v/>
      </c>
      <c r="S407" t="str">
        <f>""</f>
        <v/>
      </c>
      <c r="AL407" s="18" t="str">
        <f>IF(COUNTIF($A$2:A406, A406) = 1, A406, "")</f>
        <v/>
      </c>
    </row>
    <row r="408" spans="6:38" x14ac:dyDescent="0.2">
      <c r="F408" t="str">
        <f t="shared" si="51"/>
        <v/>
      </c>
      <c r="L408" s="7" t="str">
        <f t="shared" si="52"/>
        <v/>
      </c>
      <c r="N408" s="7" t="str">
        <f t="shared" si="53"/>
        <v/>
      </c>
      <c r="O408" t="str">
        <f t="shared" si="54"/>
        <v/>
      </c>
      <c r="P408" t="str">
        <f t="shared" si="55"/>
        <v/>
      </c>
      <c r="Q408" t="str">
        <f t="shared" si="56"/>
        <v/>
      </c>
      <c r="S408" t="str">
        <f>""</f>
        <v/>
      </c>
      <c r="AL408" s="18" t="str">
        <f>IF(COUNTIF($A$2:A407, A407) = 1, A407, "")</f>
        <v/>
      </c>
    </row>
    <row r="409" spans="6:38" x14ac:dyDescent="0.2">
      <c r="F409" t="str">
        <f t="shared" si="51"/>
        <v/>
      </c>
      <c r="L409" s="7" t="str">
        <f t="shared" si="52"/>
        <v/>
      </c>
      <c r="N409" s="7" t="str">
        <f t="shared" si="53"/>
        <v/>
      </c>
      <c r="O409" t="str">
        <f t="shared" si="54"/>
        <v/>
      </c>
      <c r="P409" t="str">
        <f t="shared" si="55"/>
        <v/>
      </c>
      <c r="Q409" t="str">
        <f t="shared" si="56"/>
        <v/>
      </c>
      <c r="S409" t="str">
        <f>""</f>
        <v/>
      </c>
      <c r="AL409" s="18" t="str">
        <f>IF(COUNTIF($A$2:A408, A408) = 1, A408, "")</f>
        <v/>
      </c>
    </row>
    <row r="410" spans="6:38" x14ac:dyDescent="0.2">
      <c r="F410" t="str">
        <f t="shared" si="51"/>
        <v/>
      </c>
      <c r="L410" s="7" t="str">
        <f t="shared" si="52"/>
        <v/>
      </c>
      <c r="N410" s="7" t="str">
        <f t="shared" si="53"/>
        <v/>
      </c>
      <c r="O410" t="str">
        <f t="shared" si="54"/>
        <v/>
      </c>
      <c r="P410" t="str">
        <f t="shared" si="55"/>
        <v/>
      </c>
      <c r="Q410" t="str">
        <f t="shared" si="56"/>
        <v/>
      </c>
      <c r="S410" t="str">
        <f>""</f>
        <v/>
      </c>
      <c r="AL410" s="18" t="str">
        <f>IF(COUNTIF($A$2:A409, A409) = 1, A409, "")</f>
        <v/>
      </c>
    </row>
    <row r="411" spans="6:38" x14ac:dyDescent="0.2">
      <c r="F411" t="str">
        <f t="shared" si="51"/>
        <v/>
      </c>
      <c r="L411" s="7" t="str">
        <f t="shared" si="52"/>
        <v/>
      </c>
      <c r="N411" s="7" t="str">
        <f t="shared" si="53"/>
        <v/>
      </c>
      <c r="O411" t="str">
        <f t="shared" si="54"/>
        <v/>
      </c>
      <c r="P411" t="str">
        <f t="shared" si="55"/>
        <v/>
      </c>
      <c r="Q411" t="str">
        <f t="shared" si="56"/>
        <v/>
      </c>
      <c r="S411" t="str">
        <f>""</f>
        <v/>
      </c>
      <c r="AL411" s="18" t="str">
        <f>IF(COUNTIF($A$2:A410, A410) = 1, A410, "")</f>
        <v/>
      </c>
    </row>
    <row r="412" spans="6:38" x14ac:dyDescent="0.2">
      <c r="F412" t="str">
        <f t="shared" si="51"/>
        <v/>
      </c>
      <c r="L412" s="7" t="str">
        <f t="shared" si="52"/>
        <v/>
      </c>
      <c r="N412" s="7" t="str">
        <f t="shared" si="53"/>
        <v/>
      </c>
      <c r="O412" t="str">
        <f t="shared" si="54"/>
        <v/>
      </c>
      <c r="P412" t="str">
        <f t="shared" si="55"/>
        <v/>
      </c>
      <c r="Q412" t="str">
        <f t="shared" si="56"/>
        <v/>
      </c>
      <c r="S412" t="str">
        <f>""</f>
        <v/>
      </c>
      <c r="AL412" s="18" t="str">
        <f>IF(COUNTIF($A$2:A411, A411) = 1, A411, "")</f>
        <v/>
      </c>
    </row>
    <row r="413" spans="6:38" x14ac:dyDescent="0.2">
      <c r="F413" t="str">
        <f t="shared" si="51"/>
        <v/>
      </c>
      <c r="L413" s="7" t="str">
        <f t="shared" si="52"/>
        <v/>
      </c>
      <c r="N413" s="7" t="str">
        <f t="shared" si="53"/>
        <v/>
      </c>
      <c r="O413" t="str">
        <f t="shared" si="54"/>
        <v/>
      </c>
      <c r="P413" t="str">
        <f t="shared" si="55"/>
        <v/>
      </c>
      <c r="Q413" t="str">
        <f t="shared" si="56"/>
        <v/>
      </c>
      <c r="S413" t="str">
        <f>""</f>
        <v/>
      </c>
      <c r="AL413" s="18" t="str">
        <f>IF(COUNTIF($A$2:A412, A412) = 1, A412, "")</f>
        <v/>
      </c>
    </row>
    <row r="414" spans="6:38" x14ac:dyDescent="0.2">
      <c r="F414" t="str">
        <f t="shared" si="51"/>
        <v/>
      </c>
      <c r="L414" s="7" t="str">
        <f t="shared" si="52"/>
        <v/>
      </c>
      <c r="N414" s="7" t="str">
        <f t="shared" si="53"/>
        <v/>
      </c>
      <c r="O414" t="str">
        <f t="shared" si="54"/>
        <v/>
      </c>
      <c r="P414" t="str">
        <f t="shared" si="55"/>
        <v/>
      </c>
      <c r="Q414" t="str">
        <f t="shared" si="56"/>
        <v/>
      </c>
      <c r="S414" t="str">
        <f>""</f>
        <v/>
      </c>
      <c r="AL414" s="18" t="str">
        <f>IF(COUNTIF($A$2:A413, A413) = 1, A413, "")</f>
        <v/>
      </c>
    </row>
    <row r="415" spans="6:38" x14ac:dyDescent="0.2">
      <c r="F415" t="str">
        <f t="shared" si="51"/>
        <v/>
      </c>
      <c r="L415" s="7" t="str">
        <f t="shared" si="52"/>
        <v/>
      </c>
      <c r="N415" s="7" t="str">
        <f t="shared" si="53"/>
        <v/>
      </c>
      <c r="O415" t="str">
        <f t="shared" si="54"/>
        <v/>
      </c>
      <c r="P415" t="str">
        <f t="shared" si="55"/>
        <v/>
      </c>
      <c r="Q415" t="str">
        <f t="shared" si="56"/>
        <v/>
      </c>
      <c r="S415" t="str">
        <f>""</f>
        <v/>
      </c>
      <c r="AL415" s="18" t="str">
        <f>IF(COUNTIF($A$2:A414, A414) = 1, A414, "")</f>
        <v/>
      </c>
    </row>
    <row r="416" spans="6:38" x14ac:dyDescent="0.2">
      <c r="F416" t="str">
        <f t="shared" si="51"/>
        <v/>
      </c>
      <c r="L416" s="7" t="str">
        <f t="shared" si="52"/>
        <v/>
      </c>
      <c r="N416" s="7" t="str">
        <f t="shared" si="53"/>
        <v/>
      </c>
      <c r="O416" t="str">
        <f t="shared" si="54"/>
        <v/>
      </c>
      <c r="P416" t="str">
        <f t="shared" si="55"/>
        <v/>
      </c>
      <c r="Q416" t="str">
        <f t="shared" si="56"/>
        <v/>
      </c>
      <c r="S416" t="str">
        <f>""</f>
        <v/>
      </c>
      <c r="AL416" s="18" t="str">
        <f>IF(COUNTIF($A$2:A415, A415) = 1, A415, "")</f>
        <v/>
      </c>
    </row>
    <row r="417" spans="6:38" x14ac:dyDescent="0.2">
      <c r="F417" t="str">
        <f t="shared" si="51"/>
        <v/>
      </c>
      <c r="L417" s="7" t="str">
        <f t="shared" si="52"/>
        <v/>
      </c>
      <c r="N417" s="7" t="str">
        <f t="shared" si="53"/>
        <v/>
      </c>
      <c r="O417" t="str">
        <f t="shared" si="54"/>
        <v/>
      </c>
      <c r="P417" t="str">
        <f t="shared" si="55"/>
        <v/>
      </c>
      <c r="Q417" t="str">
        <f t="shared" si="56"/>
        <v/>
      </c>
      <c r="S417" t="str">
        <f>""</f>
        <v/>
      </c>
      <c r="AL417" s="18" t="str">
        <f>IF(COUNTIF($A$2:A416, A416) = 1, A416, "")</f>
        <v/>
      </c>
    </row>
    <row r="418" spans="6:38" x14ac:dyDescent="0.2">
      <c r="F418" t="str">
        <f t="shared" si="51"/>
        <v/>
      </c>
      <c r="L418" s="7" t="str">
        <f t="shared" si="52"/>
        <v/>
      </c>
      <c r="N418" s="7" t="str">
        <f t="shared" si="53"/>
        <v/>
      </c>
      <c r="O418" t="str">
        <f t="shared" si="54"/>
        <v/>
      </c>
      <c r="P418" t="str">
        <f t="shared" si="55"/>
        <v/>
      </c>
      <c r="Q418" t="str">
        <f t="shared" si="56"/>
        <v/>
      </c>
      <c r="S418" t="str">
        <f>""</f>
        <v/>
      </c>
      <c r="AL418" s="18" t="str">
        <f>IF(COUNTIF($A$2:A417, A417) = 1, A417, "")</f>
        <v/>
      </c>
    </row>
    <row r="419" spans="6:38" x14ac:dyDescent="0.2">
      <c r="F419" t="str">
        <f t="shared" si="51"/>
        <v/>
      </c>
      <c r="L419" s="7" t="str">
        <f t="shared" si="52"/>
        <v/>
      </c>
      <c r="N419" s="7" t="str">
        <f t="shared" si="53"/>
        <v/>
      </c>
      <c r="O419" t="str">
        <f t="shared" si="54"/>
        <v/>
      </c>
      <c r="P419" t="str">
        <f t="shared" si="55"/>
        <v/>
      </c>
      <c r="Q419" t="str">
        <f t="shared" si="56"/>
        <v/>
      </c>
      <c r="S419" t="str">
        <f>""</f>
        <v/>
      </c>
      <c r="AL419" s="18" t="str">
        <f>IF(COUNTIF($A$2:A418, A418) = 1, A418, "")</f>
        <v/>
      </c>
    </row>
    <row r="420" spans="6:38" x14ac:dyDescent="0.2">
      <c r="F420" t="str">
        <f t="shared" si="51"/>
        <v/>
      </c>
      <c r="L420" s="7" t="str">
        <f t="shared" si="52"/>
        <v/>
      </c>
      <c r="N420" s="7" t="str">
        <f t="shared" si="53"/>
        <v/>
      </c>
      <c r="O420" t="str">
        <f t="shared" si="54"/>
        <v/>
      </c>
      <c r="P420" t="str">
        <f t="shared" si="55"/>
        <v/>
      </c>
      <c r="Q420" t="str">
        <f t="shared" si="56"/>
        <v/>
      </c>
      <c r="S420" t="str">
        <f>""</f>
        <v/>
      </c>
      <c r="AL420" s="18" t="str">
        <f>IF(COUNTIF($A$2:A419, A419) = 1, A419, "")</f>
        <v/>
      </c>
    </row>
    <row r="421" spans="6:38" x14ac:dyDescent="0.2">
      <c r="F421" t="str">
        <f t="shared" si="51"/>
        <v/>
      </c>
      <c r="L421" s="7" t="str">
        <f t="shared" si="52"/>
        <v/>
      </c>
      <c r="N421" s="7" t="str">
        <f t="shared" si="53"/>
        <v/>
      </c>
      <c r="O421" t="str">
        <f t="shared" si="54"/>
        <v/>
      </c>
      <c r="P421" t="str">
        <f t="shared" si="55"/>
        <v/>
      </c>
      <c r="Q421" t="str">
        <f t="shared" si="56"/>
        <v/>
      </c>
      <c r="S421" t="str">
        <f>""</f>
        <v/>
      </c>
      <c r="AL421" s="18" t="str">
        <f>IF(COUNTIF($A$2:A420, A420) = 1, A420, "")</f>
        <v/>
      </c>
    </row>
    <row r="422" spans="6:38" x14ac:dyDescent="0.2">
      <c r="F422" t="str">
        <f t="shared" si="51"/>
        <v/>
      </c>
      <c r="L422" s="7" t="str">
        <f t="shared" si="52"/>
        <v/>
      </c>
      <c r="N422" s="7" t="str">
        <f t="shared" si="53"/>
        <v/>
      </c>
      <c r="O422" t="str">
        <f t="shared" si="54"/>
        <v/>
      </c>
      <c r="P422" t="str">
        <f t="shared" si="55"/>
        <v/>
      </c>
      <c r="Q422" t="str">
        <f t="shared" si="56"/>
        <v/>
      </c>
      <c r="S422" t="str">
        <f>""</f>
        <v/>
      </c>
      <c r="AL422" s="18" t="str">
        <f>IF(COUNTIF($A$2:A421, A421) = 1, A421, "")</f>
        <v/>
      </c>
    </row>
    <row r="423" spans="6:38" x14ac:dyDescent="0.2">
      <c r="F423" t="str">
        <f t="shared" si="51"/>
        <v/>
      </c>
      <c r="L423" s="7" t="str">
        <f t="shared" si="52"/>
        <v/>
      </c>
      <c r="N423" s="7" t="str">
        <f t="shared" si="53"/>
        <v/>
      </c>
      <c r="O423" t="str">
        <f t="shared" si="54"/>
        <v/>
      </c>
      <c r="P423" t="str">
        <f t="shared" si="55"/>
        <v/>
      </c>
      <c r="Q423" t="str">
        <f t="shared" si="56"/>
        <v/>
      </c>
      <c r="S423" t="str">
        <f>""</f>
        <v/>
      </c>
      <c r="AL423" s="18" t="str">
        <f>IF(COUNTIF($A$2:A422, A422) = 1, A422, "")</f>
        <v/>
      </c>
    </row>
    <row r="424" spans="6:38" x14ac:dyDescent="0.2">
      <c r="F424" t="str">
        <f t="shared" si="51"/>
        <v/>
      </c>
      <c r="L424" s="7" t="str">
        <f t="shared" si="52"/>
        <v/>
      </c>
      <c r="N424" s="7" t="str">
        <f t="shared" si="53"/>
        <v/>
      </c>
      <c r="O424" t="str">
        <f t="shared" si="54"/>
        <v/>
      </c>
      <c r="P424" t="str">
        <f t="shared" si="55"/>
        <v/>
      </c>
      <c r="Q424" t="str">
        <f t="shared" si="56"/>
        <v/>
      </c>
      <c r="S424" t="str">
        <f>""</f>
        <v/>
      </c>
      <c r="AL424" s="18" t="str">
        <f>IF(COUNTIF($A$2:A423, A423) = 1, A423, "")</f>
        <v/>
      </c>
    </row>
    <row r="425" spans="6:38" x14ac:dyDescent="0.2">
      <c r="F425" t="str">
        <f t="shared" si="51"/>
        <v/>
      </c>
      <c r="L425" s="7" t="str">
        <f t="shared" si="52"/>
        <v/>
      </c>
      <c r="N425" s="7" t="str">
        <f t="shared" si="53"/>
        <v/>
      </c>
      <c r="O425" t="str">
        <f t="shared" si="54"/>
        <v/>
      </c>
      <c r="P425" t="str">
        <f t="shared" si="55"/>
        <v/>
      </c>
      <c r="Q425" t="str">
        <f t="shared" si="56"/>
        <v/>
      </c>
      <c r="S425" t="str">
        <f>""</f>
        <v/>
      </c>
      <c r="AL425" s="18" t="str">
        <f>IF(COUNTIF($A$2:A424, A424) = 1, A424, "")</f>
        <v/>
      </c>
    </row>
    <row r="426" spans="6:38" x14ac:dyDescent="0.2">
      <c r="F426" t="str">
        <f t="shared" si="51"/>
        <v/>
      </c>
      <c r="L426" s="7" t="str">
        <f t="shared" si="52"/>
        <v/>
      </c>
      <c r="N426" s="7" t="str">
        <f t="shared" si="53"/>
        <v/>
      </c>
      <c r="O426" t="str">
        <f t="shared" si="54"/>
        <v/>
      </c>
      <c r="P426" t="str">
        <f t="shared" si="55"/>
        <v/>
      </c>
      <c r="Q426" t="str">
        <f t="shared" si="56"/>
        <v/>
      </c>
      <c r="S426" t="str">
        <f>""</f>
        <v/>
      </c>
      <c r="AL426" s="18" t="str">
        <f>IF(COUNTIF($A$2:A425, A425) = 1, A425, "")</f>
        <v/>
      </c>
    </row>
    <row r="427" spans="6:38" x14ac:dyDescent="0.2">
      <c r="F427" t="str">
        <f t="shared" si="51"/>
        <v/>
      </c>
      <c r="L427" s="7" t="str">
        <f t="shared" si="52"/>
        <v/>
      </c>
      <c r="N427" s="7" t="str">
        <f t="shared" si="53"/>
        <v/>
      </c>
      <c r="O427" t="str">
        <f t="shared" si="54"/>
        <v/>
      </c>
      <c r="P427" t="str">
        <f t="shared" si="55"/>
        <v/>
      </c>
      <c r="Q427" t="str">
        <f t="shared" si="56"/>
        <v/>
      </c>
      <c r="S427" t="str">
        <f>""</f>
        <v/>
      </c>
      <c r="AL427" s="18" t="str">
        <f>IF(COUNTIF($A$2:A426, A426) = 1, A426, "")</f>
        <v/>
      </c>
    </row>
    <row r="428" spans="6:38" x14ac:dyDescent="0.2">
      <c r="F428" t="str">
        <f t="shared" si="51"/>
        <v/>
      </c>
      <c r="L428" s="7" t="str">
        <f t="shared" si="52"/>
        <v/>
      </c>
      <c r="N428" s="7" t="str">
        <f t="shared" si="53"/>
        <v/>
      </c>
      <c r="O428" t="str">
        <f t="shared" si="54"/>
        <v/>
      </c>
      <c r="P428" t="str">
        <f t="shared" si="55"/>
        <v/>
      </c>
      <c r="Q428" t="str">
        <f t="shared" si="56"/>
        <v/>
      </c>
      <c r="S428" t="str">
        <f>""</f>
        <v/>
      </c>
      <c r="AL428" s="18" t="str">
        <f>IF(COUNTIF($A$2:A427, A427) = 1, A427, "")</f>
        <v/>
      </c>
    </row>
    <row r="429" spans="6:38" x14ac:dyDescent="0.2">
      <c r="F429" t="str">
        <f t="shared" si="51"/>
        <v/>
      </c>
      <c r="L429" s="7" t="str">
        <f t="shared" si="52"/>
        <v/>
      </c>
      <c r="N429" s="7" t="str">
        <f t="shared" si="53"/>
        <v/>
      </c>
      <c r="O429" t="str">
        <f t="shared" si="54"/>
        <v/>
      </c>
      <c r="P429" t="str">
        <f t="shared" si="55"/>
        <v/>
      </c>
      <c r="Q429" t="str">
        <f t="shared" si="56"/>
        <v/>
      </c>
      <c r="S429" t="str">
        <f>""</f>
        <v/>
      </c>
      <c r="AL429" s="18" t="str">
        <f>IF(COUNTIF($A$2:A428, A428) = 1, A428, "")</f>
        <v/>
      </c>
    </row>
    <row r="430" spans="6:38" x14ac:dyDescent="0.2">
      <c r="F430" t="str">
        <f t="shared" si="51"/>
        <v/>
      </c>
      <c r="L430" s="7" t="str">
        <f t="shared" si="52"/>
        <v/>
      </c>
      <c r="N430" s="7" t="str">
        <f t="shared" si="53"/>
        <v/>
      </c>
      <c r="O430" t="str">
        <f t="shared" si="54"/>
        <v/>
      </c>
      <c r="P430" t="str">
        <f t="shared" si="55"/>
        <v/>
      </c>
      <c r="Q430" t="str">
        <f t="shared" si="56"/>
        <v/>
      </c>
      <c r="S430" t="str">
        <f>""</f>
        <v/>
      </c>
      <c r="AL430" s="18" t="str">
        <f>IF(COUNTIF($A$2:A429, A429) = 1, A429, "")</f>
        <v/>
      </c>
    </row>
    <row r="431" spans="6:38" x14ac:dyDescent="0.2">
      <c r="F431" t="str">
        <f t="shared" si="51"/>
        <v/>
      </c>
      <c r="L431" s="7" t="str">
        <f t="shared" si="52"/>
        <v/>
      </c>
      <c r="N431" s="7" t="str">
        <f t="shared" si="53"/>
        <v/>
      </c>
      <c r="O431" t="str">
        <f t="shared" si="54"/>
        <v/>
      </c>
      <c r="P431" t="str">
        <f t="shared" si="55"/>
        <v/>
      </c>
      <c r="Q431" t="str">
        <f t="shared" si="56"/>
        <v/>
      </c>
      <c r="S431" t="str">
        <f>""</f>
        <v/>
      </c>
      <c r="AL431" s="18" t="str">
        <f>IF(COUNTIF($A$2:A430, A430) = 1, A430, "")</f>
        <v/>
      </c>
    </row>
    <row r="432" spans="6:38" x14ac:dyDescent="0.2">
      <c r="F432" t="str">
        <f t="shared" si="51"/>
        <v/>
      </c>
      <c r="L432" s="7" t="str">
        <f t="shared" si="52"/>
        <v/>
      </c>
      <c r="N432" s="7" t="str">
        <f t="shared" si="53"/>
        <v/>
      </c>
      <c r="O432" t="str">
        <f t="shared" si="54"/>
        <v/>
      </c>
      <c r="P432" t="str">
        <f t="shared" si="55"/>
        <v/>
      </c>
      <c r="Q432" t="str">
        <f t="shared" si="56"/>
        <v/>
      </c>
      <c r="S432" t="str">
        <f>""</f>
        <v/>
      </c>
      <c r="AL432" s="18" t="str">
        <f>IF(COUNTIF($A$2:A431, A431) = 1, A431, "")</f>
        <v/>
      </c>
    </row>
    <row r="433" spans="6:38" x14ac:dyDescent="0.2">
      <c r="F433" t="str">
        <f t="shared" si="51"/>
        <v/>
      </c>
      <c r="L433" s="7" t="str">
        <f t="shared" si="52"/>
        <v/>
      </c>
      <c r="N433" s="7" t="str">
        <f t="shared" si="53"/>
        <v/>
      </c>
      <c r="O433" t="str">
        <f t="shared" si="54"/>
        <v/>
      </c>
      <c r="P433" t="str">
        <f t="shared" si="55"/>
        <v/>
      </c>
      <c r="Q433" t="str">
        <f t="shared" si="56"/>
        <v/>
      </c>
      <c r="S433" t="str">
        <f>""</f>
        <v/>
      </c>
      <c r="AL433" s="18" t="str">
        <f>IF(COUNTIF($A$2:A432, A432) = 1, A432, "")</f>
        <v/>
      </c>
    </row>
    <row r="434" spans="6:38" x14ac:dyDescent="0.2">
      <c r="F434" t="str">
        <f t="shared" si="51"/>
        <v/>
      </c>
      <c r="L434" s="7" t="str">
        <f t="shared" si="52"/>
        <v/>
      </c>
      <c r="N434" s="7" t="str">
        <f t="shared" si="53"/>
        <v/>
      </c>
      <c r="O434" t="str">
        <f t="shared" si="54"/>
        <v/>
      </c>
      <c r="P434" t="str">
        <f t="shared" si="55"/>
        <v/>
      </c>
      <c r="Q434" t="str">
        <f t="shared" si="56"/>
        <v/>
      </c>
      <c r="S434" t="str">
        <f>""</f>
        <v/>
      </c>
      <c r="AL434" s="18" t="str">
        <f>IF(COUNTIF($A$2:A433, A433) = 1, A433, "")</f>
        <v/>
      </c>
    </row>
    <row r="435" spans="6:38" x14ac:dyDescent="0.2">
      <c r="F435" t="str">
        <f t="shared" si="51"/>
        <v/>
      </c>
      <c r="L435" s="7" t="str">
        <f t="shared" si="52"/>
        <v/>
      </c>
      <c r="N435" s="7" t="str">
        <f t="shared" si="53"/>
        <v/>
      </c>
      <c r="O435" t="str">
        <f t="shared" si="54"/>
        <v/>
      </c>
      <c r="P435" t="str">
        <f t="shared" si="55"/>
        <v/>
      </c>
      <c r="Q435" t="str">
        <f t="shared" si="56"/>
        <v/>
      </c>
      <c r="S435" t="str">
        <f>""</f>
        <v/>
      </c>
      <c r="AL435" s="18" t="str">
        <f>IF(COUNTIF($A$2:A434, A434) = 1, A434, "")</f>
        <v/>
      </c>
    </row>
    <row r="436" spans="6:38" x14ac:dyDescent="0.2">
      <c r="F436" t="str">
        <f t="shared" si="51"/>
        <v/>
      </c>
      <c r="L436" s="7" t="str">
        <f t="shared" si="52"/>
        <v/>
      </c>
      <c r="N436" s="7" t="str">
        <f t="shared" si="53"/>
        <v/>
      </c>
      <c r="O436" t="str">
        <f t="shared" si="54"/>
        <v/>
      </c>
      <c r="P436" t="str">
        <f t="shared" si="55"/>
        <v/>
      </c>
      <c r="Q436" t="str">
        <f t="shared" si="56"/>
        <v/>
      </c>
      <c r="S436" t="str">
        <f>""</f>
        <v/>
      </c>
      <c r="AL436" s="18" t="str">
        <f>IF(COUNTIF($A$2:A435, A435) = 1, A435, "")</f>
        <v/>
      </c>
    </row>
    <row r="437" spans="6:38" x14ac:dyDescent="0.2">
      <c r="F437" t="str">
        <f t="shared" si="51"/>
        <v/>
      </c>
      <c r="L437" s="7" t="str">
        <f t="shared" si="52"/>
        <v/>
      </c>
      <c r="N437" s="7" t="str">
        <f t="shared" si="53"/>
        <v/>
      </c>
      <c r="O437" t="str">
        <f t="shared" si="54"/>
        <v/>
      </c>
      <c r="P437" t="str">
        <f t="shared" si="55"/>
        <v/>
      </c>
      <c r="Q437" t="str">
        <f t="shared" si="56"/>
        <v/>
      </c>
      <c r="S437" t="str">
        <f>""</f>
        <v/>
      </c>
      <c r="AL437" s="18" t="str">
        <f>IF(COUNTIF($A$2:A436, A436) = 1, A436, "")</f>
        <v/>
      </c>
    </row>
    <row r="438" spans="6:38" x14ac:dyDescent="0.2">
      <c r="F438" t="str">
        <f t="shared" si="51"/>
        <v/>
      </c>
      <c r="L438" s="7" t="str">
        <f t="shared" si="52"/>
        <v/>
      </c>
      <c r="N438" s="7" t="str">
        <f t="shared" si="53"/>
        <v/>
      </c>
      <c r="O438" t="str">
        <f t="shared" si="54"/>
        <v/>
      </c>
      <c r="P438" t="str">
        <f t="shared" si="55"/>
        <v/>
      </c>
      <c r="Q438" t="str">
        <f t="shared" si="56"/>
        <v/>
      </c>
      <c r="S438" t="str">
        <f>""</f>
        <v/>
      </c>
      <c r="AL438" s="18" t="str">
        <f>IF(COUNTIF($A$2:A437, A437) = 1, A437, "")</f>
        <v/>
      </c>
    </row>
    <row r="439" spans="6:38" x14ac:dyDescent="0.2">
      <c r="F439" t="str">
        <f t="shared" si="51"/>
        <v/>
      </c>
      <c r="L439" s="7" t="str">
        <f t="shared" si="52"/>
        <v/>
      </c>
      <c r="N439" s="7" t="str">
        <f t="shared" si="53"/>
        <v/>
      </c>
      <c r="O439" t="str">
        <f t="shared" si="54"/>
        <v/>
      </c>
      <c r="P439" t="str">
        <f t="shared" si="55"/>
        <v/>
      </c>
      <c r="Q439" t="str">
        <f t="shared" si="56"/>
        <v/>
      </c>
      <c r="S439" t="str">
        <f>""</f>
        <v/>
      </c>
      <c r="AL439" s="18" t="str">
        <f>IF(COUNTIF($A$2:A438, A438) = 1, A438, "")</f>
        <v/>
      </c>
    </row>
    <row r="440" spans="6:38" x14ac:dyDescent="0.2">
      <c r="F440" t="str">
        <f t="shared" si="51"/>
        <v/>
      </c>
      <c r="L440" s="7" t="str">
        <f t="shared" si="52"/>
        <v/>
      </c>
      <c r="N440" s="7" t="str">
        <f t="shared" si="53"/>
        <v/>
      </c>
      <c r="O440" t="str">
        <f t="shared" si="54"/>
        <v/>
      </c>
      <c r="P440" t="str">
        <f t="shared" si="55"/>
        <v/>
      </c>
      <c r="Q440" t="str">
        <f t="shared" si="56"/>
        <v/>
      </c>
      <c r="S440" t="str">
        <f>""</f>
        <v/>
      </c>
      <c r="AL440" s="18" t="str">
        <f>IF(COUNTIF($A$2:A439, A439) = 1, A439, "")</f>
        <v/>
      </c>
    </row>
    <row r="441" spans="6:38" x14ac:dyDescent="0.2">
      <c r="F441" t="str">
        <f t="shared" si="51"/>
        <v/>
      </c>
      <c r="L441" s="7" t="str">
        <f t="shared" si="52"/>
        <v/>
      </c>
      <c r="N441" s="7" t="str">
        <f t="shared" si="53"/>
        <v/>
      </c>
      <c r="O441" t="str">
        <f t="shared" si="54"/>
        <v/>
      </c>
      <c r="P441" t="str">
        <f t="shared" si="55"/>
        <v/>
      </c>
      <c r="Q441" t="str">
        <f t="shared" si="56"/>
        <v/>
      </c>
      <c r="S441" t="str">
        <f>""</f>
        <v/>
      </c>
      <c r="AL441" s="18" t="str">
        <f>IF(COUNTIF($A$2:A440, A440) = 1, A440, "")</f>
        <v/>
      </c>
    </row>
    <row r="442" spans="6:38" x14ac:dyDescent="0.2">
      <c r="F442" t="str">
        <f t="shared" si="51"/>
        <v/>
      </c>
      <c r="L442" s="7" t="str">
        <f t="shared" si="52"/>
        <v/>
      </c>
      <c r="N442" s="7" t="str">
        <f t="shared" si="53"/>
        <v/>
      </c>
      <c r="O442" t="str">
        <f t="shared" si="54"/>
        <v/>
      </c>
      <c r="P442" t="str">
        <f t="shared" si="55"/>
        <v/>
      </c>
      <c r="Q442" t="str">
        <f t="shared" si="56"/>
        <v/>
      </c>
      <c r="S442" t="str">
        <f>""</f>
        <v/>
      </c>
      <c r="AL442" s="18" t="str">
        <f>IF(COUNTIF($A$2:A441, A441) = 1, A441, "")</f>
        <v/>
      </c>
    </row>
    <row r="443" spans="6:38" x14ac:dyDescent="0.2">
      <c r="F443" t="str">
        <f t="shared" si="51"/>
        <v/>
      </c>
      <c r="L443" s="7" t="str">
        <f t="shared" si="52"/>
        <v/>
      </c>
      <c r="N443" s="7" t="str">
        <f t="shared" si="53"/>
        <v/>
      </c>
      <c r="O443" t="str">
        <f t="shared" si="54"/>
        <v/>
      </c>
      <c r="P443" t="str">
        <f t="shared" si="55"/>
        <v/>
      </c>
      <c r="Q443" t="str">
        <f t="shared" si="56"/>
        <v/>
      </c>
      <c r="S443" t="str">
        <f>""</f>
        <v/>
      </c>
      <c r="AL443" s="18" t="str">
        <f>IF(COUNTIF($A$2:A442, A442) = 1, A442, "")</f>
        <v/>
      </c>
    </row>
    <row r="444" spans="6:38" x14ac:dyDescent="0.2">
      <c r="F444" t="str">
        <f t="shared" si="51"/>
        <v/>
      </c>
      <c r="L444" s="7" t="str">
        <f t="shared" si="52"/>
        <v/>
      </c>
      <c r="N444" s="7" t="str">
        <f t="shared" si="53"/>
        <v/>
      </c>
      <c r="O444" t="str">
        <f t="shared" si="54"/>
        <v/>
      </c>
      <c r="P444" t="str">
        <f t="shared" si="55"/>
        <v/>
      </c>
      <c r="Q444" t="str">
        <f t="shared" si="56"/>
        <v/>
      </c>
      <c r="S444" t="str">
        <f>""</f>
        <v/>
      </c>
      <c r="AL444" s="18" t="str">
        <f>IF(COUNTIF($A$2:A443, A443) = 1, A443, "")</f>
        <v/>
      </c>
    </row>
    <row r="445" spans="6:38" x14ac:dyDescent="0.2">
      <c r="F445" t="str">
        <f t="shared" si="51"/>
        <v/>
      </c>
      <c r="L445" s="7" t="str">
        <f t="shared" si="52"/>
        <v/>
      </c>
      <c r="N445" s="7" t="str">
        <f t="shared" si="53"/>
        <v/>
      </c>
      <c r="O445" t="str">
        <f t="shared" si="54"/>
        <v/>
      </c>
      <c r="P445" t="str">
        <f t="shared" si="55"/>
        <v/>
      </c>
      <c r="Q445" t="str">
        <f t="shared" si="56"/>
        <v/>
      </c>
      <c r="S445" t="str">
        <f>""</f>
        <v/>
      </c>
      <c r="AL445" s="18" t="str">
        <f>IF(COUNTIF($A$2:A444, A444) = 1, A444, "")</f>
        <v/>
      </c>
    </row>
    <row r="446" spans="6:38" x14ac:dyDescent="0.2">
      <c r="F446" t="str">
        <f t="shared" si="51"/>
        <v/>
      </c>
      <c r="L446" s="7" t="str">
        <f t="shared" si="52"/>
        <v/>
      </c>
      <c r="N446" s="7" t="str">
        <f t="shared" si="53"/>
        <v/>
      </c>
      <c r="O446" t="str">
        <f t="shared" si="54"/>
        <v/>
      </c>
      <c r="P446" t="str">
        <f t="shared" si="55"/>
        <v/>
      </c>
      <c r="Q446" t="str">
        <f t="shared" si="56"/>
        <v/>
      </c>
      <c r="S446" t="str">
        <f>""</f>
        <v/>
      </c>
      <c r="AL446" s="18" t="str">
        <f>IF(COUNTIF($A$2:A445, A445) = 1, A445, "")</f>
        <v/>
      </c>
    </row>
    <row r="447" spans="6:38" x14ac:dyDescent="0.2">
      <c r="F447" t="str">
        <f t="shared" si="51"/>
        <v/>
      </c>
      <c r="L447" s="7" t="str">
        <f t="shared" si="52"/>
        <v/>
      </c>
      <c r="N447" s="7" t="str">
        <f t="shared" si="53"/>
        <v/>
      </c>
      <c r="O447" t="str">
        <f t="shared" si="54"/>
        <v/>
      </c>
      <c r="P447" t="str">
        <f t="shared" si="55"/>
        <v/>
      </c>
      <c r="Q447" t="str">
        <f t="shared" si="56"/>
        <v/>
      </c>
      <c r="S447" t="str">
        <f>""</f>
        <v/>
      </c>
      <c r="AL447" s="18" t="str">
        <f>IF(COUNTIF($A$2:A446, A446) = 1, A446, "")</f>
        <v/>
      </c>
    </row>
    <row r="448" spans="6:38" x14ac:dyDescent="0.2">
      <c r="F448" t="str">
        <f t="shared" si="51"/>
        <v/>
      </c>
      <c r="L448" s="7" t="str">
        <f t="shared" si="52"/>
        <v/>
      </c>
      <c r="N448" s="7" t="str">
        <f t="shared" si="53"/>
        <v/>
      </c>
      <c r="O448" t="str">
        <f t="shared" si="54"/>
        <v/>
      </c>
      <c r="P448" t="str">
        <f t="shared" si="55"/>
        <v/>
      </c>
      <c r="Q448" t="str">
        <f t="shared" si="56"/>
        <v/>
      </c>
      <c r="S448" t="str">
        <f>""</f>
        <v/>
      </c>
      <c r="AL448" s="18" t="str">
        <f>IF(COUNTIF($A$2:A447, A447) = 1, A447, "")</f>
        <v/>
      </c>
    </row>
    <row r="449" spans="6:38" x14ac:dyDescent="0.2">
      <c r="F449" t="str">
        <f t="shared" si="51"/>
        <v/>
      </c>
      <c r="L449" s="7" t="str">
        <f t="shared" si="52"/>
        <v/>
      </c>
      <c r="N449" s="7" t="str">
        <f t="shared" si="53"/>
        <v/>
      </c>
      <c r="O449" t="str">
        <f t="shared" si="54"/>
        <v/>
      </c>
      <c r="P449" t="str">
        <f t="shared" si="55"/>
        <v/>
      </c>
      <c r="Q449" t="str">
        <f t="shared" si="56"/>
        <v/>
      </c>
      <c r="S449" t="str">
        <f>""</f>
        <v/>
      </c>
      <c r="AL449" s="18" t="str">
        <f>IF(COUNTIF($A$2:A448, A448) = 1, A448, "")</f>
        <v/>
      </c>
    </row>
    <row r="450" spans="6:38" x14ac:dyDescent="0.2">
      <c r="F450" t="str">
        <f t="shared" si="51"/>
        <v/>
      </c>
      <c r="L450" s="7" t="str">
        <f t="shared" si="52"/>
        <v/>
      </c>
      <c r="N450" s="7" t="str">
        <f t="shared" si="53"/>
        <v/>
      </c>
      <c r="O450" t="str">
        <f t="shared" si="54"/>
        <v/>
      </c>
      <c r="P450" t="str">
        <f t="shared" si="55"/>
        <v/>
      </c>
      <c r="Q450" t="str">
        <f t="shared" si="56"/>
        <v/>
      </c>
      <c r="S450" t="str">
        <f>""</f>
        <v/>
      </c>
      <c r="AL450" s="18" t="str">
        <f>IF(COUNTIF($A$2:A449, A449) = 1, A449, "")</f>
        <v/>
      </c>
    </row>
    <row r="451" spans="6:38" x14ac:dyDescent="0.2">
      <c r="F451" t="str">
        <f t="shared" si="51"/>
        <v/>
      </c>
      <c r="L451" s="7" t="str">
        <f t="shared" si="52"/>
        <v/>
      </c>
      <c r="N451" s="7" t="str">
        <f t="shared" si="53"/>
        <v/>
      </c>
      <c r="O451" t="str">
        <f t="shared" si="54"/>
        <v/>
      </c>
      <c r="P451" t="str">
        <f t="shared" si="55"/>
        <v/>
      </c>
      <c r="Q451" t="str">
        <f t="shared" si="56"/>
        <v/>
      </c>
      <c r="S451" t="str">
        <f>""</f>
        <v/>
      </c>
      <c r="AL451" s="18" t="str">
        <f>IF(COUNTIF($A$2:A450, A450) = 1, A450, "")</f>
        <v/>
      </c>
    </row>
    <row r="452" spans="6:38" x14ac:dyDescent="0.2">
      <c r="F452" t="str">
        <f t="shared" si="51"/>
        <v/>
      </c>
      <c r="L452" s="7" t="str">
        <f t="shared" si="52"/>
        <v/>
      </c>
      <c r="N452" s="7" t="str">
        <f t="shared" si="53"/>
        <v/>
      </c>
      <c r="O452" t="str">
        <f t="shared" si="54"/>
        <v/>
      </c>
      <c r="P452" t="str">
        <f t="shared" si="55"/>
        <v/>
      </c>
      <c r="Q452" t="str">
        <f t="shared" si="56"/>
        <v/>
      </c>
      <c r="S452" t="str">
        <f>""</f>
        <v/>
      </c>
      <c r="AL452" s="18" t="str">
        <f>IF(COUNTIF($A$2:A451, A451) = 1, A451, "")</f>
        <v/>
      </c>
    </row>
    <row r="453" spans="6:38" x14ac:dyDescent="0.2">
      <c r="F453" t="str">
        <f t="shared" si="51"/>
        <v/>
      </c>
      <c r="L453" s="7" t="str">
        <f t="shared" si="52"/>
        <v/>
      </c>
      <c r="N453" s="7" t="str">
        <f t="shared" si="53"/>
        <v/>
      </c>
      <c r="O453" t="str">
        <f t="shared" si="54"/>
        <v/>
      </c>
      <c r="P453" t="str">
        <f t="shared" si="55"/>
        <v/>
      </c>
      <c r="Q453" t="str">
        <f t="shared" si="56"/>
        <v/>
      </c>
      <c r="S453" t="str">
        <f>""</f>
        <v/>
      </c>
      <c r="AL453" s="18" t="str">
        <f>IF(COUNTIF($A$2:A452, A452) = 1, A452, "")</f>
        <v/>
      </c>
    </row>
    <row r="454" spans="6:38" x14ac:dyDescent="0.2">
      <c r="F454" t="str">
        <f t="shared" si="51"/>
        <v/>
      </c>
      <c r="L454" s="7" t="str">
        <f t="shared" si="52"/>
        <v/>
      </c>
      <c r="N454" s="7" t="str">
        <f t="shared" si="53"/>
        <v/>
      </c>
      <c r="O454" t="str">
        <f t="shared" si="54"/>
        <v/>
      </c>
      <c r="P454" t="str">
        <f t="shared" si="55"/>
        <v/>
      </c>
      <c r="Q454" t="str">
        <f t="shared" si="56"/>
        <v/>
      </c>
      <c r="S454" t="str">
        <f>""</f>
        <v/>
      </c>
      <c r="AL454" s="18" t="str">
        <f>IF(COUNTIF($A$2:A453, A453) = 1, A453, "")</f>
        <v/>
      </c>
    </row>
    <row r="455" spans="6:38" x14ac:dyDescent="0.2">
      <c r="F455" t="str">
        <f t="shared" si="51"/>
        <v/>
      </c>
      <c r="L455" s="7" t="str">
        <f t="shared" si="52"/>
        <v/>
      </c>
      <c r="N455" s="7" t="str">
        <f t="shared" si="53"/>
        <v/>
      </c>
      <c r="O455" t="str">
        <f t="shared" si="54"/>
        <v/>
      </c>
      <c r="P455" t="str">
        <f t="shared" si="55"/>
        <v/>
      </c>
      <c r="Q455" t="str">
        <f t="shared" si="56"/>
        <v/>
      </c>
      <c r="S455" t="str">
        <f>""</f>
        <v/>
      </c>
      <c r="AL455" s="18" t="str">
        <f>IF(COUNTIF($A$2:A454, A454) = 1, A454, "")</f>
        <v/>
      </c>
    </row>
    <row r="456" spans="6:38" x14ac:dyDescent="0.2">
      <c r="F456" t="str">
        <f t="shared" si="51"/>
        <v/>
      </c>
      <c r="L456" s="7" t="str">
        <f t="shared" si="52"/>
        <v/>
      </c>
      <c r="N456" s="7" t="str">
        <f t="shared" si="53"/>
        <v/>
      </c>
      <c r="O456" t="str">
        <f t="shared" si="54"/>
        <v/>
      </c>
      <c r="P456" t="str">
        <f t="shared" si="55"/>
        <v/>
      </c>
      <c r="Q456" t="str">
        <f t="shared" si="56"/>
        <v/>
      </c>
      <c r="S456" t="str">
        <f>""</f>
        <v/>
      </c>
      <c r="AL456" s="18" t="str">
        <f>IF(COUNTIF($A$2:A455, A455) = 1, A455, "")</f>
        <v/>
      </c>
    </row>
    <row r="457" spans="6:38" x14ac:dyDescent="0.2">
      <c r="F457" t="str">
        <f t="shared" si="51"/>
        <v/>
      </c>
      <c r="L457" s="7" t="str">
        <f t="shared" si="52"/>
        <v/>
      </c>
      <c r="N457" s="7" t="str">
        <f t="shared" si="53"/>
        <v/>
      </c>
      <c r="O457" t="str">
        <f t="shared" si="54"/>
        <v/>
      </c>
      <c r="P457" t="str">
        <f t="shared" si="55"/>
        <v/>
      </c>
      <c r="Q457" t="str">
        <f t="shared" si="56"/>
        <v/>
      </c>
      <c r="S457" t="str">
        <f>""</f>
        <v/>
      </c>
      <c r="AL457" s="18" t="str">
        <f>IF(COUNTIF($A$2:A456, A456) = 1, A456, "")</f>
        <v/>
      </c>
    </row>
    <row r="458" spans="6:38" x14ac:dyDescent="0.2">
      <c r="F458" t="str">
        <f t="shared" si="51"/>
        <v/>
      </c>
      <c r="L458" s="7" t="str">
        <f t="shared" si="52"/>
        <v/>
      </c>
      <c r="N458" s="7" t="str">
        <f t="shared" si="53"/>
        <v/>
      </c>
      <c r="O458" t="str">
        <f t="shared" si="54"/>
        <v/>
      </c>
      <c r="P458" t="str">
        <f t="shared" si="55"/>
        <v/>
      </c>
      <c r="Q458" t="str">
        <f t="shared" si="56"/>
        <v/>
      </c>
      <c r="S458" t="str">
        <f>""</f>
        <v/>
      </c>
      <c r="AL458" s="18" t="str">
        <f>IF(COUNTIF($A$2:A457, A457) = 1, A457, "")</f>
        <v/>
      </c>
    </row>
    <row r="459" spans="6:38" x14ac:dyDescent="0.2">
      <c r="F459" t="str">
        <f t="shared" si="51"/>
        <v/>
      </c>
      <c r="L459" s="7" t="str">
        <f t="shared" si="52"/>
        <v/>
      </c>
      <c r="N459" s="7" t="str">
        <f t="shared" si="53"/>
        <v/>
      </c>
      <c r="O459" t="str">
        <f t="shared" si="54"/>
        <v/>
      </c>
      <c r="P459" t="str">
        <f t="shared" si="55"/>
        <v/>
      </c>
      <c r="Q459" t="str">
        <f t="shared" si="56"/>
        <v/>
      </c>
      <c r="S459" t="str">
        <f>""</f>
        <v/>
      </c>
      <c r="AL459" s="18" t="str">
        <f>IF(COUNTIF($A$2:A458, A458) = 1, A458, "")</f>
        <v/>
      </c>
    </row>
    <row r="460" spans="6:38" x14ac:dyDescent="0.2">
      <c r="F460" t="str">
        <f t="shared" si="51"/>
        <v/>
      </c>
      <c r="L460" s="7" t="str">
        <f t="shared" si="52"/>
        <v/>
      </c>
      <c r="N460" s="7" t="str">
        <f t="shared" si="53"/>
        <v/>
      </c>
      <c r="O460" t="str">
        <f t="shared" si="54"/>
        <v/>
      </c>
      <c r="P460" t="str">
        <f t="shared" si="55"/>
        <v/>
      </c>
      <c r="Q460" t="str">
        <f t="shared" si="56"/>
        <v/>
      </c>
      <c r="S460" t="str">
        <f>""</f>
        <v/>
      </c>
      <c r="AL460" s="18" t="str">
        <f>IF(COUNTIF($A$2:A459, A459) = 1, A459, "")</f>
        <v/>
      </c>
    </row>
    <row r="461" spans="6:38" x14ac:dyDescent="0.2">
      <c r="F461" t="str">
        <f t="shared" si="51"/>
        <v/>
      </c>
      <c r="L461" s="7" t="str">
        <f t="shared" si="52"/>
        <v/>
      </c>
      <c r="N461" s="7" t="str">
        <f t="shared" si="53"/>
        <v/>
      </c>
      <c r="O461" t="str">
        <f t="shared" si="54"/>
        <v/>
      </c>
      <c r="P461" t="str">
        <f t="shared" si="55"/>
        <v/>
      </c>
      <c r="Q461" t="str">
        <f t="shared" si="56"/>
        <v/>
      </c>
      <c r="S461" t="str">
        <f>""</f>
        <v/>
      </c>
      <c r="AL461" s="18" t="str">
        <f>IF(COUNTIF($A$2:A460, A460) = 1, A460, "")</f>
        <v/>
      </c>
    </row>
    <row r="462" spans="6:38" x14ac:dyDescent="0.2">
      <c r="F462" t="str">
        <f t="shared" si="51"/>
        <v/>
      </c>
      <c r="L462" s="7" t="str">
        <f t="shared" si="52"/>
        <v/>
      </c>
      <c r="N462" s="7" t="str">
        <f t="shared" si="53"/>
        <v/>
      </c>
      <c r="O462" t="str">
        <f t="shared" si="54"/>
        <v/>
      </c>
      <c r="P462" t="str">
        <f t="shared" si="55"/>
        <v/>
      </c>
      <c r="Q462" t="str">
        <f t="shared" si="56"/>
        <v/>
      </c>
      <c r="S462" t="str">
        <f>""</f>
        <v/>
      </c>
      <c r="AL462" s="18" t="str">
        <f>IF(COUNTIF($A$2:A461, A461) = 1, A461, "")</f>
        <v/>
      </c>
    </row>
    <row r="463" spans="6:38" x14ac:dyDescent="0.2">
      <c r="F463" t="str">
        <f t="shared" si="51"/>
        <v/>
      </c>
      <c r="L463" s="7" t="str">
        <f t="shared" si="52"/>
        <v/>
      </c>
      <c r="N463" s="7" t="str">
        <f t="shared" si="53"/>
        <v/>
      </c>
      <c r="O463" t="str">
        <f t="shared" si="54"/>
        <v/>
      </c>
      <c r="P463" t="str">
        <f t="shared" si="55"/>
        <v/>
      </c>
      <c r="Q463" t="str">
        <f t="shared" si="56"/>
        <v/>
      </c>
      <c r="S463" t="str">
        <f>""</f>
        <v/>
      </c>
      <c r="AL463" s="18" t="str">
        <f>IF(COUNTIF($A$2:A462, A462) = 1, A462, "")</f>
        <v/>
      </c>
    </row>
    <row r="464" spans="6:38" x14ac:dyDescent="0.2">
      <c r="F464" t="str">
        <f t="shared" ref="F464:F506" si="57">IF(OR(O464="", P464=""), "", SUM(IF((O464&lt;&gt;"None")*(O464&lt;&gt;""),LEN(O464)-LEN(SUBSTITUTE(O464,",",""))+1,0)) + SUM(IF((P464&lt;&gt;"None")*(P464&lt;&gt;""),LEN(P464)-LEN(SUBSTITUTE(P464,",",""))+1,0)))</f>
        <v/>
      </c>
      <c r="L464" s="7" t="str">
        <f t="shared" ref="L464:L506" si="58">IF(LEN(E464)=0, "", IFERROR(IF(E464&gt;=0, K464 * (1 + E464/100) - K464, K464 / (ABS(E464)/100))+K464, ""))</f>
        <v/>
      </c>
      <c r="N464" s="7" t="str">
        <f t="shared" ref="N464:N506" si="59">IF(M464="Yes",L464-K464,IF(M464="No",-K464,""))</f>
        <v/>
      </c>
      <c r="O464" t="str">
        <f t="shared" ref="O464:O506" si="60">IF(AND(G464="No",H464="No"), "None", "")</f>
        <v/>
      </c>
      <c r="P464" t="str">
        <f t="shared" ref="P464:P506" si="61">IF(I464="No", "None", "")</f>
        <v/>
      </c>
      <c r="Q464" t="str">
        <f t="shared" ref="Q464:Q506" si="62">IF(AND(D464="Straight", M464 = "No"),IF(O464="None",P464,IF(P464="None",O464) ),"")</f>
        <v/>
      </c>
      <c r="S464" t="str">
        <f>""</f>
        <v/>
      </c>
      <c r="AL464" s="18" t="str">
        <f>IF(COUNTIF($A$2:A463, A463) = 1, A463, "")</f>
        <v/>
      </c>
    </row>
    <row r="465" spans="6:38" x14ac:dyDescent="0.2">
      <c r="F465" t="str">
        <f t="shared" si="57"/>
        <v/>
      </c>
      <c r="L465" s="7" t="str">
        <f t="shared" si="58"/>
        <v/>
      </c>
      <c r="N465" s="7" t="str">
        <f t="shared" si="59"/>
        <v/>
      </c>
      <c r="O465" t="str">
        <f t="shared" si="60"/>
        <v/>
      </c>
      <c r="P465" t="str">
        <f t="shared" si="61"/>
        <v/>
      </c>
      <c r="Q465" t="str">
        <f t="shared" si="62"/>
        <v/>
      </c>
      <c r="S465" t="str">
        <f>""</f>
        <v/>
      </c>
      <c r="AL465" s="18" t="str">
        <f>IF(COUNTIF($A$2:A464, A464) = 1, A464, "")</f>
        <v/>
      </c>
    </row>
    <row r="466" spans="6:38" x14ac:dyDescent="0.2">
      <c r="F466" t="str">
        <f t="shared" si="57"/>
        <v/>
      </c>
      <c r="L466" s="7" t="str">
        <f t="shared" si="58"/>
        <v/>
      </c>
      <c r="N466" s="7" t="str">
        <f t="shared" si="59"/>
        <v/>
      </c>
      <c r="O466" t="str">
        <f t="shared" si="60"/>
        <v/>
      </c>
      <c r="P466" t="str">
        <f t="shared" si="61"/>
        <v/>
      </c>
      <c r="Q466" t="str">
        <f t="shared" si="62"/>
        <v/>
      </c>
      <c r="S466" t="str">
        <f>""</f>
        <v/>
      </c>
      <c r="AL466" s="18" t="str">
        <f>IF(COUNTIF($A$2:A465, A465) = 1, A465, "")</f>
        <v/>
      </c>
    </row>
    <row r="467" spans="6:38" x14ac:dyDescent="0.2">
      <c r="F467" t="str">
        <f t="shared" si="57"/>
        <v/>
      </c>
      <c r="L467" s="7" t="str">
        <f t="shared" si="58"/>
        <v/>
      </c>
      <c r="N467" s="7" t="str">
        <f t="shared" si="59"/>
        <v/>
      </c>
      <c r="O467" t="str">
        <f t="shared" si="60"/>
        <v/>
      </c>
      <c r="P467" t="str">
        <f t="shared" si="61"/>
        <v/>
      </c>
      <c r="Q467" t="str">
        <f t="shared" si="62"/>
        <v/>
      </c>
      <c r="S467" t="str">
        <f>""</f>
        <v/>
      </c>
      <c r="AL467" s="18" t="str">
        <f>IF(COUNTIF($A$2:A466, A466) = 1, A466, "")</f>
        <v/>
      </c>
    </row>
    <row r="468" spans="6:38" x14ac:dyDescent="0.2">
      <c r="F468" t="str">
        <f t="shared" si="57"/>
        <v/>
      </c>
      <c r="L468" s="7" t="str">
        <f t="shared" si="58"/>
        <v/>
      </c>
      <c r="N468" s="7" t="str">
        <f t="shared" si="59"/>
        <v/>
      </c>
      <c r="O468" t="str">
        <f t="shared" si="60"/>
        <v/>
      </c>
      <c r="P468" t="str">
        <f t="shared" si="61"/>
        <v/>
      </c>
      <c r="Q468" t="str">
        <f t="shared" si="62"/>
        <v/>
      </c>
      <c r="S468" t="str">
        <f>""</f>
        <v/>
      </c>
      <c r="AL468" s="18" t="str">
        <f>IF(COUNTIF($A$2:A467, A467) = 1, A467, "")</f>
        <v/>
      </c>
    </row>
    <row r="469" spans="6:38" x14ac:dyDescent="0.2">
      <c r="F469" t="str">
        <f t="shared" si="57"/>
        <v/>
      </c>
      <c r="L469" s="7" t="str">
        <f t="shared" si="58"/>
        <v/>
      </c>
      <c r="N469" s="7" t="str">
        <f t="shared" si="59"/>
        <v/>
      </c>
      <c r="O469" t="str">
        <f t="shared" si="60"/>
        <v/>
      </c>
      <c r="P469" t="str">
        <f t="shared" si="61"/>
        <v/>
      </c>
      <c r="Q469" t="str">
        <f t="shared" si="62"/>
        <v/>
      </c>
      <c r="S469" t="str">
        <f>""</f>
        <v/>
      </c>
      <c r="AL469" s="18" t="str">
        <f>IF(COUNTIF($A$2:A468, A468) = 1, A468, "")</f>
        <v/>
      </c>
    </row>
    <row r="470" spans="6:38" x14ac:dyDescent="0.2">
      <c r="F470" t="str">
        <f t="shared" si="57"/>
        <v/>
      </c>
      <c r="L470" s="7" t="str">
        <f t="shared" si="58"/>
        <v/>
      </c>
      <c r="N470" s="7" t="str">
        <f t="shared" si="59"/>
        <v/>
      </c>
      <c r="O470" t="str">
        <f t="shared" si="60"/>
        <v/>
      </c>
      <c r="P470" t="str">
        <f t="shared" si="61"/>
        <v/>
      </c>
      <c r="Q470" t="str">
        <f t="shared" si="62"/>
        <v/>
      </c>
      <c r="S470" t="str">
        <f>""</f>
        <v/>
      </c>
      <c r="AL470" s="18" t="str">
        <f>IF(COUNTIF($A$2:A469, A469) = 1, A469, "")</f>
        <v/>
      </c>
    </row>
    <row r="471" spans="6:38" x14ac:dyDescent="0.2">
      <c r="F471" t="str">
        <f t="shared" si="57"/>
        <v/>
      </c>
      <c r="L471" s="7" t="str">
        <f t="shared" si="58"/>
        <v/>
      </c>
      <c r="N471" s="7" t="str">
        <f t="shared" si="59"/>
        <v/>
      </c>
      <c r="O471" t="str">
        <f t="shared" si="60"/>
        <v/>
      </c>
      <c r="P471" t="str">
        <f t="shared" si="61"/>
        <v/>
      </c>
      <c r="Q471" t="str">
        <f t="shared" si="62"/>
        <v/>
      </c>
      <c r="S471" t="str">
        <f>""</f>
        <v/>
      </c>
      <c r="AL471" s="18" t="str">
        <f>IF(COUNTIF($A$2:A470, A470) = 1, A470, "")</f>
        <v/>
      </c>
    </row>
    <row r="472" spans="6:38" x14ac:dyDescent="0.2">
      <c r="F472" t="str">
        <f t="shared" si="57"/>
        <v/>
      </c>
      <c r="L472" s="7" t="str">
        <f t="shared" si="58"/>
        <v/>
      </c>
      <c r="N472" s="7" t="str">
        <f t="shared" si="59"/>
        <v/>
      </c>
      <c r="O472" t="str">
        <f t="shared" si="60"/>
        <v/>
      </c>
      <c r="P472" t="str">
        <f t="shared" si="61"/>
        <v/>
      </c>
      <c r="Q472" t="str">
        <f t="shared" si="62"/>
        <v/>
      </c>
      <c r="S472" t="str">
        <f>""</f>
        <v/>
      </c>
      <c r="AL472" s="18" t="str">
        <f>IF(COUNTIF($A$2:A471, A471) = 1, A471, "")</f>
        <v/>
      </c>
    </row>
    <row r="473" spans="6:38" x14ac:dyDescent="0.2">
      <c r="F473" t="str">
        <f t="shared" si="57"/>
        <v/>
      </c>
      <c r="L473" s="7" t="str">
        <f t="shared" si="58"/>
        <v/>
      </c>
      <c r="N473" s="7" t="str">
        <f t="shared" si="59"/>
        <v/>
      </c>
      <c r="O473" t="str">
        <f t="shared" si="60"/>
        <v/>
      </c>
      <c r="P473" t="str">
        <f t="shared" si="61"/>
        <v/>
      </c>
      <c r="Q473" t="str">
        <f t="shared" si="62"/>
        <v/>
      </c>
      <c r="S473" t="str">
        <f>""</f>
        <v/>
      </c>
      <c r="AL473" s="18" t="str">
        <f>IF(COUNTIF($A$2:A472, A472) = 1, A472, "")</f>
        <v/>
      </c>
    </row>
    <row r="474" spans="6:38" x14ac:dyDescent="0.2">
      <c r="F474" t="str">
        <f t="shared" si="57"/>
        <v/>
      </c>
      <c r="L474" s="7" t="str">
        <f t="shared" si="58"/>
        <v/>
      </c>
      <c r="N474" s="7" t="str">
        <f t="shared" si="59"/>
        <v/>
      </c>
      <c r="O474" t="str">
        <f t="shared" si="60"/>
        <v/>
      </c>
      <c r="P474" t="str">
        <f t="shared" si="61"/>
        <v/>
      </c>
      <c r="Q474" t="str">
        <f t="shared" si="62"/>
        <v/>
      </c>
      <c r="S474" t="str">
        <f>""</f>
        <v/>
      </c>
      <c r="AL474" s="18" t="str">
        <f>IF(COUNTIF($A$2:A473, A473) = 1, A473, "")</f>
        <v/>
      </c>
    </row>
    <row r="475" spans="6:38" x14ac:dyDescent="0.2">
      <c r="F475" t="str">
        <f t="shared" si="57"/>
        <v/>
      </c>
      <c r="L475" s="7" t="str">
        <f t="shared" si="58"/>
        <v/>
      </c>
      <c r="N475" s="7" t="str">
        <f t="shared" si="59"/>
        <v/>
      </c>
      <c r="O475" t="str">
        <f t="shared" si="60"/>
        <v/>
      </c>
      <c r="P475" t="str">
        <f t="shared" si="61"/>
        <v/>
      </c>
      <c r="Q475" t="str">
        <f t="shared" si="62"/>
        <v/>
      </c>
      <c r="S475" t="str">
        <f>""</f>
        <v/>
      </c>
      <c r="AL475" s="18" t="str">
        <f>IF(COUNTIF($A$2:A474, A474) = 1, A474, "")</f>
        <v/>
      </c>
    </row>
    <row r="476" spans="6:38" x14ac:dyDescent="0.2">
      <c r="F476" t="str">
        <f t="shared" si="57"/>
        <v/>
      </c>
      <c r="L476" s="7" t="str">
        <f t="shared" si="58"/>
        <v/>
      </c>
      <c r="N476" s="7" t="str">
        <f t="shared" si="59"/>
        <v/>
      </c>
      <c r="O476" t="str">
        <f t="shared" si="60"/>
        <v/>
      </c>
      <c r="P476" t="str">
        <f t="shared" si="61"/>
        <v/>
      </c>
      <c r="Q476" t="str">
        <f t="shared" si="62"/>
        <v/>
      </c>
      <c r="S476" t="str">
        <f>""</f>
        <v/>
      </c>
      <c r="AL476" s="18" t="str">
        <f>IF(COUNTIF($A$2:A475, A475) = 1, A475, "")</f>
        <v/>
      </c>
    </row>
    <row r="477" spans="6:38" x14ac:dyDescent="0.2">
      <c r="F477" t="str">
        <f t="shared" si="57"/>
        <v/>
      </c>
      <c r="L477" s="7" t="str">
        <f t="shared" si="58"/>
        <v/>
      </c>
      <c r="N477" s="7" t="str">
        <f t="shared" si="59"/>
        <v/>
      </c>
      <c r="O477" t="str">
        <f t="shared" si="60"/>
        <v/>
      </c>
      <c r="P477" t="str">
        <f t="shared" si="61"/>
        <v/>
      </c>
      <c r="Q477" t="str">
        <f t="shared" si="62"/>
        <v/>
      </c>
      <c r="S477" t="str">
        <f>""</f>
        <v/>
      </c>
      <c r="AL477" s="18" t="str">
        <f>IF(COUNTIF($A$2:A476, A476) = 1, A476, "")</f>
        <v/>
      </c>
    </row>
    <row r="478" spans="6:38" x14ac:dyDescent="0.2">
      <c r="F478" t="str">
        <f t="shared" si="57"/>
        <v/>
      </c>
      <c r="L478" s="7" t="str">
        <f t="shared" si="58"/>
        <v/>
      </c>
      <c r="N478" s="7" t="str">
        <f t="shared" si="59"/>
        <v/>
      </c>
      <c r="O478" t="str">
        <f t="shared" si="60"/>
        <v/>
      </c>
      <c r="P478" t="str">
        <f t="shared" si="61"/>
        <v/>
      </c>
      <c r="Q478" t="str">
        <f t="shared" si="62"/>
        <v/>
      </c>
      <c r="S478" t="str">
        <f>""</f>
        <v/>
      </c>
      <c r="AL478" s="18" t="str">
        <f>IF(COUNTIF($A$2:A477, A477) = 1, A477, "")</f>
        <v/>
      </c>
    </row>
    <row r="479" spans="6:38" x14ac:dyDescent="0.2">
      <c r="F479" t="str">
        <f t="shared" si="57"/>
        <v/>
      </c>
      <c r="L479" s="7" t="str">
        <f t="shared" si="58"/>
        <v/>
      </c>
      <c r="N479" s="7" t="str">
        <f t="shared" si="59"/>
        <v/>
      </c>
      <c r="O479" t="str">
        <f t="shared" si="60"/>
        <v/>
      </c>
      <c r="P479" t="str">
        <f t="shared" si="61"/>
        <v/>
      </c>
      <c r="Q479" t="str">
        <f t="shared" si="62"/>
        <v/>
      </c>
      <c r="S479" t="str">
        <f>""</f>
        <v/>
      </c>
      <c r="AL479" s="18" t="str">
        <f>IF(COUNTIF($A$2:A478, A478) = 1, A478, "")</f>
        <v/>
      </c>
    </row>
    <row r="480" spans="6:38" x14ac:dyDescent="0.2">
      <c r="F480" t="str">
        <f t="shared" si="57"/>
        <v/>
      </c>
      <c r="L480" s="7" t="str">
        <f t="shared" si="58"/>
        <v/>
      </c>
      <c r="N480" s="7" t="str">
        <f t="shared" si="59"/>
        <v/>
      </c>
      <c r="O480" t="str">
        <f t="shared" si="60"/>
        <v/>
      </c>
      <c r="P480" t="str">
        <f t="shared" si="61"/>
        <v/>
      </c>
      <c r="Q480" t="str">
        <f t="shared" si="62"/>
        <v/>
      </c>
      <c r="S480" t="str">
        <f>""</f>
        <v/>
      </c>
      <c r="AL480" s="18" t="str">
        <f>IF(COUNTIF($A$2:A479, A479) = 1, A479, "")</f>
        <v/>
      </c>
    </row>
    <row r="481" spans="6:38" x14ac:dyDescent="0.2">
      <c r="F481" t="str">
        <f t="shared" si="57"/>
        <v/>
      </c>
      <c r="L481" s="7" t="str">
        <f t="shared" si="58"/>
        <v/>
      </c>
      <c r="N481" s="7" t="str">
        <f t="shared" si="59"/>
        <v/>
      </c>
      <c r="O481" t="str">
        <f t="shared" si="60"/>
        <v/>
      </c>
      <c r="P481" t="str">
        <f t="shared" si="61"/>
        <v/>
      </c>
      <c r="Q481" t="str">
        <f t="shared" si="62"/>
        <v/>
      </c>
      <c r="S481" t="str">
        <f>""</f>
        <v/>
      </c>
      <c r="AL481" s="18" t="str">
        <f>IF(COUNTIF($A$2:A480, A480) = 1, A480, "")</f>
        <v/>
      </c>
    </row>
    <row r="482" spans="6:38" x14ac:dyDescent="0.2">
      <c r="F482" t="str">
        <f t="shared" si="57"/>
        <v/>
      </c>
      <c r="L482" s="7" t="str">
        <f t="shared" si="58"/>
        <v/>
      </c>
      <c r="N482" s="7" t="str">
        <f t="shared" si="59"/>
        <v/>
      </c>
      <c r="O482" t="str">
        <f t="shared" si="60"/>
        <v/>
      </c>
      <c r="P482" t="str">
        <f t="shared" si="61"/>
        <v/>
      </c>
      <c r="Q482" t="str">
        <f t="shared" si="62"/>
        <v/>
      </c>
      <c r="S482" t="str">
        <f>""</f>
        <v/>
      </c>
      <c r="AL482" s="18" t="str">
        <f>IF(COUNTIF($A$2:A481, A481) = 1, A481, "")</f>
        <v/>
      </c>
    </row>
    <row r="483" spans="6:38" x14ac:dyDescent="0.2">
      <c r="F483" t="str">
        <f t="shared" si="57"/>
        <v/>
      </c>
      <c r="L483" s="7" t="str">
        <f t="shared" si="58"/>
        <v/>
      </c>
      <c r="N483" s="7" t="str">
        <f t="shared" si="59"/>
        <v/>
      </c>
      <c r="O483" t="str">
        <f t="shared" si="60"/>
        <v/>
      </c>
      <c r="P483" t="str">
        <f t="shared" si="61"/>
        <v/>
      </c>
      <c r="Q483" t="str">
        <f t="shared" si="62"/>
        <v/>
      </c>
      <c r="S483" t="str">
        <f>""</f>
        <v/>
      </c>
      <c r="AL483" s="18" t="str">
        <f>IF(COUNTIF($A$2:A482, A482) = 1, A482, "")</f>
        <v/>
      </c>
    </row>
    <row r="484" spans="6:38" x14ac:dyDescent="0.2">
      <c r="F484" t="str">
        <f t="shared" si="57"/>
        <v/>
      </c>
      <c r="L484" s="7" t="str">
        <f t="shared" si="58"/>
        <v/>
      </c>
      <c r="N484" s="7" t="str">
        <f t="shared" si="59"/>
        <v/>
      </c>
      <c r="O484" t="str">
        <f t="shared" si="60"/>
        <v/>
      </c>
      <c r="P484" t="str">
        <f t="shared" si="61"/>
        <v/>
      </c>
      <c r="Q484" t="str">
        <f t="shared" si="62"/>
        <v/>
      </c>
      <c r="S484" t="str">
        <f>""</f>
        <v/>
      </c>
      <c r="AL484" s="18" t="str">
        <f>IF(COUNTIF($A$2:A483, A483) = 1, A483, "")</f>
        <v/>
      </c>
    </row>
    <row r="485" spans="6:38" x14ac:dyDescent="0.2">
      <c r="F485" t="str">
        <f t="shared" si="57"/>
        <v/>
      </c>
      <c r="L485" s="7" t="str">
        <f t="shared" si="58"/>
        <v/>
      </c>
      <c r="N485" s="7" t="str">
        <f t="shared" si="59"/>
        <v/>
      </c>
      <c r="O485" t="str">
        <f t="shared" si="60"/>
        <v/>
      </c>
      <c r="P485" t="str">
        <f t="shared" si="61"/>
        <v/>
      </c>
      <c r="Q485" t="str">
        <f t="shared" si="62"/>
        <v/>
      </c>
      <c r="S485" t="str">
        <f>""</f>
        <v/>
      </c>
      <c r="AL485" s="18" t="str">
        <f>IF(COUNTIF($A$2:A484, A484) = 1, A484, "")</f>
        <v/>
      </c>
    </row>
    <row r="486" spans="6:38" x14ac:dyDescent="0.2">
      <c r="F486" t="str">
        <f t="shared" si="57"/>
        <v/>
      </c>
      <c r="L486" s="7" t="str">
        <f t="shared" si="58"/>
        <v/>
      </c>
      <c r="N486" s="7" t="str">
        <f t="shared" si="59"/>
        <v/>
      </c>
      <c r="O486" t="str">
        <f t="shared" si="60"/>
        <v/>
      </c>
      <c r="P486" t="str">
        <f t="shared" si="61"/>
        <v/>
      </c>
      <c r="Q486" t="str">
        <f t="shared" si="62"/>
        <v/>
      </c>
      <c r="S486" t="str">
        <f>""</f>
        <v/>
      </c>
      <c r="AL486" s="18" t="str">
        <f>IF(COUNTIF($A$2:A485, A485) = 1, A485, "")</f>
        <v/>
      </c>
    </row>
    <row r="487" spans="6:38" x14ac:dyDescent="0.2">
      <c r="F487" t="str">
        <f t="shared" si="57"/>
        <v/>
      </c>
      <c r="L487" s="7" t="str">
        <f t="shared" si="58"/>
        <v/>
      </c>
      <c r="N487" s="7" t="str">
        <f t="shared" si="59"/>
        <v/>
      </c>
      <c r="O487" t="str">
        <f t="shared" si="60"/>
        <v/>
      </c>
      <c r="P487" t="str">
        <f t="shared" si="61"/>
        <v/>
      </c>
      <c r="Q487" t="str">
        <f t="shared" si="62"/>
        <v/>
      </c>
      <c r="S487" t="str">
        <f>""</f>
        <v/>
      </c>
      <c r="AL487" s="18" t="str">
        <f>IF(COUNTIF($A$2:A486, A486) = 1, A486, "")</f>
        <v/>
      </c>
    </row>
    <row r="488" spans="6:38" x14ac:dyDescent="0.2">
      <c r="F488" t="str">
        <f t="shared" si="57"/>
        <v/>
      </c>
      <c r="L488" s="7" t="str">
        <f t="shared" si="58"/>
        <v/>
      </c>
      <c r="N488" s="7" t="str">
        <f t="shared" si="59"/>
        <v/>
      </c>
      <c r="O488" t="str">
        <f t="shared" si="60"/>
        <v/>
      </c>
      <c r="P488" t="str">
        <f t="shared" si="61"/>
        <v/>
      </c>
      <c r="Q488" t="str">
        <f t="shared" si="62"/>
        <v/>
      </c>
      <c r="S488" t="str">
        <f>""</f>
        <v/>
      </c>
      <c r="AL488" s="18" t="str">
        <f>IF(COUNTIF($A$2:A487, A487) = 1, A487, "")</f>
        <v/>
      </c>
    </row>
    <row r="489" spans="6:38" x14ac:dyDescent="0.2">
      <c r="F489" t="str">
        <f t="shared" si="57"/>
        <v/>
      </c>
      <c r="L489" s="7" t="str">
        <f t="shared" si="58"/>
        <v/>
      </c>
      <c r="N489" s="7" t="str">
        <f t="shared" si="59"/>
        <v/>
      </c>
      <c r="O489" t="str">
        <f t="shared" si="60"/>
        <v/>
      </c>
      <c r="P489" t="str">
        <f t="shared" si="61"/>
        <v/>
      </c>
      <c r="Q489" t="str">
        <f t="shared" si="62"/>
        <v/>
      </c>
      <c r="S489" t="str">
        <f>""</f>
        <v/>
      </c>
      <c r="AL489" s="18" t="str">
        <f>IF(COUNTIF($A$2:A488, A488) = 1, A488, "")</f>
        <v/>
      </c>
    </row>
    <row r="490" spans="6:38" x14ac:dyDescent="0.2">
      <c r="F490" t="str">
        <f t="shared" si="57"/>
        <v/>
      </c>
      <c r="L490" s="7" t="str">
        <f t="shared" si="58"/>
        <v/>
      </c>
      <c r="N490" s="7" t="str">
        <f t="shared" si="59"/>
        <v/>
      </c>
      <c r="O490" t="str">
        <f t="shared" si="60"/>
        <v/>
      </c>
      <c r="P490" t="str">
        <f t="shared" si="61"/>
        <v/>
      </c>
      <c r="Q490" t="str">
        <f t="shared" si="62"/>
        <v/>
      </c>
      <c r="S490" t="str">
        <f>""</f>
        <v/>
      </c>
      <c r="AL490" s="18" t="str">
        <f>IF(COUNTIF($A$2:A489, A489) = 1, A489, "")</f>
        <v/>
      </c>
    </row>
    <row r="491" spans="6:38" x14ac:dyDescent="0.2">
      <c r="F491" t="str">
        <f t="shared" si="57"/>
        <v/>
      </c>
      <c r="L491" s="7" t="str">
        <f t="shared" si="58"/>
        <v/>
      </c>
      <c r="N491" s="7" t="str">
        <f t="shared" si="59"/>
        <v/>
      </c>
      <c r="O491" t="str">
        <f t="shared" si="60"/>
        <v/>
      </c>
      <c r="P491" t="str">
        <f t="shared" si="61"/>
        <v/>
      </c>
      <c r="Q491" t="str">
        <f t="shared" si="62"/>
        <v/>
      </c>
      <c r="S491" t="str">
        <f>""</f>
        <v/>
      </c>
      <c r="AL491" s="18" t="str">
        <f>IF(COUNTIF($A$2:A490, A490) = 1, A490, "")</f>
        <v/>
      </c>
    </row>
    <row r="492" spans="6:38" x14ac:dyDescent="0.2">
      <c r="F492" t="str">
        <f t="shared" si="57"/>
        <v/>
      </c>
      <c r="L492" s="7" t="str">
        <f t="shared" si="58"/>
        <v/>
      </c>
      <c r="N492" s="7" t="str">
        <f t="shared" si="59"/>
        <v/>
      </c>
      <c r="O492" t="str">
        <f t="shared" si="60"/>
        <v/>
      </c>
      <c r="P492" t="str">
        <f t="shared" si="61"/>
        <v/>
      </c>
      <c r="Q492" t="str">
        <f t="shared" si="62"/>
        <v/>
      </c>
      <c r="S492" t="str">
        <f>""</f>
        <v/>
      </c>
      <c r="AL492" s="18" t="str">
        <f>IF(COUNTIF($A$2:A491, A491) = 1, A491, "")</f>
        <v/>
      </c>
    </row>
    <row r="493" spans="6:38" x14ac:dyDescent="0.2">
      <c r="F493" t="str">
        <f t="shared" si="57"/>
        <v/>
      </c>
      <c r="L493" s="7" t="str">
        <f t="shared" si="58"/>
        <v/>
      </c>
      <c r="N493" s="7" t="str">
        <f t="shared" si="59"/>
        <v/>
      </c>
      <c r="O493" t="str">
        <f t="shared" si="60"/>
        <v/>
      </c>
      <c r="P493" t="str">
        <f t="shared" si="61"/>
        <v/>
      </c>
      <c r="Q493" t="str">
        <f t="shared" si="62"/>
        <v/>
      </c>
      <c r="S493" t="str">
        <f>""</f>
        <v/>
      </c>
      <c r="AL493" s="18" t="str">
        <f>IF(COUNTIF($A$2:A492, A492) = 1, A492, "")</f>
        <v/>
      </c>
    </row>
    <row r="494" spans="6:38" x14ac:dyDescent="0.2">
      <c r="F494" t="str">
        <f t="shared" si="57"/>
        <v/>
      </c>
      <c r="L494" s="7" t="str">
        <f t="shared" si="58"/>
        <v/>
      </c>
      <c r="N494" s="7" t="str">
        <f t="shared" si="59"/>
        <v/>
      </c>
      <c r="O494" t="str">
        <f t="shared" si="60"/>
        <v/>
      </c>
      <c r="P494" t="str">
        <f t="shared" si="61"/>
        <v/>
      </c>
      <c r="Q494" t="str">
        <f t="shared" si="62"/>
        <v/>
      </c>
      <c r="S494" t="str">
        <f>""</f>
        <v/>
      </c>
      <c r="AL494" s="18" t="str">
        <f>IF(COUNTIF($A$2:A493, A493) = 1, A493, "")</f>
        <v/>
      </c>
    </row>
    <row r="495" spans="6:38" x14ac:dyDescent="0.2">
      <c r="F495" t="str">
        <f t="shared" si="57"/>
        <v/>
      </c>
      <c r="L495" s="7" t="str">
        <f t="shared" si="58"/>
        <v/>
      </c>
      <c r="N495" s="7" t="str">
        <f t="shared" si="59"/>
        <v/>
      </c>
      <c r="O495" t="str">
        <f t="shared" si="60"/>
        <v/>
      </c>
      <c r="P495" t="str">
        <f t="shared" si="61"/>
        <v/>
      </c>
      <c r="Q495" t="str">
        <f t="shared" si="62"/>
        <v/>
      </c>
      <c r="S495" t="str">
        <f>""</f>
        <v/>
      </c>
      <c r="AL495" s="18" t="str">
        <f>IF(COUNTIF($A$2:A494, A494) = 1, A494, "")</f>
        <v/>
      </c>
    </row>
    <row r="496" spans="6:38" x14ac:dyDescent="0.2">
      <c r="F496" t="str">
        <f t="shared" si="57"/>
        <v/>
      </c>
      <c r="L496" s="7" t="str">
        <f t="shared" si="58"/>
        <v/>
      </c>
      <c r="N496" s="7" t="str">
        <f t="shared" si="59"/>
        <v/>
      </c>
      <c r="O496" t="str">
        <f t="shared" si="60"/>
        <v/>
      </c>
      <c r="P496" t="str">
        <f t="shared" si="61"/>
        <v/>
      </c>
      <c r="Q496" t="str">
        <f t="shared" si="62"/>
        <v/>
      </c>
      <c r="S496" t="str">
        <f>""</f>
        <v/>
      </c>
      <c r="AL496" s="18" t="str">
        <f>IF(COUNTIF($A$2:A495, A495) = 1, A495, "")</f>
        <v/>
      </c>
    </row>
    <row r="497" spans="6:38" x14ac:dyDescent="0.2">
      <c r="F497" t="str">
        <f t="shared" si="57"/>
        <v/>
      </c>
      <c r="L497" s="7" t="str">
        <f t="shared" si="58"/>
        <v/>
      </c>
      <c r="N497" s="7" t="str">
        <f t="shared" si="59"/>
        <v/>
      </c>
      <c r="O497" t="str">
        <f t="shared" si="60"/>
        <v/>
      </c>
      <c r="P497" t="str">
        <f t="shared" si="61"/>
        <v/>
      </c>
      <c r="Q497" t="str">
        <f t="shared" si="62"/>
        <v/>
      </c>
      <c r="S497" t="str">
        <f>""</f>
        <v/>
      </c>
      <c r="AL497" s="18" t="str">
        <f>IF(COUNTIF($A$2:A496, A496) = 1, A496, "")</f>
        <v/>
      </c>
    </row>
    <row r="498" spans="6:38" x14ac:dyDescent="0.2">
      <c r="F498" t="str">
        <f t="shared" si="57"/>
        <v/>
      </c>
      <c r="L498" s="7" t="str">
        <f t="shared" si="58"/>
        <v/>
      </c>
      <c r="N498" s="7" t="str">
        <f t="shared" si="59"/>
        <v/>
      </c>
      <c r="O498" t="str">
        <f t="shared" si="60"/>
        <v/>
      </c>
      <c r="P498" t="str">
        <f t="shared" si="61"/>
        <v/>
      </c>
      <c r="Q498" t="str">
        <f t="shared" si="62"/>
        <v/>
      </c>
      <c r="S498" t="str">
        <f>""</f>
        <v/>
      </c>
      <c r="AL498" s="18" t="str">
        <f>IF(COUNTIF($A$2:A497, A497) = 1, A497, "")</f>
        <v/>
      </c>
    </row>
    <row r="499" spans="6:38" x14ac:dyDescent="0.2">
      <c r="F499" t="str">
        <f t="shared" si="57"/>
        <v/>
      </c>
      <c r="L499" s="7" t="str">
        <f t="shared" si="58"/>
        <v/>
      </c>
      <c r="N499" s="7" t="str">
        <f t="shared" si="59"/>
        <v/>
      </c>
      <c r="O499" t="str">
        <f t="shared" si="60"/>
        <v/>
      </c>
      <c r="P499" t="str">
        <f t="shared" si="61"/>
        <v/>
      </c>
      <c r="Q499" t="str">
        <f t="shared" si="62"/>
        <v/>
      </c>
      <c r="S499" t="str">
        <f>""</f>
        <v/>
      </c>
      <c r="AL499" s="18" t="str">
        <f>IF(COUNTIF($A$2:A498, A498) = 1, A498, "")</f>
        <v/>
      </c>
    </row>
    <row r="500" spans="6:38" x14ac:dyDescent="0.2">
      <c r="F500" t="str">
        <f t="shared" si="57"/>
        <v/>
      </c>
      <c r="L500" s="7" t="str">
        <f t="shared" si="58"/>
        <v/>
      </c>
      <c r="N500" s="7" t="str">
        <f t="shared" si="59"/>
        <v/>
      </c>
      <c r="O500" t="str">
        <f t="shared" si="60"/>
        <v/>
      </c>
      <c r="P500" t="str">
        <f t="shared" si="61"/>
        <v/>
      </c>
      <c r="Q500" t="str">
        <f t="shared" si="62"/>
        <v/>
      </c>
      <c r="S500" t="str">
        <f>""</f>
        <v/>
      </c>
      <c r="AL500" s="18" t="str">
        <f>IF(COUNTIF($A$2:A499, A499) = 1, A499, "")</f>
        <v/>
      </c>
    </row>
    <row r="501" spans="6:38" x14ac:dyDescent="0.2">
      <c r="F501" t="str">
        <f t="shared" si="57"/>
        <v/>
      </c>
      <c r="L501" s="7" t="str">
        <f t="shared" si="58"/>
        <v/>
      </c>
      <c r="N501" s="7" t="str">
        <f t="shared" si="59"/>
        <v/>
      </c>
      <c r="O501" t="str">
        <f t="shared" si="60"/>
        <v/>
      </c>
      <c r="P501" t="str">
        <f t="shared" si="61"/>
        <v/>
      </c>
      <c r="Q501" t="str">
        <f t="shared" si="62"/>
        <v/>
      </c>
      <c r="S501" t="str">
        <f>""</f>
        <v/>
      </c>
      <c r="AL501" s="18" t="str">
        <f>IF(COUNTIF($A$2:A500, A500) = 1, A500, "")</f>
        <v/>
      </c>
    </row>
    <row r="502" spans="6:38" x14ac:dyDescent="0.2">
      <c r="F502" t="str">
        <f t="shared" si="57"/>
        <v/>
      </c>
      <c r="L502" s="7" t="str">
        <f t="shared" si="58"/>
        <v/>
      </c>
      <c r="N502" s="7" t="str">
        <f t="shared" si="59"/>
        <v/>
      </c>
      <c r="O502" t="str">
        <f t="shared" si="60"/>
        <v/>
      </c>
      <c r="P502" t="str">
        <f t="shared" si="61"/>
        <v/>
      </c>
      <c r="Q502" t="str">
        <f t="shared" si="62"/>
        <v/>
      </c>
      <c r="S502" t="str">
        <f>""</f>
        <v/>
      </c>
      <c r="AL502" s="18" t="str">
        <f>IF(COUNTIF($A$2:A501, A501) = 1, A501, "")</f>
        <v/>
      </c>
    </row>
    <row r="503" spans="6:38" x14ac:dyDescent="0.2">
      <c r="F503" t="str">
        <f t="shared" si="57"/>
        <v/>
      </c>
      <c r="L503" s="7" t="str">
        <f t="shared" si="58"/>
        <v/>
      </c>
      <c r="N503" s="7" t="str">
        <f t="shared" si="59"/>
        <v/>
      </c>
      <c r="O503" t="str">
        <f t="shared" si="60"/>
        <v/>
      </c>
      <c r="P503" t="str">
        <f t="shared" si="61"/>
        <v/>
      </c>
      <c r="Q503" t="str">
        <f t="shared" si="62"/>
        <v/>
      </c>
      <c r="S503" t="str">
        <f>""</f>
        <v/>
      </c>
      <c r="AL503" s="18" t="str">
        <f>IF(COUNTIF($A$2:A502, A502) = 1, A502, "")</f>
        <v/>
      </c>
    </row>
    <row r="504" spans="6:38" x14ac:dyDescent="0.2">
      <c r="F504" t="str">
        <f t="shared" si="57"/>
        <v/>
      </c>
      <c r="L504" s="7" t="str">
        <f t="shared" si="58"/>
        <v/>
      </c>
      <c r="N504" s="7" t="str">
        <f t="shared" si="59"/>
        <v/>
      </c>
      <c r="O504" t="str">
        <f t="shared" si="60"/>
        <v/>
      </c>
      <c r="P504" t="str">
        <f t="shared" si="61"/>
        <v/>
      </c>
      <c r="Q504" t="str">
        <f t="shared" si="62"/>
        <v/>
      </c>
      <c r="S504" t="str">
        <f>""</f>
        <v/>
      </c>
      <c r="AL504" s="18" t="str">
        <f>IF(COUNTIF($A$2:A503, A503) = 1, A503, "")</f>
        <v/>
      </c>
    </row>
    <row r="505" spans="6:38" x14ac:dyDescent="0.2">
      <c r="F505" t="str">
        <f t="shared" si="57"/>
        <v/>
      </c>
      <c r="L505" s="7" t="str">
        <f t="shared" si="58"/>
        <v/>
      </c>
      <c r="N505" s="7" t="str">
        <f t="shared" si="59"/>
        <v/>
      </c>
      <c r="O505" t="str">
        <f t="shared" si="60"/>
        <v/>
      </c>
      <c r="P505" t="str">
        <f t="shared" si="61"/>
        <v/>
      </c>
      <c r="Q505" t="str">
        <f t="shared" si="62"/>
        <v/>
      </c>
      <c r="S505" t="str">
        <f>""</f>
        <v/>
      </c>
      <c r="AL505" s="18" t="str">
        <f>IF(COUNTIF($A$2:A504, A504) = 1, A504, "")</f>
        <v/>
      </c>
    </row>
    <row r="506" spans="6:38" x14ac:dyDescent="0.2">
      <c r="F506" t="str">
        <f t="shared" si="57"/>
        <v/>
      </c>
      <c r="L506" s="7" t="str">
        <f t="shared" si="58"/>
        <v/>
      </c>
      <c r="N506" s="7" t="str">
        <f t="shared" si="59"/>
        <v/>
      </c>
      <c r="O506" t="str">
        <f t="shared" si="60"/>
        <v/>
      </c>
      <c r="P506" t="str">
        <f t="shared" si="61"/>
        <v/>
      </c>
      <c r="Q506" t="str">
        <f t="shared" si="62"/>
        <v/>
      </c>
      <c r="S506" t="str">
        <f>""</f>
        <v/>
      </c>
      <c r="AL506" s="18" t="str">
        <f>IF(COUNTIF($A$2:A505, A505) = 1, A505, "")</f>
        <v/>
      </c>
    </row>
    <row r="507" spans="6:38" x14ac:dyDescent="0.2">
      <c r="AL507" s="18" t="str">
        <f>IF(COUNTIF($A$2:A506, A506) = 1, A506, "")</f>
        <v/>
      </c>
    </row>
    <row r="508" spans="6:38" x14ac:dyDescent="0.2">
      <c r="AL508" s="18" t="str">
        <f>IF(COUNTIF($A$2:A507, A507) = 1, A507, "")</f>
        <v/>
      </c>
    </row>
    <row r="509" spans="6:38" x14ac:dyDescent="0.2">
      <c r="AL509" s="18" t="str">
        <f>IF(COUNTIF($A$2:A508, A508) = 1, A508, "")</f>
        <v/>
      </c>
    </row>
    <row r="510" spans="6:38" x14ac:dyDescent="0.2">
      <c r="AL510" s="18" t="str">
        <f>IF(COUNTIF($A$2:A509, A509) = 1, A509, "")</f>
        <v/>
      </c>
    </row>
    <row r="511" spans="6:38" x14ac:dyDescent="0.2">
      <c r="AL511" s="18" t="str">
        <f>IF(COUNTIF($A$2:A510, A510) = 1, A510, "")</f>
        <v/>
      </c>
    </row>
    <row r="512" spans="6:38" x14ac:dyDescent="0.2">
      <c r="AL512" s="18" t="str">
        <f>IF(COUNTIF($A$2:A511, A511) = 1, A511, "")</f>
        <v/>
      </c>
    </row>
    <row r="513" spans="38:38" x14ac:dyDescent="0.2">
      <c r="AL513" s="18" t="str">
        <f>IF(COUNTIF($A$2:A512, A512) = 1, A512, "")</f>
        <v/>
      </c>
    </row>
    <row r="514" spans="38:38" x14ac:dyDescent="0.2">
      <c r="AL514" s="18" t="str">
        <f>IF(COUNTIF($A$2:A513, A513) = 1, A513, "")</f>
        <v/>
      </c>
    </row>
    <row r="515" spans="38:38" x14ac:dyDescent="0.2">
      <c r="AL515" s="18" t="str">
        <f>IF(COUNTIF($A$2:A514, A514) = 1, A514, "")</f>
        <v/>
      </c>
    </row>
    <row r="516" spans="38:38" x14ac:dyDescent="0.2">
      <c r="AL516" s="18" t="str">
        <f>IF(COUNTIF($A$2:A515, A515) = 1, A515, "")</f>
        <v/>
      </c>
    </row>
    <row r="517" spans="38:38" x14ac:dyDescent="0.2">
      <c r="AL517" s="18" t="str">
        <f>IF(COUNTIF($A$2:A516, A516) = 1, A516, "")</f>
        <v/>
      </c>
    </row>
    <row r="518" spans="38:38" x14ac:dyDescent="0.2">
      <c r="AL518" s="18" t="str">
        <f>IF(COUNTIF($A$2:A517, A517) = 1, A517, "")</f>
        <v/>
      </c>
    </row>
    <row r="519" spans="38:38" x14ac:dyDescent="0.2">
      <c r="AL519" s="18" t="str">
        <f>IF(COUNTIF($A$2:A518, A518) = 1, A518, "")</f>
        <v/>
      </c>
    </row>
    <row r="520" spans="38:38" x14ac:dyDescent="0.2">
      <c r="AL520" s="18" t="str">
        <f>IF(COUNTIF($A$2:A519, A519) = 1, A519, "")</f>
        <v/>
      </c>
    </row>
    <row r="521" spans="38:38" x14ac:dyDescent="0.2">
      <c r="AL521" s="18" t="str">
        <f>IF(COUNTIF($A$2:A520, A520) = 1, A520, "")</f>
        <v/>
      </c>
    </row>
    <row r="522" spans="38:38" x14ac:dyDescent="0.2">
      <c r="AL522" s="18" t="str">
        <f>IF(COUNTIF($A$2:A521, A521) = 1, A521, "")</f>
        <v/>
      </c>
    </row>
    <row r="523" spans="38:38" x14ac:dyDescent="0.2">
      <c r="AL523" s="18" t="str">
        <f>IF(COUNTIF($A$2:A522, A522) = 1, A522, "")</f>
        <v/>
      </c>
    </row>
    <row r="524" spans="38:38" x14ac:dyDescent="0.2">
      <c r="AL524" s="18" t="str">
        <f>IF(COUNTIF($A$2:A523, A523) = 1, A523, "")</f>
        <v/>
      </c>
    </row>
    <row r="525" spans="38:38" x14ac:dyDescent="0.2">
      <c r="AL525" s="18" t="str">
        <f>IF(COUNTIF($A$2:A524, A524) = 1, A524, "")</f>
        <v/>
      </c>
    </row>
    <row r="526" spans="38:38" x14ac:dyDescent="0.2">
      <c r="AL526" s="18" t="str">
        <f>IF(COUNTIF($A$2:A525, A525) = 1, A525, "")</f>
        <v/>
      </c>
    </row>
    <row r="527" spans="38:38" x14ac:dyDescent="0.2">
      <c r="AL527" s="18" t="str">
        <f>IF(COUNTIF($A$2:A526, A526) = 1, A526, "")</f>
        <v/>
      </c>
    </row>
    <row r="528" spans="38:38" x14ac:dyDescent="0.2">
      <c r="AL528" s="18" t="str">
        <f>IF(COUNTIF($A$2:A527, A527) = 1, A527, "")</f>
        <v/>
      </c>
    </row>
    <row r="529" spans="38:38" x14ac:dyDescent="0.2">
      <c r="AL529" s="18" t="str">
        <f>IF(COUNTIF($A$2:A528, A528) = 1, A528, "")</f>
        <v/>
      </c>
    </row>
    <row r="530" spans="38:38" x14ac:dyDescent="0.2">
      <c r="AL530" s="18" t="str">
        <f>IF(COUNTIF($A$2:A529, A529) = 1, A529, "")</f>
        <v/>
      </c>
    </row>
    <row r="531" spans="38:38" x14ac:dyDescent="0.2">
      <c r="AL531" s="18" t="str">
        <f>IF(COUNTIF($A$2:A530, A530) = 1, A530, "")</f>
        <v/>
      </c>
    </row>
    <row r="532" spans="38:38" x14ac:dyDescent="0.2">
      <c r="AL532" s="18" t="str">
        <f>IF(COUNTIF($A$2:A531, A531) = 1, A531, "")</f>
        <v/>
      </c>
    </row>
    <row r="533" spans="38:38" x14ac:dyDescent="0.2">
      <c r="AL533" s="18" t="str">
        <f>IF(COUNTIF($A$2:A532, A532) = 1, A532, "")</f>
        <v/>
      </c>
    </row>
    <row r="534" spans="38:38" x14ac:dyDescent="0.2">
      <c r="AL534" s="18" t="str">
        <f>IF(COUNTIF($A$2:A533, A533) = 1, A533, "")</f>
        <v/>
      </c>
    </row>
    <row r="535" spans="38:38" x14ac:dyDescent="0.2">
      <c r="AL535" s="18" t="str">
        <f>IF(COUNTIF($A$2:A534, A534) = 1, A534, "")</f>
        <v/>
      </c>
    </row>
    <row r="536" spans="38:38" x14ac:dyDescent="0.2">
      <c r="AL536" s="18" t="str">
        <f>IF(COUNTIF($A$2:A535, A535) = 1, A535, "")</f>
        <v/>
      </c>
    </row>
    <row r="537" spans="38:38" x14ac:dyDescent="0.2">
      <c r="AL537" s="18" t="str">
        <f>IF(COUNTIF($A$2:A536, A536) = 1, A536, "")</f>
        <v/>
      </c>
    </row>
    <row r="538" spans="38:38" x14ac:dyDescent="0.2">
      <c r="AL538" s="18" t="str">
        <f>IF(COUNTIF($A$2:A537, A537) = 1, A537, "")</f>
        <v/>
      </c>
    </row>
    <row r="539" spans="38:38" x14ac:dyDescent="0.2">
      <c r="AL539" s="18" t="str">
        <f>IF(COUNTIF($A$2:A538, A538) = 1, A538, "")</f>
        <v/>
      </c>
    </row>
    <row r="540" spans="38:38" x14ac:dyDescent="0.2">
      <c r="AL540" s="18" t="str">
        <f>IF(COUNTIF($A$2:A539, A539) = 1, A539, "")</f>
        <v/>
      </c>
    </row>
    <row r="541" spans="38:38" x14ac:dyDescent="0.2">
      <c r="AL541" s="18" t="str">
        <f>IF(COUNTIF($A$2:A540, A540) = 1, A540, "")</f>
        <v/>
      </c>
    </row>
    <row r="542" spans="38:38" x14ac:dyDescent="0.2">
      <c r="AL542" s="18" t="str">
        <f>IF(COUNTIF($A$2:A541, A541) = 1, A541, "")</f>
        <v/>
      </c>
    </row>
    <row r="543" spans="38:38" x14ac:dyDescent="0.2">
      <c r="AL543" s="18" t="str">
        <f>IF(COUNTIF($A$2:A542, A542) = 1, A542, "")</f>
        <v/>
      </c>
    </row>
    <row r="544" spans="38:38" x14ac:dyDescent="0.2">
      <c r="AL544" s="18" t="str">
        <f>IF(COUNTIF($A$2:A543, A543) = 1, A543, "")</f>
        <v/>
      </c>
    </row>
    <row r="545" spans="38:38" x14ac:dyDescent="0.2">
      <c r="AL545" s="18" t="str">
        <f>IF(COUNTIF($A$2:A544, A544) = 1, A544, "")</f>
        <v/>
      </c>
    </row>
    <row r="546" spans="38:38" x14ac:dyDescent="0.2">
      <c r="AL546" s="18" t="str">
        <f>IF(COUNTIF($A$2:A545, A545) = 1, A545, "")</f>
        <v/>
      </c>
    </row>
    <row r="547" spans="38:38" x14ac:dyDescent="0.2">
      <c r="AL547" s="18" t="str">
        <f>IF(COUNTIF($A$2:A546, A546) = 1, A546, "")</f>
        <v/>
      </c>
    </row>
    <row r="548" spans="38:38" x14ac:dyDescent="0.2">
      <c r="AL548" s="18" t="str">
        <f>IF(COUNTIF($A$2:A547, A547) = 1, A547, "")</f>
        <v/>
      </c>
    </row>
    <row r="549" spans="38:38" x14ac:dyDescent="0.2">
      <c r="AL549" s="18" t="str">
        <f>IF(COUNTIF($A$2:A548, A548) = 1, A548, "")</f>
        <v/>
      </c>
    </row>
    <row r="550" spans="38:38" x14ac:dyDescent="0.2">
      <c r="AL550" s="18" t="str">
        <f>IF(COUNTIF($A$2:A549, A549) = 1, A549, "")</f>
        <v/>
      </c>
    </row>
    <row r="551" spans="38:38" x14ac:dyDescent="0.2">
      <c r="AL551" s="18" t="str">
        <f>IF(COUNTIF($A$2:A550, A550) = 1, A550, "")</f>
        <v/>
      </c>
    </row>
    <row r="552" spans="38:38" x14ac:dyDescent="0.2">
      <c r="AL552" s="18" t="str">
        <f>IF(COUNTIF($A$2:A551, A551) = 1, A551, "")</f>
        <v/>
      </c>
    </row>
    <row r="553" spans="38:38" x14ac:dyDescent="0.2">
      <c r="AL553" s="18" t="str">
        <f>IF(COUNTIF($A$2:A552, A552) = 1, A552, "")</f>
        <v/>
      </c>
    </row>
    <row r="554" spans="38:38" x14ac:dyDescent="0.2">
      <c r="AL554" s="18" t="str">
        <f>IF(COUNTIF($A$2:A553, A553) = 1, A553, "")</f>
        <v/>
      </c>
    </row>
    <row r="555" spans="38:38" x14ac:dyDescent="0.2">
      <c r="AL555" s="18" t="str">
        <f>IF(COUNTIF($A$2:A554, A554) = 1, A554, "")</f>
        <v/>
      </c>
    </row>
    <row r="556" spans="38:38" x14ac:dyDescent="0.2">
      <c r="AL556" s="18" t="str">
        <f>IF(COUNTIF($A$2:A555, A555) = 1, A555, "")</f>
        <v/>
      </c>
    </row>
    <row r="557" spans="38:38" x14ac:dyDescent="0.2">
      <c r="AL557" s="18" t="str">
        <f>IF(COUNTIF($A$2:A556, A556) = 1, A556, "")</f>
        <v/>
      </c>
    </row>
    <row r="558" spans="38:38" x14ac:dyDescent="0.2">
      <c r="AL558" s="18" t="str">
        <f>IF(COUNTIF($A$2:A557, A557) = 1, A557, "")</f>
        <v/>
      </c>
    </row>
    <row r="559" spans="38:38" x14ac:dyDescent="0.2">
      <c r="AL559" s="18" t="str">
        <f>IF(COUNTIF($A$2:A558, A558) = 1, A558, "")</f>
        <v/>
      </c>
    </row>
    <row r="560" spans="38:38" x14ac:dyDescent="0.2">
      <c r="AL560" s="18" t="str">
        <f>IF(COUNTIF($A$2:A559, A559) = 1, A559, "")</f>
        <v/>
      </c>
    </row>
    <row r="561" spans="38:38" x14ac:dyDescent="0.2">
      <c r="AL561" s="18" t="str">
        <f>IF(COUNTIF($A$2:A560, A560) = 1, A560, "")</f>
        <v/>
      </c>
    </row>
    <row r="562" spans="38:38" x14ac:dyDescent="0.2">
      <c r="AL562" s="18" t="str">
        <f>IF(COUNTIF($A$2:A561, A561) = 1, A561, "")</f>
        <v/>
      </c>
    </row>
    <row r="563" spans="38:38" x14ac:dyDescent="0.2">
      <c r="AL563" s="18" t="str">
        <f>IF(COUNTIF($A$2:A562, A562) = 1, A562, "")</f>
        <v/>
      </c>
    </row>
    <row r="564" spans="38:38" x14ac:dyDescent="0.2">
      <c r="AL564" s="18" t="str">
        <f>IF(COUNTIF($A$2:A563, A563) = 1, A563, "")</f>
        <v/>
      </c>
    </row>
    <row r="565" spans="38:38" x14ac:dyDescent="0.2">
      <c r="AL565" s="18" t="str">
        <f>IF(COUNTIF($A$2:A564, A564) = 1, A564, "")</f>
        <v/>
      </c>
    </row>
    <row r="566" spans="38:38" x14ac:dyDescent="0.2">
      <c r="AL566" s="18" t="str">
        <f>IF(COUNTIF($A$2:A565, A565) = 1, A565, "")</f>
        <v/>
      </c>
    </row>
    <row r="567" spans="38:38" x14ac:dyDescent="0.2">
      <c r="AL567" s="18" t="str">
        <f>IF(COUNTIF($A$2:A566, A566) = 1, A566, "")</f>
        <v/>
      </c>
    </row>
    <row r="568" spans="38:38" x14ac:dyDescent="0.2">
      <c r="AL568" s="18" t="str">
        <f>IF(COUNTIF($A$2:A567, A567) = 1, A567, "")</f>
        <v/>
      </c>
    </row>
    <row r="569" spans="38:38" x14ac:dyDescent="0.2">
      <c r="AL569" s="18" t="str">
        <f>IF(COUNTIF($A$2:A568, A568) = 1, A568, "")</f>
        <v/>
      </c>
    </row>
    <row r="570" spans="38:38" x14ac:dyDescent="0.2">
      <c r="AL570" s="18" t="str">
        <f>IF(COUNTIF($A$2:A569, A569) = 1, A569, "")</f>
        <v/>
      </c>
    </row>
    <row r="571" spans="38:38" x14ac:dyDescent="0.2">
      <c r="AL571" s="18" t="str">
        <f>IF(COUNTIF($A$2:A570, A570) = 1, A570, "")</f>
        <v/>
      </c>
    </row>
    <row r="572" spans="38:38" x14ac:dyDescent="0.2">
      <c r="AL572" s="18" t="str">
        <f>IF(COUNTIF($A$2:A571, A571) = 1, A571, "")</f>
        <v/>
      </c>
    </row>
    <row r="573" spans="38:38" x14ac:dyDescent="0.2">
      <c r="AL573" s="18" t="str">
        <f>IF(COUNTIF($A$2:A572, A572) = 1, A572, "")</f>
        <v/>
      </c>
    </row>
    <row r="574" spans="38:38" x14ac:dyDescent="0.2">
      <c r="AL574" s="18" t="str">
        <f>IF(COUNTIF($A$2:A573, A573) = 1, A573, "")</f>
        <v/>
      </c>
    </row>
    <row r="575" spans="38:38" x14ac:dyDescent="0.2">
      <c r="AL575" s="18" t="str">
        <f>IF(COUNTIF($A$2:A574, A574) = 1, A574, "")</f>
        <v/>
      </c>
    </row>
    <row r="576" spans="38:38" x14ac:dyDescent="0.2">
      <c r="AL576" s="18" t="str">
        <f>IF(COUNTIF($A$2:A575, A575) = 1, A575, "")</f>
        <v/>
      </c>
    </row>
    <row r="577" spans="38:38" x14ac:dyDescent="0.2">
      <c r="AL577" s="18" t="str">
        <f>IF(COUNTIF($A$2:A576, A576) = 1, A576, "")</f>
        <v/>
      </c>
    </row>
    <row r="578" spans="38:38" x14ac:dyDescent="0.2">
      <c r="AL578" s="18" t="str">
        <f>IF(COUNTIF($A$2:A577, A577) = 1, A577, "")</f>
        <v/>
      </c>
    </row>
    <row r="579" spans="38:38" x14ac:dyDescent="0.2">
      <c r="AL579" s="18" t="str">
        <f>IF(COUNTIF($A$2:A578, A578) = 1, A578, "")</f>
        <v/>
      </c>
    </row>
    <row r="580" spans="38:38" x14ac:dyDescent="0.2">
      <c r="AL580" s="18" t="str">
        <f>IF(COUNTIF($A$2:A579, A579) = 1, A579, "")</f>
        <v/>
      </c>
    </row>
    <row r="581" spans="38:38" x14ac:dyDescent="0.2">
      <c r="AL581" s="18" t="str">
        <f>IF(COUNTIF($A$2:A580, A580) = 1, A580, "")</f>
        <v/>
      </c>
    </row>
  </sheetData>
  <mergeCells count="19">
    <mergeCell ref="T2:U2"/>
    <mergeCell ref="T3:U3"/>
    <mergeCell ref="T4:U4"/>
    <mergeCell ref="T6:U6"/>
    <mergeCell ref="T19:U19"/>
    <mergeCell ref="T20:U20"/>
    <mergeCell ref="T21:U21"/>
    <mergeCell ref="T22:U22"/>
    <mergeCell ref="T7:U7"/>
    <mergeCell ref="T8:U8"/>
    <mergeCell ref="T9:U9"/>
    <mergeCell ref="T10:U10"/>
    <mergeCell ref="T11:V11"/>
    <mergeCell ref="T12:U12"/>
    <mergeCell ref="T14:U14"/>
    <mergeCell ref="T15:U15"/>
    <mergeCell ref="T16:U16"/>
    <mergeCell ref="T17:V17"/>
    <mergeCell ref="T13:U13"/>
  </mergeCells>
  <conditionalFormatting sqref="N1:N1048576">
    <cfRule type="dataBar" priority="63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{C6303004-A5EA-9144-B281-9FDD7B262143}</x14:id>
        </ext>
      </extLst>
    </cfRule>
  </conditionalFormatting>
  <conditionalFormatting sqref="V4">
    <cfRule type="colorScale" priority="56">
      <colorScale>
        <cfvo type="num" val="-50"/>
        <cfvo type="num" val="0"/>
        <cfvo type="num" val="50"/>
        <color rgb="FFC00000"/>
        <color theme="0"/>
        <color rgb="FF00B050"/>
      </colorScale>
    </cfRule>
  </conditionalFormatting>
  <conditionalFormatting sqref="V9">
    <cfRule type="dataBar" priority="55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{CFD46F3F-722C-4346-B2A1-61AC0CE4486D}</x14:id>
        </ext>
      </extLst>
    </cfRule>
  </conditionalFormatting>
  <conditionalFormatting sqref="V15">
    <cfRule type="dataBar" priority="54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{4B0072C9-AF33-2145-B473-D90194C7AAE1}</x14:id>
        </ext>
      </extLst>
    </cfRule>
  </conditionalFormatting>
  <conditionalFormatting sqref="V10">
    <cfRule type="dataBar" priority="38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{CF75FACE-2D5C-C54F-BF4F-65C229D7C8DC}</x14:id>
        </ext>
      </extLst>
    </cfRule>
    <cfRule type="colorScale" priority="39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V16">
    <cfRule type="dataBar" priority="36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{1EFF0918-68BC-7244-A072-1D04D7D77E78}</x14:id>
        </ext>
      </extLst>
    </cfRule>
    <cfRule type="colorScale" priority="37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12:Y18">
    <cfRule type="dataBar" priority="16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{74C5400D-AAC0-FD41-9CC3-37EF979A580B}</x14:id>
        </ext>
      </extLst>
    </cfRule>
    <cfRule type="colorScale" priority="17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A41:AA43 AA26:AA31 AA3:AA9 AA34:AA38 AA12:AA18 AA21:AA23">
    <cfRule type="dataBar" priority="11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{6E213513-C2F6-A947-9EA1-986498285D23}</x14:id>
        </ext>
      </extLst>
    </cfRule>
  </conditionalFormatting>
  <conditionalFormatting sqref="AA46:AA47">
    <cfRule type="dataBar" priority="10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{BCFDB66B-69CC-054E-9E61-3931A8F54580}</x14:id>
        </ext>
      </extLst>
    </cfRule>
  </conditionalFormatting>
  <conditionalFormatting sqref="Z2:Z47">
    <cfRule type="dataBar" priority="9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{8BCCE3B2-A8D1-2948-917A-97F09FE67C0F}</x14:id>
        </ext>
      </extLst>
    </cfRule>
  </conditionalFormatting>
  <conditionalFormatting sqref="AE3:AE50">
    <cfRule type="dataBar" priority="12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{25F9B9D1-3B2A-3846-940B-EF1FCD32273B}</x14:id>
        </ext>
      </extLst>
    </cfRule>
    <cfRule type="colorScale" priority="13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D3:AD50">
    <cfRule type="dataBar" priority="14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{1FED2199-3193-BE4F-9EC1-0D7EA2921BBA}</x14:id>
        </ext>
      </extLst>
    </cfRule>
    <cfRule type="colorScale" priority="15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3:Y9">
    <cfRule type="dataBar" priority="7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{021AF2BF-37D6-464D-8185-C54493D06F8F}</x14:id>
        </ext>
      </extLst>
    </cfRule>
    <cfRule type="colorScale" priority="8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21:Y47">
    <cfRule type="dataBar" priority="5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{A8A8E4EB-DF80-A046-8520-FB3894EF78DA}</x14:id>
        </ext>
      </extLst>
    </cfRule>
    <cfRule type="colorScale" priority="6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A50:AA58">
    <cfRule type="dataBar" priority="4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{EAC24B10-5CBB-0841-9FEC-8E0661061DEF}</x14:id>
        </ext>
      </extLst>
    </cfRule>
  </conditionalFormatting>
  <conditionalFormatting sqref="Z49:Z58">
    <cfRule type="dataBar" priority="3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{AEC2A401-05DB-694C-AAF9-8F369C3C9C92}</x14:id>
        </ext>
      </extLst>
    </cfRule>
  </conditionalFormatting>
  <conditionalFormatting sqref="Y49:Y58">
    <cfRule type="dataBar" priority="1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{A56C7AFB-1F5B-D244-B3C5-1376D8823220}</x14:id>
        </ext>
      </extLst>
    </cfRule>
    <cfRule type="colorScale" priority="2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dataValidations count="3">
    <dataValidation type="list" allowBlank="1" showInputMessage="1" showErrorMessage="1" sqref="G2:J506 M2:M506" xr:uid="{B73BC361-F4B4-7E4D-87BD-7CA622FA27C7}">
      <formula1>"Yes, No"</formula1>
    </dataValidation>
    <dataValidation type="list" allowBlank="1" showInputMessage="1" showErrorMessage="1" sqref="D2:D506" xr:uid="{22F92588-DA82-6444-94E4-E7AE3C6AE1F6}">
      <formula1>"Straight, Parlay, Boost"</formula1>
    </dataValidation>
    <dataValidation type="list" allowBlank="1" showInputMessage="1" showErrorMessage="1" sqref="R2:R1048576" xr:uid="{F5AD5812-1029-D949-9674-9FC2936E3DAE}">
      <formula1>$X$50:$X$58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6303004-A5EA-9144-B281-9FDD7B26214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N1:N1048576</xm:sqref>
        </x14:conditionalFormatting>
        <x14:conditionalFormatting xmlns:xm="http://schemas.microsoft.com/office/excel/2006/main">
          <x14:cfRule type="dataBar" id="{CFD46F3F-722C-4346-B2A1-61AC0CE4486D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4B0072C9-AF33-2145-B473-D90194C7AAE1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CF75FACE-2D5C-C54F-BF4F-65C229D7C8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1EFF0918-68BC-7244-A072-1D04D7D77E7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74C5400D-AAC0-FD41-9CC3-37EF979A580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Y12:Y18</xm:sqref>
        </x14:conditionalFormatting>
        <x14:conditionalFormatting xmlns:xm="http://schemas.microsoft.com/office/excel/2006/main">
          <x14:cfRule type="dataBar" id="{6E213513-C2F6-A947-9EA1-986498285D23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AA41:AA43 AA26:AA31 AA3:AA9 AA34:AA38 AA12:AA18 AA21:AA23</xm:sqref>
        </x14:conditionalFormatting>
        <x14:conditionalFormatting xmlns:xm="http://schemas.microsoft.com/office/excel/2006/main">
          <x14:cfRule type="dataBar" id="{BCFDB66B-69CC-054E-9E61-3931A8F54580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AA46:AA47</xm:sqref>
        </x14:conditionalFormatting>
        <x14:conditionalFormatting xmlns:xm="http://schemas.microsoft.com/office/excel/2006/main">
          <x14:cfRule type="dataBar" id="{8BCCE3B2-A8D1-2948-917A-97F09FE67C0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Z2:Z47</xm:sqref>
        </x14:conditionalFormatting>
        <x14:conditionalFormatting xmlns:xm="http://schemas.microsoft.com/office/excel/2006/main">
          <x14:cfRule type="dataBar" id="{25F9B9D1-3B2A-3846-940B-EF1FCD32273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AE3:AE50</xm:sqref>
        </x14:conditionalFormatting>
        <x14:conditionalFormatting xmlns:xm="http://schemas.microsoft.com/office/excel/2006/main">
          <x14:cfRule type="dataBar" id="{1FED2199-3193-BE4F-9EC1-0D7EA2921BB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AD3:AD50</xm:sqref>
        </x14:conditionalFormatting>
        <x14:conditionalFormatting xmlns:xm="http://schemas.microsoft.com/office/excel/2006/main">
          <x14:cfRule type="dataBar" id="{021AF2BF-37D6-464D-8185-C54493D06F8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Y3:Y9</xm:sqref>
        </x14:conditionalFormatting>
        <x14:conditionalFormatting xmlns:xm="http://schemas.microsoft.com/office/excel/2006/main">
          <x14:cfRule type="dataBar" id="{A8A8E4EB-DF80-A046-8520-FB3894EF78D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Y21:Y47</xm:sqref>
        </x14:conditionalFormatting>
        <x14:conditionalFormatting xmlns:xm="http://schemas.microsoft.com/office/excel/2006/main">
          <x14:cfRule type="dataBar" id="{EAC24B10-5CBB-0841-9FEC-8E0661061DEF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AA50:AA58</xm:sqref>
        </x14:conditionalFormatting>
        <x14:conditionalFormatting xmlns:xm="http://schemas.microsoft.com/office/excel/2006/main">
          <x14:cfRule type="dataBar" id="{AEC2A401-05DB-694C-AAF9-8F369C3C9C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Z49:Z58</xm:sqref>
        </x14:conditionalFormatting>
        <x14:conditionalFormatting xmlns:xm="http://schemas.microsoft.com/office/excel/2006/main">
          <x14:cfRule type="dataBar" id="{A56C7AFB-1F5B-D244-B3C5-1376D882322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Y49:Y58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480E4-2DD4-1140-8D04-33E2FF32B10D}">
  <sheetPr codeName="Sheet13"/>
  <dimension ref="A1:AL581"/>
  <sheetViews>
    <sheetView topLeftCell="D1" zoomScale="80" zoomScaleNormal="80" workbookViewId="0">
      <pane ySplit="1" topLeftCell="A3" activePane="bottomLeft" state="frozen"/>
      <selection pane="bottomLeft" activeCell="B2" sqref="B2:B1048576"/>
    </sheetView>
  </sheetViews>
  <sheetFormatPr baseColWidth="10" defaultRowHeight="16" x14ac:dyDescent="0.2"/>
  <cols>
    <col min="1" max="1" width="11.5" style="18" bestFit="1" customWidth="1"/>
    <col min="4" max="4" width="11.5" bestFit="1" customWidth="1"/>
    <col min="6" max="6" width="14.83203125" bestFit="1" customWidth="1"/>
    <col min="8" max="8" width="12.5" bestFit="1" customWidth="1"/>
    <col min="11" max="11" width="10.83203125" style="7"/>
    <col min="14" max="14" width="13.5" bestFit="1" customWidth="1"/>
    <col min="15" max="15" width="21.1640625" bestFit="1" customWidth="1"/>
    <col min="16" max="16" width="31.33203125" customWidth="1"/>
    <col min="17" max="17" width="30.5" customWidth="1"/>
    <col min="18" max="18" width="11.5" customWidth="1"/>
    <col min="19" max="19" width="19.33203125" customWidth="1"/>
    <col min="20" max="20" width="11.6640625" bestFit="1" customWidth="1"/>
    <col min="22" max="22" width="12.6640625" bestFit="1" customWidth="1"/>
    <col min="24" max="24" width="14.83203125" style="32" bestFit="1" customWidth="1"/>
    <col min="26" max="26" width="10.83203125" hidden="1" customWidth="1"/>
    <col min="29" max="29" width="10.83203125" style="18"/>
    <col min="30" max="30" width="11" customWidth="1"/>
    <col min="31" max="31" width="10.1640625" bestFit="1" customWidth="1"/>
    <col min="38" max="38" width="0" hidden="1" customWidth="1"/>
  </cols>
  <sheetData>
    <row r="1" spans="1:38" ht="17" thickBot="1" x14ac:dyDescent="0.25">
      <c r="A1" s="56" t="s">
        <v>15</v>
      </c>
      <c r="B1" s="57" t="s">
        <v>10</v>
      </c>
      <c r="C1" s="57" t="s">
        <v>11</v>
      </c>
      <c r="D1" s="57" t="s">
        <v>50</v>
      </c>
      <c r="E1" s="57" t="s">
        <v>12</v>
      </c>
      <c r="F1" s="57" t="s">
        <v>3</v>
      </c>
      <c r="G1" s="57" t="s">
        <v>4</v>
      </c>
      <c r="H1" s="57" t="s">
        <v>60</v>
      </c>
      <c r="I1" s="57" t="s">
        <v>6</v>
      </c>
      <c r="J1" s="57" t="s">
        <v>69</v>
      </c>
      <c r="K1" s="57" t="s">
        <v>7</v>
      </c>
      <c r="L1" s="57" t="s">
        <v>8</v>
      </c>
      <c r="M1" s="57" t="s">
        <v>21</v>
      </c>
      <c r="N1" s="57" t="s">
        <v>9</v>
      </c>
      <c r="O1" s="57" t="s">
        <v>51</v>
      </c>
      <c r="P1" s="57" t="s">
        <v>13</v>
      </c>
      <c r="Q1" s="57" t="s">
        <v>14</v>
      </c>
      <c r="R1" s="57" t="s">
        <v>89</v>
      </c>
      <c r="S1" s="57" t="s">
        <v>61</v>
      </c>
    </row>
    <row r="2" spans="1:38" ht="17" thickBot="1" x14ac:dyDescent="0.25">
      <c r="A2" s="55" t="s">
        <v>86</v>
      </c>
      <c r="F2" t="str">
        <f t="shared" ref="F2:F27" si="0">IF(OR(O2="", P2=""), "", SUM(IF((O2&lt;&gt;"None")*(O2&lt;&gt;""),LEN(O2)-LEN(SUBSTITUTE(O2,",",""))+1,0)) + SUM(IF((P2&lt;&gt;"None")*(P2&lt;&gt;""),LEN(P2)-LEN(SUBSTITUTE(P2,",",""))+1,0)))</f>
        <v/>
      </c>
      <c r="L2" s="7" t="str">
        <f t="shared" ref="L2:L27" si="1">IF(LEN(E2)=0, "", IFERROR(IF(E2&gt;=0, K2 * (1 + E2/100) - K2, K2 / (ABS(E2)/100))+K2, ""))</f>
        <v/>
      </c>
      <c r="N2" s="7" t="str">
        <f t="shared" ref="N2:N27" si="2">IF(M2="Yes",L2-K2,IF(M2="No",-K2,""))</f>
        <v/>
      </c>
      <c r="O2" t="str">
        <f t="shared" ref="O2:O27" si="3">IF(AND(G2="No",H2="No"), "None", "")</f>
        <v/>
      </c>
      <c r="P2" t="str">
        <f t="shared" ref="P2:P27" si="4">IF(I2="No", "None", "")</f>
        <v/>
      </c>
      <c r="Q2" t="str">
        <f t="shared" ref="Q2:Q27" si="5">IF(AND(D2="Straight", M2 = "No"),IF(O2="None",P2,IF(P2="None",O2) ),"")</f>
        <v/>
      </c>
      <c r="S2" t="str">
        <f>""</f>
        <v/>
      </c>
      <c r="T2" s="109" t="s">
        <v>0</v>
      </c>
      <c r="U2" s="110"/>
      <c r="V2" s="4">
        <f>'Oct 2025'!V3</f>
        <v>0</v>
      </c>
      <c r="X2" s="79" t="s">
        <v>10</v>
      </c>
      <c r="Y2" s="80" t="s">
        <v>9</v>
      </c>
      <c r="Z2" s="81" t="s">
        <v>84</v>
      </c>
      <c r="AA2" s="82" t="s">
        <v>39</v>
      </c>
      <c r="AC2" s="86" t="s">
        <v>70</v>
      </c>
      <c r="AD2" s="87" t="s">
        <v>9</v>
      </c>
      <c r="AE2" s="88" t="s">
        <v>71</v>
      </c>
    </row>
    <row r="3" spans="1:38" x14ac:dyDescent="0.2">
      <c r="F3" t="str">
        <f t="shared" si="0"/>
        <v/>
      </c>
      <c r="L3" s="7" t="str">
        <f t="shared" si="1"/>
        <v/>
      </c>
      <c r="N3" s="7" t="str">
        <f t="shared" si="2"/>
        <v/>
      </c>
      <c r="O3" t="str">
        <f t="shared" si="3"/>
        <v/>
      </c>
      <c r="P3" t="str">
        <f t="shared" si="4"/>
        <v/>
      </c>
      <c r="Q3" t="str">
        <f t="shared" si="5"/>
        <v/>
      </c>
      <c r="S3" t="str">
        <f>""</f>
        <v/>
      </c>
      <c r="T3" s="101" t="s">
        <v>1</v>
      </c>
      <c r="U3" s="102"/>
      <c r="V3" s="5">
        <f>V2+V4</f>
        <v>0</v>
      </c>
      <c r="X3" s="47" t="s">
        <v>16</v>
      </c>
      <c r="Y3" s="45">
        <f>SUMIF($B:B,X3,N:N)</f>
        <v>0</v>
      </c>
      <c r="Z3" s="40">
        <f t="shared" ref="Z3:Z9" si="6">COUNTIF(B:B,X3)</f>
        <v>0</v>
      </c>
      <c r="AA3" s="41">
        <f t="shared" ref="AA3:AA9" si="7">IFERROR(COUNTIFS(B:B, X3)/COUNTA($B$2:$B$994),0)</f>
        <v>0</v>
      </c>
      <c r="AC3" s="17" t="str" cm="1">
        <f t="array" ref="AC3">IFERROR(INDEX($AL$2:$AL$300, MATCH(0, COUNTIF($AC$2:AC2, $AL$2:$AL$300) + IF($AL$2:$AL$300="", 1, 0), 0)), "")</f>
        <v/>
      </c>
      <c r="AD3" s="9">
        <f t="shared" ref="AD3:AD25" si="8">IF(ISBLANK(AC3),"",SUMIF(A:A,AC3,N:N))</f>
        <v>0</v>
      </c>
      <c r="AE3" s="19">
        <f>SUM(AD$3:AD3)</f>
        <v>0</v>
      </c>
      <c r="AL3" s="18" t="str">
        <f>IF(COUNTIF($A$2:A2, A2) = 1, A2, "")</f>
        <v/>
      </c>
    </row>
    <row r="4" spans="1:38" ht="17" thickBot="1" x14ac:dyDescent="0.25">
      <c r="F4" t="str">
        <f t="shared" si="0"/>
        <v/>
      </c>
      <c r="L4" s="7" t="str">
        <f t="shared" si="1"/>
        <v/>
      </c>
      <c r="N4" s="7" t="str">
        <f t="shared" si="2"/>
        <v/>
      </c>
      <c r="O4" t="str">
        <f t="shared" si="3"/>
        <v/>
      </c>
      <c r="P4" t="str">
        <f t="shared" si="4"/>
        <v/>
      </c>
      <c r="Q4" t="str">
        <f t="shared" si="5"/>
        <v/>
      </c>
      <c r="S4" t="str">
        <f>""</f>
        <v/>
      </c>
      <c r="T4" s="96" t="s">
        <v>2</v>
      </c>
      <c r="U4" s="97"/>
      <c r="V4" s="10">
        <f>SUM(N2:N1048576)</f>
        <v>0</v>
      </c>
      <c r="X4" s="48" t="s">
        <v>23</v>
      </c>
      <c r="Y4" s="45">
        <f>SUMIF($B:B,X4,N:N)</f>
        <v>0</v>
      </c>
      <c r="Z4" s="34">
        <f t="shared" si="6"/>
        <v>0</v>
      </c>
      <c r="AA4" s="38">
        <f t="shared" si="7"/>
        <v>0</v>
      </c>
      <c r="AC4" s="17" t="str" cm="1">
        <f t="array" ref="AC4">IFERROR(INDEX($AL$2:$AL$300, MATCH(0, COUNTIF($AC$2:AC3, $AL$2:$AL$300) + IF($AL$2:$AL$300="", 1, 0), 0)), "")</f>
        <v/>
      </c>
      <c r="AD4" s="9">
        <f t="shared" si="8"/>
        <v>0</v>
      </c>
      <c r="AE4" s="19">
        <f>SUM(AD$3:AD4)</f>
        <v>0</v>
      </c>
      <c r="AL4" s="18" t="str">
        <f>IF(COUNTIF($A$2:A3, A3) = 1, A3, "")</f>
        <v/>
      </c>
    </row>
    <row r="5" spans="1:38" ht="17" thickBot="1" x14ac:dyDescent="0.25">
      <c r="F5" t="str">
        <f t="shared" si="0"/>
        <v/>
      </c>
      <c r="L5" s="7" t="str">
        <f t="shared" si="1"/>
        <v/>
      </c>
      <c r="N5" s="7" t="str">
        <f t="shared" si="2"/>
        <v/>
      </c>
      <c r="O5" t="str">
        <f t="shared" si="3"/>
        <v/>
      </c>
      <c r="P5" t="str">
        <f t="shared" si="4"/>
        <v/>
      </c>
      <c r="Q5" t="str">
        <f t="shared" si="5"/>
        <v/>
      </c>
      <c r="S5" t="str">
        <f>""</f>
        <v/>
      </c>
      <c r="X5" s="48" t="s">
        <v>24</v>
      </c>
      <c r="Y5" s="45">
        <f>SUMIF($B:B,X5,N:N)</f>
        <v>0</v>
      </c>
      <c r="Z5" s="34">
        <f t="shared" si="6"/>
        <v>0</v>
      </c>
      <c r="AA5" s="38">
        <f t="shared" si="7"/>
        <v>0</v>
      </c>
      <c r="AC5" s="17" t="str" cm="1">
        <f t="array" ref="AC5">IFERROR(INDEX($AL$2:$AL$300, MATCH(0, COUNTIF($AC$2:AC4, $AL$2:$AL$300) + IF($AL$2:$AL$300="", 1, 0), 0)), "")</f>
        <v/>
      </c>
      <c r="AD5" s="9">
        <f t="shared" si="8"/>
        <v>0</v>
      </c>
      <c r="AE5" s="19">
        <f>SUM(AD$3:AD5)</f>
        <v>0</v>
      </c>
      <c r="AL5" s="18" t="str">
        <f>IF(COUNTIF($A$2:A4, A4) = 1, A4, "")</f>
        <v/>
      </c>
    </row>
    <row r="6" spans="1:38" x14ac:dyDescent="0.2">
      <c r="F6" t="str">
        <f t="shared" si="0"/>
        <v/>
      </c>
      <c r="L6" s="7" t="str">
        <f t="shared" si="1"/>
        <v/>
      </c>
      <c r="N6" s="7" t="str">
        <f t="shared" si="2"/>
        <v/>
      </c>
      <c r="O6" t="str">
        <f t="shared" si="3"/>
        <v/>
      </c>
      <c r="P6" t="str">
        <f t="shared" si="4"/>
        <v/>
      </c>
      <c r="Q6" t="str">
        <f t="shared" si="5"/>
        <v/>
      </c>
      <c r="S6" t="str">
        <f>""</f>
        <v/>
      </c>
      <c r="T6" s="109" t="s">
        <v>27</v>
      </c>
      <c r="U6" s="110"/>
      <c r="V6" s="58" t="str">
        <f>Master!D6</f>
        <v>Lions</v>
      </c>
      <c r="X6" s="48" t="s">
        <v>52</v>
      </c>
      <c r="Y6" s="45">
        <f>SUMIF($B:B,X6,N:N)</f>
        <v>0</v>
      </c>
      <c r="Z6" s="34">
        <f t="shared" si="6"/>
        <v>0</v>
      </c>
      <c r="AA6" s="38">
        <f t="shared" si="7"/>
        <v>0</v>
      </c>
      <c r="AC6" s="17" t="str" cm="1">
        <f t="array" ref="AC6">IFERROR(INDEX($AL$2:$AL$300, MATCH(0, COUNTIF($AC$2:AC5, $AL$2:$AL$300) + IF($AL$2:$AL$300="", 1, 0), 0)), "")</f>
        <v/>
      </c>
      <c r="AD6" s="9">
        <f t="shared" si="8"/>
        <v>0</v>
      </c>
      <c r="AE6" s="19">
        <f>SUM(AD$3:AD6)</f>
        <v>0</v>
      </c>
      <c r="AL6" s="18" t="str">
        <f>IF(COUNTIF($A$2:A5, A5) = 1, A5, "")</f>
        <v/>
      </c>
    </row>
    <row r="7" spans="1:38" x14ac:dyDescent="0.2">
      <c r="F7" t="str">
        <f t="shared" si="0"/>
        <v/>
      </c>
      <c r="L7" s="7" t="str">
        <f t="shared" si="1"/>
        <v/>
      </c>
      <c r="N7" s="7" t="str">
        <f t="shared" si="2"/>
        <v/>
      </c>
      <c r="O7" t="str">
        <f t="shared" si="3"/>
        <v/>
      </c>
      <c r="P7" t="str">
        <f t="shared" si="4"/>
        <v/>
      </c>
      <c r="Q7" t="str">
        <f t="shared" si="5"/>
        <v/>
      </c>
      <c r="S7" t="str">
        <f>""</f>
        <v/>
      </c>
      <c r="T7" s="111" t="s">
        <v>99</v>
      </c>
      <c r="U7" s="112"/>
      <c r="V7" s="8" cm="1">
        <f t="array" ref="V7">SUM(IF(ISNUMBER(SEARCH(V6, SUBSTITUTE($O$2:$O$998, ",", ""))), 1, 0))</f>
        <v>0</v>
      </c>
      <c r="X7" s="48" t="s">
        <v>87</v>
      </c>
      <c r="Y7" s="45">
        <f>SUMIF($B:B,X7,N:N)</f>
        <v>0</v>
      </c>
      <c r="Z7" s="34">
        <f t="shared" si="6"/>
        <v>0</v>
      </c>
      <c r="AA7" s="38">
        <f t="shared" si="7"/>
        <v>0</v>
      </c>
      <c r="AC7" s="17" t="str" cm="1">
        <f t="array" ref="AC7">IFERROR(INDEX($AL$2:$AL$300, MATCH(0, COUNTIF($AC$2:AC6, $AL$2:$AL$300) + IF($AL$2:$AL$300="", 1, 0), 0)), "")</f>
        <v/>
      </c>
      <c r="AD7" s="9">
        <f t="shared" si="8"/>
        <v>0</v>
      </c>
      <c r="AE7" s="20">
        <f>SUM(AD$3:AD7)</f>
        <v>0</v>
      </c>
      <c r="AL7" s="18" t="str">
        <f>IF(COUNTIF($A$2:A6, A6) = 1, A6, "")</f>
        <v/>
      </c>
    </row>
    <row r="8" spans="1:38" x14ac:dyDescent="0.2">
      <c r="F8" t="str">
        <f t="shared" si="0"/>
        <v/>
      </c>
      <c r="L8" s="7" t="str">
        <f t="shared" si="1"/>
        <v/>
      </c>
      <c r="N8" s="7" t="str">
        <f t="shared" si="2"/>
        <v/>
      </c>
      <c r="O8" t="str">
        <f t="shared" si="3"/>
        <v/>
      </c>
      <c r="P8" t="str">
        <f t="shared" si="4"/>
        <v/>
      </c>
      <c r="Q8" t="str">
        <f t="shared" si="5"/>
        <v/>
      </c>
      <c r="S8" t="str">
        <f>""</f>
        <v/>
      </c>
      <c r="T8" s="111" t="s">
        <v>100</v>
      </c>
      <c r="U8" s="112"/>
      <c r="V8" s="8" cm="1">
        <f t="array" ref="V8">SUM(IF(ISNUMBER(SEARCH(V6, SUBSTITUTE($Q$2:$Q$998, ",", ""))), 1, 0))</f>
        <v>0</v>
      </c>
      <c r="X8" s="48" t="s">
        <v>85</v>
      </c>
      <c r="Y8" s="45">
        <f>SUMIF($B:B,X8,N:N)</f>
        <v>0</v>
      </c>
      <c r="Z8" s="34">
        <f t="shared" si="6"/>
        <v>0</v>
      </c>
      <c r="AA8" s="38">
        <f t="shared" si="7"/>
        <v>0</v>
      </c>
      <c r="AC8" s="17" t="str" cm="1">
        <f t="array" ref="AC8">IFERROR(INDEX($AL$2:$AL$300, MATCH(0, COUNTIF($AC$2:AC7, $AL$2:$AL$300) + IF($AL$2:$AL$300="", 1, 0), 0)), "")</f>
        <v/>
      </c>
      <c r="AD8" s="9">
        <f t="shared" si="8"/>
        <v>0</v>
      </c>
      <c r="AE8" s="19">
        <f>SUM(AD$3:AD8)</f>
        <v>0</v>
      </c>
      <c r="AL8" s="18" t="str">
        <f>IF(COUNTIF($A$2:A7, A7) = 1, A7, "")</f>
        <v/>
      </c>
    </row>
    <row r="9" spans="1:38" ht="17" thickBot="1" x14ac:dyDescent="0.25">
      <c r="F9" t="str">
        <f t="shared" si="0"/>
        <v/>
      </c>
      <c r="L9" s="7" t="str">
        <f t="shared" si="1"/>
        <v/>
      </c>
      <c r="N9" s="7" t="str">
        <f t="shared" si="2"/>
        <v/>
      </c>
      <c r="O9" t="str">
        <f t="shared" si="3"/>
        <v/>
      </c>
      <c r="P9" t="str">
        <f t="shared" si="4"/>
        <v/>
      </c>
      <c r="Q9" t="str">
        <f t="shared" si="5"/>
        <v/>
      </c>
      <c r="S9" t="str">
        <f>""</f>
        <v/>
      </c>
      <c r="T9" s="101" t="s">
        <v>28</v>
      </c>
      <c r="U9" s="102"/>
      <c r="V9" s="51" t="e">
        <f>1-(V8/V7)</f>
        <v>#DIV/0!</v>
      </c>
      <c r="X9" s="50" t="s">
        <v>53</v>
      </c>
      <c r="Y9" s="44">
        <f>SUMIF($B:B,X9,N:N)</f>
        <v>0</v>
      </c>
      <c r="Z9" s="35">
        <f t="shared" si="6"/>
        <v>0</v>
      </c>
      <c r="AA9" s="39">
        <f t="shared" si="7"/>
        <v>0</v>
      </c>
      <c r="AC9" s="17" t="str" cm="1">
        <f t="array" ref="AC9">IFERROR(INDEX($AL$2:$AL$300, MATCH(0, COUNTIF($AC$2:AC8, $AL$2:$AL$300) + IF($AL$2:$AL$300="", 1, 0), 0)), "")</f>
        <v/>
      </c>
      <c r="AD9" s="9">
        <f t="shared" si="8"/>
        <v>0</v>
      </c>
      <c r="AE9" s="19">
        <f>SUM(AD$3:AD9)</f>
        <v>0</v>
      </c>
      <c r="AL9" s="18" t="str">
        <f>IF(COUNTIF($A$2:A8, A8) = 1, A8, "")</f>
        <v/>
      </c>
    </row>
    <row r="10" spans="1:38" ht="17" thickBot="1" x14ac:dyDescent="0.25">
      <c r="F10" t="str">
        <f t="shared" si="0"/>
        <v/>
      </c>
      <c r="L10" s="7" t="str">
        <f t="shared" si="1"/>
        <v/>
      </c>
      <c r="N10" s="7" t="str">
        <f t="shared" si="2"/>
        <v/>
      </c>
      <c r="O10" t="str">
        <f t="shared" si="3"/>
        <v/>
      </c>
      <c r="P10" t="str">
        <f t="shared" si="4"/>
        <v/>
      </c>
      <c r="Q10" t="str">
        <f t="shared" si="5"/>
        <v/>
      </c>
      <c r="S10" t="str">
        <f>""</f>
        <v/>
      </c>
      <c r="T10" s="115" t="s">
        <v>9</v>
      </c>
      <c r="U10" s="116"/>
      <c r="V10" s="45" cm="1">
        <f t="array" ref="V10">SUMPRODUCT(--($D$2:$D$998="Straight"), --ISNUMBER(SEARCH(V6, SUBSTITUTE($O$2:$O$998, ",", ""))), $N$2:$N$998)</f>
        <v>0</v>
      </c>
      <c r="Y10" s="7"/>
      <c r="AC10" s="17" t="str" cm="1">
        <f t="array" ref="AC10">IFERROR(INDEX($AL$2:$AL$300, MATCH(0, COUNTIF($AC$2:AC9, $AL$2:$AL$300) + IF($AL$2:$AL$300="", 1, 0), 0)), "")</f>
        <v/>
      </c>
      <c r="AD10" s="9">
        <f t="shared" si="8"/>
        <v>0</v>
      </c>
      <c r="AE10" s="19">
        <f>SUM(AD$3:AD10)</f>
        <v>0</v>
      </c>
      <c r="AL10" s="18" t="str">
        <f>IF(COUNTIF($A$2:A9, A9) = 1, A9, "")</f>
        <v/>
      </c>
    </row>
    <row r="11" spans="1:38" ht="17" thickBot="1" x14ac:dyDescent="0.25">
      <c r="F11" t="str">
        <f t="shared" si="0"/>
        <v/>
      </c>
      <c r="L11" s="7" t="str">
        <f t="shared" si="1"/>
        <v/>
      </c>
      <c r="N11" s="7" t="str">
        <f t="shared" si="2"/>
        <v/>
      </c>
      <c r="O11" t="str">
        <f t="shared" si="3"/>
        <v/>
      </c>
      <c r="P11" t="str">
        <f t="shared" si="4"/>
        <v/>
      </c>
      <c r="Q11" t="str">
        <f t="shared" si="5"/>
        <v/>
      </c>
      <c r="S11" t="str">
        <f>""</f>
        <v/>
      </c>
      <c r="T11" s="117" t="s">
        <v>57</v>
      </c>
      <c r="U11" s="118"/>
      <c r="V11" s="119"/>
      <c r="X11" s="79" t="s">
        <v>11</v>
      </c>
      <c r="Y11" s="83" t="s">
        <v>9</v>
      </c>
      <c r="Z11" s="81" t="s">
        <v>84</v>
      </c>
      <c r="AA11" s="82" t="s">
        <v>39</v>
      </c>
      <c r="AC11" s="17" t="str" cm="1">
        <f t="array" ref="AC11">IFERROR(INDEX($AL$2:$AL$300, MATCH(0, COUNTIF($AC$2:AC10, $AL$2:$AL$300) + IF($AL$2:$AL$300="", 1, 0), 0)), "")</f>
        <v/>
      </c>
      <c r="AD11" s="9">
        <f t="shared" si="8"/>
        <v>0</v>
      </c>
      <c r="AE11" s="20">
        <f>SUM(AD$3:AD11)</f>
        <v>0</v>
      </c>
      <c r="AL11" s="18" t="str">
        <f>IF(COUNTIF($A$2:A10, A10) = 1, A10, "")</f>
        <v/>
      </c>
    </row>
    <row r="12" spans="1:38" x14ac:dyDescent="0.2">
      <c r="F12" t="str">
        <f t="shared" si="0"/>
        <v/>
      </c>
      <c r="L12" s="7" t="str">
        <f t="shared" si="1"/>
        <v/>
      </c>
      <c r="N12" s="7" t="str">
        <f t="shared" si="2"/>
        <v/>
      </c>
      <c r="O12" t="str">
        <f t="shared" si="3"/>
        <v/>
      </c>
      <c r="P12" t="str">
        <f t="shared" si="4"/>
        <v/>
      </c>
      <c r="Q12" t="str">
        <f t="shared" si="5"/>
        <v/>
      </c>
      <c r="S12" t="str">
        <f>""</f>
        <v/>
      </c>
      <c r="T12" s="109" t="s">
        <v>22</v>
      </c>
      <c r="U12" s="110"/>
      <c r="V12" s="58" t="str">
        <f>Master!D12</f>
        <v>Josh Allen</v>
      </c>
      <c r="X12" s="47" t="s">
        <v>17</v>
      </c>
      <c r="Y12" s="45">
        <f t="shared" ref="Y12:Y18" si="9">SUMIF(C:C,X12,N:N)</f>
        <v>0</v>
      </c>
      <c r="Z12" s="40">
        <f t="shared" ref="Z12:Z18" si="10">COUNTIF(C:C,X12)</f>
        <v>0</v>
      </c>
      <c r="AA12" s="41">
        <f t="shared" ref="AA12:AA18" si="11">IFERROR(COUNTIFS(C:C, X12)/COUNTA($C$2:$C$994),0)</f>
        <v>0</v>
      </c>
      <c r="AC12" s="17" t="str" cm="1">
        <f t="array" ref="AC12">IFERROR(INDEX($AL$2:$AL$300, MATCH(0, COUNTIF($AC$2:AC11, $AL$2:$AL$300) + IF($AL$2:$AL$300="", 1, 0), 0)), "")</f>
        <v/>
      </c>
      <c r="AD12" s="9">
        <f t="shared" si="8"/>
        <v>0</v>
      </c>
      <c r="AE12" s="19">
        <f>SUM(AD$3:AD12)</f>
        <v>0</v>
      </c>
      <c r="AL12" s="18" t="str">
        <f>IF(COUNTIF($A$2:A11, A11) = 1, A11, "")</f>
        <v/>
      </c>
    </row>
    <row r="13" spans="1:38" x14ac:dyDescent="0.2">
      <c r="F13" t="str">
        <f t="shared" si="0"/>
        <v/>
      </c>
      <c r="L13" s="7" t="str">
        <f t="shared" si="1"/>
        <v/>
      </c>
      <c r="N13" s="7" t="str">
        <f t="shared" si="2"/>
        <v/>
      </c>
      <c r="O13" t="str">
        <f t="shared" si="3"/>
        <v/>
      </c>
      <c r="P13" t="str">
        <f t="shared" si="4"/>
        <v/>
      </c>
      <c r="Q13" t="str">
        <f t="shared" si="5"/>
        <v/>
      </c>
      <c r="S13" t="str">
        <f>""</f>
        <v/>
      </c>
      <c r="T13" s="111" t="s">
        <v>99</v>
      </c>
      <c r="U13" s="112"/>
      <c r="V13" s="8" cm="1">
        <f t="array" ref="V13">SUM(IF(ISNUMBER(SEARCH(V12, SUBSTITUTE($P$2:$P$998, ",", ""))), 1, 0))</f>
        <v>0</v>
      </c>
      <c r="X13" s="48" t="s">
        <v>19</v>
      </c>
      <c r="Y13" s="43">
        <f t="shared" si="9"/>
        <v>0</v>
      </c>
      <c r="Z13" s="34">
        <f t="shared" si="10"/>
        <v>0</v>
      </c>
      <c r="AA13" s="41">
        <f t="shared" si="11"/>
        <v>0</v>
      </c>
      <c r="AC13" s="17" t="str" cm="1">
        <f t="array" ref="AC13">IFERROR(INDEX($AL$2:$AL$300, MATCH(0, COUNTIF($AC$2:AC12, $AL$2:$AL$300) + IF($AL$2:$AL$300="", 1, 0), 0)), "")</f>
        <v/>
      </c>
      <c r="AD13" s="9">
        <f t="shared" si="8"/>
        <v>0</v>
      </c>
      <c r="AE13" s="19">
        <f>SUM(AD$3:AD13)</f>
        <v>0</v>
      </c>
      <c r="AL13" s="18" t="str">
        <f>IF(COUNTIF($A$2:A12, A12) = 1, A12, "")</f>
        <v/>
      </c>
    </row>
    <row r="14" spans="1:38" x14ac:dyDescent="0.2">
      <c r="F14" t="str">
        <f t="shared" si="0"/>
        <v/>
      </c>
      <c r="L14" s="7" t="str">
        <f t="shared" si="1"/>
        <v/>
      </c>
      <c r="N14" s="7" t="str">
        <f t="shared" si="2"/>
        <v/>
      </c>
      <c r="O14" t="str">
        <f t="shared" si="3"/>
        <v/>
      </c>
      <c r="P14" t="str">
        <f t="shared" si="4"/>
        <v/>
      </c>
      <c r="Q14" t="str">
        <f t="shared" si="5"/>
        <v/>
      </c>
      <c r="S14" t="str">
        <f>""</f>
        <v/>
      </c>
      <c r="T14" s="111" t="s">
        <v>100</v>
      </c>
      <c r="U14" s="112"/>
      <c r="V14" s="8" cm="1">
        <f t="array" ref="V14">SUM(IF(ISNUMBER(SEARCH(V12, SUBSTITUTE($Q$2:$Q$998, ",", ""))), 1, 0))</f>
        <v>0</v>
      </c>
      <c r="X14" s="48" t="s">
        <v>25</v>
      </c>
      <c r="Y14" s="43">
        <f t="shared" si="9"/>
        <v>0</v>
      </c>
      <c r="Z14" s="34">
        <f t="shared" si="10"/>
        <v>0</v>
      </c>
      <c r="AA14" s="41">
        <f t="shared" si="11"/>
        <v>0</v>
      </c>
      <c r="AC14" s="17" t="str" cm="1">
        <f t="array" ref="AC14">IFERROR(INDEX($AL$2:$AL$300, MATCH(0, COUNTIF($AC$2:AC13, $AL$2:$AL$300) + IF($AL$2:$AL$300="", 1, 0), 0)), "")</f>
        <v/>
      </c>
      <c r="AD14" s="9">
        <f t="shared" si="8"/>
        <v>0</v>
      </c>
      <c r="AE14" s="19">
        <f>SUM(AD$3:AD14)</f>
        <v>0</v>
      </c>
      <c r="AL14" s="18" t="str">
        <f>IF(COUNTIF($A$2:A13, A13) = 1, A13, "")</f>
        <v/>
      </c>
    </row>
    <row r="15" spans="1:38" x14ac:dyDescent="0.2">
      <c r="F15" t="str">
        <f t="shared" si="0"/>
        <v/>
      </c>
      <c r="L15" s="7" t="str">
        <f t="shared" si="1"/>
        <v/>
      </c>
      <c r="N15" s="7" t="str">
        <f t="shared" si="2"/>
        <v/>
      </c>
      <c r="O15" t="str">
        <f t="shared" si="3"/>
        <v/>
      </c>
      <c r="P15" t="str">
        <f t="shared" si="4"/>
        <v/>
      </c>
      <c r="Q15" t="str">
        <f t="shared" si="5"/>
        <v/>
      </c>
      <c r="S15" t="str">
        <f>""</f>
        <v/>
      </c>
      <c r="T15" s="101" t="s">
        <v>28</v>
      </c>
      <c r="U15" s="102"/>
      <c r="V15" s="51" t="e">
        <f>1-(V14/V13)</f>
        <v>#DIV/0!</v>
      </c>
      <c r="X15" s="47" t="s">
        <v>26</v>
      </c>
      <c r="Y15" s="43">
        <f t="shared" si="9"/>
        <v>0</v>
      </c>
      <c r="Z15" s="34">
        <f t="shared" si="10"/>
        <v>0</v>
      </c>
      <c r="AA15" s="41">
        <f t="shared" si="11"/>
        <v>0</v>
      </c>
      <c r="AC15" s="17" t="str" cm="1">
        <f t="array" ref="AC15">IFERROR(INDEX($AL$2:$AL$300, MATCH(0, COUNTIF($AC$2:AC14, $AL$2:$AL$300) + IF($AL$2:$AL$300="", 1, 0), 0)), "")</f>
        <v/>
      </c>
      <c r="AD15" s="9">
        <f t="shared" si="8"/>
        <v>0</v>
      </c>
      <c r="AE15" s="20">
        <f>SUM(AD$3:AD15)</f>
        <v>0</v>
      </c>
      <c r="AL15" s="18" t="str">
        <f>IF(COUNTIF($A$2:A14, A14) = 1, A14, "")</f>
        <v/>
      </c>
    </row>
    <row r="16" spans="1:38" ht="17" thickBot="1" x14ac:dyDescent="0.25">
      <c r="F16" t="str">
        <f t="shared" si="0"/>
        <v/>
      </c>
      <c r="L16" s="7" t="str">
        <f t="shared" si="1"/>
        <v/>
      </c>
      <c r="N16" s="7" t="str">
        <f t="shared" si="2"/>
        <v/>
      </c>
      <c r="O16" t="str">
        <f t="shared" si="3"/>
        <v/>
      </c>
      <c r="P16" t="str">
        <f t="shared" si="4"/>
        <v/>
      </c>
      <c r="Q16" t="str">
        <f t="shared" si="5"/>
        <v/>
      </c>
      <c r="S16" t="str">
        <f>""</f>
        <v/>
      </c>
      <c r="T16" s="115" t="s">
        <v>9</v>
      </c>
      <c r="U16" s="116"/>
      <c r="V16" s="45" cm="1">
        <f t="array" ref="V16">SUMPRODUCT(--($D$2:$D$998="Straight"), --ISNUMBER(SEARCH(V12, SUBSTITUTE($P$2:$P$998, ",", ""))), $N$2:$N$998)</f>
        <v>0</v>
      </c>
      <c r="X16" s="48" t="s">
        <v>29</v>
      </c>
      <c r="Y16" s="43">
        <f t="shared" si="9"/>
        <v>0</v>
      </c>
      <c r="Z16" s="34">
        <f t="shared" si="10"/>
        <v>0</v>
      </c>
      <c r="AA16" s="41">
        <f t="shared" si="11"/>
        <v>0</v>
      </c>
      <c r="AC16" s="17" t="str" cm="1">
        <f t="array" ref="AC16">IFERROR(INDEX($AL$2:$AL$300, MATCH(0, COUNTIF($AC$2:AC15, $AL$2:$AL$300) + IF($AL$2:$AL$300="", 1, 0), 0)), "")</f>
        <v/>
      </c>
      <c r="AD16" s="9">
        <f t="shared" si="8"/>
        <v>0</v>
      </c>
      <c r="AE16" s="19">
        <f>SUM(AD$3:AD16)</f>
        <v>0</v>
      </c>
      <c r="AL16" s="18" t="str">
        <f>IF(COUNTIF($A$2:A15, A15) = 1, A15, "")</f>
        <v/>
      </c>
    </row>
    <row r="17" spans="6:38" ht="17" thickBot="1" x14ac:dyDescent="0.25">
      <c r="F17" t="str">
        <f t="shared" si="0"/>
        <v/>
      </c>
      <c r="L17" s="7" t="str">
        <f t="shared" si="1"/>
        <v/>
      </c>
      <c r="N17" s="7" t="str">
        <f t="shared" si="2"/>
        <v/>
      </c>
      <c r="O17" t="str">
        <f t="shared" si="3"/>
        <v/>
      </c>
      <c r="P17" t="str">
        <f t="shared" si="4"/>
        <v/>
      </c>
      <c r="Q17" t="str">
        <f t="shared" si="5"/>
        <v/>
      </c>
      <c r="S17" t="str">
        <f>""</f>
        <v/>
      </c>
      <c r="T17" s="117" t="s">
        <v>57</v>
      </c>
      <c r="U17" s="118"/>
      <c r="V17" s="119"/>
      <c r="X17" s="48" t="s">
        <v>30</v>
      </c>
      <c r="Y17" s="43">
        <f t="shared" si="9"/>
        <v>0</v>
      </c>
      <c r="Z17" s="34">
        <f t="shared" si="10"/>
        <v>0</v>
      </c>
      <c r="AA17" s="41">
        <f t="shared" si="11"/>
        <v>0</v>
      </c>
      <c r="AC17" s="17" t="str" cm="1">
        <f t="array" ref="AC17">IFERROR(INDEX($AL$2:$AL$300, MATCH(0, COUNTIF($AC$2:AC16, $AL$2:$AL$300) + IF($AL$2:$AL$300="", 1, 0), 0)), "")</f>
        <v/>
      </c>
      <c r="AD17" s="9">
        <f t="shared" si="8"/>
        <v>0</v>
      </c>
      <c r="AE17" s="19">
        <f>SUM(AD$3:AD17)</f>
        <v>0</v>
      </c>
      <c r="AL17" s="18" t="str">
        <f>IF(COUNTIF($A$2:A16, A16) = 1, A16, "")</f>
        <v/>
      </c>
    </row>
    <row r="18" spans="6:38" ht="17" thickBot="1" x14ac:dyDescent="0.25">
      <c r="F18" t="str">
        <f t="shared" si="0"/>
        <v/>
      </c>
      <c r="L18" s="7" t="str">
        <f t="shared" si="1"/>
        <v/>
      </c>
      <c r="N18" s="7" t="str">
        <f t="shared" si="2"/>
        <v/>
      </c>
      <c r="O18" t="str">
        <f t="shared" si="3"/>
        <v/>
      </c>
      <c r="P18" t="str">
        <f t="shared" si="4"/>
        <v/>
      </c>
      <c r="Q18" t="str">
        <f t="shared" si="5"/>
        <v/>
      </c>
      <c r="S18" t="str">
        <f>""</f>
        <v/>
      </c>
      <c r="X18" s="50" t="s">
        <v>82</v>
      </c>
      <c r="Y18" s="44">
        <f t="shared" si="9"/>
        <v>0</v>
      </c>
      <c r="Z18" s="35">
        <f t="shared" si="10"/>
        <v>0</v>
      </c>
      <c r="AA18" s="52">
        <f t="shared" si="11"/>
        <v>0</v>
      </c>
      <c r="AC18" s="17" t="str" cm="1">
        <f t="array" ref="AC18">IFERROR(INDEX($AL$2:$AL$300, MATCH(0, COUNTIF($AC$2:AC17, $AL$2:$AL$300) + IF($AL$2:$AL$300="", 1, 0), 0)), "")</f>
        <v/>
      </c>
      <c r="AD18" s="9">
        <f t="shared" si="8"/>
        <v>0</v>
      </c>
      <c r="AE18" s="19">
        <f>SUM(AD$3:AD18)</f>
        <v>0</v>
      </c>
      <c r="AL18" s="18" t="str">
        <f>IF(COUNTIF($A$2:A17, A17) = 1, A17, "")</f>
        <v/>
      </c>
    </row>
    <row r="19" spans="6:38" ht="17" thickBot="1" x14ac:dyDescent="0.25">
      <c r="F19" t="str">
        <f t="shared" si="0"/>
        <v/>
      </c>
      <c r="L19" s="7" t="str">
        <f t="shared" si="1"/>
        <v/>
      </c>
      <c r="N19" s="7" t="str">
        <f t="shared" si="2"/>
        <v/>
      </c>
      <c r="O19" t="str">
        <f t="shared" si="3"/>
        <v/>
      </c>
      <c r="P19" t="str">
        <f t="shared" si="4"/>
        <v/>
      </c>
      <c r="Q19" t="str">
        <f t="shared" si="5"/>
        <v/>
      </c>
      <c r="S19" t="str">
        <f>""</f>
        <v/>
      </c>
      <c r="T19" s="103" t="s">
        <v>62</v>
      </c>
      <c r="U19" s="104"/>
      <c r="V19" s="13">
        <f>COUNTA(B:B) - 1</f>
        <v>0</v>
      </c>
      <c r="Y19" s="7"/>
      <c r="AC19" s="17" t="str" cm="1">
        <f t="array" ref="AC19">IFERROR(INDEX($AL$2:$AL$300, MATCH(0, COUNTIF($AC$2:AC18, $AL$2:$AL$300) + IF($AL$2:$AL$300="", 1, 0), 0)), "")</f>
        <v/>
      </c>
      <c r="AD19" s="9">
        <f t="shared" si="8"/>
        <v>0</v>
      </c>
      <c r="AE19" s="20">
        <f>SUM(AD$3:AD19)</f>
        <v>0</v>
      </c>
      <c r="AL19" s="18" t="str">
        <f>IF(COUNTIF($A$2:A18, A18) = 1, A18, "")</f>
        <v/>
      </c>
    </row>
    <row r="20" spans="6:38" ht="17" thickBot="1" x14ac:dyDescent="0.25">
      <c r="F20" t="str">
        <f t="shared" si="0"/>
        <v/>
      </c>
      <c r="L20" s="7" t="str">
        <f t="shared" si="1"/>
        <v/>
      </c>
      <c r="N20" s="7" t="str">
        <f t="shared" si="2"/>
        <v/>
      </c>
      <c r="O20" t="str">
        <f t="shared" si="3"/>
        <v/>
      </c>
      <c r="P20" t="str">
        <f t="shared" si="4"/>
        <v/>
      </c>
      <c r="Q20" t="str">
        <f t="shared" si="5"/>
        <v/>
      </c>
      <c r="S20" t="str">
        <f>""</f>
        <v/>
      </c>
      <c r="T20" s="111" t="s">
        <v>64</v>
      </c>
      <c r="U20" s="112"/>
      <c r="V20" s="24">
        <f>COUNTIF(M:M, "Yes")</f>
        <v>0</v>
      </c>
      <c r="X20" s="79" t="s">
        <v>50</v>
      </c>
      <c r="Y20" s="83" t="s">
        <v>9</v>
      </c>
      <c r="Z20" s="81" t="s">
        <v>84</v>
      </c>
      <c r="AA20" s="82" t="s">
        <v>39</v>
      </c>
      <c r="AC20" s="17" t="str" cm="1">
        <f t="array" ref="AC20">IFERROR(INDEX($AL$2:$AL$300, MATCH(0, COUNTIF($AC$2:AC19, $AL$2:$AL$300) + IF($AL$2:$AL$300="", 1, 0), 0)), "")</f>
        <v/>
      </c>
      <c r="AD20" s="9">
        <f t="shared" si="8"/>
        <v>0</v>
      </c>
      <c r="AE20" s="19">
        <f>SUM(AD$3:AD20)</f>
        <v>0</v>
      </c>
      <c r="AL20" s="18" t="str">
        <f>IF(COUNTIF($A$2:A19, A19) = 1, A19, "")</f>
        <v/>
      </c>
    </row>
    <row r="21" spans="6:38" x14ac:dyDescent="0.2">
      <c r="F21" t="str">
        <f t="shared" si="0"/>
        <v/>
      </c>
      <c r="L21" s="7" t="str">
        <f t="shared" si="1"/>
        <v/>
      </c>
      <c r="N21" s="7" t="str">
        <f t="shared" si="2"/>
        <v/>
      </c>
      <c r="O21" t="str">
        <f t="shared" si="3"/>
        <v/>
      </c>
      <c r="P21" t="str">
        <f t="shared" si="4"/>
        <v/>
      </c>
      <c r="Q21" t="str">
        <f t="shared" si="5"/>
        <v/>
      </c>
      <c r="S21" t="str">
        <f>""</f>
        <v/>
      </c>
      <c r="T21" s="111" t="s">
        <v>65</v>
      </c>
      <c r="U21" s="112"/>
      <c r="V21" s="25">
        <f>COUNTIF(M:M, "No")</f>
        <v>0</v>
      </c>
      <c r="X21" s="47" t="s">
        <v>20</v>
      </c>
      <c r="Y21" s="45">
        <f>SUMIF(D:D,X21,N:N)</f>
        <v>0</v>
      </c>
      <c r="Z21" s="40">
        <f>COUNTIF(D:D,X21)</f>
        <v>0</v>
      </c>
      <c r="AA21" s="41">
        <f>IFERROR(COUNTIFS(D:D, X21)/COUNTA($D$2:$D$994),0)</f>
        <v>0</v>
      </c>
      <c r="AC21" s="17" t="str" cm="1">
        <f t="array" ref="AC21">IFERROR(INDEX($AL$2:$AL$300, MATCH(0, COUNTIF($AC$2:AC20, $AL$2:$AL$300) + IF($AL$2:$AL$300="", 1, 0), 0)), "")</f>
        <v/>
      </c>
      <c r="AD21" s="9">
        <f t="shared" si="8"/>
        <v>0</v>
      </c>
      <c r="AE21" s="19">
        <f>SUM(AD$3:AD21)</f>
        <v>0</v>
      </c>
      <c r="AL21" s="18" t="str">
        <f>IF(COUNTIF($A$2:A20, A20) = 1, A20, "")</f>
        <v/>
      </c>
    </row>
    <row r="22" spans="6:38" ht="17" thickBot="1" x14ac:dyDescent="0.25">
      <c r="F22" t="str">
        <f t="shared" si="0"/>
        <v/>
      </c>
      <c r="L22" s="7" t="str">
        <f t="shared" si="1"/>
        <v/>
      </c>
      <c r="N22" s="7" t="str">
        <f t="shared" si="2"/>
        <v/>
      </c>
      <c r="O22" t="str">
        <f t="shared" si="3"/>
        <v/>
      </c>
      <c r="P22" t="str">
        <f t="shared" si="4"/>
        <v/>
      </c>
      <c r="Q22" t="str">
        <f t="shared" si="5"/>
        <v/>
      </c>
      <c r="S22" t="str">
        <f>""</f>
        <v/>
      </c>
      <c r="T22" s="107" t="s">
        <v>76</v>
      </c>
      <c r="U22" s="108"/>
      <c r="V22" s="14">
        <f>V19-V20-V21</f>
        <v>0</v>
      </c>
      <c r="X22" s="48" t="s">
        <v>18</v>
      </c>
      <c r="Y22" s="45">
        <f>SUMIF(D:D,X22,N:N)</f>
        <v>0</v>
      </c>
      <c r="Z22" s="34">
        <f>COUNTIF(D:D,X22)</f>
        <v>0</v>
      </c>
      <c r="AA22" s="41">
        <f>IFERROR(COUNTIFS(D:D, X22)/COUNTA($D$2:$D$994),0)</f>
        <v>0</v>
      </c>
      <c r="AC22" s="17" t="str" cm="1">
        <f t="array" ref="AC22">IFERROR(INDEX($AL$2:$AL$300, MATCH(0, COUNTIF($AC$2:AC21, $AL$2:$AL$300) + IF($AL$2:$AL$300="", 1, 0), 0)), "")</f>
        <v/>
      </c>
      <c r="AD22" s="9">
        <f t="shared" si="8"/>
        <v>0</v>
      </c>
      <c r="AE22" s="19">
        <f>SUM(AD$3:AD22)</f>
        <v>0</v>
      </c>
      <c r="AL22" s="18" t="str">
        <f>IF(COUNTIF($A$2:A21, A21) = 1, A21, "")</f>
        <v/>
      </c>
    </row>
    <row r="23" spans="6:38" ht="17" thickBot="1" x14ac:dyDescent="0.25">
      <c r="F23" t="str">
        <f t="shared" si="0"/>
        <v/>
      </c>
      <c r="L23" s="7" t="str">
        <f t="shared" si="1"/>
        <v/>
      </c>
      <c r="N23" s="7" t="str">
        <f t="shared" si="2"/>
        <v/>
      </c>
      <c r="O23" t="str">
        <f t="shared" si="3"/>
        <v/>
      </c>
      <c r="P23" t="str">
        <f t="shared" si="4"/>
        <v/>
      </c>
      <c r="Q23" t="str">
        <f t="shared" si="5"/>
        <v/>
      </c>
      <c r="S23" t="str">
        <f>""</f>
        <v/>
      </c>
      <c r="X23" s="50" t="s">
        <v>31</v>
      </c>
      <c r="Y23" s="44">
        <f>SUMIF(D:D,X23,N:N)</f>
        <v>0</v>
      </c>
      <c r="Z23" s="35">
        <f>COUNTIF(D:D,X23)</f>
        <v>0</v>
      </c>
      <c r="AA23" s="52">
        <f>IFERROR(COUNTIFS(D:D, X23)/COUNTA($D$2:$D$994),0)</f>
        <v>0</v>
      </c>
      <c r="AC23" s="17" t="str" cm="1">
        <f t="array" ref="AC23">IFERROR(INDEX($AL$2:$AL$300, MATCH(0, COUNTIF($AC$2:AC22, $AL$2:$AL$300) + IF($AL$2:$AL$300="", 1, 0), 0)), "")</f>
        <v/>
      </c>
      <c r="AD23" s="9">
        <f t="shared" si="8"/>
        <v>0</v>
      </c>
      <c r="AE23" s="20">
        <f>SUM(AD$3:AD23)</f>
        <v>0</v>
      </c>
      <c r="AL23" s="18" t="str">
        <f>IF(COUNTIF($A$2:A22, A22) = 1, A22, "")</f>
        <v/>
      </c>
    </row>
    <row r="24" spans="6:38" ht="17" thickBot="1" x14ac:dyDescent="0.25">
      <c r="F24" t="str">
        <f t="shared" si="0"/>
        <v/>
      </c>
      <c r="L24" s="7" t="str">
        <f t="shared" si="1"/>
        <v/>
      </c>
      <c r="N24" s="7" t="str">
        <f t="shared" si="2"/>
        <v/>
      </c>
      <c r="O24" t="str">
        <f t="shared" si="3"/>
        <v/>
      </c>
      <c r="P24" t="str">
        <f t="shared" si="4"/>
        <v/>
      </c>
      <c r="Q24" t="str">
        <f t="shared" si="5"/>
        <v/>
      </c>
      <c r="S24" t="str">
        <f>""</f>
        <v/>
      </c>
      <c r="Y24" s="60"/>
      <c r="AC24" s="17" t="str" cm="1">
        <f t="array" ref="AC24">IFERROR(INDEX($AL$2:$AL$300, MATCH(0, COUNTIF($AC$2:AC23, $AL$2:$AL$300) + IF($AL$2:$AL$300="", 1, 0), 0)), "")</f>
        <v/>
      </c>
      <c r="AD24" s="9">
        <f t="shared" si="8"/>
        <v>0</v>
      </c>
      <c r="AE24" s="19">
        <f>SUM(AD$3:AD24)</f>
        <v>0</v>
      </c>
      <c r="AL24" s="18" t="str">
        <f>IF(COUNTIF($A$2:A23, A23) = 1, A23, "")</f>
        <v/>
      </c>
    </row>
    <row r="25" spans="6:38" ht="17" thickBot="1" x14ac:dyDescent="0.25">
      <c r="F25" t="str">
        <f t="shared" si="0"/>
        <v/>
      </c>
      <c r="L25" s="7" t="str">
        <f t="shared" si="1"/>
        <v/>
      </c>
      <c r="N25" s="7" t="str">
        <f t="shared" si="2"/>
        <v/>
      </c>
      <c r="O25" t="str">
        <f t="shared" si="3"/>
        <v/>
      </c>
      <c r="P25" t="str">
        <f t="shared" si="4"/>
        <v/>
      </c>
      <c r="Q25" t="str">
        <f t="shared" si="5"/>
        <v/>
      </c>
      <c r="S25" t="str">
        <f>""</f>
        <v/>
      </c>
      <c r="X25" s="79" t="s">
        <v>12</v>
      </c>
      <c r="Y25" s="83" t="s">
        <v>9</v>
      </c>
      <c r="Z25" s="81" t="s">
        <v>84</v>
      </c>
      <c r="AA25" s="82" t="s">
        <v>39</v>
      </c>
      <c r="AC25" s="21" t="str" cm="1">
        <f t="array" ref="AC25">IFERROR(INDEX($AL$2:$AL$300, MATCH(0, COUNTIF($AC$2:AC24, $AL$2:$AL$300) + IF($AL$2:$AL$300="", 1, 0), 0)), "")</f>
        <v/>
      </c>
      <c r="AD25" s="22">
        <f t="shared" si="8"/>
        <v>0</v>
      </c>
      <c r="AE25" s="23">
        <f>SUM(AD$3:AD25)</f>
        <v>0</v>
      </c>
      <c r="AL25" s="18" t="str">
        <f>IF(COUNTIF($A$2:A24, A24) = 1, A24, "")</f>
        <v/>
      </c>
    </row>
    <row r="26" spans="6:38" x14ac:dyDescent="0.2">
      <c r="F26" t="str">
        <f t="shared" si="0"/>
        <v/>
      </c>
      <c r="L26" s="7" t="str">
        <f t="shared" si="1"/>
        <v/>
      </c>
      <c r="N26" s="7" t="str">
        <f t="shared" si="2"/>
        <v/>
      </c>
      <c r="O26" t="str">
        <f t="shared" si="3"/>
        <v/>
      </c>
      <c r="P26" t="str">
        <f t="shared" si="4"/>
        <v/>
      </c>
      <c r="Q26" t="str">
        <f t="shared" si="5"/>
        <v/>
      </c>
      <c r="S26" t="str">
        <f>""</f>
        <v/>
      </c>
      <c r="X26" s="47" t="s">
        <v>32</v>
      </c>
      <c r="Y26" s="45">
        <f>SUMIFS(N:N, E:E, "&lt;-150")</f>
        <v>0</v>
      </c>
      <c r="Z26" s="40">
        <f>COUNTIFS(E:E, "&lt; -150")</f>
        <v>0</v>
      </c>
      <c r="AA26" s="41">
        <f>IFERROR(COUNTIFS(E:E, "&lt; -150")/COUNTA($E$2:$E$993),0)</f>
        <v>0</v>
      </c>
      <c r="AC26" s="59"/>
      <c r="AD26" s="7"/>
      <c r="AE26" s="7"/>
      <c r="AL26" s="18" t="str">
        <f>IF(COUNTIF($A$2:A25, A25) = 1, A25, "")</f>
        <v/>
      </c>
    </row>
    <row r="27" spans="6:38" x14ac:dyDescent="0.2">
      <c r="F27" t="str">
        <f t="shared" si="0"/>
        <v/>
      </c>
      <c r="L27" s="7" t="str">
        <f t="shared" si="1"/>
        <v/>
      </c>
      <c r="N27" s="7" t="str">
        <f t="shared" si="2"/>
        <v/>
      </c>
      <c r="O27" t="str">
        <f t="shared" si="3"/>
        <v/>
      </c>
      <c r="P27" t="str">
        <f t="shared" si="4"/>
        <v/>
      </c>
      <c r="Q27" t="str">
        <f t="shared" si="5"/>
        <v/>
      </c>
      <c r="S27" t="str">
        <f>""</f>
        <v/>
      </c>
      <c r="X27" s="48" t="s">
        <v>33</v>
      </c>
      <c r="Y27" s="45">
        <f>SUMIFS(N:N, E:E, "&gt;=-150", E:E, "&lt;100")</f>
        <v>0</v>
      </c>
      <c r="Z27" s="34">
        <f>COUNTIFS(E:E, "&lt; 100", E:E, "&gt;=-150")</f>
        <v>0</v>
      </c>
      <c r="AA27" s="38">
        <f>IFERROR(COUNTIFS(E:E, "&lt; 100", E:E, "&gt;=-150")/COUNTA($E$2:$E$6993),0)</f>
        <v>0</v>
      </c>
      <c r="AC27" s="59"/>
      <c r="AD27" s="7"/>
      <c r="AE27" s="7"/>
      <c r="AL27" s="18" t="str">
        <f>IF(COUNTIF($A$2:A26, A26) = 1, A26, "")</f>
        <v/>
      </c>
    </row>
    <row r="28" spans="6:38" x14ac:dyDescent="0.2">
      <c r="F28" t="str">
        <f t="shared" ref="F28:F65" si="12">IF(OR(O28="", P28=""), "", SUM(IF((O28&lt;&gt;"None")*(O28&lt;&gt;""),LEN(O28)-LEN(SUBSTITUTE(O28,",",""))+1,0)) + SUM(IF((P28&lt;&gt;"None")*(P28&lt;&gt;""),LEN(P28)-LEN(SUBSTITUTE(P28,",",""))+1,0)))</f>
        <v/>
      </c>
      <c r="L28" s="7" t="str">
        <f t="shared" ref="L28:L65" si="13">IF(LEN(E28)=0, "", IFERROR(IF(E28&gt;=0, K28 * (1 + E28/100) - K28, K28 / (ABS(E28)/100))+K28, ""))</f>
        <v/>
      </c>
      <c r="N28" s="7" t="str">
        <f t="shared" ref="N28:N65" si="14">IF(M28="Yes",L28-K28,IF(M28="No",-K28,""))</f>
        <v/>
      </c>
      <c r="O28" t="str">
        <f t="shared" ref="O28:O65" si="15">IF(AND(G28="No",H28="No"), "None", "")</f>
        <v/>
      </c>
      <c r="P28" t="str">
        <f t="shared" ref="P28:P82" si="16">IF(I28="No", "None", "")</f>
        <v/>
      </c>
      <c r="Q28" t="str">
        <f t="shared" ref="Q28:Q65" si="17">IF(AND(D28="Straight", M28 = "No"),IF(O28="None",P28,IF(P28="None",O28) ),"")</f>
        <v/>
      </c>
      <c r="S28" t="str">
        <f>""</f>
        <v/>
      </c>
      <c r="X28" s="48" t="s">
        <v>34</v>
      </c>
      <c r="Y28" s="45">
        <f>SUMIFS(N:N, E:E, "&gt;=100", E:E, "&lt;125")</f>
        <v>0</v>
      </c>
      <c r="Z28" s="34">
        <f>COUNTIFS(E:E, "&lt; 125", E:E, "&gt;=100")</f>
        <v>0</v>
      </c>
      <c r="AA28" s="38">
        <f>IFERROR(COUNTIFS(E:E, "&lt; 125", E:E, "&gt;=100")/COUNTA($E$2:$E$6993),0)</f>
        <v>0</v>
      </c>
      <c r="AC28" s="59"/>
      <c r="AD28" s="7"/>
      <c r="AE28" s="7"/>
      <c r="AL28" s="18" t="str">
        <f>IF(COUNTIF($A$2:A27, A27) = 1, A27, "")</f>
        <v/>
      </c>
    </row>
    <row r="29" spans="6:38" x14ac:dyDescent="0.2">
      <c r="F29" t="str">
        <f t="shared" si="12"/>
        <v/>
      </c>
      <c r="L29" s="7" t="str">
        <f t="shared" si="13"/>
        <v/>
      </c>
      <c r="N29" s="7" t="str">
        <f t="shared" si="14"/>
        <v/>
      </c>
      <c r="O29" t="str">
        <f t="shared" si="15"/>
        <v/>
      </c>
      <c r="P29" t="str">
        <f t="shared" si="16"/>
        <v/>
      </c>
      <c r="Q29" t="str">
        <f t="shared" si="17"/>
        <v/>
      </c>
      <c r="S29" t="str">
        <f>""</f>
        <v/>
      </c>
      <c r="X29" s="47" t="s">
        <v>35</v>
      </c>
      <c r="Y29" s="45">
        <f>SUMIFS(N:N, E:E, "&gt;=125", E:E, "&lt;150")</f>
        <v>0</v>
      </c>
      <c r="Z29" s="40">
        <f>COUNTIFS(E:E, "&lt; 150", E:E, "&gt;=125")</f>
        <v>0</v>
      </c>
      <c r="AA29" s="41">
        <f>IFERROR(COUNTIFS(E:E, "&lt; 150", E:E, "&gt;=125")/COUNTA($E$2:$E$6993),0)</f>
        <v>0</v>
      </c>
      <c r="AC29" s="59"/>
      <c r="AD29" s="7"/>
      <c r="AE29" s="7"/>
      <c r="AL29" s="18" t="str">
        <f>IF(COUNTIF($A$2:A28, A28) = 1, A28, "")</f>
        <v/>
      </c>
    </row>
    <row r="30" spans="6:38" x14ac:dyDescent="0.2">
      <c r="F30" t="str">
        <f t="shared" si="12"/>
        <v/>
      </c>
      <c r="L30" s="7" t="str">
        <f t="shared" si="13"/>
        <v/>
      </c>
      <c r="N30" s="7" t="str">
        <f t="shared" si="14"/>
        <v/>
      </c>
      <c r="O30" t="str">
        <f t="shared" si="15"/>
        <v/>
      </c>
      <c r="P30" t="str">
        <f t="shared" si="16"/>
        <v/>
      </c>
      <c r="Q30" t="str">
        <f t="shared" si="17"/>
        <v/>
      </c>
      <c r="S30" t="str">
        <f>""</f>
        <v/>
      </c>
      <c r="X30" s="48" t="s">
        <v>36</v>
      </c>
      <c r="Y30" s="45">
        <f>SUMIFS(N:N, E:E, "&gt;=150", E:E, "&lt;200")</f>
        <v>0</v>
      </c>
      <c r="Z30" s="34">
        <f>COUNTIFS(E:E, "&lt; 200", E:E, "&gt;=150")</f>
        <v>0</v>
      </c>
      <c r="AA30" s="38">
        <f>IFERROR(COUNTIFS(E:E, "&lt; 200", E:E, "&gt;=150")/COUNTA($E$2:$E$6993),0)</f>
        <v>0</v>
      </c>
      <c r="AC30" s="59"/>
      <c r="AD30" s="7"/>
      <c r="AE30" s="7"/>
      <c r="AL30" s="18" t="str">
        <f>IF(COUNTIF($A$2:A29, A29) = 1, A29, "")</f>
        <v/>
      </c>
    </row>
    <row r="31" spans="6:38" ht="17" thickBot="1" x14ac:dyDescent="0.25">
      <c r="F31" t="str">
        <f t="shared" si="12"/>
        <v/>
      </c>
      <c r="L31" s="7" t="str">
        <f t="shared" si="13"/>
        <v/>
      </c>
      <c r="N31" s="7" t="str">
        <f t="shared" si="14"/>
        <v/>
      </c>
      <c r="O31" t="str">
        <f t="shared" si="15"/>
        <v/>
      </c>
      <c r="P31" t="str">
        <f t="shared" si="16"/>
        <v/>
      </c>
      <c r="Q31" t="str">
        <f t="shared" si="17"/>
        <v/>
      </c>
      <c r="S31" t="str">
        <f>""</f>
        <v/>
      </c>
      <c r="X31" s="49" t="s">
        <v>37</v>
      </c>
      <c r="Y31" s="44">
        <f>SUMIFS(N:N, E:E, "&gt;=200")</f>
        <v>0</v>
      </c>
      <c r="Z31" s="35">
        <f>COUNTIFS(E:E, "&gt;=200")</f>
        <v>0</v>
      </c>
      <c r="AA31" s="39">
        <f>IFERROR(COUNTIFS(E:E, "&gt;=200")/COUNTA($E$2:$E$69993),0)</f>
        <v>0</v>
      </c>
      <c r="AC31" s="59"/>
      <c r="AD31" s="7"/>
      <c r="AE31" s="7"/>
      <c r="AL31" s="18" t="str">
        <f>IF(COUNTIF($A$2:A30, A30) = 1, A30, "")</f>
        <v/>
      </c>
    </row>
    <row r="32" spans="6:38" ht="17" thickBot="1" x14ac:dyDescent="0.25">
      <c r="F32" t="str">
        <f t="shared" si="12"/>
        <v/>
      </c>
      <c r="L32" s="7" t="str">
        <f t="shared" si="13"/>
        <v/>
      </c>
      <c r="N32" s="7" t="str">
        <f t="shared" si="14"/>
        <v/>
      </c>
      <c r="O32" t="str">
        <f t="shared" si="15"/>
        <v/>
      </c>
      <c r="P32" t="str">
        <f t="shared" si="16"/>
        <v/>
      </c>
      <c r="Q32" t="str">
        <f t="shared" si="17"/>
        <v/>
      </c>
      <c r="S32" t="str">
        <f>""</f>
        <v/>
      </c>
      <c r="Y32" s="60"/>
      <c r="AC32" s="59"/>
      <c r="AD32" s="7"/>
      <c r="AE32" s="7"/>
      <c r="AL32" s="18" t="str">
        <f>IF(COUNTIF($A$2:A31, A31) = 1, A31, "")</f>
        <v/>
      </c>
    </row>
    <row r="33" spans="6:38" ht="17" thickBot="1" x14ac:dyDescent="0.25">
      <c r="F33" t="str">
        <f t="shared" si="12"/>
        <v/>
      </c>
      <c r="L33" s="7" t="str">
        <f t="shared" si="13"/>
        <v/>
      </c>
      <c r="N33" s="7" t="str">
        <f t="shared" si="14"/>
        <v/>
      </c>
      <c r="O33" t="str">
        <f t="shared" si="15"/>
        <v/>
      </c>
      <c r="P33" t="str">
        <f t="shared" si="16"/>
        <v/>
      </c>
      <c r="Q33" t="str">
        <f t="shared" si="17"/>
        <v/>
      </c>
      <c r="S33" t="str">
        <f>""</f>
        <v/>
      </c>
      <c r="X33" s="79" t="s">
        <v>3</v>
      </c>
      <c r="Y33" s="83" t="s">
        <v>9</v>
      </c>
      <c r="Z33" s="81" t="s">
        <v>84</v>
      </c>
      <c r="AA33" s="82" t="s">
        <v>39</v>
      </c>
      <c r="AC33" s="59"/>
      <c r="AD33" s="7"/>
      <c r="AE33" s="7"/>
      <c r="AL33" s="18" t="str">
        <f>IF(COUNTIF($A$2:A32, A32) = 1, A32, "")</f>
        <v/>
      </c>
    </row>
    <row r="34" spans="6:38" x14ac:dyDescent="0.2">
      <c r="F34" t="str">
        <f t="shared" si="12"/>
        <v/>
      </c>
      <c r="L34" s="7" t="str">
        <f t="shared" si="13"/>
        <v/>
      </c>
      <c r="N34" s="7" t="str">
        <f t="shared" si="14"/>
        <v/>
      </c>
      <c r="O34" t="str">
        <f t="shared" si="15"/>
        <v/>
      </c>
      <c r="P34" t="str">
        <f t="shared" si="16"/>
        <v/>
      </c>
      <c r="Q34" t="str">
        <f t="shared" si="17"/>
        <v/>
      </c>
      <c r="S34" t="str">
        <f>""</f>
        <v/>
      </c>
      <c r="X34" s="47">
        <v>1</v>
      </c>
      <c r="Y34" s="45">
        <f>SUMIFS(N:N, F:F, X34)</f>
        <v>0</v>
      </c>
      <c r="Z34" s="40">
        <f>COUNTIF(F:F,X34)</f>
        <v>0</v>
      </c>
      <c r="AA34" s="41">
        <f>IFERROR(COUNTIFS(F:F, X34)/COUNTA($E$2:$E$993),0)</f>
        <v>0</v>
      </c>
      <c r="AC34" s="59"/>
      <c r="AD34" s="7"/>
      <c r="AE34" s="7"/>
      <c r="AL34" s="18" t="str">
        <f>IF(COUNTIF($A$2:A33, A33) = 1, A33, "")</f>
        <v/>
      </c>
    </row>
    <row r="35" spans="6:38" x14ac:dyDescent="0.2">
      <c r="F35" t="str">
        <f t="shared" si="12"/>
        <v/>
      </c>
      <c r="L35" s="7" t="str">
        <f t="shared" si="13"/>
        <v/>
      </c>
      <c r="N35" s="7" t="str">
        <f t="shared" si="14"/>
        <v/>
      </c>
      <c r="O35" t="str">
        <f t="shared" si="15"/>
        <v/>
      </c>
      <c r="P35" t="str">
        <f t="shared" si="16"/>
        <v/>
      </c>
      <c r="Q35" t="str">
        <f t="shared" si="17"/>
        <v/>
      </c>
      <c r="S35" t="str">
        <f>""</f>
        <v/>
      </c>
      <c r="X35" s="48">
        <v>2</v>
      </c>
      <c r="Y35" s="45">
        <f>SUMIFS(N:N, F:F, X35)</f>
        <v>0</v>
      </c>
      <c r="Z35" s="34">
        <f>COUNTIF(F:F,X35)</f>
        <v>0</v>
      </c>
      <c r="AA35" s="41">
        <f>IFERROR(COUNTIFS(F:F, X35)/COUNTA($E$2:$E$993),0)</f>
        <v>0</v>
      </c>
      <c r="AC35" s="59"/>
      <c r="AD35" s="7"/>
      <c r="AE35" s="7"/>
      <c r="AL35" s="18" t="str">
        <f>IF(COUNTIF($A$2:A34, A34) = 1, A34, "")</f>
        <v/>
      </c>
    </row>
    <row r="36" spans="6:38" x14ac:dyDescent="0.2">
      <c r="F36" t="str">
        <f t="shared" si="12"/>
        <v/>
      </c>
      <c r="L36" s="7" t="str">
        <f t="shared" si="13"/>
        <v/>
      </c>
      <c r="N36" s="7" t="str">
        <f t="shared" si="14"/>
        <v/>
      </c>
      <c r="O36" t="str">
        <f t="shared" si="15"/>
        <v/>
      </c>
      <c r="P36" t="str">
        <f t="shared" si="16"/>
        <v/>
      </c>
      <c r="Q36" t="str">
        <f t="shared" si="17"/>
        <v/>
      </c>
      <c r="S36" t="str">
        <f>""</f>
        <v/>
      </c>
      <c r="X36" s="48">
        <v>3</v>
      </c>
      <c r="Y36" s="45">
        <f>SUMIFS(N:N, F:F, X36)</f>
        <v>0</v>
      </c>
      <c r="Z36" s="34">
        <f>COUNTIF(F:F,X36)</f>
        <v>0</v>
      </c>
      <c r="AA36" s="41">
        <f>IFERROR(COUNTIFS(F:F, X36)/COUNTA($E$2:$E$993),0)</f>
        <v>0</v>
      </c>
      <c r="AD36" s="7"/>
      <c r="AE36" s="7"/>
      <c r="AL36" s="18" t="str">
        <f>IF(COUNTIF($A$2:A35, A35) = 1, A35, "")</f>
        <v/>
      </c>
    </row>
    <row r="37" spans="6:38" x14ac:dyDescent="0.2">
      <c r="F37" t="str">
        <f t="shared" si="12"/>
        <v/>
      </c>
      <c r="L37" s="7" t="str">
        <f t="shared" si="13"/>
        <v/>
      </c>
      <c r="N37" s="7" t="str">
        <f t="shared" si="14"/>
        <v/>
      </c>
      <c r="O37" t="str">
        <f t="shared" si="15"/>
        <v/>
      </c>
      <c r="P37" t="str">
        <f t="shared" si="16"/>
        <v/>
      </c>
      <c r="Q37" t="str">
        <f t="shared" si="17"/>
        <v/>
      </c>
      <c r="S37" t="str">
        <f>""</f>
        <v/>
      </c>
      <c r="X37" s="47">
        <v>4</v>
      </c>
      <c r="Y37" s="45">
        <f>SUMIFS(N:N, F:F, X37)</f>
        <v>0</v>
      </c>
      <c r="Z37" s="34">
        <f>COUNTIF(F:F,X37)</f>
        <v>0</v>
      </c>
      <c r="AA37" s="41">
        <f>IFERROR(COUNTIFS(F:F, X37)/COUNTA($E$2:$E$993),0)</f>
        <v>0</v>
      </c>
      <c r="AD37" s="7"/>
      <c r="AE37" s="7"/>
      <c r="AL37" s="18" t="str">
        <f>IF(COUNTIF($A$2:A36, A36) = 1, A36, "")</f>
        <v/>
      </c>
    </row>
    <row r="38" spans="6:38" ht="17" thickBot="1" x14ac:dyDescent="0.25">
      <c r="F38" t="str">
        <f t="shared" si="12"/>
        <v/>
      </c>
      <c r="L38" s="7" t="str">
        <f t="shared" si="13"/>
        <v/>
      </c>
      <c r="N38" s="7" t="str">
        <f t="shared" si="14"/>
        <v/>
      </c>
      <c r="O38" t="str">
        <f t="shared" si="15"/>
        <v/>
      </c>
      <c r="P38" t="str">
        <f t="shared" si="16"/>
        <v/>
      </c>
      <c r="Q38" t="str">
        <f t="shared" si="17"/>
        <v/>
      </c>
      <c r="S38" t="str">
        <f>""</f>
        <v/>
      </c>
      <c r="X38" s="49" t="s">
        <v>88</v>
      </c>
      <c r="Y38" s="44">
        <f>SUMIFS(N:N, F:F, "&gt;4")</f>
        <v>0</v>
      </c>
      <c r="Z38" s="35">
        <f>COUNTIF(F:F,"&gt;4")</f>
        <v>0</v>
      </c>
      <c r="AA38" s="52">
        <f>IFERROR(COUNTIFS(F:F, X38)/COUNTA($E$2:$E$993),0)</f>
        <v>0</v>
      </c>
      <c r="AD38" s="7"/>
      <c r="AE38" s="7"/>
      <c r="AL38" s="18" t="str">
        <f>IF(COUNTIF($A$2:A37, A37) = 1, A37, "")</f>
        <v/>
      </c>
    </row>
    <row r="39" spans="6:38" ht="17" thickBot="1" x14ac:dyDescent="0.25">
      <c r="F39" t="str">
        <f t="shared" si="12"/>
        <v/>
      </c>
      <c r="L39" s="7" t="str">
        <f t="shared" si="13"/>
        <v/>
      </c>
      <c r="N39" s="7" t="str">
        <f t="shared" si="14"/>
        <v/>
      </c>
      <c r="O39" t="str">
        <f t="shared" si="15"/>
        <v/>
      </c>
      <c r="P39" t="str">
        <f t="shared" si="16"/>
        <v/>
      </c>
      <c r="Q39" t="str">
        <f t="shared" si="17"/>
        <v/>
      </c>
      <c r="S39" t="str">
        <f>""</f>
        <v/>
      </c>
      <c r="Y39" s="60"/>
      <c r="AD39" s="7"/>
      <c r="AE39" s="7"/>
      <c r="AL39" s="18" t="str">
        <f>IF(COUNTIF($A$2:A38, A38) = 1, A38, "")</f>
        <v/>
      </c>
    </row>
    <row r="40" spans="6:38" ht="17" thickBot="1" x14ac:dyDescent="0.25">
      <c r="F40" t="str">
        <f t="shared" si="12"/>
        <v/>
      </c>
      <c r="L40" s="7" t="str">
        <f t="shared" si="13"/>
        <v/>
      </c>
      <c r="N40" s="7" t="str">
        <f t="shared" si="14"/>
        <v/>
      </c>
      <c r="O40" t="str">
        <f t="shared" si="15"/>
        <v/>
      </c>
      <c r="P40" t="str">
        <f t="shared" si="16"/>
        <v/>
      </c>
      <c r="Q40" t="str">
        <f t="shared" si="17"/>
        <v/>
      </c>
      <c r="S40" t="str">
        <f>""</f>
        <v/>
      </c>
      <c r="X40" s="79" t="s">
        <v>38</v>
      </c>
      <c r="Y40" s="83" t="s">
        <v>9</v>
      </c>
      <c r="Z40" s="81" t="s">
        <v>84</v>
      </c>
      <c r="AA40" s="82" t="s">
        <v>39</v>
      </c>
      <c r="AD40" s="7"/>
      <c r="AE40" s="7"/>
      <c r="AL40" s="18" t="str">
        <f>IF(COUNTIF($A$2:A39, A39) = 1, A39, "")</f>
        <v/>
      </c>
    </row>
    <row r="41" spans="6:38" x14ac:dyDescent="0.2">
      <c r="F41" t="str">
        <f t="shared" si="12"/>
        <v/>
      </c>
      <c r="L41" s="7" t="str">
        <f t="shared" si="13"/>
        <v/>
      </c>
      <c r="N41" s="7" t="str">
        <f t="shared" si="14"/>
        <v/>
      </c>
      <c r="O41" t="str">
        <f t="shared" si="15"/>
        <v/>
      </c>
      <c r="P41" t="str">
        <f t="shared" si="16"/>
        <v/>
      </c>
      <c r="Q41" t="str">
        <f t="shared" si="17"/>
        <v/>
      </c>
      <c r="S41" t="str">
        <f>""</f>
        <v/>
      </c>
      <c r="X41" s="47" t="s">
        <v>4</v>
      </c>
      <c r="Y41" s="45">
        <f>SUMIFS(N:N,G:G, "Yes")</f>
        <v>0</v>
      </c>
      <c r="Z41" s="40">
        <f>COUNTIF(G:G,"Yes")</f>
        <v>0</v>
      </c>
      <c r="AA41" s="41">
        <f>IFERROR(COUNTIFS(G:G, "Yes")/COUNTA($G$2:$G$994),0)</f>
        <v>0</v>
      </c>
      <c r="AD41" s="7"/>
      <c r="AE41" s="7"/>
      <c r="AL41" s="18" t="str">
        <f>IF(COUNTIF($A$2:A40, A40) = 1, A40, "")</f>
        <v/>
      </c>
    </row>
    <row r="42" spans="6:38" x14ac:dyDescent="0.2">
      <c r="F42" t="str">
        <f t="shared" si="12"/>
        <v/>
      </c>
      <c r="L42" s="7" t="str">
        <f t="shared" si="13"/>
        <v/>
      </c>
      <c r="N42" s="7" t="str">
        <f t="shared" si="14"/>
        <v/>
      </c>
      <c r="O42" t="str">
        <f t="shared" si="15"/>
        <v/>
      </c>
      <c r="P42" t="str">
        <f t="shared" si="16"/>
        <v/>
      </c>
      <c r="Q42" t="str">
        <f t="shared" si="17"/>
        <v/>
      </c>
      <c r="S42" t="str">
        <f>""</f>
        <v/>
      </c>
      <c r="X42" s="48" t="s">
        <v>5</v>
      </c>
      <c r="Y42" s="45">
        <f>SUMIFS(N:N,H:H, "Yes")</f>
        <v>0</v>
      </c>
      <c r="Z42" s="34">
        <f>COUNTIF(H:H,"Yes")</f>
        <v>0</v>
      </c>
      <c r="AA42" s="38">
        <f>IFERROR(COUNTIFS(H:H, "Yes")/COUNTA($G$2:$G$994),0)</f>
        <v>0</v>
      </c>
      <c r="AD42" s="7"/>
      <c r="AE42" s="7"/>
      <c r="AL42" s="18" t="str">
        <f>IF(COUNTIF($A$2:A41, A41) = 1, A41, "")</f>
        <v/>
      </c>
    </row>
    <row r="43" spans="6:38" ht="17" thickBot="1" x14ac:dyDescent="0.25">
      <c r="F43" t="str">
        <f t="shared" si="12"/>
        <v/>
      </c>
      <c r="L43" s="7" t="str">
        <f t="shared" si="13"/>
        <v/>
      </c>
      <c r="N43" s="7" t="str">
        <f t="shared" si="14"/>
        <v/>
      </c>
      <c r="O43" t="str">
        <f t="shared" si="15"/>
        <v/>
      </c>
      <c r="P43" t="str">
        <f t="shared" si="16"/>
        <v/>
      </c>
      <c r="Q43" t="str">
        <f t="shared" si="17"/>
        <v/>
      </c>
      <c r="S43" t="str">
        <f>""</f>
        <v/>
      </c>
      <c r="X43" s="50" t="s">
        <v>6</v>
      </c>
      <c r="Y43" s="45">
        <f>SUMIFS(N:N,I:I, "Yes")</f>
        <v>0</v>
      </c>
      <c r="Z43" s="42">
        <f>COUNTIF(I:I,"Yes")</f>
        <v>0</v>
      </c>
      <c r="AA43" s="39">
        <f>IFERROR(COUNTIFS(I:I, "Yes")/COUNTA($G$2:$G$994),0)</f>
        <v>0</v>
      </c>
      <c r="AD43" s="7"/>
      <c r="AE43" s="7"/>
      <c r="AL43" s="18" t="str">
        <f>IF(COUNTIF($A$2:A42, A42) = 1, A42, "")</f>
        <v/>
      </c>
    </row>
    <row r="44" spans="6:38" ht="17" thickBot="1" x14ac:dyDescent="0.25">
      <c r="F44" t="str">
        <f t="shared" si="12"/>
        <v/>
      </c>
      <c r="L44" s="7" t="str">
        <f t="shared" si="13"/>
        <v/>
      </c>
      <c r="N44" s="7" t="str">
        <f t="shared" si="14"/>
        <v/>
      </c>
      <c r="O44" t="str">
        <f t="shared" si="15"/>
        <v/>
      </c>
      <c r="P44" t="str">
        <f t="shared" si="16"/>
        <v/>
      </c>
      <c r="Q44" t="str">
        <f t="shared" si="17"/>
        <v/>
      </c>
      <c r="S44" t="str">
        <f>""</f>
        <v/>
      </c>
      <c r="Y44" s="60"/>
      <c r="AD44" s="7"/>
      <c r="AE44" s="7"/>
      <c r="AL44" s="18" t="str">
        <f>IF(COUNTIF($A$2:A43, A43) = 1, A43, "")</f>
        <v/>
      </c>
    </row>
    <row r="45" spans="6:38" ht="17" thickBot="1" x14ac:dyDescent="0.25">
      <c r="F45" t="str">
        <f t="shared" si="12"/>
        <v/>
      </c>
      <c r="L45" s="7" t="str">
        <f t="shared" si="13"/>
        <v/>
      </c>
      <c r="N45" s="7" t="str">
        <f t="shared" si="14"/>
        <v/>
      </c>
      <c r="O45" t="str">
        <f t="shared" si="15"/>
        <v/>
      </c>
      <c r="P45" t="str">
        <f t="shared" si="16"/>
        <v/>
      </c>
      <c r="Q45" t="str">
        <f t="shared" si="17"/>
        <v/>
      </c>
      <c r="S45" t="str">
        <f>""</f>
        <v/>
      </c>
      <c r="X45" s="79" t="s">
        <v>74</v>
      </c>
      <c r="Y45" s="83" t="s">
        <v>9</v>
      </c>
      <c r="Z45" s="81" t="s">
        <v>84</v>
      </c>
      <c r="AA45" s="82" t="s">
        <v>39</v>
      </c>
      <c r="AD45" s="7"/>
      <c r="AE45" s="7"/>
      <c r="AL45" s="18" t="str">
        <f>IF(COUNTIF($A$2:A44, A44) = 1, A44, "")</f>
        <v/>
      </c>
    </row>
    <row r="46" spans="6:38" x14ac:dyDescent="0.2">
      <c r="F46" t="str">
        <f t="shared" si="12"/>
        <v/>
      </c>
      <c r="L46" s="7" t="str">
        <f t="shared" si="13"/>
        <v/>
      </c>
      <c r="N46" s="7" t="str">
        <f t="shared" si="14"/>
        <v/>
      </c>
      <c r="O46" t="str">
        <f t="shared" si="15"/>
        <v/>
      </c>
      <c r="P46" t="str">
        <f t="shared" si="16"/>
        <v/>
      </c>
      <c r="Q46" t="str">
        <f t="shared" si="17"/>
        <v/>
      </c>
      <c r="S46" t="str">
        <f>""</f>
        <v/>
      </c>
      <c r="X46" s="47" t="s">
        <v>75</v>
      </c>
      <c r="Y46" s="45">
        <f>SUMIFS(N:N,J:J,"No")</f>
        <v>0</v>
      </c>
      <c r="Z46" s="40">
        <f>COUNTIF(J:J,"No")</f>
        <v>0</v>
      </c>
      <c r="AA46" s="46">
        <f>IFERROR(COUNTIFS($J$2:$J$1048576, "No")/COUNTA($G$2:$G$994), 0)</f>
        <v>0</v>
      </c>
      <c r="AD46" s="7"/>
      <c r="AE46" s="7"/>
      <c r="AL46" s="18" t="str">
        <f>IF(COUNTIF($A$2:A45, A45) = 1, A45, "")</f>
        <v/>
      </c>
    </row>
    <row r="47" spans="6:38" ht="17" thickBot="1" x14ac:dyDescent="0.25">
      <c r="F47" t="str">
        <f t="shared" si="12"/>
        <v/>
      </c>
      <c r="L47" s="7" t="str">
        <f t="shared" si="13"/>
        <v/>
      </c>
      <c r="N47" s="7" t="str">
        <f t="shared" si="14"/>
        <v/>
      </c>
      <c r="O47" t="str">
        <f t="shared" si="15"/>
        <v/>
      </c>
      <c r="P47" t="str">
        <f t="shared" si="16"/>
        <v/>
      </c>
      <c r="Q47" t="str">
        <f t="shared" si="17"/>
        <v/>
      </c>
      <c r="S47" t="str">
        <f>""</f>
        <v/>
      </c>
      <c r="X47" s="49" t="s">
        <v>69</v>
      </c>
      <c r="Y47" s="44">
        <f>SUMIFS(N:N,J:J,"Yes")</f>
        <v>0</v>
      </c>
      <c r="Z47" s="35">
        <f>COUNTIF(J:J,"Yes")</f>
        <v>0</v>
      </c>
      <c r="AA47" s="53">
        <f>IFERROR(COUNTIFS($J$2:$J$1048576, "Yes")/COUNTA($G$2:$G$994), 0)</f>
        <v>0</v>
      </c>
      <c r="AD47" s="7"/>
      <c r="AE47" s="7"/>
      <c r="AL47" s="18" t="str">
        <f>IF(COUNTIF($A$2:A46, A46) = 1, A46, "")</f>
        <v/>
      </c>
    </row>
    <row r="48" spans="6:38" ht="17" thickBot="1" x14ac:dyDescent="0.25">
      <c r="F48" t="str">
        <f t="shared" si="12"/>
        <v/>
      </c>
      <c r="L48" s="7" t="str">
        <f t="shared" si="13"/>
        <v/>
      </c>
      <c r="N48" s="7" t="str">
        <f t="shared" si="14"/>
        <v/>
      </c>
      <c r="O48" t="str">
        <f t="shared" si="15"/>
        <v/>
      </c>
      <c r="P48" t="str">
        <f t="shared" si="16"/>
        <v/>
      </c>
      <c r="Q48" t="str">
        <f t="shared" si="17"/>
        <v/>
      </c>
      <c r="S48" t="str">
        <f>""</f>
        <v/>
      </c>
      <c r="AD48" s="7"/>
      <c r="AE48" s="7"/>
      <c r="AL48" s="18" t="str">
        <f>IF(COUNTIF($A$2:A47, A47) = 1, A47, "")</f>
        <v/>
      </c>
    </row>
    <row r="49" spans="6:38" ht="17" thickBot="1" x14ac:dyDescent="0.25">
      <c r="F49" t="str">
        <f t="shared" si="12"/>
        <v/>
      </c>
      <c r="L49" s="7" t="str">
        <f t="shared" si="13"/>
        <v/>
      </c>
      <c r="N49" s="7" t="str">
        <f t="shared" si="14"/>
        <v/>
      </c>
      <c r="O49" t="str">
        <f t="shared" si="15"/>
        <v/>
      </c>
      <c r="P49" t="str">
        <f t="shared" si="16"/>
        <v/>
      </c>
      <c r="Q49" t="str">
        <f t="shared" si="17"/>
        <v/>
      </c>
      <c r="S49" t="str">
        <f>""</f>
        <v/>
      </c>
      <c r="X49" s="92" t="s">
        <v>89</v>
      </c>
      <c r="Y49" s="83" t="s">
        <v>9</v>
      </c>
      <c r="Z49" s="81" t="s">
        <v>84</v>
      </c>
      <c r="AA49" s="82" t="s">
        <v>39</v>
      </c>
      <c r="AD49" s="7"/>
      <c r="AE49" s="7"/>
      <c r="AL49" s="18" t="str">
        <f>IF(COUNTIF($A$2:A48, A48) = 1, A48, "")</f>
        <v/>
      </c>
    </row>
    <row r="50" spans="6:38" x14ac:dyDescent="0.2">
      <c r="F50" t="str">
        <f t="shared" si="12"/>
        <v/>
      </c>
      <c r="L50" s="7" t="str">
        <f t="shared" si="13"/>
        <v/>
      </c>
      <c r="N50" s="7" t="str">
        <f t="shared" si="14"/>
        <v/>
      </c>
      <c r="O50" t="str">
        <f t="shared" si="15"/>
        <v/>
      </c>
      <c r="P50" t="str">
        <f t="shared" si="16"/>
        <v/>
      </c>
      <c r="Q50" t="str">
        <f t="shared" si="17"/>
        <v/>
      </c>
      <c r="S50" t="str">
        <f>""</f>
        <v/>
      </c>
      <c r="X50" s="48" t="str">
        <f>Master!F50</f>
        <v>Source 1</v>
      </c>
      <c r="Y50" s="62">
        <f>SUMIFS(N:N,R:R,X50)</f>
        <v>0</v>
      </c>
      <c r="Z50" s="63">
        <f t="shared" ref="Z50:Z58" si="18">COUNTIF(R:R,X50)</f>
        <v>0</v>
      </c>
      <c r="AA50" s="54">
        <f>IFERROR(COUNTIFS(R:R, X50)/COUNTA($R$2:$R$994), 0)</f>
        <v>0</v>
      </c>
      <c r="AD50" s="7"/>
      <c r="AE50" s="7"/>
      <c r="AL50" s="18" t="str">
        <f>IF(COUNTIF($A$2:A49, A49) = 1, A49, "")</f>
        <v/>
      </c>
    </row>
    <row r="51" spans="6:38" x14ac:dyDescent="0.2">
      <c r="F51" t="str">
        <f t="shared" si="12"/>
        <v/>
      </c>
      <c r="L51" s="7" t="str">
        <f t="shared" si="13"/>
        <v/>
      </c>
      <c r="N51" s="7" t="str">
        <f t="shared" si="14"/>
        <v/>
      </c>
      <c r="O51" t="str">
        <f t="shared" si="15"/>
        <v/>
      </c>
      <c r="P51" t="str">
        <f t="shared" si="16"/>
        <v/>
      </c>
      <c r="Q51" t="str">
        <f t="shared" si="17"/>
        <v/>
      </c>
      <c r="S51" t="str">
        <f>""</f>
        <v/>
      </c>
      <c r="X51" s="48" t="str">
        <f>Master!F51</f>
        <v>Source 2</v>
      </c>
      <c r="Y51" s="45">
        <f t="shared" ref="Y51:Y57" si="19">SUMIFS(N:N,R:R,X51)</f>
        <v>0</v>
      </c>
      <c r="Z51" s="64">
        <f t="shared" si="18"/>
        <v>0</v>
      </c>
      <c r="AA51" s="46">
        <f t="shared" ref="AA51:AA56" si="20">IFERROR(COUNTIFS(R:R, X51)/COUNTA($R$2:$R$994), 0)</f>
        <v>0</v>
      </c>
      <c r="AD51" s="7"/>
      <c r="AE51" s="7"/>
      <c r="AL51" s="18" t="str">
        <f>IF(COUNTIF($A$2:A50, A50) = 1, A50, "")</f>
        <v/>
      </c>
    </row>
    <row r="52" spans="6:38" x14ac:dyDescent="0.2">
      <c r="F52" t="str">
        <f t="shared" si="12"/>
        <v/>
      </c>
      <c r="L52" s="7" t="str">
        <f t="shared" si="13"/>
        <v/>
      </c>
      <c r="N52" s="7" t="str">
        <f t="shared" si="14"/>
        <v/>
      </c>
      <c r="O52" t="str">
        <f t="shared" si="15"/>
        <v/>
      </c>
      <c r="P52" t="str">
        <f t="shared" si="16"/>
        <v/>
      </c>
      <c r="Q52" t="str">
        <f t="shared" si="17"/>
        <v/>
      </c>
      <c r="S52" t="str">
        <f>""</f>
        <v/>
      </c>
      <c r="X52" s="48" t="str">
        <f>Master!F52</f>
        <v>Source 3</v>
      </c>
      <c r="Y52" s="45">
        <f t="shared" si="19"/>
        <v>0</v>
      </c>
      <c r="Z52" s="64">
        <f t="shared" si="18"/>
        <v>0</v>
      </c>
      <c r="AA52" s="46">
        <f t="shared" si="20"/>
        <v>0</v>
      </c>
      <c r="AD52" s="7"/>
      <c r="AE52" s="7"/>
      <c r="AL52" s="18" t="str">
        <f>IF(COUNTIF($A$2:A51, A51) = 1, A51, "")</f>
        <v/>
      </c>
    </row>
    <row r="53" spans="6:38" x14ac:dyDescent="0.2">
      <c r="F53" t="str">
        <f t="shared" si="12"/>
        <v/>
      </c>
      <c r="L53" s="7" t="str">
        <f t="shared" si="13"/>
        <v/>
      </c>
      <c r="N53" s="7" t="str">
        <f t="shared" si="14"/>
        <v/>
      </c>
      <c r="O53" t="str">
        <f t="shared" si="15"/>
        <v/>
      </c>
      <c r="P53" t="str">
        <f t="shared" si="16"/>
        <v/>
      </c>
      <c r="Q53" t="str">
        <f t="shared" si="17"/>
        <v/>
      </c>
      <c r="S53" t="str">
        <f>""</f>
        <v/>
      </c>
      <c r="X53" s="48" t="str">
        <f>Master!F53</f>
        <v>Source 4</v>
      </c>
      <c r="Y53" s="45">
        <f t="shared" si="19"/>
        <v>0</v>
      </c>
      <c r="Z53" s="64">
        <f t="shared" si="18"/>
        <v>0</v>
      </c>
      <c r="AA53" s="46">
        <f t="shared" si="20"/>
        <v>0</v>
      </c>
      <c r="AD53" s="7"/>
      <c r="AE53" s="7"/>
      <c r="AL53" s="18" t="str">
        <f>IF(COUNTIF($A$2:A52, A52) = 1, A52, "")</f>
        <v/>
      </c>
    </row>
    <row r="54" spans="6:38" x14ac:dyDescent="0.2">
      <c r="F54" t="str">
        <f t="shared" si="12"/>
        <v/>
      </c>
      <c r="L54" s="7" t="str">
        <f t="shared" si="13"/>
        <v/>
      </c>
      <c r="N54" s="7" t="str">
        <f t="shared" si="14"/>
        <v/>
      </c>
      <c r="O54" t="str">
        <f t="shared" si="15"/>
        <v/>
      </c>
      <c r="P54" t="str">
        <f t="shared" si="16"/>
        <v/>
      </c>
      <c r="Q54" t="str">
        <f t="shared" si="17"/>
        <v/>
      </c>
      <c r="S54" t="str">
        <f>""</f>
        <v/>
      </c>
      <c r="X54" s="48" t="str">
        <f>Master!F54</f>
        <v>Source 5</v>
      </c>
      <c r="Y54" s="45">
        <f t="shared" si="19"/>
        <v>0</v>
      </c>
      <c r="Z54" s="64">
        <f t="shared" si="18"/>
        <v>0</v>
      </c>
      <c r="AA54" s="46">
        <f t="shared" si="20"/>
        <v>0</v>
      </c>
      <c r="AD54" s="7"/>
      <c r="AE54" s="7"/>
      <c r="AL54" s="18" t="str">
        <f>IF(COUNTIF($A$2:A53, A53) = 1, A53, "")</f>
        <v/>
      </c>
    </row>
    <row r="55" spans="6:38" x14ac:dyDescent="0.2">
      <c r="F55" t="str">
        <f t="shared" si="12"/>
        <v/>
      </c>
      <c r="L55" s="7" t="str">
        <f t="shared" si="13"/>
        <v/>
      </c>
      <c r="N55" s="7" t="str">
        <f t="shared" si="14"/>
        <v/>
      </c>
      <c r="O55" t="str">
        <f t="shared" si="15"/>
        <v/>
      </c>
      <c r="P55" t="str">
        <f t="shared" si="16"/>
        <v/>
      </c>
      <c r="Q55" t="str">
        <f t="shared" si="17"/>
        <v/>
      </c>
      <c r="S55" t="str">
        <f>""</f>
        <v/>
      </c>
      <c r="X55" s="48" t="str">
        <f>Master!F55</f>
        <v>Source 6</v>
      </c>
      <c r="Y55" s="45">
        <f t="shared" si="19"/>
        <v>0</v>
      </c>
      <c r="Z55" s="64">
        <f t="shared" si="18"/>
        <v>0</v>
      </c>
      <c r="AA55" s="46">
        <f>IFERROR(COUNTIFS(R:R, X55)/COUNTA($R$2:$R$994), 0)</f>
        <v>0</v>
      </c>
      <c r="AD55" s="7"/>
      <c r="AE55" s="7"/>
      <c r="AL55" s="18" t="str">
        <f>IF(COUNTIF($A$2:A54, A54) = 1, A54, "")</f>
        <v/>
      </c>
    </row>
    <row r="56" spans="6:38" x14ac:dyDescent="0.2">
      <c r="F56" t="str">
        <f t="shared" si="12"/>
        <v/>
      </c>
      <c r="L56" s="7" t="str">
        <f t="shared" si="13"/>
        <v/>
      </c>
      <c r="N56" s="7" t="str">
        <f t="shared" si="14"/>
        <v/>
      </c>
      <c r="O56" t="str">
        <f t="shared" si="15"/>
        <v/>
      </c>
      <c r="P56" t="str">
        <f t="shared" si="16"/>
        <v/>
      </c>
      <c r="Q56" t="str">
        <f t="shared" si="17"/>
        <v/>
      </c>
      <c r="S56" t="str">
        <f>""</f>
        <v/>
      </c>
      <c r="X56" s="48" t="str">
        <f>Master!F56</f>
        <v>Source 7</v>
      </c>
      <c r="Y56" s="45">
        <f t="shared" si="19"/>
        <v>0</v>
      </c>
      <c r="Z56" s="64">
        <f t="shared" si="18"/>
        <v>0</v>
      </c>
      <c r="AA56" s="46">
        <f t="shared" si="20"/>
        <v>0</v>
      </c>
      <c r="AD56" s="7"/>
      <c r="AE56" s="7"/>
      <c r="AL56" s="18" t="str">
        <f>IF(COUNTIF($A$2:A55, A55) = 1, A55, "")</f>
        <v/>
      </c>
    </row>
    <row r="57" spans="6:38" x14ac:dyDescent="0.2">
      <c r="F57" t="str">
        <f t="shared" si="12"/>
        <v/>
      </c>
      <c r="L57" s="7" t="str">
        <f t="shared" si="13"/>
        <v/>
      </c>
      <c r="N57" s="7" t="str">
        <f t="shared" si="14"/>
        <v/>
      </c>
      <c r="O57" t="str">
        <f t="shared" si="15"/>
        <v/>
      </c>
      <c r="P57" t="str">
        <f t="shared" si="16"/>
        <v/>
      </c>
      <c r="Q57" t="str">
        <f t="shared" si="17"/>
        <v/>
      </c>
      <c r="S57" t="str">
        <f>""</f>
        <v/>
      </c>
      <c r="X57" s="48" t="str">
        <f>Master!F57</f>
        <v>Source 8</v>
      </c>
      <c r="Y57" s="45">
        <f t="shared" si="19"/>
        <v>0</v>
      </c>
      <c r="Z57" s="64">
        <f t="shared" si="18"/>
        <v>0</v>
      </c>
      <c r="AA57" s="46">
        <f>IFERROR(COUNTIFS(R:R, X57)/COUNTA($R$2:$R$994), 0)</f>
        <v>0</v>
      </c>
      <c r="AD57" s="7"/>
      <c r="AE57" s="7"/>
      <c r="AL57" s="18" t="str">
        <f>IF(COUNTIF($A$2:A56, A56) = 1, A56, "")</f>
        <v/>
      </c>
    </row>
    <row r="58" spans="6:38" ht="17" thickBot="1" x14ac:dyDescent="0.25">
      <c r="F58" t="str">
        <f t="shared" si="12"/>
        <v/>
      </c>
      <c r="L58" s="7" t="str">
        <f t="shared" si="13"/>
        <v/>
      </c>
      <c r="N58" s="7" t="str">
        <f t="shared" si="14"/>
        <v/>
      </c>
      <c r="O58" t="str">
        <f t="shared" si="15"/>
        <v/>
      </c>
      <c r="P58" t="str">
        <f t="shared" si="16"/>
        <v/>
      </c>
      <c r="Q58" t="str">
        <f t="shared" si="17"/>
        <v/>
      </c>
      <c r="S58" t="str">
        <f>""</f>
        <v/>
      </c>
      <c r="X58" s="49" t="s">
        <v>90</v>
      </c>
      <c r="Y58" s="44">
        <f>SUMIFS(N:N,R:R,X58)</f>
        <v>0</v>
      </c>
      <c r="Z58" s="65">
        <f t="shared" si="18"/>
        <v>0</v>
      </c>
      <c r="AA58" s="53">
        <f>IFERROR(COUNTIFS(R:R, X58)/COUNTA($R$2:$R$994), 0)</f>
        <v>0</v>
      </c>
      <c r="AD58" s="7"/>
      <c r="AE58" s="7"/>
      <c r="AL58" s="18" t="str">
        <f>IF(COUNTIF($A$2:A57, A57) = 1, A57, "")</f>
        <v/>
      </c>
    </row>
    <row r="59" spans="6:38" x14ac:dyDescent="0.2">
      <c r="F59" t="str">
        <f t="shared" si="12"/>
        <v/>
      </c>
      <c r="L59" s="7" t="str">
        <f t="shared" si="13"/>
        <v/>
      </c>
      <c r="N59" s="7" t="str">
        <f t="shared" si="14"/>
        <v/>
      </c>
      <c r="O59" t="str">
        <f t="shared" si="15"/>
        <v/>
      </c>
      <c r="P59" t="str">
        <f t="shared" si="16"/>
        <v/>
      </c>
      <c r="Q59" t="str">
        <f t="shared" si="17"/>
        <v/>
      </c>
      <c r="S59" t="str">
        <f>""</f>
        <v/>
      </c>
      <c r="AL59" s="18" t="str">
        <f>IF(COUNTIF($A$2:A58, A58) = 1, A58, "")</f>
        <v/>
      </c>
    </row>
    <row r="60" spans="6:38" x14ac:dyDescent="0.2">
      <c r="F60" t="str">
        <f t="shared" si="12"/>
        <v/>
      </c>
      <c r="L60" s="7" t="str">
        <f t="shared" si="13"/>
        <v/>
      </c>
      <c r="N60" s="7" t="str">
        <f t="shared" si="14"/>
        <v/>
      </c>
      <c r="O60" t="str">
        <f t="shared" si="15"/>
        <v/>
      </c>
      <c r="P60" t="str">
        <f t="shared" si="16"/>
        <v/>
      </c>
      <c r="Q60" t="str">
        <f t="shared" si="17"/>
        <v/>
      </c>
      <c r="S60" t="str">
        <f>""</f>
        <v/>
      </c>
      <c r="AL60" s="18" t="str">
        <f>IF(COUNTIF($A$2:A59, A59) = 1, A59, "")</f>
        <v/>
      </c>
    </row>
    <row r="61" spans="6:38" x14ac:dyDescent="0.2">
      <c r="F61" t="str">
        <f t="shared" si="12"/>
        <v/>
      </c>
      <c r="L61" s="7" t="str">
        <f t="shared" si="13"/>
        <v/>
      </c>
      <c r="N61" s="7" t="str">
        <f t="shared" si="14"/>
        <v/>
      </c>
      <c r="O61" t="str">
        <f t="shared" si="15"/>
        <v/>
      </c>
      <c r="P61" t="str">
        <f t="shared" si="16"/>
        <v/>
      </c>
      <c r="Q61" t="str">
        <f t="shared" si="17"/>
        <v/>
      </c>
      <c r="S61" t="str">
        <f>""</f>
        <v/>
      </c>
      <c r="AL61" s="18" t="str">
        <f>IF(COUNTIF($A$2:A60, A60) = 1, A60, "")</f>
        <v/>
      </c>
    </row>
    <row r="62" spans="6:38" x14ac:dyDescent="0.2">
      <c r="F62" t="str">
        <f t="shared" si="12"/>
        <v/>
      </c>
      <c r="L62" s="7" t="str">
        <f t="shared" si="13"/>
        <v/>
      </c>
      <c r="N62" s="7" t="str">
        <f t="shared" si="14"/>
        <v/>
      </c>
      <c r="O62" t="str">
        <f t="shared" si="15"/>
        <v/>
      </c>
      <c r="P62" t="str">
        <f t="shared" si="16"/>
        <v/>
      </c>
      <c r="Q62" t="str">
        <f t="shared" si="17"/>
        <v/>
      </c>
      <c r="S62" t="str">
        <f>""</f>
        <v/>
      </c>
      <c r="AL62" s="18" t="str">
        <f>IF(COUNTIF($A$2:A61, A61) = 1, A61, "")</f>
        <v/>
      </c>
    </row>
    <row r="63" spans="6:38" x14ac:dyDescent="0.2">
      <c r="F63" t="str">
        <f t="shared" si="12"/>
        <v/>
      </c>
      <c r="L63" s="7" t="str">
        <f t="shared" si="13"/>
        <v/>
      </c>
      <c r="N63" s="7" t="str">
        <f t="shared" si="14"/>
        <v/>
      </c>
      <c r="O63" t="str">
        <f t="shared" si="15"/>
        <v/>
      </c>
      <c r="P63" t="str">
        <f t="shared" si="16"/>
        <v/>
      </c>
      <c r="Q63" t="str">
        <f t="shared" si="17"/>
        <v/>
      </c>
      <c r="S63" t="str">
        <f>""</f>
        <v/>
      </c>
      <c r="AL63" s="18" t="str">
        <f>IF(COUNTIF($A$2:A62, A62) = 1, A62, "")</f>
        <v/>
      </c>
    </row>
    <row r="64" spans="6:38" x14ac:dyDescent="0.2">
      <c r="F64" t="str">
        <f t="shared" si="12"/>
        <v/>
      </c>
      <c r="L64" s="7" t="str">
        <f t="shared" si="13"/>
        <v/>
      </c>
      <c r="N64" s="7" t="str">
        <f t="shared" si="14"/>
        <v/>
      </c>
      <c r="O64" t="str">
        <f t="shared" si="15"/>
        <v/>
      </c>
      <c r="P64" t="str">
        <f t="shared" si="16"/>
        <v/>
      </c>
      <c r="Q64" t="str">
        <f t="shared" si="17"/>
        <v/>
      </c>
      <c r="S64" t="str">
        <f>""</f>
        <v/>
      </c>
      <c r="AL64" s="18" t="str">
        <f>IF(COUNTIF($A$2:A63, A63) = 1, A63, "")</f>
        <v/>
      </c>
    </row>
    <row r="65" spans="6:38" x14ac:dyDescent="0.2">
      <c r="F65" t="str">
        <f t="shared" si="12"/>
        <v/>
      </c>
      <c r="L65" s="7" t="str">
        <f t="shared" si="13"/>
        <v/>
      </c>
      <c r="N65" s="7" t="str">
        <f t="shared" si="14"/>
        <v/>
      </c>
      <c r="O65" t="str">
        <f t="shared" si="15"/>
        <v/>
      </c>
      <c r="P65" t="str">
        <f t="shared" si="16"/>
        <v/>
      </c>
      <c r="Q65" t="str">
        <f t="shared" si="17"/>
        <v/>
      </c>
      <c r="S65" t="str">
        <f>""</f>
        <v/>
      </c>
      <c r="AL65" s="18" t="str">
        <f>IF(COUNTIF($A$2:A64, A64) = 1, A64, "")</f>
        <v/>
      </c>
    </row>
    <row r="66" spans="6:38" x14ac:dyDescent="0.2">
      <c r="F66" t="str">
        <f t="shared" ref="F66:F129" si="21">IF(OR(O66="", P66=""), "", SUM(IF((O66&lt;&gt;"None")*(O66&lt;&gt;""),LEN(O66)-LEN(SUBSTITUTE(O66,",",""))+1,0)) + SUM(IF((P66&lt;&gt;"None")*(P66&lt;&gt;""),LEN(P66)-LEN(SUBSTITUTE(P66,",",""))+1,0)))</f>
        <v/>
      </c>
      <c r="L66" s="7" t="str">
        <f t="shared" ref="L66:L129" si="22">IF(LEN(E66)=0, "", IFERROR(IF(E66&gt;=0, K66 * (1 + E66/100) - K66, K66 / (ABS(E66)/100))+K66, ""))</f>
        <v/>
      </c>
      <c r="N66" s="7" t="str">
        <f t="shared" ref="N66:N129" si="23">IF(M66="Yes",L66-K66,IF(M66="No",-K66,""))</f>
        <v/>
      </c>
      <c r="O66" t="str">
        <f t="shared" ref="O66:O129" si="24">IF(AND(G66="No",H66="No"), "None", "")</f>
        <v/>
      </c>
      <c r="P66" t="str">
        <f t="shared" si="16"/>
        <v/>
      </c>
      <c r="Q66" t="str">
        <f t="shared" ref="Q66:Q129" si="25">IF(AND(D66="Straight", M66 = "No"),IF(O66="None",P66,IF(P66="None",O66) ),"")</f>
        <v/>
      </c>
      <c r="S66" t="str">
        <f>""</f>
        <v/>
      </c>
      <c r="AL66" s="18" t="str">
        <f>IF(COUNTIF($A$2:A65, A65) = 1, A65, "")</f>
        <v/>
      </c>
    </row>
    <row r="67" spans="6:38" x14ac:dyDescent="0.2">
      <c r="F67" t="str">
        <f t="shared" si="21"/>
        <v/>
      </c>
      <c r="L67" s="7" t="str">
        <f t="shared" si="22"/>
        <v/>
      </c>
      <c r="N67" s="7" t="str">
        <f t="shared" si="23"/>
        <v/>
      </c>
      <c r="O67" t="str">
        <f t="shared" si="24"/>
        <v/>
      </c>
      <c r="P67" t="str">
        <f t="shared" si="16"/>
        <v/>
      </c>
      <c r="Q67" t="str">
        <f t="shared" si="25"/>
        <v/>
      </c>
      <c r="S67" t="str">
        <f>""</f>
        <v/>
      </c>
      <c r="AL67" s="18" t="str">
        <f>IF(COUNTIF($A$2:A66, A66) = 1, A66, "")</f>
        <v/>
      </c>
    </row>
    <row r="68" spans="6:38" x14ac:dyDescent="0.2">
      <c r="F68" t="str">
        <f t="shared" si="21"/>
        <v/>
      </c>
      <c r="L68" s="7" t="str">
        <f t="shared" si="22"/>
        <v/>
      </c>
      <c r="N68" s="7" t="str">
        <f t="shared" si="23"/>
        <v/>
      </c>
      <c r="O68" t="str">
        <f t="shared" si="24"/>
        <v/>
      </c>
      <c r="P68" t="str">
        <f t="shared" si="16"/>
        <v/>
      </c>
      <c r="Q68" t="str">
        <f t="shared" si="25"/>
        <v/>
      </c>
      <c r="S68" t="str">
        <f>""</f>
        <v/>
      </c>
      <c r="AL68" s="18" t="str">
        <f>IF(COUNTIF($A$2:A67, A67) = 1, A67, "")</f>
        <v/>
      </c>
    </row>
    <row r="69" spans="6:38" x14ac:dyDescent="0.2">
      <c r="F69" t="str">
        <f t="shared" si="21"/>
        <v/>
      </c>
      <c r="L69" s="7" t="str">
        <f t="shared" si="22"/>
        <v/>
      </c>
      <c r="N69" s="7" t="str">
        <f t="shared" si="23"/>
        <v/>
      </c>
      <c r="O69" t="str">
        <f t="shared" si="24"/>
        <v/>
      </c>
      <c r="P69" t="str">
        <f t="shared" si="16"/>
        <v/>
      </c>
      <c r="Q69" t="str">
        <f t="shared" si="25"/>
        <v/>
      </c>
      <c r="S69" t="str">
        <f>""</f>
        <v/>
      </c>
      <c r="AL69" s="18" t="str">
        <f>IF(COUNTIF($A$2:A68, A68) = 1, A68, "")</f>
        <v/>
      </c>
    </row>
    <row r="70" spans="6:38" x14ac:dyDescent="0.2">
      <c r="F70" t="str">
        <f t="shared" si="21"/>
        <v/>
      </c>
      <c r="L70" s="7" t="str">
        <f t="shared" si="22"/>
        <v/>
      </c>
      <c r="N70" s="7" t="str">
        <f t="shared" si="23"/>
        <v/>
      </c>
      <c r="O70" t="str">
        <f t="shared" si="24"/>
        <v/>
      </c>
      <c r="P70" t="str">
        <f t="shared" si="16"/>
        <v/>
      </c>
      <c r="Q70" t="str">
        <f t="shared" si="25"/>
        <v/>
      </c>
      <c r="S70" t="str">
        <f>""</f>
        <v/>
      </c>
      <c r="AL70" s="18" t="str">
        <f>IF(COUNTIF($A$2:A69, A69) = 1, A69, "")</f>
        <v/>
      </c>
    </row>
    <row r="71" spans="6:38" x14ac:dyDescent="0.2">
      <c r="F71" t="str">
        <f t="shared" si="21"/>
        <v/>
      </c>
      <c r="L71" s="7" t="str">
        <f t="shared" si="22"/>
        <v/>
      </c>
      <c r="N71" s="7" t="str">
        <f t="shared" si="23"/>
        <v/>
      </c>
      <c r="O71" t="str">
        <f t="shared" si="24"/>
        <v/>
      </c>
      <c r="P71" t="str">
        <f t="shared" si="16"/>
        <v/>
      </c>
      <c r="Q71" t="str">
        <f t="shared" si="25"/>
        <v/>
      </c>
      <c r="S71" t="str">
        <f>""</f>
        <v/>
      </c>
      <c r="AL71" s="18" t="str">
        <f>IF(COUNTIF($A$2:A70, A70) = 1, A70, "")</f>
        <v/>
      </c>
    </row>
    <row r="72" spans="6:38" x14ac:dyDescent="0.2">
      <c r="F72" t="str">
        <f t="shared" si="21"/>
        <v/>
      </c>
      <c r="L72" s="7" t="str">
        <f t="shared" si="22"/>
        <v/>
      </c>
      <c r="N72" s="7" t="str">
        <f t="shared" si="23"/>
        <v/>
      </c>
      <c r="O72" t="str">
        <f t="shared" si="24"/>
        <v/>
      </c>
      <c r="P72" t="str">
        <f t="shared" si="16"/>
        <v/>
      </c>
      <c r="Q72" t="str">
        <f t="shared" si="25"/>
        <v/>
      </c>
      <c r="S72" t="str">
        <f>""</f>
        <v/>
      </c>
      <c r="AL72" s="18" t="str">
        <f>IF(COUNTIF($A$2:A71, A71) = 1, A71, "")</f>
        <v/>
      </c>
    </row>
    <row r="73" spans="6:38" x14ac:dyDescent="0.2">
      <c r="F73" t="str">
        <f t="shared" si="21"/>
        <v/>
      </c>
      <c r="L73" s="7" t="str">
        <f t="shared" si="22"/>
        <v/>
      </c>
      <c r="N73" s="7" t="str">
        <f t="shared" si="23"/>
        <v/>
      </c>
      <c r="O73" t="str">
        <f t="shared" si="24"/>
        <v/>
      </c>
      <c r="P73" t="str">
        <f t="shared" si="16"/>
        <v/>
      </c>
      <c r="Q73" t="str">
        <f t="shared" si="25"/>
        <v/>
      </c>
      <c r="S73" t="str">
        <f>""</f>
        <v/>
      </c>
      <c r="AL73" s="18" t="str">
        <f>IF(COUNTIF($A$2:A72, A72) = 1, A72, "")</f>
        <v/>
      </c>
    </row>
    <row r="74" spans="6:38" x14ac:dyDescent="0.2">
      <c r="F74" t="str">
        <f t="shared" si="21"/>
        <v/>
      </c>
      <c r="L74" s="7" t="str">
        <f t="shared" si="22"/>
        <v/>
      </c>
      <c r="N74" s="7" t="str">
        <f t="shared" si="23"/>
        <v/>
      </c>
      <c r="O74" t="str">
        <f t="shared" si="24"/>
        <v/>
      </c>
      <c r="P74" t="str">
        <f t="shared" si="16"/>
        <v/>
      </c>
      <c r="Q74" t="str">
        <f t="shared" si="25"/>
        <v/>
      </c>
      <c r="S74" t="str">
        <f>""</f>
        <v/>
      </c>
      <c r="AL74" s="18" t="str">
        <f>IF(COUNTIF($A$2:A73, A73) = 1, A73, "")</f>
        <v/>
      </c>
    </row>
    <row r="75" spans="6:38" x14ac:dyDescent="0.2">
      <c r="F75" t="str">
        <f t="shared" si="21"/>
        <v/>
      </c>
      <c r="L75" s="7" t="str">
        <f t="shared" si="22"/>
        <v/>
      </c>
      <c r="N75" s="7" t="str">
        <f t="shared" si="23"/>
        <v/>
      </c>
      <c r="O75" t="str">
        <f t="shared" si="24"/>
        <v/>
      </c>
      <c r="P75" t="str">
        <f t="shared" si="16"/>
        <v/>
      </c>
      <c r="Q75" t="str">
        <f t="shared" si="25"/>
        <v/>
      </c>
      <c r="S75" t="str">
        <f>""</f>
        <v/>
      </c>
      <c r="AL75" s="18" t="str">
        <f>IF(COUNTIF($A$2:A74, A74) = 1, A74, "")</f>
        <v/>
      </c>
    </row>
    <row r="76" spans="6:38" x14ac:dyDescent="0.2">
      <c r="F76" t="str">
        <f t="shared" si="21"/>
        <v/>
      </c>
      <c r="L76" s="7" t="str">
        <f t="shared" si="22"/>
        <v/>
      </c>
      <c r="N76" s="7" t="str">
        <f t="shared" si="23"/>
        <v/>
      </c>
      <c r="O76" t="str">
        <f t="shared" si="24"/>
        <v/>
      </c>
      <c r="P76" t="str">
        <f t="shared" si="16"/>
        <v/>
      </c>
      <c r="Q76" t="str">
        <f t="shared" si="25"/>
        <v/>
      </c>
      <c r="S76" t="str">
        <f>""</f>
        <v/>
      </c>
      <c r="AL76" s="18" t="str">
        <f>IF(COUNTIF($A$2:A75, A75) = 1, A75, "")</f>
        <v/>
      </c>
    </row>
    <row r="77" spans="6:38" x14ac:dyDescent="0.2">
      <c r="F77" t="str">
        <f t="shared" si="21"/>
        <v/>
      </c>
      <c r="L77" s="7" t="str">
        <f t="shared" si="22"/>
        <v/>
      </c>
      <c r="N77" s="7" t="str">
        <f t="shared" si="23"/>
        <v/>
      </c>
      <c r="O77" t="str">
        <f t="shared" si="24"/>
        <v/>
      </c>
      <c r="P77" t="str">
        <f t="shared" si="16"/>
        <v/>
      </c>
      <c r="Q77" t="str">
        <f t="shared" si="25"/>
        <v/>
      </c>
      <c r="S77" t="str">
        <f>""</f>
        <v/>
      </c>
      <c r="AL77" s="18" t="str">
        <f>IF(COUNTIF($A$2:A76, A76) = 1, A76, "")</f>
        <v/>
      </c>
    </row>
    <row r="78" spans="6:38" x14ac:dyDescent="0.2">
      <c r="F78" t="str">
        <f t="shared" si="21"/>
        <v/>
      </c>
      <c r="L78" s="7" t="str">
        <f t="shared" si="22"/>
        <v/>
      </c>
      <c r="N78" s="7" t="str">
        <f t="shared" si="23"/>
        <v/>
      </c>
      <c r="O78" t="str">
        <f t="shared" si="24"/>
        <v/>
      </c>
      <c r="P78" t="str">
        <f t="shared" si="16"/>
        <v/>
      </c>
      <c r="Q78" t="str">
        <f t="shared" si="25"/>
        <v/>
      </c>
      <c r="S78" t="str">
        <f>""</f>
        <v/>
      </c>
      <c r="AL78" s="18" t="str">
        <f>IF(COUNTIF($A$2:A77, A77) = 1, A77, "")</f>
        <v/>
      </c>
    </row>
    <row r="79" spans="6:38" x14ac:dyDescent="0.2">
      <c r="F79" t="str">
        <f t="shared" si="21"/>
        <v/>
      </c>
      <c r="L79" s="7" t="str">
        <f t="shared" si="22"/>
        <v/>
      </c>
      <c r="N79" s="7" t="str">
        <f t="shared" si="23"/>
        <v/>
      </c>
      <c r="O79" t="str">
        <f t="shared" si="24"/>
        <v/>
      </c>
      <c r="P79" t="str">
        <f t="shared" si="16"/>
        <v/>
      </c>
      <c r="Q79" t="str">
        <f t="shared" si="25"/>
        <v/>
      </c>
      <c r="S79" t="str">
        <f>""</f>
        <v/>
      </c>
      <c r="AL79" s="18" t="str">
        <f>IF(COUNTIF($A$2:A78, A78) = 1, A78, "")</f>
        <v/>
      </c>
    </row>
    <row r="80" spans="6:38" x14ac:dyDescent="0.2">
      <c r="F80" t="str">
        <f t="shared" si="21"/>
        <v/>
      </c>
      <c r="L80" s="7" t="str">
        <f t="shared" si="22"/>
        <v/>
      </c>
      <c r="N80" s="7" t="str">
        <f t="shared" si="23"/>
        <v/>
      </c>
      <c r="O80" t="str">
        <f t="shared" si="24"/>
        <v/>
      </c>
      <c r="P80" t="str">
        <f t="shared" si="16"/>
        <v/>
      </c>
      <c r="Q80" t="str">
        <f t="shared" si="25"/>
        <v/>
      </c>
      <c r="S80" t="str">
        <f>""</f>
        <v/>
      </c>
      <c r="AL80" s="18" t="str">
        <f>IF(COUNTIF($A$2:A79, A79) = 1, A79, "")</f>
        <v/>
      </c>
    </row>
    <row r="81" spans="6:38" x14ac:dyDescent="0.2">
      <c r="F81" t="str">
        <f t="shared" si="21"/>
        <v/>
      </c>
      <c r="L81" s="7" t="str">
        <f t="shared" si="22"/>
        <v/>
      </c>
      <c r="N81" s="7" t="str">
        <f t="shared" si="23"/>
        <v/>
      </c>
      <c r="O81" t="str">
        <f t="shared" si="24"/>
        <v/>
      </c>
      <c r="P81" t="str">
        <f t="shared" si="16"/>
        <v/>
      </c>
      <c r="Q81" t="str">
        <f t="shared" si="25"/>
        <v/>
      </c>
      <c r="S81" t="str">
        <f>""</f>
        <v/>
      </c>
      <c r="AL81" s="18" t="str">
        <f>IF(COUNTIF($A$2:A80, A80) = 1, A80, "")</f>
        <v/>
      </c>
    </row>
    <row r="82" spans="6:38" x14ac:dyDescent="0.2">
      <c r="F82" t="str">
        <f t="shared" si="21"/>
        <v/>
      </c>
      <c r="L82" s="7" t="str">
        <f t="shared" si="22"/>
        <v/>
      </c>
      <c r="N82" s="7" t="str">
        <f t="shared" si="23"/>
        <v/>
      </c>
      <c r="O82" t="str">
        <f t="shared" si="24"/>
        <v/>
      </c>
      <c r="P82" t="str">
        <f t="shared" si="16"/>
        <v/>
      </c>
      <c r="Q82" t="str">
        <f t="shared" si="25"/>
        <v/>
      </c>
      <c r="S82" t="str">
        <f>""</f>
        <v/>
      </c>
      <c r="AL82" s="18" t="str">
        <f>IF(COUNTIF($A$2:A81, A81) = 1, A81, "")</f>
        <v/>
      </c>
    </row>
    <row r="83" spans="6:38" x14ac:dyDescent="0.2">
      <c r="F83" t="str">
        <f t="shared" si="21"/>
        <v/>
      </c>
      <c r="L83" s="7" t="str">
        <f t="shared" si="22"/>
        <v/>
      </c>
      <c r="N83" s="7" t="str">
        <f t="shared" si="23"/>
        <v/>
      </c>
      <c r="O83" t="str">
        <f t="shared" si="24"/>
        <v/>
      </c>
      <c r="P83" t="str">
        <f t="shared" ref="P83:P143" si="26">IF(I83="No", "None", "")</f>
        <v/>
      </c>
      <c r="Q83" t="str">
        <f t="shared" si="25"/>
        <v/>
      </c>
      <c r="S83" t="str">
        <f>""</f>
        <v/>
      </c>
      <c r="AL83" s="18" t="str">
        <f>IF(COUNTIF($A$2:A82, A82) = 1, A82, "")</f>
        <v/>
      </c>
    </row>
    <row r="84" spans="6:38" x14ac:dyDescent="0.2">
      <c r="F84" t="str">
        <f t="shared" si="21"/>
        <v/>
      </c>
      <c r="L84" s="7" t="str">
        <f t="shared" si="22"/>
        <v/>
      </c>
      <c r="N84" s="7" t="str">
        <f t="shared" si="23"/>
        <v/>
      </c>
      <c r="O84" t="str">
        <f t="shared" si="24"/>
        <v/>
      </c>
      <c r="P84" t="str">
        <f t="shared" si="26"/>
        <v/>
      </c>
      <c r="Q84" t="str">
        <f t="shared" si="25"/>
        <v/>
      </c>
      <c r="S84" t="str">
        <f>""</f>
        <v/>
      </c>
      <c r="AL84" s="18" t="str">
        <f>IF(COUNTIF($A$2:A83, A83) = 1, A83, "")</f>
        <v/>
      </c>
    </row>
    <row r="85" spans="6:38" x14ac:dyDescent="0.2">
      <c r="F85" t="str">
        <f t="shared" si="21"/>
        <v/>
      </c>
      <c r="L85" s="7" t="str">
        <f t="shared" si="22"/>
        <v/>
      </c>
      <c r="N85" s="7" t="str">
        <f t="shared" si="23"/>
        <v/>
      </c>
      <c r="O85" t="str">
        <f t="shared" si="24"/>
        <v/>
      </c>
      <c r="P85" t="str">
        <f t="shared" si="26"/>
        <v/>
      </c>
      <c r="Q85" t="str">
        <f t="shared" si="25"/>
        <v/>
      </c>
      <c r="S85" t="str">
        <f>""</f>
        <v/>
      </c>
      <c r="AL85" s="18" t="str">
        <f>IF(COUNTIF($A$2:A84, A84) = 1, A84, "")</f>
        <v/>
      </c>
    </row>
    <row r="86" spans="6:38" x14ac:dyDescent="0.2">
      <c r="F86" t="str">
        <f t="shared" si="21"/>
        <v/>
      </c>
      <c r="L86" s="7" t="str">
        <f t="shared" si="22"/>
        <v/>
      </c>
      <c r="N86" s="7" t="str">
        <f t="shared" si="23"/>
        <v/>
      </c>
      <c r="O86" t="str">
        <f t="shared" si="24"/>
        <v/>
      </c>
      <c r="P86" t="str">
        <f t="shared" si="26"/>
        <v/>
      </c>
      <c r="Q86" t="str">
        <f t="shared" si="25"/>
        <v/>
      </c>
      <c r="S86" t="str">
        <f>""</f>
        <v/>
      </c>
      <c r="AL86" s="18" t="str">
        <f>IF(COUNTIF($A$2:A85, A85) = 1, A85, "")</f>
        <v/>
      </c>
    </row>
    <row r="87" spans="6:38" x14ac:dyDescent="0.2">
      <c r="F87" t="str">
        <f t="shared" si="21"/>
        <v/>
      </c>
      <c r="L87" s="7" t="str">
        <f t="shared" si="22"/>
        <v/>
      </c>
      <c r="N87" s="7" t="str">
        <f t="shared" si="23"/>
        <v/>
      </c>
      <c r="O87" t="str">
        <f t="shared" si="24"/>
        <v/>
      </c>
      <c r="P87" t="str">
        <f t="shared" si="26"/>
        <v/>
      </c>
      <c r="Q87" t="str">
        <f t="shared" si="25"/>
        <v/>
      </c>
      <c r="S87" t="str">
        <f>""</f>
        <v/>
      </c>
      <c r="AL87" s="18" t="str">
        <f>IF(COUNTIF($A$2:A86, A86) = 1, A86, "")</f>
        <v/>
      </c>
    </row>
    <row r="88" spans="6:38" x14ac:dyDescent="0.2">
      <c r="F88" t="str">
        <f t="shared" si="21"/>
        <v/>
      </c>
      <c r="L88" s="7" t="str">
        <f t="shared" si="22"/>
        <v/>
      </c>
      <c r="N88" s="7" t="str">
        <f t="shared" si="23"/>
        <v/>
      </c>
      <c r="O88" t="str">
        <f t="shared" si="24"/>
        <v/>
      </c>
      <c r="P88" t="str">
        <f t="shared" si="26"/>
        <v/>
      </c>
      <c r="Q88" t="str">
        <f t="shared" si="25"/>
        <v/>
      </c>
      <c r="S88" t="str">
        <f>""</f>
        <v/>
      </c>
      <c r="AL88" s="18" t="str">
        <f>IF(COUNTIF($A$2:A87, A87) = 1, A87, "")</f>
        <v/>
      </c>
    </row>
    <row r="89" spans="6:38" x14ac:dyDescent="0.2">
      <c r="F89" t="str">
        <f t="shared" si="21"/>
        <v/>
      </c>
      <c r="L89" s="7" t="str">
        <f t="shared" si="22"/>
        <v/>
      </c>
      <c r="N89" s="7" t="str">
        <f t="shared" si="23"/>
        <v/>
      </c>
      <c r="O89" t="str">
        <f t="shared" si="24"/>
        <v/>
      </c>
      <c r="P89" t="str">
        <f t="shared" si="26"/>
        <v/>
      </c>
      <c r="Q89" t="str">
        <f t="shared" si="25"/>
        <v/>
      </c>
      <c r="S89" t="str">
        <f>""</f>
        <v/>
      </c>
      <c r="AL89" s="18" t="str">
        <f>IF(COUNTIF($A$2:A88, A88) = 1, A88, "")</f>
        <v/>
      </c>
    </row>
    <row r="90" spans="6:38" x14ac:dyDescent="0.2">
      <c r="F90" t="str">
        <f t="shared" si="21"/>
        <v/>
      </c>
      <c r="L90" s="7" t="str">
        <f t="shared" si="22"/>
        <v/>
      </c>
      <c r="N90" s="7" t="str">
        <f t="shared" si="23"/>
        <v/>
      </c>
      <c r="O90" t="str">
        <f t="shared" si="24"/>
        <v/>
      </c>
      <c r="P90" t="str">
        <f t="shared" si="26"/>
        <v/>
      </c>
      <c r="Q90" t="str">
        <f t="shared" si="25"/>
        <v/>
      </c>
      <c r="S90" t="str">
        <f>""</f>
        <v/>
      </c>
      <c r="AL90" s="18" t="str">
        <f>IF(COUNTIF($A$2:A89, A89) = 1, A89, "")</f>
        <v/>
      </c>
    </row>
    <row r="91" spans="6:38" x14ac:dyDescent="0.2">
      <c r="F91" t="str">
        <f t="shared" si="21"/>
        <v/>
      </c>
      <c r="L91" s="7" t="str">
        <f t="shared" si="22"/>
        <v/>
      </c>
      <c r="N91" s="7" t="str">
        <f t="shared" si="23"/>
        <v/>
      </c>
      <c r="O91" t="str">
        <f t="shared" si="24"/>
        <v/>
      </c>
      <c r="P91" t="str">
        <f t="shared" si="26"/>
        <v/>
      </c>
      <c r="Q91" t="str">
        <f t="shared" si="25"/>
        <v/>
      </c>
      <c r="S91" t="str">
        <f>""</f>
        <v/>
      </c>
      <c r="AL91" s="18" t="str">
        <f>IF(COUNTIF($A$2:A90, A90) = 1, A90, "")</f>
        <v/>
      </c>
    </row>
    <row r="92" spans="6:38" x14ac:dyDescent="0.2">
      <c r="F92" t="str">
        <f t="shared" si="21"/>
        <v/>
      </c>
      <c r="L92" s="7" t="str">
        <f t="shared" si="22"/>
        <v/>
      </c>
      <c r="N92" s="7" t="str">
        <f t="shared" si="23"/>
        <v/>
      </c>
      <c r="O92" t="str">
        <f t="shared" si="24"/>
        <v/>
      </c>
      <c r="P92" t="str">
        <f t="shared" si="26"/>
        <v/>
      </c>
      <c r="Q92" t="str">
        <f t="shared" si="25"/>
        <v/>
      </c>
      <c r="S92" t="str">
        <f>""</f>
        <v/>
      </c>
      <c r="AL92" s="18" t="str">
        <f>IF(COUNTIF($A$2:A91, A91) = 1, A91, "")</f>
        <v/>
      </c>
    </row>
    <row r="93" spans="6:38" x14ac:dyDescent="0.2">
      <c r="F93" t="str">
        <f t="shared" si="21"/>
        <v/>
      </c>
      <c r="L93" s="7" t="str">
        <f t="shared" si="22"/>
        <v/>
      </c>
      <c r="N93" s="7" t="str">
        <f t="shared" si="23"/>
        <v/>
      </c>
      <c r="O93" t="str">
        <f t="shared" si="24"/>
        <v/>
      </c>
      <c r="P93" t="str">
        <f t="shared" si="26"/>
        <v/>
      </c>
      <c r="Q93" t="str">
        <f t="shared" si="25"/>
        <v/>
      </c>
      <c r="S93" t="str">
        <f>""</f>
        <v/>
      </c>
      <c r="AL93" s="18" t="str">
        <f>IF(COUNTIF($A$2:A92, A92) = 1, A92, "")</f>
        <v/>
      </c>
    </row>
    <row r="94" spans="6:38" x14ac:dyDescent="0.2">
      <c r="F94" t="str">
        <f t="shared" si="21"/>
        <v/>
      </c>
      <c r="L94" s="7" t="str">
        <f t="shared" si="22"/>
        <v/>
      </c>
      <c r="N94" s="7" t="str">
        <f t="shared" si="23"/>
        <v/>
      </c>
      <c r="O94" t="str">
        <f t="shared" si="24"/>
        <v/>
      </c>
      <c r="P94" t="str">
        <f t="shared" si="26"/>
        <v/>
      </c>
      <c r="Q94" t="str">
        <f t="shared" si="25"/>
        <v/>
      </c>
      <c r="S94" t="str">
        <f>""</f>
        <v/>
      </c>
      <c r="AL94" s="18" t="str">
        <f>IF(COUNTIF($A$2:A93, A93) = 1, A93, "")</f>
        <v/>
      </c>
    </row>
    <row r="95" spans="6:38" x14ac:dyDescent="0.2">
      <c r="F95" t="str">
        <f t="shared" si="21"/>
        <v/>
      </c>
      <c r="L95" s="7" t="str">
        <f t="shared" si="22"/>
        <v/>
      </c>
      <c r="N95" s="7" t="str">
        <f t="shared" si="23"/>
        <v/>
      </c>
      <c r="O95" t="str">
        <f t="shared" si="24"/>
        <v/>
      </c>
      <c r="P95" t="str">
        <f t="shared" si="26"/>
        <v/>
      </c>
      <c r="Q95" t="str">
        <f t="shared" si="25"/>
        <v/>
      </c>
      <c r="S95" t="str">
        <f>""</f>
        <v/>
      </c>
      <c r="AL95" s="18" t="str">
        <f>IF(COUNTIF($A$2:A94, A94) = 1, A94, "")</f>
        <v/>
      </c>
    </row>
    <row r="96" spans="6:38" x14ac:dyDescent="0.2">
      <c r="F96" t="str">
        <f t="shared" si="21"/>
        <v/>
      </c>
      <c r="L96" s="7" t="str">
        <f t="shared" si="22"/>
        <v/>
      </c>
      <c r="N96" s="7" t="str">
        <f t="shared" si="23"/>
        <v/>
      </c>
      <c r="O96" t="str">
        <f t="shared" si="24"/>
        <v/>
      </c>
      <c r="P96" t="str">
        <f t="shared" si="26"/>
        <v/>
      </c>
      <c r="Q96" t="str">
        <f t="shared" si="25"/>
        <v/>
      </c>
      <c r="S96" t="str">
        <f>""</f>
        <v/>
      </c>
      <c r="AL96" s="18" t="str">
        <f>IF(COUNTIF($A$2:A95, A95) = 1, A95, "")</f>
        <v/>
      </c>
    </row>
    <row r="97" spans="6:38" x14ac:dyDescent="0.2">
      <c r="F97" t="str">
        <f t="shared" si="21"/>
        <v/>
      </c>
      <c r="L97" s="7" t="str">
        <f t="shared" si="22"/>
        <v/>
      </c>
      <c r="N97" s="7" t="str">
        <f t="shared" si="23"/>
        <v/>
      </c>
      <c r="O97" t="str">
        <f t="shared" si="24"/>
        <v/>
      </c>
      <c r="P97" t="str">
        <f t="shared" si="26"/>
        <v/>
      </c>
      <c r="Q97" t="str">
        <f t="shared" si="25"/>
        <v/>
      </c>
      <c r="S97" t="str">
        <f>""</f>
        <v/>
      </c>
      <c r="AL97" s="18" t="str">
        <f>IF(COUNTIF($A$2:A96, A96) = 1, A96, "")</f>
        <v/>
      </c>
    </row>
    <row r="98" spans="6:38" x14ac:dyDescent="0.2">
      <c r="F98" t="str">
        <f t="shared" si="21"/>
        <v/>
      </c>
      <c r="L98" s="7" t="str">
        <f t="shared" si="22"/>
        <v/>
      </c>
      <c r="N98" s="7" t="str">
        <f t="shared" si="23"/>
        <v/>
      </c>
      <c r="O98" t="str">
        <f t="shared" si="24"/>
        <v/>
      </c>
      <c r="P98" t="str">
        <f t="shared" si="26"/>
        <v/>
      </c>
      <c r="Q98" t="str">
        <f t="shared" si="25"/>
        <v/>
      </c>
      <c r="S98" t="str">
        <f>""</f>
        <v/>
      </c>
      <c r="AL98" s="18" t="str">
        <f>IF(COUNTIF($A$2:A97, A97) = 1, A97, "")</f>
        <v/>
      </c>
    </row>
    <row r="99" spans="6:38" x14ac:dyDescent="0.2">
      <c r="F99" t="str">
        <f t="shared" si="21"/>
        <v/>
      </c>
      <c r="L99" s="7" t="str">
        <f t="shared" si="22"/>
        <v/>
      </c>
      <c r="N99" s="7" t="str">
        <f t="shared" si="23"/>
        <v/>
      </c>
      <c r="O99" t="str">
        <f t="shared" si="24"/>
        <v/>
      </c>
      <c r="P99" t="str">
        <f t="shared" si="26"/>
        <v/>
      </c>
      <c r="Q99" t="str">
        <f t="shared" si="25"/>
        <v/>
      </c>
      <c r="S99" t="str">
        <f>""</f>
        <v/>
      </c>
      <c r="AL99" s="18" t="str">
        <f>IF(COUNTIF($A$2:A98, A98) = 1, A98, "")</f>
        <v/>
      </c>
    </row>
    <row r="100" spans="6:38" x14ac:dyDescent="0.2">
      <c r="F100" t="str">
        <f t="shared" si="21"/>
        <v/>
      </c>
      <c r="L100" s="7" t="str">
        <f t="shared" si="22"/>
        <v/>
      </c>
      <c r="N100" s="7" t="str">
        <f t="shared" si="23"/>
        <v/>
      </c>
      <c r="O100" t="str">
        <f t="shared" si="24"/>
        <v/>
      </c>
      <c r="P100" t="str">
        <f t="shared" si="26"/>
        <v/>
      </c>
      <c r="Q100" t="str">
        <f t="shared" si="25"/>
        <v/>
      </c>
      <c r="S100" t="str">
        <f>""</f>
        <v/>
      </c>
      <c r="AL100" s="18" t="str">
        <f>IF(COUNTIF($A$2:A99, A99) = 1, A99, "")</f>
        <v/>
      </c>
    </row>
    <row r="101" spans="6:38" x14ac:dyDescent="0.2">
      <c r="F101" t="str">
        <f t="shared" si="21"/>
        <v/>
      </c>
      <c r="L101" s="7" t="str">
        <f t="shared" si="22"/>
        <v/>
      </c>
      <c r="N101" s="7" t="str">
        <f t="shared" si="23"/>
        <v/>
      </c>
      <c r="O101" t="str">
        <f t="shared" si="24"/>
        <v/>
      </c>
      <c r="P101" t="str">
        <f t="shared" si="26"/>
        <v/>
      </c>
      <c r="Q101" t="str">
        <f t="shared" si="25"/>
        <v/>
      </c>
      <c r="S101" t="str">
        <f>""</f>
        <v/>
      </c>
      <c r="AL101" s="18" t="str">
        <f>IF(COUNTIF($A$2:A100, A100) = 1, A100, "")</f>
        <v/>
      </c>
    </row>
    <row r="102" spans="6:38" x14ac:dyDescent="0.2">
      <c r="F102" t="str">
        <f t="shared" si="21"/>
        <v/>
      </c>
      <c r="L102" s="7" t="str">
        <f t="shared" si="22"/>
        <v/>
      </c>
      <c r="N102" s="7" t="str">
        <f t="shared" si="23"/>
        <v/>
      </c>
      <c r="O102" t="str">
        <f t="shared" si="24"/>
        <v/>
      </c>
      <c r="P102" t="str">
        <f t="shared" si="26"/>
        <v/>
      </c>
      <c r="Q102" t="str">
        <f t="shared" si="25"/>
        <v/>
      </c>
      <c r="S102" t="str">
        <f>""</f>
        <v/>
      </c>
      <c r="AL102" s="18" t="str">
        <f>IF(COUNTIF($A$2:A101, A101) = 1, A101, "")</f>
        <v/>
      </c>
    </row>
    <row r="103" spans="6:38" x14ac:dyDescent="0.2">
      <c r="F103" t="str">
        <f t="shared" si="21"/>
        <v/>
      </c>
      <c r="L103" s="7" t="str">
        <f t="shared" si="22"/>
        <v/>
      </c>
      <c r="N103" s="7" t="str">
        <f t="shared" si="23"/>
        <v/>
      </c>
      <c r="O103" t="str">
        <f t="shared" si="24"/>
        <v/>
      </c>
      <c r="P103" t="str">
        <f t="shared" si="26"/>
        <v/>
      </c>
      <c r="Q103" t="str">
        <f t="shared" si="25"/>
        <v/>
      </c>
      <c r="S103" t="str">
        <f>""</f>
        <v/>
      </c>
      <c r="AL103" s="18" t="str">
        <f>IF(COUNTIF($A$2:A102, A102) = 1, A102, "")</f>
        <v/>
      </c>
    </row>
    <row r="104" spans="6:38" x14ac:dyDescent="0.2">
      <c r="F104" t="str">
        <f t="shared" si="21"/>
        <v/>
      </c>
      <c r="L104" s="7" t="str">
        <f t="shared" si="22"/>
        <v/>
      </c>
      <c r="N104" s="7" t="str">
        <f t="shared" si="23"/>
        <v/>
      </c>
      <c r="O104" t="str">
        <f t="shared" si="24"/>
        <v/>
      </c>
      <c r="P104" t="str">
        <f t="shared" si="26"/>
        <v/>
      </c>
      <c r="Q104" t="str">
        <f t="shared" si="25"/>
        <v/>
      </c>
      <c r="S104" t="str">
        <f>""</f>
        <v/>
      </c>
      <c r="AL104" s="18" t="str">
        <f>IF(COUNTIF($A$2:A103, A103) = 1, A103, "")</f>
        <v/>
      </c>
    </row>
    <row r="105" spans="6:38" x14ac:dyDescent="0.2">
      <c r="F105" t="str">
        <f t="shared" si="21"/>
        <v/>
      </c>
      <c r="L105" s="7" t="str">
        <f t="shared" si="22"/>
        <v/>
      </c>
      <c r="N105" s="7" t="str">
        <f t="shared" si="23"/>
        <v/>
      </c>
      <c r="O105" t="str">
        <f t="shared" si="24"/>
        <v/>
      </c>
      <c r="P105" t="str">
        <f t="shared" si="26"/>
        <v/>
      </c>
      <c r="Q105" t="str">
        <f t="shared" si="25"/>
        <v/>
      </c>
      <c r="S105" t="str">
        <f>""</f>
        <v/>
      </c>
      <c r="AL105" s="18" t="str">
        <f>IF(COUNTIF($A$2:A104, A104) = 1, A104, "")</f>
        <v/>
      </c>
    </row>
    <row r="106" spans="6:38" x14ac:dyDescent="0.2">
      <c r="F106" t="str">
        <f t="shared" si="21"/>
        <v/>
      </c>
      <c r="L106" s="7" t="str">
        <f t="shared" si="22"/>
        <v/>
      </c>
      <c r="N106" s="7" t="str">
        <f t="shared" si="23"/>
        <v/>
      </c>
      <c r="O106" t="str">
        <f t="shared" si="24"/>
        <v/>
      </c>
      <c r="P106" t="str">
        <f t="shared" si="26"/>
        <v/>
      </c>
      <c r="Q106" t="str">
        <f t="shared" si="25"/>
        <v/>
      </c>
      <c r="S106" t="str">
        <f>""</f>
        <v/>
      </c>
      <c r="AL106" s="18" t="str">
        <f>IF(COUNTIF($A$2:A105, A105) = 1, A105, "")</f>
        <v/>
      </c>
    </row>
    <row r="107" spans="6:38" x14ac:dyDescent="0.2">
      <c r="F107" t="str">
        <f t="shared" si="21"/>
        <v/>
      </c>
      <c r="L107" s="7" t="str">
        <f t="shared" si="22"/>
        <v/>
      </c>
      <c r="N107" s="7" t="str">
        <f t="shared" si="23"/>
        <v/>
      </c>
      <c r="O107" t="str">
        <f t="shared" si="24"/>
        <v/>
      </c>
      <c r="P107" t="str">
        <f t="shared" si="26"/>
        <v/>
      </c>
      <c r="Q107" t="str">
        <f t="shared" si="25"/>
        <v/>
      </c>
      <c r="S107" t="str">
        <f>""</f>
        <v/>
      </c>
      <c r="AL107" s="18" t="str">
        <f>IF(COUNTIF($A$2:A106, A106) = 1, A106, "")</f>
        <v/>
      </c>
    </row>
    <row r="108" spans="6:38" x14ac:dyDescent="0.2">
      <c r="F108" t="str">
        <f t="shared" si="21"/>
        <v/>
      </c>
      <c r="L108" s="7" t="str">
        <f t="shared" si="22"/>
        <v/>
      </c>
      <c r="N108" s="7" t="str">
        <f t="shared" si="23"/>
        <v/>
      </c>
      <c r="O108" t="str">
        <f t="shared" si="24"/>
        <v/>
      </c>
      <c r="P108" t="str">
        <f t="shared" si="26"/>
        <v/>
      </c>
      <c r="Q108" t="str">
        <f t="shared" si="25"/>
        <v/>
      </c>
      <c r="S108" t="str">
        <f>""</f>
        <v/>
      </c>
      <c r="AL108" s="18" t="str">
        <f>IF(COUNTIF($A$2:A107, A107) = 1, A107, "")</f>
        <v/>
      </c>
    </row>
    <row r="109" spans="6:38" x14ac:dyDescent="0.2">
      <c r="F109" t="str">
        <f t="shared" si="21"/>
        <v/>
      </c>
      <c r="L109" s="7" t="str">
        <f t="shared" si="22"/>
        <v/>
      </c>
      <c r="N109" s="7" t="str">
        <f t="shared" si="23"/>
        <v/>
      </c>
      <c r="O109" t="str">
        <f t="shared" si="24"/>
        <v/>
      </c>
      <c r="P109" t="str">
        <f t="shared" si="26"/>
        <v/>
      </c>
      <c r="Q109" t="str">
        <f t="shared" si="25"/>
        <v/>
      </c>
      <c r="S109" t="str">
        <f>""</f>
        <v/>
      </c>
      <c r="AL109" s="18" t="str">
        <f>IF(COUNTIF($A$2:A108, A108) = 1, A108, "")</f>
        <v/>
      </c>
    </row>
    <row r="110" spans="6:38" x14ac:dyDescent="0.2">
      <c r="F110" t="str">
        <f t="shared" si="21"/>
        <v/>
      </c>
      <c r="L110" s="7" t="str">
        <f t="shared" si="22"/>
        <v/>
      </c>
      <c r="N110" s="7" t="str">
        <f t="shared" si="23"/>
        <v/>
      </c>
      <c r="O110" t="str">
        <f t="shared" si="24"/>
        <v/>
      </c>
      <c r="P110" t="str">
        <f t="shared" si="26"/>
        <v/>
      </c>
      <c r="Q110" t="str">
        <f t="shared" si="25"/>
        <v/>
      </c>
      <c r="S110" t="str">
        <f>""</f>
        <v/>
      </c>
      <c r="AL110" s="18" t="str">
        <f>IF(COUNTIF($A$2:A109, A109) = 1, A109, "")</f>
        <v/>
      </c>
    </row>
    <row r="111" spans="6:38" x14ac:dyDescent="0.2">
      <c r="F111" t="str">
        <f t="shared" si="21"/>
        <v/>
      </c>
      <c r="L111" s="7" t="str">
        <f t="shared" si="22"/>
        <v/>
      </c>
      <c r="N111" s="7" t="str">
        <f t="shared" si="23"/>
        <v/>
      </c>
      <c r="O111" t="str">
        <f t="shared" si="24"/>
        <v/>
      </c>
      <c r="P111" t="str">
        <f t="shared" si="26"/>
        <v/>
      </c>
      <c r="Q111" t="str">
        <f t="shared" si="25"/>
        <v/>
      </c>
      <c r="S111" t="str">
        <f>""</f>
        <v/>
      </c>
      <c r="AL111" s="18" t="str">
        <f>IF(COUNTIF($A$2:A110, A110) = 1, A110, "")</f>
        <v/>
      </c>
    </row>
    <row r="112" spans="6:38" x14ac:dyDescent="0.2">
      <c r="F112" t="str">
        <f t="shared" si="21"/>
        <v/>
      </c>
      <c r="L112" s="7" t="str">
        <f t="shared" si="22"/>
        <v/>
      </c>
      <c r="N112" s="7" t="str">
        <f t="shared" si="23"/>
        <v/>
      </c>
      <c r="O112" t="str">
        <f t="shared" si="24"/>
        <v/>
      </c>
      <c r="P112" t="str">
        <f t="shared" si="26"/>
        <v/>
      </c>
      <c r="Q112" t="str">
        <f t="shared" si="25"/>
        <v/>
      </c>
      <c r="S112" t="str">
        <f>""</f>
        <v/>
      </c>
      <c r="AL112" s="18" t="str">
        <f>IF(COUNTIF($A$2:A111, A111) = 1, A111, "")</f>
        <v/>
      </c>
    </row>
    <row r="113" spans="6:38" x14ac:dyDescent="0.2">
      <c r="F113" t="str">
        <f t="shared" si="21"/>
        <v/>
      </c>
      <c r="L113" s="7" t="str">
        <f t="shared" si="22"/>
        <v/>
      </c>
      <c r="N113" s="7" t="str">
        <f t="shared" si="23"/>
        <v/>
      </c>
      <c r="O113" t="str">
        <f t="shared" si="24"/>
        <v/>
      </c>
      <c r="P113" t="str">
        <f t="shared" si="26"/>
        <v/>
      </c>
      <c r="Q113" t="str">
        <f t="shared" si="25"/>
        <v/>
      </c>
      <c r="S113" t="str">
        <f>""</f>
        <v/>
      </c>
      <c r="AL113" s="18" t="str">
        <f>IF(COUNTIF($A$2:A112, A112) = 1, A112, "")</f>
        <v/>
      </c>
    </row>
    <row r="114" spans="6:38" x14ac:dyDescent="0.2">
      <c r="F114" t="str">
        <f t="shared" si="21"/>
        <v/>
      </c>
      <c r="L114" s="7" t="str">
        <f t="shared" si="22"/>
        <v/>
      </c>
      <c r="N114" s="7" t="str">
        <f t="shared" si="23"/>
        <v/>
      </c>
      <c r="O114" t="str">
        <f t="shared" si="24"/>
        <v/>
      </c>
      <c r="P114" t="str">
        <f t="shared" si="26"/>
        <v/>
      </c>
      <c r="Q114" t="str">
        <f t="shared" si="25"/>
        <v/>
      </c>
      <c r="S114" t="str">
        <f>""</f>
        <v/>
      </c>
      <c r="AL114" s="18" t="str">
        <f>IF(COUNTIF($A$2:A113, A113) = 1, A113, "")</f>
        <v/>
      </c>
    </row>
    <row r="115" spans="6:38" x14ac:dyDescent="0.2">
      <c r="F115" t="str">
        <f t="shared" si="21"/>
        <v/>
      </c>
      <c r="L115" s="7" t="str">
        <f t="shared" si="22"/>
        <v/>
      </c>
      <c r="N115" s="7" t="str">
        <f t="shared" si="23"/>
        <v/>
      </c>
      <c r="O115" t="str">
        <f t="shared" si="24"/>
        <v/>
      </c>
      <c r="P115" t="str">
        <f t="shared" si="26"/>
        <v/>
      </c>
      <c r="Q115" t="str">
        <f t="shared" si="25"/>
        <v/>
      </c>
      <c r="S115" t="str">
        <f>""</f>
        <v/>
      </c>
      <c r="AL115" s="18" t="str">
        <f>IF(COUNTIF($A$2:A114, A114) = 1, A114, "")</f>
        <v/>
      </c>
    </row>
    <row r="116" spans="6:38" x14ac:dyDescent="0.2">
      <c r="F116" t="str">
        <f t="shared" si="21"/>
        <v/>
      </c>
      <c r="L116" s="7" t="str">
        <f t="shared" si="22"/>
        <v/>
      </c>
      <c r="N116" s="7" t="str">
        <f t="shared" si="23"/>
        <v/>
      </c>
      <c r="O116" t="str">
        <f t="shared" si="24"/>
        <v/>
      </c>
      <c r="P116" t="str">
        <f t="shared" si="26"/>
        <v/>
      </c>
      <c r="Q116" t="str">
        <f t="shared" si="25"/>
        <v/>
      </c>
      <c r="S116" t="str">
        <f>""</f>
        <v/>
      </c>
      <c r="AL116" s="18" t="str">
        <f>IF(COUNTIF($A$2:A115, A115) = 1, A115, "")</f>
        <v/>
      </c>
    </row>
    <row r="117" spans="6:38" x14ac:dyDescent="0.2">
      <c r="F117" t="str">
        <f t="shared" si="21"/>
        <v/>
      </c>
      <c r="L117" s="7" t="str">
        <f t="shared" si="22"/>
        <v/>
      </c>
      <c r="N117" s="7" t="str">
        <f t="shared" si="23"/>
        <v/>
      </c>
      <c r="O117" t="str">
        <f t="shared" si="24"/>
        <v/>
      </c>
      <c r="P117" t="str">
        <f t="shared" si="26"/>
        <v/>
      </c>
      <c r="Q117" t="str">
        <f t="shared" si="25"/>
        <v/>
      </c>
      <c r="S117" t="str">
        <f>""</f>
        <v/>
      </c>
      <c r="AL117" s="18" t="str">
        <f>IF(COUNTIF($A$2:A116, A116) = 1, A116, "")</f>
        <v/>
      </c>
    </row>
    <row r="118" spans="6:38" x14ac:dyDescent="0.2">
      <c r="F118" t="str">
        <f t="shared" si="21"/>
        <v/>
      </c>
      <c r="L118" s="7" t="str">
        <f t="shared" si="22"/>
        <v/>
      </c>
      <c r="N118" s="7" t="str">
        <f t="shared" si="23"/>
        <v/>
      </c>
      <c r="O118" t="str">
        <f t="shared" si="24"/>
        <v/>
      </c>
      <c r="P118" t="str">
        <f t="shared" si="26"/>
        <v/>
      </c>
      <c r="Q118" t="str">
        <f t="shared" si="25"/>
        <v/>
      </c>
      <c r="S118" t="str">
        <f>""</f>
        <v/>
      </c>
      <c r="AL118" s="18" t="str">
        <f>IF(COUNTIF($A$2:A117, A117) = 1, A117, "")</f>
        <v/>
      </c>
    </row>
    <row r="119" spans="6:38" x14ac:dyDescent="0.2">
      <c r="F119" t="str">
        <f t="shared" si="21"/>
        <v/>
      </c>
      <c r="L119" s="7" t="str">
        <f t="shared" si="22"/>
        <v/>
      </c>
      <c r="N119" s="7" t="str">
        <f t="shared" si="23"/>
        <v/>
      </c>
      <c r="O119" t="str">
        <f t="shared" si="24"/>
        <v/>
      </c>
      <c r="P119" t="str">
        <f t="shared" si="26"/>
        <v/>
      </c>
      <c r="Q119" t="str">
        <f t="shared" si="25"/>
        <v/>
      </c>
      <c r="S119" t="str">
        <f>""</f>
        <v/>
      </c>
      <c r="AL119" s="18" t="str">
        <f>IF(COUNTIF($A$2:A118, A118) = 1, A118, "")</f>
        <v/>
      </c>
    </row>
    <row r="120" spans="6:38" x14ac:dyDescent="0.2">
      <c r="F120" t="str">
        <f t="shared" si="21"/>
        <v/>
      </c>
      <c r="L120" s="7" t="str">
        <f t="shared" si="22"/>
        <v/>
      </c>
      <c r="N120" s="7" t="str">
        <f t="shared" si="23"/>
        <v/>
      </c>
      <c r="O120" t="str">
        <f t="shared" si="24"/>
        <v/>
      </c>
      <c r="P120" t="str">
        <f t="shared" si="26"/>
        <v/>
      </c>
      <c r="Q120" t="str">
        <f t="shared" si="25"/>
        <v/>
      </c>
      <c r="S120" t="str">
        <f>""</f>
        <v/>
      </c>
      <c r="AL120" s="18" t="str">
        <f>IF(COUNTIF($A$2:A119, A119) = 1, A119, "")</f>
        <v/>
      </c>
    </row>
    <row r="121" spans="6:38" x14ac:dyDescent="0.2">
      <c r="F121" t="str">
        <f t="shared" si="21"/>
        <v/>
      </c>
      <c r="L121" s="7" t="str">
        <f t="shared" si="22"/>
        <v/>
      </c>
      <c r="N121" s="7" t="str">
        <f t="shared" si="23"/>
        <v/>
      </c>
      <c r="O121" t="str">
        <f t="shared" si="24"/>
        <v/>
      </c>
      <c r="P121" t="str">
        <f t="shared" si="26"/>
        <v/>
      </c>
      <c r="Q121" t="str">
        <f t="shared" si="25"/>
        <v/>
      </c>
      <c r="S121" t="str">
        <f>""</f>
        <v/>
      </c>
      <c r="AL121" s="18" t="str">
        <f>IF(COUNTIF($A$2:A120, A120) = 1, A120, "")</f>
        <v/>
      </c>
    </row>
    <row r="122" spans="6:38" x14ac:dyDescent="0.2">
      <c r="F122" t="str">
        <f t="shared" si="21"/>
        <v/>
      </c>
      <c r="L122" s="7" t="str">
        <f t="shared" si="22"/>
        <v/>
      </c>
      <c r="N122" s="7" t="str">
        <f t="shared" si="23"/>
        <v/>
      </c>
      <c r="O122" t="str">
        <f t="shared" si="24"/>
        <v/>
      </c>
      <c r="P122" t="str">
        <f t="shared" si="26"/>
        <v/>
      </c>
      <c r="Q122" t="str">
        <f t="shared" si="25"/>
        <v/>
      </c>
      <c r="S122" t="str">
        <f>""</f>
        <v/>
      </c>
      <c r="AL122" s="18" t="str">
        <f>IF(COUNTIF($A$2:A121, A121) = 1, A121, "")</f>
        <v/>
      </c>
    </row>
    <row r="123" spans="6:38" x14ac:dyDescent="0.2">
      <c r="F123" t="str">
        <f t="shared" si="21"/>
        <v/>
      </c>
      <c r="L123" s="7" t="str">
        <f t="shared" si="22"/>
        <v/>
      </c>
      <c r="N123" s="7" t="str">
        <f t="shared" si="23"/>
        <v/>
      </c>
      <c r="O123" t="str">
        <f t="shared" si="24"/>
        <v/>
      </c>
      <c r="P123" t="str">
        <f t="shared" si="26"/>
        <v/>
      </c>
      <c r="Q123" t="str">
        <f t="shared" si="25"/>
        <v/>
      </c>
      <c r="S123" t="str">
        <f>""</f>
        <v/>
      </c>
      <c r="AL123" s="18" t="str">
        <f>IF(COUNTIF($A$2:A122, A122) = 1, A122, "")</f>
        <v/>
      </c>
    </row>
    <row r="124" spans="6:38" x14ac:dyDescent="0.2">
      <c r="F124" t="str">
        <f t="shared" si="21"/>
        <v/>
      </c>
      <c r="L124" s="7" t="str">
        <f t="shared" si="22"/>
        <v/>
      </c>
      <c r="N124" s="7" t="str">
        <f t="shared" si="23"/>
        <v/>
      </c>
      <c r="O124" t="str">
        <f t="shared" si="24"/>
        <v/>
      </c>
      <c r="P124" t="str">
        <f t="shared" si="26"/>
        <v/>
      </c>
      <c r="Q124" t="str">
        <f t="shared" si="25"/>
        <v/>
      </c>
      <c r="S124" t="str">
        <f>""</f>
        <v/>
      </c>
      <c r="AL124" s="18" t="str">
        <f>IF(COUNTIF($A$2:A123, A123) = 1, A123, "")</f>
        <v/>
      </c>
    </row>
    <row r="125" spans="6:38" x14ac:dyDescent="0.2">
      <c r="F125" t="str">
        <f t="shared" si="21"/>
        <v/>
      </c>
      <c r="L125" s="7" t="str">
        <f t="shared" si="22"/>
        <v/>
      </c>
      <c r="N125" s="7" t="str">
        <f t="shared" si="23"/>
        <v/>
      </c>
      <c r="O125" t="str">
        <f t="shared" si="24"/>
        <v/>
      </c>
      <c r="P125" t="str">
        <f t="shared" si="26"/>
        <v/>
      </c>
      <c r="Q125" t="str">
        <f t="shared" si="25"/>
        <v/>
      </c>
      <c r="S125" t="str">
        <f>""</f>
        <v/>
      </c>
      <c r="AL125" s="18" t="str">
        <f>IF(COUNTIF($A$2:A124, A124) = 1, A124, "")</f>
        <v/>
      </c>
    </row>
    <row r="126" spans="6:38" x14ac:dyDescent="0.2">
      <c r="F126" t="str">
        <f t="shared" si="21"/>
        <v/>
      </c>
      <c r="L126" s="7" t="str">
        <f t="shared" si="22"/>
        <v/>
      </c>
      <c r="N126" s="7" t="str">
        <f t="shared" si="23"/>
        <v/>
      </c>
      <c r="O126" t="str">
        <f t="shared" si="24"/>
        <v/>
      </c>
      <c r="P126" t="str">
        <f t="shared" si="26"/>
        <v/>
      </c>
      <c r="Q126" t="str">
        <f t="shared" si="25"/>
        <v/>
      </c>
      <c r="S126" t="str">
        <f>""</f>
        <v/>
      </c>
      <c r="AL126" s="18" t="str">
        <f>IF(COUNTIF($A$2:A125, A125) = 1, A125, "")</f>
        <v/>
      </c>
    </row>
    <row r="127" spans="6:38" x14ac:dyDescent="0.2">
      <c r="F127" t="str">
        <f t="shared" si="21"/>
        <v/>
      </c>
      <c r="L127" s="7" t="str">
        <f t="shared" si="22"/>
        <v/>
      </c>
      <c r="N127" s="7" t="str">
        <f t="shared" si="23"/>
        <v/>
      </c>
      <c r="O127" t="str">
        <f t="shared" si="24"/>
        <v/>
      </c>
      <c r="P127" t="str">
        <f t="shared" si="26"/>
        <v/>
      </c>
      <c r="Q127" t="str">
        <f t="shared" si="25"/>
        <v/>
      </c>
      <c r="S127" t="str">
        <f>""</f>
        <v/>
      </c>
      <c r="AL127" s="18" t="str">
        <f>IF(COUNTIF($A$2:A126, A126) = 1, A126, "")</f>
        <v/>
      </c>
    </row>
    <row r="128" spans="6:38" x14ac:dyDescent="0.2">
      <c r="F128" t="str">
        <f t="shared" si="21"/>
        <v/>
      </c>
      <c r="L128" s="7" t="str">
        <f t="shared" si="22"/>
        <v/>
      </c>
      <c r="N128" s="7" t="str">
        <f t="shared" si="23"/>
        <v/>
      </c>
      <c r="O128" t="str">
        <f t="shared" si="24"/>
        <v/>
      </c>
      <c r="P128" t="str">
        <f t="shared" si="26"/>
        <v/>
      </c>
      <c r="Q128" t="str">
        <f t="shared" si="25"/>
        <v/>
      </c>
      <c r="S128" t="str">
        <f>""</f>
        <v/>
      </c>
      <c r="AL128" s="18" t="str">
        <f>IF(COUNTIF($A$2:A127, A127) = 1, A127, "")</f>
        <v/>
      </c>
    </row>
    <row r="129" spans="6:38" x14ac:dyDescent="0.2">
      <c r="F129" t="str">
        <f t="shared" si="21"/>
        <v/>
      </c>
      <c r="L129" s="7" t="str">
        <f t="shared" si="22"/>
        <v/>
      </c>
      <c r="N129" s="7" t="str">
        <f t="shared" si="23"/>
        <v/>
      </c>
      <c r="O129" t="str">
        <f t="shared" si="24"/>
        <v/>
      </c>
      <c r="P129" t="str">
        <f t="shared" si="26"/>
        <v/>
      </c>
      <c r="Q129" t="str">
        <f t="shared" si="25"/>
        <v/>
      </c>
      <c r="S129" t="str">
        <f>""</f>
        <v/>
      </c>
      <c r="AL129" s="18" t="str">
        <f>IF(COUNTIF($A$2:A128, A128) = 1, A128, "")</f>
        <v/>
      </c>
    </row>
    <row r="130" spans="6:38" x14ac:dyDescent="0.2">
      <c r="F130" t="str">
        <f t="shared" ref="F130:F143" si="27">IF(OR(O130="", P130=""), "", SUM(IF((O130&lt;&gt;"None")*(O130&lt;&gt;""),LEN(O130)-LEN(SUBSTITUTE(O130,",",""))+1,0)) + SUM(IF((P130&lt;&gt;"None")*(P130&lt;&gt;""),LEN(P130)-LEN(SUBSTITUTE(P130,",",""))+1,0)))</f>
        <v/>
      </c>
      <c r="L130" s="7" t="str">
        <f t="shared" ref="L130:L143" si="28">IF(LEN(E130)=0, "", IFERROR(IF(E130&gt;=0, K130 * (1 + E130/100) - K130, K130 / (ABS(E130)/100))+K130, ""))</f>
        <v/>
      </c>
      <c r="N130" s="7" t="str">
        <f t="shared" ref="N130:N143" si="29">IF(M130="Yes",L130-K130,IF(M130="No",-K130,""))</f>
        <v/>
      </c>
      <c r="O130" t="str">
        <f t="shared" ref="O130:O143" si="30">IF(AND(G130="No",H130="No"), "None", "")</f>
        <v/>
      </c>
      <c r="P130" t="str">
        <f t="shared" si="26"/>
        <v/>
      </c>
      <c r="Q130" t="str">
        <f t="shared" ref="Q130:Q143" si="31">IF(AND(D130="Straight", M130 = "No"),IF(O130="None",P130,IF(P130="None",O130) ),"")</f>
        <v/>
      </c>
      <c r="S130" t="str">
        <f>""</f>
        <v/>
      </c>
      <c r="AL130" s="18" t="str">
        <f>IF(COUNTIF($A$2:A129, A129) = 1, A129, "")</f>
        <v/>
      </c>
    </row>
    <row r="131" spans="6:38" x14ac:dyDescent="0.2">
      <c r="F131" t="str">
        <f t="shared" si="27"/>
        <v/>
      </c>
      <c r="L131" s="7" t="str">
        <f t="shared" si="28"/>
        <v/>
      </c>
      <c r="N131" s="7" t="str">
        <f t="shared" si="29"/>
        <v/>
      </c>
      <c r="O131" t="str">
        <f t="shared" si="30"/>
        <v/>
      </c>
      <c r="P131" t="str">
        <f t="shared" si="26"/>
        <v/>
      </c>
      <c r="Q131" t="str">
        <f t="shared" si="31"/>
        <v/>
      </c>
      <c r="S131" t="str">
        <f>""</f>
        <v/>
      </c>
      <c r="AL131" s="18" t="str">
        <f>IF(COUNTIF($A$2:A130, A130) = 1, A130, "")</f>
        <v/>
      </c>
    </row>
    <row r="132" spans="6:38" x14ac:dyDescent="0.2">
      <c r="F132" t="str">
        <f t="shared" si="27"/>
        <v/>
      </c>
      <c r="L132" s="7" t="str">
        <f t="shared" si="28"/>
        <v/>
      </c>
      <c r="N132" s="7" t="str">
        <f t="shared" si="29"/>
        <v/>
      </c>
      <c r="O132" t="str">
        <f t="shared" si="30"/>
        <v/>
      </c>
      <c r="P132" t="str">
        <f t="shared" si="26"/>
        <v/>
      </c>
      <c r="Q132" t="str">
        <f t="shared" si="31"/>
        <v/>
      </c>
      <c r="S132" t="str">
        <f>""</f>
        <v/>
      </c>
      <c r="AL132" s="18" t="str">
        <f>IF(COUNTIF($A$2:A131, A131) = 1, A131, "")</f>
        <v/>
      </c>
    </row>
    <row r="133" spans="6:38" x14ac:dyDescent="0.2">
      <c r="F133" t="str">
        <f t="shared" si="27"/>
        <v/>
      </c>
      <c r="L133" s="7" t="str">
        <f t="shared" si="28"/>
        <v/>
      </c>
      <c r="N133" s="7" t="str">
        <f t="shared" si="29"/>
        <v/>
      </c>
      <c r="O133" t="str">
        <f t="shared" si="30"/>
        <v/>
      </c>
      <c r="P133" t="str">
        <f t="shared" si="26"/>
        <v/>
      </c>
      <c r="Q133" t="str">
        <f t="shared" si="31"/>
        <v/>
      </c>
      <c r="S133" t="str">
        <f>""</f>
        <v/>
      </c>
      <c r="AL133" s="18" t="str">
        <f>IF(COUNTIF($A$2:A132, A132) = 1, A132, "")</f>
        <v/>
      </c>
    </row>
    <row r="134" spans="6:38" x14ac:dyDescent="0.2">
      <c r="F134" t="str">
        <f t="shared" si="27"/>
        <v/>
      </c>
      <c r="L134" s="7" t="str">
        <f t="shared" si="28"/>
        <v/>
      </c>
      <c r="N134" s="7" t="str">
        <f t="shared" si="29"/>
        <v/>
      </c>
      <c r="O134" t="str">
        <f t="shared" si="30"/>
        <v/>
      </c>
      <c r="P134" t="str">
        <f t="shared" si="26"/>
        <v/>
      </c>
      <c r="Q134" t="str">
        <f t="shared" si="31"/>
        <v/>
      </c>
      <c r="S134" t="str">
        <f>""</f>
        <v/>
      </c>
      <c r="AL134" s="18" t="str">
        <f>IF(COUNTIF($A$2:A133, A133) = 1, A133, "")</f>
        <v/>
      </c>
    </row>
    <row r="135" spans="6:38" x14ac:dyDescent="0.2">
      <c r="F135" t="str">
        <f t="shared" si="27"/>
        <v/>
      </c>
      <c r="L135" s="7" t="str">
        <f t="shared" si="28"/>
        <v/>
      </c>
      <c r="N135" s="7" t="str">
        <f t="shared" si="29"/>
        <v/>
      </c>
      <c r="O135" t="str">
        <f t="shared" si="30"/>
        <v/>
      </c>
      <c r="P135" t="str">
        <f t="shared" si="26"/>
        <v/>
      </c>
      <c r="Q135" t="str">
        <f t="shared" si="31"/>
        <v/>
      </c>
      <c r="S135" t="str">
        <f>""</f>
        <v/>
      </c>
      <c r="AL135" s="18" t="str">
        <f>IF(COUNTIF($A$2:A134, A134) = 1, A134, "")</f>
        <v/>
      </c>
    </row>
    <row r="136" spans="6:38" x14ac:dyDescent="0.2">
      <c r="F136" t="str">
        <f t="shared" si="27"/>
        <v/>
      </c>
      <c r="L136" s="7" t="str">
        <f t="shared" si="28"/>
        <v/>
      </c>
      <c r="N136" s="7" t="str">
        <f t="shared" si="29"/>
        <v/>
      </c>
      <c r="O136" t="str">
        <f t="shared" si="30"/>
        <v/>
      </c>
      <c r="P136" t="str">
        <f t="shared" si="26"/>
        <v/>
      </c>
      <c r="Q136" t="str">
        <f t="shared" si="31"/>
        <v/>
      </c>
      <c r="S136" t="str">
        <f>""</f>
        <v/>
      </c>
      <c r="AL136" s="18" t="str">
        <f>IF(COUNTIF($A$2:A135, A135) = 1, A135, "")</f>
        <v/>
      </c>
    </row>
    <row r="137" spans="6:38" x14ac:dyDescent="0.2">
      <c r="F137" t="str">
        <f t="shared" si="27"/>
        <v/>
      </c>
      <c r="L137" s="7" t="str">
        <f t="shared" si="28"/>
        <v/>
      </c>
      <c r="N137" s="7" t="str">
        <f t="shared" si="29"/>
        <v/>
      </c>
      <c r="O137" t="str">
        <f t="shared" si="30"/>
        <v/>
      </c>
      <c r="P137" t="str">
        <f t="shared" si="26"/>
        <v/>
      </c>
      <c r="Q137" t="str">
        <f t="shared" si="31"/>
        <v/>
      </c>
      <c r="S137" t="str">
        <f>""</f>
        <v/>
      </c>
      <c r="AL137" s="18" t="str">
        <f>IF(COUNTIF($A$2:A136, A136) = 1, A136, "")</f>
        <v/>
      </c>
    </row>
    <row r="138" spans="6:38" x14ac:dyDescent="0.2">
      <c r="F138" t="str">
        <f t="shared" si="27"/>
        <v/>
      </c>
      <c r="L138" s="7" t="str">
        <f t="shared" si="28"/>
        <v/>
      </c>
      <c r="N138" s="7" t="str">
        <f t="shared" si="29"/>
        <v/>
      </c>
      <c r="O138" t="str">
        <f t="shared" si="30"/>
        <v/>
      </c>
      <c r="P138" t="str">
        <f t="shared" si="26"/>
        <v/>
      </c>
      <c r="Q138" t="str">
        <f t="shared" si="31"/>
        <v/>
      </c>
      <c r="S138" t="str">
        <f>""</f>
        <v/>
      </c>
      <c r="AL138" s="18" t="str">
        <f>IF(COUNTIF($A$2:A137, A137) = 1, A137, "")</f>
        <v/>
      </c>
    </row>
    <row r="139" spans="6:38" x14ac:dyDescent="0.2">
      <c r="F139" t="str">
        <f t="shared" si="27"/>
        <v/>
      </c>
      <c r="L139" s="7" t="str">
        <f t="shared" si="28"/>
        <v/>
      </c>
      <c r="N139" s="7" t="str">
        <f t="shared" si="29"/>
        <v/>
      </c>
      <c r="O139" t="str">
        <f t="shared" si="30"/>
        <v/>
      </c>
      <c r="P139" t="str">
        <f t="shared" si="26"/>
        <v/>
      </c>
      <c r="Q139" t="str">
        <f t="shared" si="31"/>
        <v/>
      </c>
      <c r="S139" t="str">
        <f>""</f>
        <v/>
      </c>
      <c r="AL139" s="18" t="str">
        <f>IF(COUNTIF($A$2:A138, A138) = 1, A138, "")</f>
        <v/>
      </c>
    </row>
    <row r="140" spans="6:38" x14ac:dyDescent="0.2">
      <c r="F140" t="str">
        <f t="shared" si="27"/>
        <v/>
      </c>
      <c r="L140" s="7" t="str">
        <f t="shared" si="28"/>
        <v/>
      </c>
      <c r="N140" s="7" t="str">
        <f t="shared" si="29"/>
        <v/>
      </c>
      <c r="O140" t="str">
        <f t="shared" si="30"/>
        <v/>
      </c>
      <c r="P140" t="str">
        <f t="shared" si="26"/>
        <v/>
      </c>
      <c r="Q140" t="str">
        <f t="shared" si="31"/>
        <v/>
      </c>
      <c r="S140" t="str">
        <f>""</f>
        <v/>
      </c>
      <c r="AL140" s="18" t="str">
        <f>IF(COUNTIF($A$2:A139, A139) = 1, A139, "")</f>
        <v/>
      </c>
    </row>
    <row r="141" spans="6:38" x14ac:dyDescent="0.2">
      <c r="F141" t="str">
        <f t="shared" si="27"/>
        <v/>
      </c>
      <c r="L141" s="7" t="str">
        <f t="shared" si="28"/>
        <v/>
      </c>
      <c r="N141" s="7" t="str">
        <f t="shared" si="29"/>
        <v/>
      </c>
      <c r="O141" t="str">
        <f t="shared" si="30"/>
        <v/>
      </c>
      <c r="P141" t="str">
        <f t="shared" si="26"/>
        <v/>
      </c>
      <c r="Q141" t="str">
        <f t="shared" si="31"/>
        <v/>
      </c>
      <c r="S141" t="str">
        <f>""</f>
        <v/>
      </c>
      <c r="AL141" s="18" t="str">
        <f>IF(COUNTIF($A$2:A140, A140) = 1, A140, "")</f>
        <v/>
      </c>
    </row>
    <row r="142" spans="6:38" x14ac:dyDescent="0.2">
      <c r="F142" t="str">
        <f t="shared" si="27"/>
        <v/>
      </c>
      <c r="L142" s="7" t="str">
        <f t="shared" si="28"/>
        <v/>
      </c>
      <c r="N142" s="7" t="str">
        <f t="shared" si="29"/>
        <v/>
      </c>
      <c r="O142" t="str">
        <f t="shared" si="30"/>
        <v/>
      </c>
      <c r="P142" t="str">
        <f t="shared" si="26"/>
        <v/>
      </c>
      <c r="Q142" t="str">
        <f t="shared" si="31"/>
        <v/>
      </c>
      <c r="S142" t="str">
        <f>""</f>
        <v/>
      </c>
      <c r="AL142" s="18" t="str">
        <f>IF(COUNTIF($A$2:A141, A141) = 1, A141, "")</f>
        <v/>
      </c>
    </row>
    <row r="143" spans="6:38" x14ac:dyDescent="0.2">
      <c r="F143" t="str">
        <f t="shared" si="27"/>
        <v/>
      </c>
      <c r="L143" s="7" t="str">
        <f t="shared" si="28"/>
        <v/>
      </c>
      <c r="N143" s="7" t="str">
        <f t="shared" si="29"/>
        <v/>
      </c>
      <c r="O143" t="str">
        <f t="shared" si="30"/>
        <v/>
      </c>
      <c r="P143" t="str">
        <f t="shared" si="26"/>
        <v/>
      </c>
      <c r="Q143" t="str">
        <f t="shared" si="31"/>
        <v/>
      </c>
      <c r="S143" t="str">
        <f>""</f>
        <v/>
      </c>
      <c r="AL143" s="18" t="str">
        <f>IF(COUNTIF($A$2:A142, A142) = 1, A142, "")</f>
        <v/>
      </c>
    </row>
    <row r="144" spans="6:38" x14ac:dyDescent="0.2">
      <c r="F144" t="str">
        <f t="shared" ref="F144:F207" si="32">IF(OR(O144="", P144=""), "", SUM(IF((O144&lt;&gt;"None")*(O144&lt;&gt;""),LEN(O144)-LEN(SUBSTITUTE(O144,",",""))+1,0)) + SUM(IF((P144&lt;&gt;"None")*(P144&lt;&gt;""),LEN(P144)-LEN(SUBSTITUTE(P144,",",""))+1,0)))</f>
        <v/>
      </c>
      <c r="L144" s="7" t="str">
        <f t="shared" ref="L144:L207" si="33">IF(LEN(E144)=0, "", IFERROR(IF(E144&gt;=0, K144 * (1 + E144/100) - K144, K144 / (ABS(E144)/100))+K144, ""))</f>
        <v/>
      </c>
      <c r="N144" s="7" t="str">
        <f t="shared" ref="N144:N207" si="34">IF(M144="Yes",L144-K144,IF(M144="No",-K144,""))</f>
        <v/>
      </c>
      <c r="O144" t="str">
        <f t="shared" ref="O144:O207" si="35">IF(AND(G144="No",H144="No"), "None", "")</f>
        <v/>
      </c>
      <c r="P144" t="str">
        <f t="shared" ref="P144:P207" si="36">IF(I144="No", "None", "")</f>
        <v/>
      </c>
      <c r="Q144" t="str">
        <f t="shared" ref="Q144:Q207" si="37">IF(AND(D144="Straight", M144 = "No"),IF(O144="None",P144,IF(P144="None",O144) ),"")</f>
        <v/>
      </c>
      <c r="S144" t="str">
        <f>""</f>
        <v/>
      </c>
      <c r="AL144" s="18" t="str">
        <f>IF(COUNTIF($A$2:A143, A143) = 1, A143, "")</f>
        <v/>
      </c>
    </row>
    <row r="145" spans="6:38" x14ac:dyDescent="0.2">
      <c r="F145" t="str">
        <f t="shared" si="32"/>
        <v/>
      </c>
      <c r="L145" s="7" t="str">
        <f t="shared" si="33"/>
        <v/>
      </c>
      <c r="N145" s="7" t="str">
        <f t="shared" si="34"/>
        <v/>
      </c>
      <c r="O145" t="str">
        <f t="shared" si="35"/>
        <v/>
      </c>
      <c r="P145" t="str">
        <f t="shared" si="36"/>
        <v/>
      </c>
      <c r="Q145" t="str">
        <f t="shared" si="37"/>
        <v/>
      </c>
      <c r="S145" t="str">
        <f>""</f>
        <v/>
      </c>
      <c r="AL145" s="18" t="str">
        <f>IF(COUNTIF($A$2:A144, A144) = 1, A144, "")</f>
        <v/>
      </c>
    </row>
    <row r="146" spans="6:38" x14ac:dyDescent="0.2">
      <c r="F146" t="str">
        <f t="shared" si="32"/>
        <v/>
      </c>
      <c r="L146" s="7" t="str">
        <f t="shared" si="33"/>
        <v/>
      </c>
      <c r="N146" s="7" t="str">
        <f t="shared" si="34"/>
        <v/>
      </c>
      <c r="O146" t="str">
        <f t="shared" si="35"/>
        <v/>
      </c>
      <c r="P146" t="str">
        <f t="shared" si="36"/>
        <v/>
      </c>
      <c r="Q146" t="str">
        <f t="shared" si="37"/>
        <v/>
      </c>
      <c r="S146" t="str">
        <f>""</f>
        <v/>
      </c>
      <c r="AL146" s="18" t="str">
        <f>IF(COUNTIF($A$2:A145, A145) = 1, A145, "")</f>
        <v/>
      </c>
    </row>
    <row r="147" spans="6:38" x14ac:dyDescent="0.2">
      <c r="F147" t="str">
        <f t="shared" si="32"/>
        <v/>
      </c>
      <c r="L147" s="7" t="str">
        <f t="shared" si="33"/>
        <v/>
      </c>
      <c r="N147" s="7" t="str">
        <f t="shared" si="34"/>
        <v/>
      </c>
      <c r="O147" t="str">
        <f t="shared" si="35"/>
        <v/>
      </c>
      <c r="P147" t="str">
        <f t="shared" si="36"/>
        <v/>
      </c>
      <c r="Q147" t="str">
        <f t="shared" si="37"/>
        <v/>
      </c>
      <c r="S147" t="str">
        <f>""</f>
        <v/>
      </c>
      <c r="AL147" s="18" t="str">
        <f>IF(COUNTIF($A$2:A146, A146) = 1, A146, "")</f>
        <v/>
      </c>
    </row>
    <row r="148" spans="6:38" x14ac:dyDescent="0.2">
      <c r="F148" t="str">
        <f t="shared" si="32"/>
        <v/>
      </c>
      <c r="L148" s="7" t="str">
        <f t="shared" si="33"/>
        <v/>
      </c>
      <c r="N148" s="7" t="str">
        <f t="shared" si="34"/>
        <v/>
      </c>
      <c r="O148" t="str">
        <f t="shared" si="35"/>
        <v/>
      </c>
      <c r="P148" t="str">
        <f t="shared" si="36"/>
        <v/>
      </c>
      <c r="Q148" t="str">
        <f t="shared" si="37"/>
        <v/>
      </c>
      <c r="S148" t="str">
        <f>""</f>
        <v/>
      </c>
      <c r="AL148" s="18" t="str">
        <f>IF(COUNTIF($A$2:A147, A147) = 1, A147, "")</f>
        <v/>
      </c>
    </row>
    <row r="149" spans="6:38" x14ac:dyDescent="0.2">
      <c r="F149" t="str">
        <f t="shared" si="32"/>
        <v/>
      </c>
      <c r="L149" s="7" t="str">
        <f t="shared" si="33"/>
        <v/>
      </c>
      <c r="N149" s="7" t="str">
        <f t="shared" si="34"/>
        <v/>
      </c>
      <c r="O149" t="str">
        <f t="shared" si="35"/>
        <v/>
      </c>
      <c r="P149" t="str">
        <f t="shared" si="36"/>
        <v/>
      </c>
      <c r="Q149" t="str">
        <f t="shared" si="37"/>
        <v/>
      </c>
      <c r="S149" t="str">
        <f>""</f>
        <v/>
      </c>
      <c r="AL149" s="18" t="str">
        <f>IF(COUNTIF($A$2:A148, A148) = 1, A148, "")</f>
        <v/>
      </c>
    </row>
    <row r="150" spans="6:38" x14ac:dyDescent="0.2">
      <c r="F150" t="str">
        <f t="shared" si="32"/>
        <v/>
      </c>
      <c r="L150" s="7" t="str">
        <f t="shared" si="33"/>
        <v/>
      </c>
      <c r="N150" s="7" t="str">
        <f t="shared" si="34"/>
        <v/>
      </c>
      <c r="O150" t="str">
        <f t="shared" si="35"/>
        <v/>
      </c>
      <c r="P150" t="str">
        <f t="shared" si="36"/>
        <v/>
      </c>
      <c r="Q150" t="str">
        <f t="shared" si="37"/>
        <v/>
      </c>
      <c r="S150" t="str">
        <f>""</f>
        <v/>
      </c>
      <c r="AL150" s="18" t="str">
        <f>IF(COUNTIF($A$2:A149, A149) = 1, A149, "")</f>
        <v/>
      </c>
    </row>
    <row r="151" spans="6:38" x14ac:dyDescent="0.2">
      <c r="F151" t="str">
        <f t="shared" si="32"/>
        <v/>
      </c>
      <c r="L151" s="7" t="str">
        <f t="shared" si="33"/>
        <v/>
      </c>
      <c r="N151" s="7" t="str">
        <f t="shared" si="34"/>
        <v/>
      </c>
      <c r="O151" t="str">
        <f t="shared" si="35"/>
        <v/>
      </c>
      <c r="P151" t="str">
        <f t="shared" si="36"/>
        <v/>
      </c>
      <c r="Q151" t="str">
        <f t="shared" si="37"/>
        <v/>
      </c>
      <c r="S151" t="str">
        <f>""</f>
        <v/>
      </c>
      <c r="AL151" s="18" t="str">
        <f>IF(COUNTIF($A$2:A150, A150) = 1, A150, "")</f>
        <v/>
      </c>
    </row>
    <row r="152" spans="6:38" x14ac:dyDescent="0.2">
      <c r="F152" t="str">
        <f t="shared" si="32"/>
        <v/>
      </c>
      <c r="L152" s="7" t="str">
        <f t="shared" si="33"/>
        <v/>
      </c>
      <c r="N152" s="7" t="str">
        <f t="shared" si="34"/>
        <v/>
      </c>
      <c r="O152" t="str">
        <f t="shared" si="35"/>
        <v/>
      </c>
      <c r="P152" t="str">
        <f t="shared" si="36"/>
        <v/>
      </c>
      <c r="Q152" t="str">
        <f t="shared" si="37"/>
        <v/>
      </c>
      <c r="S152" t="str">
        <f>""</f>
        <v/>
      </c>
      <c r="AL152" s="18" t="str">
        <f>IF(COUNTIF($A$2:A151, A151) = 1, A151, "")</f>
        <v/>
      </c>
    </row>
    <row r="153" spans="6:38" x14ac:dyDescent="0.2">
      <c r="F153" t="str">
        <f t="shared" si="32"/>
        <v/>
      </c>
      <c r="L153" s="7" t="str">
        <f t="shared" si="33"/>
        <v/>
      </c>
      <c r="N153" s="7" t="str">
        <f t="shared" si="34"/>
        <v/>
      </c>
      <c r="O153" t="str">
        <f t="shared" si="35"/>
        <v/>
      </c>
      <c r="P153" t="str">
        <f t="shared" si="36"/>
        <v/>
      </c>
      <c r="Q153" t="str">
        <f t="shared" si="37"/>
        <v/>
      </c>
      <c r="S153" t="str">
        <f>""</f>
        <v/>
      </c>
      <c r="AL153" s="18" t="str">
        <f>IF(COUNTIF($A$2:A152, A152) = 1, A152, "")</f>
        <v/>
      </c>
    </row>
    <row r="154" spans="6:38" x14ac:dyDescent="0.2">
      <c r="F154" t="str">
        <f t="shared" si="32"/>
        <v/>
      </c>
      <c r="L154" s="7" t="str">
        <f t="shared" si="33"/>
        <v/>
      </c>
      <c r="N154" s="7" t="str">
        <f t="shared" si="34"/>
        <v/>
      </c>
      <c r="O154" t="str">
        <f t="shared" si="35"/>
        <v/>
      </c>
      <c r="P154" t="str">
        <f t="shared" si="36"/>
        <v/>
      </c>
      <c r="Q154" t="str">
        <f t="shared" si="37"/>
        <v/>
      </c>
      <c r="S154" t="str">
        <f>""</f>
        <v/>
      </c>
      <c r="AL154" s="18" t="str">
        <f>IF(COUNTIF($A$2:A153, A153) = 1, A153, "")</f>
        <v/>
      </c>
    </row>
    <row r="155" spans="6:38" x14ac:dyDescent="0.2">
      <c r="F155" t="str">
        <f t="shared" si="32"/>
        <v/>
      </c>
      <c r="L155" s="7" t="str">
        <f t="shared" si="33"/>
        <v/>
      </c>
      <c r="N155" s="7" t="str">
        <f t="shared" si="34"/>
        <v/>
      </c>
      <c r="O155" t="str">
        <f t="shared" si="35"/>
        <v/>
      </c>
      <c r="P155" t="str">
        <f t="shared" si="36"/>
        <v/>
      </c>
      <c r="Q155" t="str">
        <f t="shared" si="37"/>
        <v/>
      </c>
      <c r="S155" t="str">
        <f>""</f>
        <v/>
      </c>
      <c r="AL155" s="18" t="str">
        <f>IF(COUNTIF($A$2:A154, A154) = 1, A154, "")</f>
        <v/>
      </c>
    </row>
    <row r="156" spans="6:38" x14ac:dyDescent="0.2">
      <c r="F156" t="str">
        <f t="shared" si="32"/>
        <v/>
      </c>
      <c r="L156" s="7" t="str">
        <f t="shared" si="33"/>
        <v/>
      </c>
      <c r="N156" s="7" t="str">
        <f t="shared" si="34"/>
        <v/>
      </c>
      <c r="O156" t="str">
        <f t="shared" si="35"/>
        <v/>
      </c>
      <c r="P156" t="str">
        <f t="shared" si="36"/>
        <v/>
      </c>
      <c r="Q156" t="str">
        <f t="shared" si="37"/>
        <v/>
      </c>
      <c r="S156" t="str">
        <f>""</f>
        <v/>
      </c>
      <c r="AL156" s="18" t="str">
        <f>IF(COUNTIF($A$2:A155, A155) = 1, A155, "")</f>
        <v/>
      </c>
    </row>
    <row r="157" spans="6:38" x14ac:dyDescent="0.2">
      <c r="F157" t="str">
        <f t="shared" si="32"/>
        <v/>
      </c>
      <c r="L157" s="7" t="str">
        <f t="shared" si="33"/>
        <v/>
      </c>
      <c r="N157" s="7" t="str">
        <f t="shared" si="34"/>
        <v/>
      </c>
      <c r="O157" t="str">
        <f t="shared" si="35"/>
        <v/>
      </c>
      <c r="P157" t="str">
        <f t="shared" si="36"/>
        <v/>
      </c>
      <c r="Q157" t="str">
        <f t="shared" si="37"/>
        <v/>
      </c>
      <c r="S157" t="str">
        <f>""</f>
        <v/>
      </c>
      <c r="AL157" s="18" t="str">
        <f>IF(COUNTIF($A$2:A156, A156) = 1, A156, "")</f>
        <v/>
      </c>
    </row>
    <row r="158" spans="6:38" x14ac:dyDescent="0.2">
      <c r="F158" t="str">
        <f t="shared" si="32"/>
        <v/>
      </c>
      <c r="L158" s="7" t="str">
        <f t="shared" si="33"/>
        <v/>
      </c>
      <c r="N158" s="7" t="str">
        <f t="shared" si="34"/>
        <v/>
      </c>
      <c r="O158" t="str">
        <f t="shared" si="35"/>
        <v/>
      </c>
      <c r="P158" t="str">
        <f t="shared" si="36"/>
        <v/>
      </c>
      <c r="Q158" t="str">
        <f t="shared" si="37"/>
        <v/>
      </c>
      <c r="S158" t="str">
        <f>""</f>
        <v/>
      </c>
      <c r="AL158" s="18" t="str">
        <f>IF(COUNTIF($A$2:A157, A157) = 1, A157, "")</f>
        <v/>
      </c>
    </row>
    <row r="159" spans="6:38" x14ac:dyDescent="0.2">
      <c r="F159" t="str">
        <f t="shared" si="32"/>
        <v/>
      </c>
      <c r="L159" s="7" t="str">
        <f t="shared" si="33"/>
        <v/>
      </c>
      <c r="N159" s="7" t="str">
        <f t="shared" si="34"/>
        <v/>
      </c>
      <c r="O159" t="str">
        <f t="shared" si="35"/>
        <v/>
      </c>
      <c r="P159" t="str">
        <f t="shared" si="36"/>
        <v/>
      </c>
      <c r="Q159" t="str">
        <f t="shared" si="37"/>
        <v/>
      </c>
      <c r="S159" t="str">
        <f>""</f>
        <v/>
      </c>
      <c r="AL159" s="18" t="str">
        <f>IF(COUNTIF($A$2:A158, A158) = 1, A158, "")</f>
        <v/>
      </c>
    </row>
    <row r="160" spans="6:38" x14ac:dyDescent="0.2">
      <c r="F160" t="str">
        <f t="shared" si="32"/>
        <v/>
      </c>
      <c r="L160" s="7" t="str">
        <f t="shared" si="33"/>
        <v/>
      </c>
      <c r="N160" s="7" t="str">
        <f t="shared" si="34"/>
        <v/>
      </c>
      <c r="O160" t="str">
        <f t="shared" si="35"/>
        <v/>
      </c>
      <c r="P160" t="str">
        <f t="shared" si="36"/>
        <v/>
      </c>
      <c r="Q160" t="str">
        <f t="shared" si="37"/>
        <v/>
      </c>
      <c r="S160" t="str">
        <f>""</f>
        <v/>
      </c>
      <c r="AL160" s="18" t="str">
        <f>IF(COUNTIF($A$2:A159, A159) = 1, A159, "")</f>
        <v/>
      </c>
    </row>
    <row r="161" spans="6:38" x14ac:dyDescent="0.2">
      <c r="F161" t="str">
        <f t="shared" si="32"/>
        <v/>
      </c>
      <c r="L161" s="7" t="str">
        <f t="shared" si="33"/>
        <v/>
      </c>
      <c r="N161" s="7" t="str">
        <f t="shared" si="34"/>
        <v/>
      </c>
      <c r="O161" t="str">
        <f t="shared" si="35"/>
        <v/>
      </c>
      <c r="P161" t="str">
        <f t="shared" si="36"/>
        <v/>
      </c>
      <c r="Q161" t="str">
        <f t="shared" si="37"/>
        <v/>
      </c>
      <c r="S161" t="str">
        <f>""</f>
        <v/>
      </c>
      <c r="AL161" s="18" t="str">
        <f>IF(COUNTIF($A$2:A160, A160) = 1, A160, "")</f>
        <v/>
      </c>
    </row>
    <row r="162" spans="6:38" x14ac:dyDescent="0.2">
      <c r="F162" t="str">
        <f t="shared" si="32"/>
        <v/>
      </c>
      <c r="L162" s="7" t="str">
        <f t="shared" si="33"/>
        <v/>
      </c>
      <c r="N162" s="7" t="str">
        <f t="shared" si="34"/>
        <v/>
      </c>
      <c r="O162" t="str">
        <f t="shared" si="35"/>
        <v/>
      </c>
      <c r="P162" t="str">
        <f t="shared" si="36"/>
        <v/>
      </c>
      <c r="Q162" t="str">
        <f t="shared" si="37"/>
        <v/>
      </c>
      <c r="S162" t="str">
        <f>""</f>
        <v/>
      </c>
      <c r="AL162" s="18" t="str">
        <f>IF(COUNTIF($A$2:A161, A161) = 1, A161, "")</f>
        <v/>
      </c>
    </row>
    <row r="163" spans="6:38" x14ac:dyDescent="0.2">
      <c r="F163" t="str">
        <f t="shared" si="32"/>
        <v/>
      </c>
      <c r="L163" s="7" t="str">
        <f t="shared" si="33"/>
        <v/>
      </c>
      <c r="N163" s="7" t="str">
        <f t="shared" si="34"/>
        <v/>
      </c>
      <c r="O163" t="str">
        <f t="shared" si="35"/>
        <v/>
      </c>
      <c r="P163" t="str">
        <f t="shared" si="36"/>
        <v/>
      </c>
      <c r="Q163" t="str">
        <f t="shared" si="37"/>
        <v/>
      </c>
      <c r="S163" t="str">
        <f>""</f>
        <v/>
      </c>
      <c r="AL163" s="18" t="str">
        <f>IF(COUNTIF($A$2:A162, A162) = 1, A162, "")</f>
        <v/>
      </c>
    </row>
    <row r="164" spans="6:38" x14ac:dyDescent="0.2">
      <c r="F164" t="str">
        <f t="shared" si="32"/>
        <v/>
      </c>
      <c r="L164" s="7" t="str">
        <f t="shared" si="33"/>
        <v/>
      </c>
      <c r="N164" s="7" t="str">
        <f t="shared" si="34"/>
        <v/>
      </c>
      <c r="O164" t="str">
        <f t="shared" si="35"/>
        <v/>
      </c>
      <c r="P164" t="str">
        <f t="shared" si="36"/>
        <v/>
      </c>
      <c r="Q164" t="str">
        <f t="shared" si="37"/>
        <v/>
      </c>
      <c r="S164" t="str">
        <f>""</f>
        <v/>
      </c>
      <c r="AL164" s="18" t="str">
        <f>IF(COUNTIF($A$2:A163, A163) = 1, A163, "")</f>
        <v/>
      </c>
    </row>
    <row r="165" spans="6:38" x14ac:dyDescent="0.2">
      <c r="F165" t="str">
        <f t="shared" si="32"/>
        <v/>
      </c>
      <c r="L165" s="7" t="str">
        <f t="shared" si="33"/>
        <v/>
      </c>
      <c r="N165" s="7" t="str">
        <f t="shared" si="34"/>
        <v/>
      </c>
      <c r="O165" t="str">
        <f t="shared" si="35"/>
        <v/>
      </c>
      <c r="P165" t="str">
        <f t="shared" si="36"/>
        <v/>
      </c>
      <c r="Q165" t="str">
        <f t="shared" si="37"/>
        <v/>
      </c>
      <c r="S165" t="str">
        <f>""</f>
        <v/>
      </c>
      <c r="AL165" s="18" t="str">
        <f>IF(COUNTIF($A$2:A164, A164) = 1, A164, "")</f>
        <v/>
      </c>
    </row>
    <row r="166" spans="6:38" x14ac:dyDescent="0.2">
      <c r="F166" t="str">
        <f t="shared" si="32"/>
        <v/>
      </c>
      <c r="L166" s="7" t="str">
        <f t="shared" si="33"/>
        <v/>
      </c>
      <c r="N166" s="7" t="str">
        <f t="shared" si="34"/>
        <v/>
      </c>
      <c r="O166" t="str">
        <f t="shared" si="35"/>
        <v/>
      </c>
      <c r="P166" t="str">
        <f t="shared" si="36"/>
        <v/>
      </c>
      <c r="Q166" t="str">
        <f t="shared" si="37"/>
        <v/>
      </c>
      <c r="S166" t="str">
        <f>""</f>
        <v/>
      </c>
      <c r="AL166" s="18" t="str">
        <f>IF(COUNTIF($A$2:A165, A165) = 1, A165, "")</f>
        <v/>
      </c>
    </row>
    <row r="167" spans="6:38" x14ac:dyDescent="0.2">
      <c r="F167" t="str">
        <f t="shared" si="32"/>
        <v/>
      </c>
      <c r="L167" s="7" t="str">
        <f t="shared" si="33"/>
        <v/>
      </c>
      <c r="N167" s="7" t="str">
        <f t="shared" si="34"/>
        <v/>
      </c>
      <c r="O167" t="str">
        <f t="shared" si="35"/>
        <v/>
      </c>
      <c r="P167" t="str">
        <f t="shared" si="36"/>
        <v/>
      </c>
      <c r="Q167" t="str">
        <f t="shared" si="37"/>
        <v/>
      </c>
      <c r="S167" t="str">
        <f>""</f>
        <v/>
      </c>
      <c r="AL167" s="18" t="str">
        <f>IF(COUNTIF($A$2:A166, A166) = 1, A166, "")</f>
        <v/>
      </c>
    </row>
    <row r="168" spans="6:38" x14ac:dyDescent="0.2">
      <c r="F168" t="str">
        <f t="shared" si="32"/>
        <v/>
      </c>
      <c r="L168" s="7" t="str">
        <f t="shared" si="33"/>
        <v/>
      </c>
      <c r="N168" s="7" t="str">
        <f t="shared" si="34"/>
        <v/>
      </c>
      <c r="O168" t="str">
        <f t="shared" si="35"/>
        <v/>
      </c>
      <c r="P168" t="str">
        <f t="shared" si="36"/>
        <v/>
      </c>
      <c r="Q168" t="str">
        <f t="shared" si="37"/>
        <v/>
      </c>
      <c r="S168" t="str">
        <f>""</f>
        <v/>
      </c>
      <c r="AL168" s="18" t="str">
        <f>IF(COUNTIF($A$2:A167, A167) = 1, A167, "")</f>
        <v/>
      </c>
    </row>
    <row r="169" spans="6:38" x14ac:dyDescent="0.2">
      <c r="F169" t="str">
        <f t="shared" si="32"/>
        <v/>
      </c>
      <c r="L169" s="7" t="str">
        <f t="shared" si="33"/>
        <v/>
      </c>
      <c r="N169" s="7" t="str">
        <f t="shared" si="34"/>
        <v/>
      </c>
      <c r="O169" t="str">
        <f t="shared" si="35"/>
        <v/>
      </c>
      <c r="P169" t="str">
        <f t="shared" si="36"/>
        <v/>
      </c>
      <c r="Q169" t="str">
        <f t="shared" si="37"/>
        <v/>
      </c>
      <c r="S169" t="str">
        <f>""</f>
        <v/>
      </c>
      <c r="AL169" s="18" t="str">
        <f>IF(COUNTIF($A$2:A168, A168) = 1, A168, "")</f>
        <v/>
      </c>
    </row>
    <row r="170" spans="6:38" x14ac:dyDescent="0.2">
      <c r="F170" t="str">
        <f t="shared" si="32"/>
        <v/>
      </c>
      <c r="L170" s="7" t="str">
        <f t="shared" si="33"/>
        <v/>
      </c>
      <c r="N170" s="7" t="str">
        <f t="shared" si="34"/>
        <v/>
      </c>
      <c r="O170" t="str">
        <f t="shared" si="35"/>
        <v/>
      </c>
      <c r="P170" t="str">
        <f t="shared" si="36"/>
        <v/>
      </c>
      <c r="Q170" t="str">
        <f t="shared" si="37"/>
        <v/>
      </c>
      <c r="S170" t="str">
        <f>""</f>
        <v/>
      </c>
      <c r="AL170" s="18" t="str">
        <f>IF(COUNTIF($A$2:A169, A169) = 1, A169, "")</f>
        <v/>
      </c>
    </row>
    <row r="171" spans="6:38" x14ac:dyDescent="0.2">
      <c r="F171" t="str">
        <f t="shared" si="32"/>
        <v/>
      </c>
      <c r="L171" s="7" t="str">
        <f t="shared" si="33"/>
        <v/>
      </c>
      <c r="N171" s="7" t="str">
        <f t="shared" si="34"/>
        <v/>
      </c>
      <c r="O171" t="str">
        <f t="shared" si="35"/>
        <v/>
      </c>
      <c r="P171" t="str">
        <f t="shared" si="36"/>
        <v/>
      </c>
      <c r="Q171" t="str">
        <f t="shared" si="37"/>
        <v/>
      </c>
      <c r="S171" t="str">
        <f>""</f>
        <v/>
      </c>
      <c r="AL171" s="18" t="str">
        <f>IF(COUNTIF($A$2:A170, A170) = 1, A170, "")</f>
        <v/>
      </c>
    </row>
    <row r="172" spans="6:38" x14ac:dyDescent="0.2">
      <c r="F172" t="str">
        <f t="shared" si="32"/>
        <v/>
      </c>
      <c r="L172" s="7" t="str">
        <f t="shared" si="33"/>
        <v/>
      </c>
      <c r="N172" s="7" t="str">
        <f t="shared" si="34"/>
        <v/>
      </c>
      <c r="O172" t="str">
        <f t="shared" si="35"/>
        <v/>
      </c>
      <c r="P172" t="str">
        <f t="shared" si="36"/>
        <v/>
      </c>
      <c r="Q172" t="str">
        <f t="shared" si="37"/>
        <v/>
      </c>
      <c r="S172" t="str">
        <f>""</f>
        <v/>
      </c>
      <c r="AL172" s="18" t="str">
        <f>IF(COUNTIF($A$2:A171, A171) = 1, A171, "")</f>
        <v/>
      </c>
    </row>
    <row r="173" spans="6:38" x14ac:dyDescent="0.2">
      <c r="F173" t="str">
        <f t="shared" si="32"/>
        <v/>
      </c>
      <c r="L173" s="7" t="str">
        <f t="shared" si="33"/>
        <v/>
      </c>
      <c r="N173" s="7" t="str">
        <f t="shared" si="34"/>
        <v/>
      </c>
      <c r="O173" t="str">
        <f t="shared" si="35"/>
        <v/>
      </c>
      <c r="P173" t="str">
        <f t="shared" si="36"/>
        <v/>
      </c>
      <c r="Q173" t="str">
        <f t="shared" si="37"/>
        <v/>
      </c>
      <c r="S173" t="str">
        <f>""</f>
        <v/>
      </c>
      <c r="AL173" s="18" t="str">
        <f>IF(COUNTIF($A$2:A172, A172) = 1, A172, "")</f>
        <v/>
      </c>
    </row>
    <row r="174" spans="6:38" x14ac:dyDescent="0.2">
      <c r="F174" t="str">
        <f t="shared" si="32"/>
        <v/>
      </c>
      <c r="L174" s="7" t="str">
        <f t="shared" si="33"/>
        <v/>
      </c>
      <c r="N174" s="7" t="str">
        <f t="shared" si="34"/>
        <v/>
      </c>
      <c r="O174" t="str">
        <f t="shared" si="35"/>
        <v/>
      </c>
      <c r="P174" t="str">
        <f t="shared" si="36"/>
        <v/>
      </c>
      <c r="Q174" t="str">
        <f t="shared" si="37"/>
        <v/>
      </c>
      <c r="S174" t="str">
        <f>""</f>
        <v/>
      </c>
      <c r="AL174" s="18" t="str">
        <f>IF(COUNTIF($A$2:A173, A173) = 1, A173, "")</f>
        <v/>
      </c>
    </row>
    <row r="175" spans="6:38" x14ac:dyDescent="0.2">
      <c r="F175" t="str">
        <f t="shared" si="32"/>
        <v/>
      </c>
      <c r="L175" s="7" t="str">
        <f t="shared" si="33"/>
        <v/>
      </c>
      <c r="N175" s="7" t="str">
        <f t="shared" si="34"/>
        <v/>
      </c>
      <c r="O175" t="str">
        <f t="shared" si="35"/>
        <v/>
      </c>
      <c r="P175" t="str">
        <f t="shared" si="36"/>
        <v/>
      </c>
      <c r="Q175" t="str">
        <f t="shared" si="37"/>
        <v/>
      </c>
      <c r="S175" t="str">
        <f>""</f>
        <v/>
      </c>
      <c r="AL175" s="18" t="str">
        <f>IF(COUNTIF($A$2:A174, A174) = 1, A174, "")</f>
        <v/>
      </c>
    </row>
    <row r="176" spans="6:38" x14ac:dyDescent="0.2">
      <c r="F176" t="str">
        <f t="shared" si="32"/>
        <v/>
      </c>
      <c r="L176" s="7" t="str">
        <f t="shared" si="33"/>
        <v/>
      </c>
      <c r="N176" s="7" t="str">
        <f t="shared" si="34"/>
        <v/>
      </c>
      <c r="O176" t="str">
        <f t="shared" si="35"/>
        <v/>
      </c>
      <c r="P176" t="str">
        <f t="shared" si="36"/>
        <v/>
      </c>
      <c r="Q176" t="str">
        <f t="shared" si="37"/>
        <v/>
      </c>
      <c r="S176" t="str">
        <f>""</f>
        <v/>
      </c>
      <c r="AL176" s="18" t="str">
        <f>IF(COUNTIF($A$2:A175, A175) = 1, A175, "")</f>
        <v/>
      </c>
    </row>
    <row r="177" spans="6:38" x14ac:dyDescent="0.2">
      <c r="F177" t="str">
        <f t="shared" si="32"/>
        <v/>
      </c>
      <c r="L177" s="7" t="str">
        <f t="shared" si="33"/>
        <v/>
      </c>
      <c r="N177" s="7" t="str">
        <f t="shared" si="34"/>
        <v/>
      </c>
      <c r="O177" t="str">
        <f t="shared" si="35"/>
        <v/>
      </c>
      <c r="P177" t="str">
        <f t="shared" si="36"/>
        <v/>
      </c>
      <c r="Q177" t="str">
        <f t="shared" si="37"/>
        <v/>
      </c>
      <c r="S177" t="str">
        <f>""</f>
        <v/>
      </c>
      <c r="AL177" s="18" t="str">
        <f>IF(COUNTIF($A$2:A176, A176) = 1, A176, "")</f>
        <v/>
      </c>
    </row>
    <row r="178" spans="6:38" x14ac:dyDescent="0.2">
      <c r="F178" t="str">
        <f t="shared" si="32"/>
        <v/>
      </c>
      <c r="L178" s="7" t="str">
        <f t="shared" si="33"/>
        <v/>
      </c>
      <c r="N178" s="7" t="str">
        <f t="shared" si="34"/>
        <v/>
      </c>
      <c r="O178" t="str">
        <f t="shared" si="35"/>
        <v/>
      </c>
      <c r="P178" t="str">
        <f t="shared" si="36"/>
        <v/>
      </c>
      <c r="Q178" t="str">
        <f t="shared" si="37"/>
        <v/>
      </c>
      <c r="S178" t="str">
        <f>""</f>
        <v/>
      </c>
      <c r="AL178" s="18" t="str">
        <f>IF(COUNTIF($A$2:A177, A177) = 1, A177, "")</f>
        <v/>
      </c>
    </row>
    <row r="179" spans="6:38" x14ac:dyDescent="0.2">
      <c r="F179" t="str">
        <f t="shared" si="32"/>
        <v/>
      </c>
      <c r="L179" s="7" t="str">
        <f t="shared" si="33"/>
        <v/>
      </c>
      <c r="N179" s="7" t="str">
        <f t="shared" si="34"/>
        <v/>
      </c>
      <c r="O179" t="str">
        <f t="shared" si="35"/>
        <v/>
      </c>
      <c r="P179" t="str">
        <f t="shared" si="36"/>
        <v/>
      </c>
      <c r="Q179" t="str">
        <f t="shared" si="37"/>
        <v/>
      </c>
      <c r="S179" t="str">
        <f>""</f>
        <v/>
      </c>
      <c r="AL179" s="18" t="str">
        <f>IF(COUNTIF($A$2:A178, A178) = 1, A178, "")</f>
        <v/>
      </c>
    </row>
    <row r="180" spans="6:38" x14ac:dyDescent="0.2">
      <c r="F180" t="str">
        <f t="shared" si="32"/>
        <v/>
      </c>
      <c r="L180" s="7" t="str">
        <f t="shared" si="33"/>
        <v/>
      </c>
      <c r="N180" s="7" t="str">
        <f t="shared" si="34"/>
        <v/>
      </c>
      <c r="O180" t="str">
        <f t="shared" si="35"/>
        <v/>
      </c>
      <c r="P180" t="str">
        <f t="shared" si="36"/>
        <v/>
      </c>
      <c r="Q180" t="str">
        <f t="shared" si="37"/>
        <v/>
      </c>
      <c r="S180" t="str">
        <f>""</f>
        <v/>
      </c>
      <c r="AL180" s="18" t="str">
        <f>IF(COUNTIF($A$2:A179, A179) = 1, A179, "")</f>
        <v/>
      </c>
    </row>
    <row r="181" spans="6:38" x14ac:dyDescent="0.2">
      <c r="F181" t="str">
        <f t="shared" si="32"/>
        <v/>
      </c>
      <c r="L181" s="7" t="str">
        <f t="shared" si="33"/>
        <v/>
      </c>
      <c r="N181" s="7" t="str">
        <f t="shared" si="34"/>
        <v/>
      </c>
      <c r="O181" t="str">
        <f t="shared" si="35"/>
        <v/>
      </c>
      <c r="P181" t="str">
        <f t="shared" si="36"/>
        <v/>
      </c>
      <c r="Q181" t="str">
        <f t="shared" si="37"/>
        <v/>
      </c>
      <c r="S181" t="str">
        <f>""</f>
        <v/>
      </c>
      <c r="AL181" s="18" t="str">
        <f>IF(COUNTIF($A$2:A180, A180) = 1, A180, "")</f>
        <v/>
      </c>
    </row>
    <row r="182" spans="6:38" x14ac:dyDescent="0.2">
      <c r="F182" t="str">
        <f t="shared" si="32"/>
        <v/>
      </c>
      <c r="L182" s="7" t="str">
        <f t="shared" si="33"/>
        <v/>
      </c>
      <c r="N182" s="7" t="str">
        <f t="shared" si="34"/>
        <v/>
      </c>
      <c r="O182" t="str">
        <f t="shared" si="35"/>
        <v/>
      </c>
      <c r="P182" t="str">
        <f t="shared" si="36"/>
        <v/>
      </c>
      <c r="Q182" t="str">
        <f t="shared" si="37"/>
        <v/>
      </c>
      <c r="S182" t="str">
        <f>""</f>
        <v/>
      </c>
      <c r="AL182" s="18" t="str">
        <f>IF(COUNTIF($A$2:A181, A181) = 1, A181, "")</f>
        <v/>
      </c>
    </row>
    <row r="183" spans="6:38" x14ac:dyDescent="0.2">
      <c r="F183" t="str">
        <f t="shared" si="32"/>
        <v/>
      </c>
      <c r="L183" s="7" t="str">
        <f t="shared" si="33"/>
        <v/>
      </c>
      <c r="N183" s="7" t="str">
        <f t="shared" si="34"/>
        <v/>
      </c>
      <c r="O183" t="str">
        <f t="shared" si="35"/>
        <v/>
      </c>
      <c r="P183" t="str">
        <f t="shared" si="36"/>
        <v/>
      </c>
      <c r="Q183" t="str">
        <f t="shared" si="37"/>
        <v/>
      </c>
      <c r="S183" t="str">
        <f>""</f>
        <v/>
      </c>
      <c r="AL183" s="18" t="str">
        <f>IF(COUNTIF($A$2:A182, A182) = 1, A182, "")</f>
        <v/>
      </c>
    </row>
    <row r="184" spans="6:38" x14ac:dyDescent="0.2">
      <c r="F184" t="str">
        <f t="shared" si="32"/>
        <v/>
      </c>
      <c r="L184" s="7" t="str">
        <f t="shared" si="33"/>
        <v/>
      </c>
      <c r="N184" s="7" t="str">
        <f t="shared" si="34"/>
        <v/>
      </c>
      <c r="O184" t="str">
        <f t="shared" si="35"/>
        <v/>
      </c>
      <c r="P184" t="str">
        <f t="shared" si="36"/>
        <v/>
      </c>
      <c r="Q184" t="str">
        <f t="shared" si="37"/>
        <v/>
      </c>
      <c r="S184" t="str">
        <f>""</f>
        <v/>
      </c>
      <c r="AL184" s="18" t="str">
        <f>IF(COUNTIF($A$2:A183, A183) = 1, A183, "")</f>
        <v/>
      </c>
    </row>
    <row r="185" spans="6:38" x14ac:dyDescent="0.2">
      <c r="F185" t="str">
        <f t="shared" si="32"/>
        <v/>
      </c>
      <c r="L185" s="7" t="str">
        <f t="shared" si="33"/>
        <v/>
      </c>
      <c r="N185" s="7" t="str">
        <f t="shared" si="34"/>
        <v/>
      </c>
      <c r="O185" t="str">
        <f t="shared" si="35"/>
        <v/>
      </c>
      <c r="P185" t="str">
        <f t="shared" si="36"/>
        <v/>
      </c>
      <c r="Q185" t="str">
        <f t="shared" si="37"/>
        <v/>
      </c>
      <c r="S185" t="str">
        <f>""</f>
        <v/>
      </c>
      <c r="AL185" s="18" t="str">
        <f>IF(COUNTIF($A$2:A184, A184) = 1, A184, "")</f>
        <v/>
      </c>
    </row>
    <row r="186" spans="6:38" x14ac:dyDescent="0.2">
      <c r="F186" t="str">
        <f t="shared" si="32"/>
        <v/>
      </c>
      <c r="L186" s="7" t="str">
        <f t="shared" si="33"/>
        <v/>
      </c>
      <c r="N186" s="7" t="str">
        <f t="shared" si="34"/>
        <v/>
      </c>
      <c r="O186" t="str">
        <f t="shared" si="35"/>
        <v/>
      </c>
      <c r="P186" t="str">
        <f t="shared" si="36"/>
        <v/>
      </c>
      <c r="Q186" t="str">
        <f t="shared" si="37"/>
        <v/>
      </c>
      <c r="S186" t="str">
        <f>""</f>
        <v/>
      </c>
      <c r="AL186" s="18" t="str">
        <f>IF(COUNTIF($A$2:A185, A185) = 1, A185, "")</f>
        <v/>
      </c>
    </row>
    <row r="187" spans="6:38" x14ac:dyDescent="0.2">
      <c r="F187" t="str">
        <f t="shared" si="32"/>
        <v/>
      </c>
      <c r="L187" s="7" t="str">
        <f t="shared" si="33"/>
        <v/>
      </c>
      <c r="N187" s="7" t="str">
        <f t="shared" si="34"/>
        <v/>
      </c>
      <c r="O187" t="str">
        <f t="shared" si="35"/>
        <v/>
      </c>
      <c r="P187" t="str">
        <f t="shared" si="36"/>
        <v/>
      </c>
      <c r="Q187" t="str">
        <f t="shared" si="37"/>
        <v/>
      </c>
      <c r="S187" t="str">
        <f>""</f>
        <v/>
      </c>
      <c r="AL187" s="18" t="str">
        <f>IF(COUNTIF($A$2:A186, A186) = 1, A186, "")</f>
        <v/>
      </c>
    </row>
    <row r="188" spans="6:38" x14ac:dyDescent="0.2">
      <c r="F188" t="str">
        <f t="shared" si="32"/>
        <v/>
      </c>
      <c r="L188" s="7" t="str">
        <f t="shared" si="33"/>
        <v/>
      </c>
      <c r="N188" s="7" t="str">
        <f t="shared" si="34"/>
        <v/>
      </c>
      <c r="O188" t="str">
        <f t="shared" si="35"/>
        <v/>
      </c>
      <c r="P188" t="str">
        <f t="shared" si="36"/>
        <v/>
      </c>
      <c r="Q188" t="str">
        <f t="shared" si="37"/>
        <v/>
      </c>
      <c r="S188" t="str">
        <f>""</f>
        <v/>
      </c>
      <c r="AL188" s="18" t="str">
        <f>IF(COUNTIF($A$2:A187, A187) = 1, A187, "")</f>
        <v/>
      </c>
    </row>
    <row r="189" spans="6:38" x14ac:dyDescent="0.2">
      <c r="F189" t="str">
        <f t="shared" si="32"/>
        <v/>
      </c>
      <c r="L189" s="7" t="str">
        <f t="shared" si="33"/>
        <v/>
      </c>
      <c r="N189" s="7" t="str">
        <f t="shared" si="34"/>
        <v/>
      </c>
      <c r="O189" t="str">
        <f t="shared" si="35"/>
        <v/>
      </c>
      <c r="P189" t="str">
        <f t="shared" si="36"/>
        <v/>
      </c>
      <c r="Q189" t="str">
        <f t="shared" si="37"/>
        <v/>
      </c>
      <c r="S189" t="str">
        <f>""</f>
        <v/>
      </c>
      <c r="AL189" s="18" t="str">
        <f>IF(COUNTIF($A$2:A188, A188) = 1, A188, "")</f>
        <v/>
      </c>
    </row>
    <row r="190" spans="6:38" x14ac:dyDescent="0.2">
      <c r="F190" t="str">
        <f t="shared" si="32"/>
        <v/>
      </c>
      <c r="L190" s="7" t="str">
        <f t="shared" si="33"/>
        <v/>
      </c>
      <c r="N190" s="7" t="str">
        <f t="shared" si="34"/>
        <v/>
      </c>
      <c r="O190" t="str">
        <f t="shared" si="35"/>
        <v/>
      </c>
      <c r="P190" t="str">
        <f t="shared" si="36"/>
        <v/>
      </c>
      <c r="Q190" t="str">
        <f t="shared" si="37"/>
        <v/>
      </c>
      <c r="S190" t="str">
        <f>""</f>
        <v/>
      </c>
      <c r="AL190" s="18" t="str">
        <f>IF(COUNTIF($A$2:A189, A189) = 1, A189, "")</f>
        <v/>
      </c>
    </row>
    <row r="191" spans="6:38" x14ac:dyDescent="0.2">
      <c r="F191" t="str">
        <f t="shared" si="32"/>
        <v/>
      </c>
      <c r="L191" s="7" t="str">
        <f t="shared" si="33"/>
        <v/>
      </c>
      <c r="N191" s="7" t="str">
        <f t="shared" si="34"/>
        <v/>
      </c>
      <c r="O191" t="str">
        <f t="shared" si="35"/>
        <v/>
      </c>
      <c r="P191" t="str">
        <f t="shared" si="36"/>
        <v/>
      </c>
      <c r="Q191" t="str">
        <f t="shared" si="37"/>
        <v/>
      </c>
      <c r="S191" t="str">
        <f>""</f>
        <v/>
      </c>
      <c r="AL191" s="18" t="str">
        <f>IF(COUNTIF($A$2:A190, A190) = 1, A190, "")</f>
        <v/>
      </c>
    </row>
    <row r="192" spans="6:38" x14ac:dyDescent="0.2">
      <c r="F192" t="str">
        <f t="shared" si="32"/>
        <v/>
      </c>
      <c r="L192" s="7" t="str">
        <f t="shared" si="33"/>
        <v/>
      </c>
      <c r="N192" s="7" t="str">
        <f t="shared" si="34"/>
        <v/>
      </c>
      <c r="O192" t="str">
        <f t="shared" si="35"/>
        <v/>
      </c>
      <c r="P192" t="str">
        <f t="shared" si="36"/>
        <v/>
      </c>
      <c r="Q192" t="str">
        <f t="shared" si="37"/>
        <v/>
      </c>
      <c r="S192" t="str">
        <f>""</f>
        <v/>
      </c>
      <c r="AL192" s="18" t="str">
        <f>IF(COUNTIF($A$2:A191, A191) = 1, A191, "")</f>
        <v/>
      </c>
    </row>
    <row r="193" spans="6:38" x14ac:dyDescent="0.2">
      <c r="F193" t="str">
        <f t="shared" si="32"/>
        <v/>
      </c>
      <c r="L193" s="7" t="str">
        <f t="shared" si="33"/>
        <v/>
      </c>
      <c r="N193" s="7" t="str">
        <f t="shared" si="34"/>
        <v/>
      </c>
      <c r="O193" t="str">
        <f t="shared" si="35"/>
        <v/>
      </c>
      <c r="P193" t="str">
        <f t="shared" si="36"/>
        <v/>
      </c>
      <c r="Q193" t="str">
        <f t="shared" si="37"/>
        <v/>
      </c>
      <c r="S193" t="str">
        <f>""</f>
        <v/>
      </c>
      <c r="AL193" s="18" t="str">
        <f>IF(COUNTIF($A$2:A192, A192) = 1, A192, "")</f>
        <v/>
      </c>
    </row>
    <row r="194" spans="6:38" x14ac:dyDescent="0.2">
      <c r="F194" t="str">
        <f t="shared" si="32"/>
        <v/>
      </c>
      <c r="L194" s="7" t="str">
        <f t="shared" si="33"/>
        <v/>
      </c>
      <c r="N194" s="7" t="str">
        <f t="shared" si="34"/>
        <v/>
      </c>
      <c r="O194" t="str">
        <f t="shared" si="35"/>
        <v/>
      </c>
      <c r="P194" t="str">
        <f t="shared" si="36"/>
        <v/>
      </c>
      <c r="Q194" t="str">
        <f t="shared" si="37"/>
        <v/>
      </c>
      <c r="S194" t="str">
        <f>""</f>
        <v/>
      </c>
      <c r="AL194" s="18" t="str">
        <f>IF(COUNTIF($A$2:A193, A193) = 1, A193, "")</f>
        <v/>
      </c>
    </row>
    <row r="195" spans="6:38" x14ac:dyDescent="0.2">
      <c r="F195" t="str">
        <f t="shared" si="32"/>
        <v/>
      </c>
      <c r="L195" s="7" t="str">
        <f t="shared" si="33"/>
        <v/>
      </c>
      <c r="N195" s="7" t="str">
        <f t="shared" si="34"/>
        <v/>
      </c>
      <c r="O195" t="str">
        <f t="shared" si="35"/>
        <v/>
      </c>
      <c r="P195" t="str">
        <f t="shared" si="36"/>
        <v/>
      </c>
      <c r="Q195" t="str">
        <f t="shared" si="37"/>
        <v/>
      </c>
      <c r="S195" t="str">
        <f>""</f>
        <v/>
      </c>
      <c r="AL195" s="18" t="str">
        <f>IF(COUNTIF($A$2:A194, A194) = 1, A194, "")</f>
        <v/>
      </c>
    </row>
    <row r="196" spans="6:38" x14ac:dyDescent="0.2">
      <c r="F196" t="str">
        <f t="shared" si="32"/>
        <v/>
      </c>
      <c r="L196" s="7" t="str">
        <f t="shared" si="33"/>
        <v/>
      </c>
      <c r="N196" s="7" t="str">
        <f t="shared" si="34"/>
        <v/>
      </c>
      <c r="O196" t="str">
        <f t="shared" si="35"/>
        <v/>
      </c>
      <c r="P196" t="str">
        <f t="shared" si="36"/>
        <v/>
      </c>
      <c r="Q196" t="str">
        <f t="shared" si="37"/>
        <v/>
      </c>
      <c r="S196" t="str">
        <f>""</f>
        <v/>
      </c>
      <c r="AL196" s="18" t="str">
        <f>IF(COUNTIF($A$2:A195, A195) = 1, A195, "")</f>
        <v/>
      </c>
    </row>
    <row r="197" spans="6:38" x14ac:dyDescent="0.2">
      <c r="F197" t="str">
        <f t="shared" si="32"/>
        <v/>
      </c>
      <c r="L197" s="7" t="str">
        <f t="shared" si="33"/>
        <v/>
      </c>
      <c r="N197" s="7" t="str">
        <f t="shared" si="34"/>
        <v/>
      </c>
      <c r="O197" t="str">
        <f t="shared" si="35"/>
        <v/>
      </c>
      <c r="P197" t="str">
        <f t="shared" si="36"/>
        <v/>
      </c>
      <c r="Q197" t="str">
        <f t="shared" si="37"/>
        <v/>
      </c>
      <c r="S197" t="str">
        <f>""</f>
        <v/>
      </c>
      <c r="AL197" s="18" t="str">
        <f>IF(COUNTIF($A$2:A196, A196) = 1, A196, "")</f>
        <v/>
      </c>
    </row>
    <row r="198" spans="6:38" x14ac:dyDescent="0.2">
      <c r="F198" t="str">
        <f t="shared" si="32"/>
        <v/>
      </c>
      <c r="L198" s="7" t="str">
        <f t="shared" si="33"/>
        <v/>
      </c>
      <c r="N198" s="7" t="str">
        <f t="shared" si="34"/>
        <v/>
      </c>
      <c r="O198" t="str">
        <f t="shared" si="35"/>
        <v/>
      </c>
      <c r="P198" t="str">
        <f t="shared" si="36"/>
        <v/>
      </c>
      <c r="Q198" t="str">
        <f t="shared" si="37"/>
        <v/>
      </c>
      <c r="S198" t="str">
        <f>""</f>
        <v/>
      </c>
      <c r="AL198" s="18" t="str">
        <f>IF(COUNTIF($A$2:A197, A197) = 1, A197, "")</f>
        <v/>
      </c>
    </row>
    <row r="199" spans="6:38" x14ac:dyDescent="0.2">
      <c r="F199" t="str">
        <f t="shared" si="32"/>
        <v/>
      </c>
      <c r="L199" s="7" t="str">
        <f t="shared" si="33"/>
        <v/>
      </c>
      <c r="N199" s="7" t="str">
        <f t="shared" si="34"/>
        <v/>
      </c>
      <c r="O199" t="str">
        <f t="shared" si="35"/>
        <v/>
      </c>
      <c r="P199" t="str">
        <f t="shared" si="36"/>
        <v/>
      </c>
      <c r="Q199" t="str">
        <f t="shared" si="37"/>
        <v/>
      </c>
      <c r="S199" t="str">
        <f>""</f>
        <v/>
      </c>
      <c r="AL199" s="18" t="str">
        <f>IF(COUNTIF($A$2:A198, A198) = 1, A198, "")</f>
        <v/>
      </c>
    </row>
    <row r="200" spans="6:38" x14ac:dyDescent="0.2">
      <c r="F200" t="str">
        <f t="shared" si="32"/>
        <v/>
      </c>
      <c r="L200" s="7" t="str">
        <f t="shared" si="33"/>
        <v/>
      </c>
      <c r="N200" s="7" t="str">
        <f t="shared" si="34"/>
        <v/>
      </c>
      <c r="O200" t="str">
        <f t="shared" si="35"/>
        <v/>
      </c>
      <c r="P200" t="str">
        <f t="shared" si="36"/>
        <v/>
      </c>
      <c r="Q200" t="str">
        <f t="shared" si="37"/>
        <v/>
      </c>
      <c r="S200" t="str">
        <f>""</f>
        <v/>
      </c>
      <c r="AL200" s="18" t="str">
        <f>IF(COUNTIF($A$2:A199, A199) = 1, A199, "")</f>
        <v/>
      </c>
    </row>
    <row r="201" spans="6:38" x14ac:dyDescent="0.2">
      <c r="F201" t="str">
        <f t="shared" si="32"/>
        <v/>
      </c>
      <c r="L201" s="7" t="str">
        <f t="shared" si="33"/>
        <v/>
      </c>
      <c r="N201" s="7" t="str">
        <f t="shared" si="34"/>
        <v/>
      </c>
      <c r="O201" t="str">
        <f t="shared" si="35"/>
        <v/>
      </c>
      <c r="P201" t="str">
        <f t="shared" si="36"/>
        <v/>
      </c>
      <c r="Q201" t="str">
        <f t="shared" si="37"/>
        <v/>
      </c>
      <c r="S201" t="str">
        <f>""</f>
        <v/>
      </c>
      <c r="AL201" s="18" t="str">
        <f>IF(COUNTIF($A$2:A200, A200) = 1, A200, "")</f>
        <v/>
      </c>
    </row>
    <row r="202" spans="6:38" x14ac:dyDescent="0.2">
      <c r="F202" t="str">
        <f t="shared" si="32"/>
        <v/>
      </c>
      <c r="L202" s="7" t="str">
        <f t="shared" si="33"/>
        <v/>
      </c>
      <c r="N202" s="7" t="str">
        <f t="shared" si="34"/>
        <v/>
      </c>
      <c r="O202" t="str">
        <f t="shared" si="35"/>
        <v/>
      </c>
      <c r="P202" t="str">
        <f t="shared" si="36"/>
        <v/>
      </c>
      <c r="Q202" t="str">
        <f t="shared" si="37"/>
        <v/>
      </c>
      <c r="S202" t="str">
        <f>""</f>
        <v/>
      </c>
      <c r="AL202" s="18" t="str">
        <f>IF(COUNTIF($A$2:A201, A201) = 1, A201, "")</f>
        <v/>
      </c>
    </row>
    <row r="203" spans="6:38" x14ac:dyDescent="0.2">
      <c r="F203" t="str">
        <f t="shared" si="32"/>
        <v/>
      </c>
      <c r="L203" s="7" t="str">
        <f t="shared" si="33"/>
        <v/>
      </c>
      <c r="N203" s="7" t="str">
        <f t="shared" si="34"/>
        <v/>
      </c>
      <c r="O203" t="str">
        <f t="shared" si="35"/>
        <v/>
      </c>
      <c r="P203" t="str">
        <f t="shared" si="36"/>
        <v/>
      </c>
      <c r="Q203" t="str">
        <f t="shared" si="37"/>
        <v/>
      </c>
      <c r="S203" t="str">
        <f>""</f>
        <v/>
      </c>
      <c r="AL203" s="18" t="str">
        <f>IF(COUNTIF($A$2:A202, A202) = 1, A202, "")</f>
        <v/>
      </c>
    </row>
    <row r="204" spans="6:38" x14ac:dyDescent="0.2">
      <c r="F204" t="str">
        <f t="shared" si="32"/>
        <v/>
      </c>
      <c r="L204" s="7" t="str">
        <f t="shared" si="33"/>
        <v/>
      </c>
      <c r="N204" s="7" t="str">
        <f t="shared" si="34"/>
        <v/>
      </c>
      <c r="O204" t="str">
        <f t="shared" si="35"/>
        <v/>
      </c>
      <c r="P204" t="str">
        <f t="shared" si="36"/>
        <v/>
      </c>
      <c r="Q204" t="str">
        <f t="shared" si="37"/>
        <v/>
      </c>
      <c r="S204" t="str">
        <f>""</f>
        <v/>
      </c>
      <c r="AL204" s="18" t="str">
        <f>IF(COUNTIF($A$2:A203, A203) = 1, A203, "")</f>
        <v/>
      </c>
    </row>
    <row r="205" spans="6:38" x14ac:dyDescent="0.2">
      <c r="F205" t="str">
        <f t="shared" si="32"/>
        <v/>
      </c>
      <c r="L205" s="7" t="str">
        <f t="shared" si="33"/>
        <v/>
      </c>
      <c r="N205" s="7" t="str">
        <f t="shared" si="34"/>
        <v/>
      </c>
      <c r="O205" t="str">
        <f t="shared" si="35"/>
        <v/>
      </c>
      <c r="P205" t="str">
        <f t="shared" si="36"/>
        <v/>
      </c>
      <c r="Q205" t="str">
        <f t="shared" si="37"/>
        <v/>
      </c>
      <c r="S205" t="str">
        <f>""</f>
        <v/>
      </c>
      <c r="AL205" s="18" t="str">
        <f>IF(COUNTIF($A$2:A204, A204) = 1, A204, "")</f>
        <v/>
      </c>
    </row>
    <row r="206" spans="6:38" x14ac:dyDescent="0.2">
      <c r="F206" t="str">
        <f t="shared" si="32"/>
        <v/>
      </c>
      <c r="L206" s="7" t="str">
        <f t="shared" si="33"/>
        <v/>
      </c>
      <c r="N206" s="7" t="str">
        <f t="shared" si="34"/>
        <v/>
      </c>
      <c r="O206" t="str">
        <f t="shared" si="35"/>
        <v/>
      </c>
      <c r="P206" t="str">
        <f t="shared" si="36"/>
        <v/>
      </c>
      <c r="Q206" t="str">
        <f t="shared" si="37"/>
        <v/>
      </c>
      <c r="S206" t="str">
        <f>""</f>
        <v/>
      </c>
      <c r="AL206" s="18" t="str">
        <f>IF(COUNTIF($A$2:A205, A205) = 1, A205, "")</f>
        <v/>
      </c>
    </row>
    <row r="207" spans="6:38" x14ac:dyDescent="0.2">
      <c r="F207" t="str">
        <f t="shared" si="32"/>
        <v/>
      </c>
      <c r="L207" s="7" t="str">
        <f t="shared" si="33"/>
        <v/>
      </c>
      <c r="N207" s="7" t="str">
        <f t="shared" si="34"/>
        <v/>
      </c>
      <c r="O207" t="str">
        <f t="shared" si="35"/>
        <v/>
      </c>
      <c r="P207" t="str">
        <f t="shared" si="36"/>
        <v/>
      </c>
      <c r="Q207" t="str">
        <f t="shared" si="37"/>
        <v/>
      </c>
      <c r="S207" t="str">
        <f>""</f>
        <v/>
      </c>
      <c r="AL207" s="18" t="str">
        <f>IF(COUNTIF($A$2:A206, A206) = 1, A206, "")</f>
        <v/>
      </c>
    </row>
    <row r="208" spans="6:38" x14ac:dyDescent="0.2">
      <c r="F208" t="str">
        <f t="shared" ref="F208:F271" si="38">IF(OR(O208="", P208=""), "", SUM(IF((O208&lt;&gt;"None")*(O208&lt;&gt;""),LEN(O208)-LEN(SUBSTITUTE(O208,",",""))+1,0)) + SUM(IF((P208&lt;&gt;"None")*(P208&lt;&gt;""),LEN(P208)-LEN(SUBSTITUTE(P208,",",""))+1,0)))</f>
        <v/>
      </c>
      <c r="L208" s="7" t="str">
        <f t="shared" ref="L208:L271" si="39">IF(LEN(E208)=0, "", IFERROR(IF(E208&gt;=0, K208 * (1 + E208/100) - K208, K208 / (ABS(E208)/100))+K208, ""))</f>
        <v/>
      </c>
      <c r="N208" s="7" t="str">
        <f t="shared" ref="N208:N271" si="40">IF(M208="Yes",L208-K208,IF(M208="No",-K208,""))</f>
        <v/>
      </c>
      <c r="O208" t="str">
        <f t="shared" ref="O208:O271" si="41">IF(AND(G208="No",H208="No"), "None", "")</f>
        <v/>
      </c>
      <c r="P208" t="str">
        <f t="shared" ref="P208:P271" si="42">IF(I208="No", "None", "")</f>
        <v/>
      </c>
      <c r="Q208" t="str">
        <f t="shared" ref="Q208:Q271" si="43">IF(AND(D208="Straight", M208 = "No"),IF(O208="None",P208,IF(P208="None",O208) ),"")</f>
        <v/>
      </c>
      <c r="S208" t="str">
        <f>""</f>
        <v/>
      </c>
      <c r="AL208" s="18" t="str">
        <f>IF(COUNTIF($A$2:A207, A207) = 1, A207, "")</f>
        <v/>
      </c>
    </row>
    <row r="209" spans="6:38" x14ac:dyDescent="0.2">
      <c r="F209" t="str">
        <f t="shared" si="38"/>
        <v/>
      </c>
      <c r="L209" s="7" t="str">
        <f t="shared" si="39"/>
        <v/>
      </c>
      <c r="N209" s="7" t="str">
        <f t="shared" si="40"/>
        <v/>
      </c>
      <c r="O209" t="str">
        <f t="shared" si="41"/>
        <v/>
      </c>
      <c r="P209" t="str">
        <f t="shared" si="42"/>
        <v/>
      </c>
      <c r="Q209" t="str">
        <f t="shared" si="43"/>
        <v/>
      </c>
      <c r="S209" t="str">
        <f>""</f>
        <v/>
      </c>
      <c r="AL209" s="18" t="str">
        <f>IF(COUNTIF($A$2:A208, A208) = 1, A208, "")</f>
        <v/>
      </c>
    </row>
    <row r="210" spans="6:38" x14ac:dyDescent="0.2">
      <c r="F210" t="str">
        <f t="shared" si="38"/>
        <v/>
      </c>
      <c r="L210" s="7" t="str">
        <f t="shared" si="39"/>
        <v/>
      </c>
      <c r="N210" s="7" t="str">
        <f t="shared" si="40"/>
        <v/>
      </c>
      <c r="O210" t="str">
        <f t="shared" si="41"/>
        <v/>
      </c>
      <c r="P210" t="str">
        <f t="shared" si="42"/>
        <v/>
      </c>
      <c r="Q210" t="str">
        <f t="shared" si="43"/>
        <v/>
      </c>
      <c r="S210" t="str">
        <f>""</f>
        <v/>
      </c>
      <c r="AL210" s="18" t="str">
        <f>IF(COUNTIF($A$2:A209, A209) = 1, A209, "")</f>
        <v/>
      </c>
    </row>
    <row r="211" spans="6:38" x14ac:dyDescent="0.2">
      <c r="F211" t="str">
        <f t="shared" si="38"/>
        <v/>
      </c>
      <c r="L211" s="7" t="str">
        <f t="shared" si="39"/>
        <v/>
      </c>
      <c r="N211" s="7" t="str">
        <f t="shared" si="40"/>
        <v/>
      </c>
      <c r="O211" t="str">
        <f t="shared" si="41"/>
        <v/>
      </c>
      <c r="P211" t="str">
        <f t="shared" si="42"/>
        <v/>
      </c>
      <c r="Q211" t="str">
        <f t="shared" si="43"/>
        <v/>
      </c>
      <c r="S211" t="str">
        <f>""</f>
        <v/>
      </c>
      <c r="AL211" s="18" t="str">
        <f>IF(COUNTIF($A$2:A210, A210) = 1, A210, "")</f>
        <v/>
      </c>
    </row>
    <row r="212" spans="6:38" x14ac:dyDescent="0.2">
      <c r="F212" t="str">
        <f t="shared" si="38"/>
        <v/>
      </c>
      <c r="L212" s="7" t="str">
        <f t="shared" si="39"/>
        <v/>
      </c>
      <c r="N212" s="7" t="str">
        <f t="shared" si="40"/>
        <v/>
      </c>
      <c r="O212" t="str">
        <f t="shared" si="41"/>
        <v/>
      </c>
      <c r="P212" t="str">
        <f t="shared" si="42"/>
        <v/>
      </c>
      <c r="Q212" t="str">
        <f t="shared" si="43"/>
        <v/>
      </c>
      <c r="S212" t="str">
        <f>""</f>
        <v/>
      </c>
      <c r="AL212" s="18" t="str">
        <f>IF(COUNTIF($A$2:A211, A211) = 1, A211, "")</f>
        <v/>
      </c>
    </row>
    <row r="213" spans="6:38" x14ac:dyDescent="0.2">
      <c r="F213" t="str">
        <f t="shared" si="38"/>
        <v/>
      </c>
      <c r="L213" s="7" t="str">
        <f t="shared" si="39"/>
        <v/>
      </c>
      <c r="N213" s="7" t="str">
        <f t="shared" si="40"/>
        <v/>
      </c>
      <c r="O213" t="str">
        <f t="shared" si="41"/>
        <v/>
      </c>
      <c r="P213" t="str">
        <f t="shared" si="42"/>
        <v/>
      </c>
      <c r="Q213" t="str">
        <f t="shared" si="43"/>
        <v/>
      </c>
      <c r="S213" t="str">
        <f>""</f>
        <v/>
      </c>
      <c r="AL213" s="18" t="str">
        <f>IF(COUNTIF($A$2:A212, A212) = 1, A212, "")</f>
        <v/>
      </c>
    </row>
    <row r="214" spans="6:38" x14ac:dyDescent="0.2">
      <c r="F214" t="str">
        <f t="shared" si="38"/>
        <v/>
      </c>
      <c r="L214" s="7" t="str">
        <f t="shared" si="39"/>
        <v/>
      </c>
      <c r="N214" s="7" t="str">
        <f t="shared" si="40"/>
        <v/>
      </c>
      <c r="O214" t="str">
        <f t="shared" si="41"/>
        <v/>
      </c>
      <c r="P214" t="str">
        <f t="shared" si="42"/>
        <v/>
      </c>
      <c r="Q214" t="str">
        <f t="shared" si="43"/>
        <v/>
      </c>
      <c r="S214" t="str">
        <f>""</f>
        <v/>
      </c>
      <c r="AL214" s="18" t="str">
        <f>IF(COUNTIF($A$2:A213, A213) = 1, A213, "")</f>
        <v/>
      </c>
    </row>
    <row r="215" spans="6:38" x14ac:dyDescent="0.2">
      <c r="F215" t="str">
        <f t="shared" si="38"/>
        <v/>
      </c>
      <c r="L215" s="7" t="str">
        <f t="shared" si="39"/>
        <v/>
      </c>
      <c r="N215" s="7" t="str">
        <f t="shared" si="40"/>
        <v/>
      </c>
      <c r="O215" t="str">
        <f t="shared" si="41"/>
        <v/>
      </c>
      <c r="P215" t="str">
        <f t="shared" si="42"/>
        <v/>
      </c>
      <c r="Q215" t="str">
        <f t="shared" si="43"/>
        <v/>
      </c>
      <c r="S215" t="str">
        <f>""</f>
        <v/>
      </c>
      <c r="AL215" s="18" t="str">
        <f>IF(COUNTIF($A$2:A214, A214) = 1, A214, "")</f>
        <v/>
      </c>
    </row>
    <row r="216" spans="6:38" x14ac:dyDescent="0.2">
      <c r="F216" t="str">
        <f t="shared" si="38"/>
        <v/>
      </c>
      <c r="L216" s="7" t="str">
        <f t="shared" si="39"/>
        <v/>
      </c>
      <c r="N216" s="7" t="str">
        <f t="shared" si="40"/>
        <v/>
      </c>
      <c r="O216" t="str">
        <f t="shared" si="41"/>
        <v/>
      </c>
      <c r="P216" t="str">
        <f t="shared" si="42"/>
        <v/>
      </c>
      <c r="Q216" t="str">
        <f t="shared" si="43"/>
        <v/>
      </c>
      <c r="S216" t="str">
        <f>""</f>
        <v/>
      </c>
      <c r="AL216" s="18" t="str">
        <f>IF(COUNTIF($A$2:A215, A215) = 1, A215, "")</f>
        <v/>
      </c>
    </row>
    <row r="217" spans="6:38" x14ac:dyDescent="0.2">
      <c r="F217" t="str">
        <f t="shared" si="38"/>
        <v/>
      </c>
      <c r="L217" s="7" t="str">
        <f t="shared" si="39"/>
        <v/>
      </c>
      <c r="N217" s="7" t="str">
        <f t="shared" si="40"/>
        <v/>
      </c>
      <c r="O217" t="str">
        <f t="shared" si="41"/>
        <v/>
      </c>
      <c r="P217" t="str">
        <f t="shared" si="42"/>
        <v/>
      </c>
      <c r="Q217" t="str">
        <f t="shared" si="43"/>
        <v/>
      </c>
      <c r="S217" t="str">
        <f>""</f>
        <v/>
      </c>
      <c r="AL217" s="18" t="str">
        <f>IF(COUNTIF($A$2:A216, A216) = 1, A216, "")</f>
        <v/>
      </c>
    </row>
    <row r="218" spans="6:38" x14ac:dyDescent="0.2">
      <c r="F218" t="str">
        <f t="shared" si="38"/>
        <v/>
      </c>
      <c r="L218" s="7" t="str">
        <f t="shared" si="39"/>
        <v/>
      </c>
      <c r="N218" s="7" t="str">
        <f t="shared" si="40"/>
        <v/>
      </c>
      <c r="O218" t="str">
        <f t="shared" si="41"/>
        <v/>
      </c>
      <c r="P218" t="str">
        <f t="shared" si="42"/>
        <v/>
      </c>
      <c r="Q218" t="str">
        <f t="shared" si="43"/>
        <v/>
      </c>
      <c r="S218" t="str">
        <f>""</f>
        <v/>
      </c>
      <c r="AL218" s="18" t="str">
        <f>IF(COUNTIF($A$2:A217, A217) = 1, A217, "")</f>
        <v/>
      </c>
    </row>
    <row r="219" spans="6:38" x14ac:dyDescent="0.2">
      <c r="F219" t="str">
        <f t="shared" si="38"/>
        <v/>
      </c>
      <c r="L219" s="7" t="str">
        <f t="shared" si="39"/>
        <v/>
      </c>
      <c r="N219" s="7" t="str">
        <f t="shared" si="40"/>
        <v/>
      </c>
      <c r="O219" t="str">
        <f t="shared" si="41"/>
        <v/>
      </c>
      <c r="P219" t="str">
        <f t="shared" si="42"/>
        <v/>
      </c>
      <c r="Q219" t="str">
        <f t="shared" si="43"/>
        <v/>
      </c>
      <c r="S219" t="str">
        <f>""</f>
        <v/>
      </c>
      <c r="AL219" s="18" t="str">
        <f>IF(COUNTIF($A$2:A218, A218) = 1, A218, "")</f>
        <v/>
      </c>
    </row>
    <row r="220" spans="6:38" x14ac:dyDescent="0.2">
      <c r="F220" t="str">
        <f t="shared" si="38"/>
        <v/>
      </c>
      <c r="L220" s="7" t="str">
        <f t="shared" si="39"/>
        <v/>
      </c>
      <c r="N220" s="7" t="str">
        <f t="shared" si="40"/>
        <v/>
      </c>
      <c r="O220" t="str">
        <f t="shared" si="41"/>
        <v/>
      </c>
      <c r="P220" t="str">
        <f t="shared" si="42"/>
        <v/>
      </c>
      <c r="Q220" t="str">
        <f t="shared" si="43"/>
        <v/>
      </c>
      <c r="S220" t="str">
        <f>""</f>
        <v/>
      </c>
      <c r="AL220" s="18" t="str">
        <f>IF(COUNTIF($A$2:A219, A219) = 1, A219, "")</f>
        <v/>
      </c>
    </row>
    <row r="221" spans="6:38" x14ac:dyDescent="0.2">
      <c r="F221" t="str">
        <f t="shared" si="38"/>
        <v/>
      </c>
      <c r="L221" s="7" t="str">
        <f t="shared" si="39"/>
        <v/>
      </c>
      <c r="N221" s="7" t="str">
        <f t="shared" si="40"/>
        <v/>
      </c>
      <c r="O221" t="str">
        <f t="shared" si="41"/>
        <v/>
      </c>
      <c r="P221" t="str">
        <f t="shared" si="42"/>
        <v/>
      </c>
      <c r="Q221" t="str">
        <f t="shared" si="43"/>
        <v/>
      </c>
      <c r="S221" t="str">
        <f>""</f>
        <v/>
      </c>
      <c r="AL221" s="18" t="str">
        <f>IF(COUNTIF($A$2:A220, A220) = 1, A220, "")</f>
        <v/>
      </c>
    </row>
    <row r="222" spans="6:38" x14ac:dyDescent="0.2">
      <c r="F222" t="str">
        <f t="shared" si="38"/>
        <v/>
      </c>
      <c r="L222" s="7" t="str">
        <f t="shared" si="39"/>
        <v/>
      </c>
      <c r="N222" s="7" t="str">
        <f t="shared" si="40"/>
        <v/>
      </c>
      <c r="O222" t="str">
        <f t="shared" si="41"/>
        <v/>
      </c>
      <c r="P222" t="str">
        <f t="shared" si="42"/>
        <v/>
      </c>
      <c r="Q222" t="str">
        <f t="shared" si="43"/>
        <v/>
      </c>
      <c r="S222" t="str">
        <f>""</f>
        <v/>
      </c>
      <c r="AL222" s="18" t="str">
        <f>IF(COUNTIF($A$2:A221, A221) = 1, A221, "")</f>
        <v/>
      </c>
    </row>
    <row r="223" spans="6:38" x14ac:dyDescent="0.2">
      <c r="F223" t="str">
        <f t="shared" si="38"/>
        <v/>
      </c>
      <c r="L223" s="7" t="str">
        <f t="shared" si="39"/>
        <v/>
      </c>
      <c r="N223" s="7" t="str">
        <f t="shared" si="40"/>
        <v/>
      </c>
      <c r="O223" t="str">
        <f t="shared" si="41"/>
        <v/>
      </c>
      <c r="P223" t="str">
        <f t="shared" si="42"/>
        <v/>
      </c>
      <c r="Q223" t="str">
        <f t="shared" si="43"/>
        <v/>
      </c>
      <c r="S223" t="str">
        <f>""</f>
        <v/>
      </c>
      <c r="AL223" s="18" t="str">
        <f>IF(COUNTIF($A$2:A222, A222) = 1, A222, "")</f>
        <v/>
      </c>
    </row>
    <row r="224" spans="6:38" x14ac:dyDescent="0.2">
      <c r="F224" t="str">
        <f t="shared" si="38"/>
        <v/>
      </c>
      <c r="L224" s="7" t="str">
        <f t="shared" si="39"/>
        <v/>
      </c>
      <c r="N224" s="7" t="str">
        <f t="shared" si="40"/>
        <v/>
      </c>
      <c r="O224" t="str">
        <f t="shared" si="41"/>
        <v/>
      </c>
      <c r="P224" t="str">
        <f t="shared" si="42"/>
        <v/>
      </c>
      <c r="Q224" t="str">
        <f t="shared" si="43"/>
        <v/>
      </c>
      <c r="S224" t="str">
        <f>""</f>
        <v/>
      </c>
      <c r="AL224" s="18" t="str">
        <f>IF(COUNTIF($A$2:A223, A223) = 1, A223, "")</f>
        <v/>
      </c>
    </row>
    <row r="225" spans="6:38" x14ac:dyDescent="0.2">
      <c r="F225" t="str">
        <f t="shared" si="38"/>
        <v/>
      </c>
      <c r="L225" s="7" t="str">
        <f t="shared" si="39"/>
        <v/>
      </c>
      <c r="N225" s="7" t="str">
        <f t="shared" si="40"/>
        <v/>
      </c>
      <c r="O225" t="str">
        <f t="shared" si="41"/>
        <v/>
      </c>
      <c r="P225" t="str">
        <f t="shared" si="42"/>
        <v/>
      </c>
      <c r="Q225" t="str">
        <f t="shared" si="43"/>
        <v/>
      </c>
      <c r="S225" t="str">
        <f>""</f>
        <v/>
      </c>
      <c r="AL225" s="18" t="str">
        <f>IF(COUNTIF($A$2:A224, A224) = 1, A224, "")</f>
        <v/>
      </c>
    </row>
    <row r="226" spans="6:38" x14ac:dyDescent="0.2">
      <c r="F226" t="str">
        <f t="shared" si="38"/>
        <v/>
      </c>
      <c r="L226" s="7" t="str">
        <f t="shared" si="39"/>
        <v/>
      </c>
      <c r="N226" s="7" t="str">
        <f t="shared" si="40"/>
        <v/>
      </c>
      <c r="O226" t="str">
        <f t="shared" si="41"/>
        <v/>
      </c>
      <c r="P226" t="str">
        <f t="shared" si="42"/>
        <v/>
      </c>
      <c r="Q226" t="str">
        <f t="shared" si="43"/>
        <v/>
      </c>
      <c r="S226" t="str">
        <f>""</f>
        <v/>
      </c>
      <c r="AL226" s="18" t="str">
        <f>IF(COUNTIF($A$2:A225, A225) = 1, A225, "")</f>
        <v/>
      </c>
    </row>
    <row r="227" spans="6:38" x14ac:dyDescent="0.2">
      <c r="F227" t="str">
        <f t="shared" si="38"/>
        <v/>
      </c>
      <c r="L227" s="7" t="str">
        <f t="shared" si="39"/>
        <v/>
      </c>
      <c r="N227" s="7" t="str">
        <f t="shared" si="40"/>
        <v/>
      </c>
      <c r="O227" t="str">
        <f t="shared" si="41"/>
        <v/>
      </c>
      <c r="P227" t="str">
        <f t="shared" si="42"/>
        <v/>
      </c>
      <c r="Q227" t="str">
        <f t="shared" si="43"/>
        <v/>
      </c>
      <c r="S227" t="str">
        <f>""</f>
        <v/>
      </c>
      <c r="AL227" s="18" t="str">
        <f>IF(COUNTIF($A$2:A226, A226) = 1, A226, "")</f>
        <v/>
      </c>
    </row>
    <row r="228" spans="6:38" x14ac:dyDescent="0.2">
      <c r="F228" t="str">
        <f t="shared" si="38"/>
        <v/>
      </c>
      <c r="L228" s="7" t="str">
        <f t="shared" si="39"/>
        <v/>
      </c>
      <c r="N228" s="7" t="str">
        <f t="shared" si="40"/>
        <v/>
      </c>
      <c r="O228" t="str">
        <f t="shared" si="41"/>
        <v/>
      </c>
      <c r="P228" t="str">
        <f t="shared" si="42"/>
        <v/>
      </c>
      <c r="Q228" t="str">
        <f t="shared" si="43"/>
        <v/>
      </c>
      <c r="S228" t="str">
        <f>""</f>
        <v/>
      </c>
      <c r="AL228" s="18" t="str">
        <f>IF(COUNTIF($A$2:A227, A227) = 1, A227, "")</f>
        <v/>
      </c>
    </row>
    <row r="229" spans="6:38" x14ac:dyDescent="0.2">
      <c r="F229" t="str">
        <f t="shared" si="38"/>
        <v/>
      </c>
      <c r="L229" s="7" t="str">
        <f t="shared" si="39"/>
        <v/>
      </c>
      <c r="N229" s="7" t="str">
        <f t="shared" si="40"/>
        <v/>
      </c>
      <c r="O229" t="str">
        <f t="shared" si="41"/>
        <v/>
      </c>
      <c r="P229" t="str">
        <f t="shared" si="42"/>
        <v/>
      </c>
      <c r="Q229" t="str">
        <f t="shared" si="43"/>
        <v/>
      </c>
      <c r="S229" t="str">
        <f>""</f>
        <v/>
      </c>
      <c r="AL229" s="18" t="str">
        <f>IF(COUNTIF($A$2:A228, A228) = 1, A228, "")</f>
        <v/>
      </c>
    </row>
    <row r="230" spans="6:38" x14ac:dyDescent="0.2">
      <c r="F230" t="str">
        <f t="shared" si="38"/>
        <v/>
      </c>
      <c r="L230" s="7" t="str">
        <f t="shared" si="39"/>
        <v/>
      </c>
      <c r="N230" s="7" t="str">
        <f t="shared" si="40"/>
        <v/>
      </c>
      <c r="O230" t="str">
        <f t="shared" si="41"/>
        <v/>
      </c>
      <c r="P230" t="str">
        <f t="shared" si="42"/>
        <v/>
      </c>
      <c r="Q230" t="str">
        <f t="shared" si="43"/>
        <v/>
      </c>
      <c r="S230" t="str">
        <f>""</f>
        <v/>
      </c>
      <c r="AL230" s="18" t="str">
        <f>IF(COUNTIF($A$2:A229, A229) = 1, A229, "")</f>
        <v/>
      </c>
    </row>
    <row r="231" spans="6:38" x14ac:dyDescent="0.2">
      <c r="F231" t="str">
        <f t="shared" si="38"/>
        <v/>
      </c>
      <c r="L231" s="7" t="str">
        <f t="shared" si="39"/>
        <v/>
      </c>
      <c r="N231" s="7" t="str">
        <f t="shared" si="40"/>
        <v/>
      </c>
      <c r="O231" t="str">
        <f t="shared" si="41"/>
        <v/>
      </c>
      <c r="P231" t="str">
        <f t="shared" si="42"/>
        <v/>
      </c>
      <c r="Q231" t="str">
        <f t="shared" si="43"/>
        <v/>
      </c>
      <c r="S231" t="str">
        <f>""</f>
        <v/>
      </c>
      <c r="AL231" s="18" t="str">
        <f>IF(COUNTIF($A$2:A230, A230) = 1, A230, "")</f>
        <v/>
      </c>
    </row>
    <row r="232" spans="6:38" x14ac:dyDescent="0.2">
      <c r="F232" t="str">
        <f t="shared" si="38"/>
        <v/>
      </c>
      <c r="L232" s="7" t="str">
        <f t="shared" si="39"/>
        <v/>
      </c>
      <c r="N232" s="7" t="str">
        <f t="shared" si="40"/>
        <v/>
      </c>
      <c r="O232" t="str">
        <f t="shared" si="41"/>
        <v/>
      </c>
      <c r="P232" t="str">
        <f t="shared" si="42"/>
        <v/>
      </c>
      <c r="Q232" t="str">
        <f t="shared" si="43"/>
        <v/>
      </c>
      <c r="S232" t="str">
        <f>""</f>
        <v/>
      </c>
      <c r="AL232" s="18" t="str">
        <f>IF(COUNTIF($A$2:A231, A231) = 1, A231, "")</f>
        <v/>
      </c>
    </row>
    <row r="233" spans="6:38" x14ac:dyDescent="0.2">
      <c r="F233" t="str">
        <f t="shared" si="38"/>
        <v/>
      </c>
      <c r="L233" s="7" t="str">
        <f t="shared" si="39"/>
        <v/>
      </c>
      <c r="N233" s="7" t="str">
        <f t="shared" si="40"/>
        <v/>
      </c>
      <c r="O233" t="str">
        <f t="shared" si="41"/>
        <v/>
      </c>
      <c r="P233" t="str">
        <f t="shared" si="42"/>
        <v/>
      </c>
      <c r="Q233" t="str">
        <f t="shared" si="43"/>
        <v/>
      </c>
      <c r="S233" t="str">
        <f>""</f>
        <v/>
      </c>
      <c r="AL233" s="18" t="str">
        <f>IF(COUNTIF($A$2:A232, A232) = 1, A232, "")</f>
        <v/>
      </c>
    </row>
    <row r="234" spans="6:38" x14ac:dyDescent="0.2">
      <c r="F234" t="str">
        <f t="shared" si="38"/>
        <v/>
      </c>
      <c r="L234" s="7" t="str">
        <f t="shared" si="39"/>
        <v/>
      </c>
      <c r="N234" s="7" t="str">
        <f t="shared" si="40"/>
        <v/>
      </c>
      <c r="O234" t="str">
        <f t="shared" si="41"/>
        <v/>
      </c>
      <c r="P234" t="str">
        <f t="shared" si="42"/>
        <v/>
      </c>
      <c r="Q234" t="str">
        <f t="shared" si="43"/>
        <v/>
      </c>
      <c r="S234" t="str">
        <f>""</f>
        <v/>
      </c>
      <c r="AL234" s="18" t="str">
        <f>IF(COUNTIF($A$2:A233, A233) = 1, A233, "")</f>
        <v/>
      </c>
    </row>
    <row r="235" spans="6:38" x14ac:dyDescent="0.2">
      <c r="F235" t="str">
        <f t="shared" si="38"/>
        <v/>
      </c>
      <c r="L235" s="7" t="str">
        <f t="shared" si="39"/>
        <v/>
      </c>
      <c r="N235" s="7" t="str">
        <f t="shared" si="40"/>
        <v/>
      </c>
      <c r="O235" t="str">
        <f t="shared" si="41"/>
        <v/>
      </c>
      <c r="P235" t="str">
        <f t="shared" si="42"/>
        <v/>
      </c>
      <c r="Q235" t="str">
        <f t="shared" si="43"/>
        <v/>
      </c>
      <c r="S235" t="str">
        <f>""</f>
        <v/>
      </c>
      <c r="AL235" s="18" t="str">
        <f>IF(COUNTIF($A$2:A234, A234) = 1, A234, "")</f>
        <v/>
      </c>
    </row>
    <row r="236" spans="6:38" x14ac:dyDescent="0.2">
      <c r="F236" t="str">
        <f t="shared" si="38"/>
        <v/>
      </c>
      <c r="L236" s="7" t="str">
        <f t="shared" si="39"/>
        <v/>
      </c>
      <c r="N236" s="7" t="str">
        <f t="shared" si="40"/>
        <v/>
      </c>
      <c r="O236" t="str">
        <f t="shared" si="41"/>
        <v/>
      </c>
      <c r="P236" t="str">
        <f t="shared" si="42"/>
        <v/>
      </c>
      <c r="Q236" t="str">
        <f t="shared" si="43"/>
        <v/>
      </c>
      <c r="S236" t="str">
        <f>""</f>
        <v/>
      </c>
      <c r="AL236" s="18" t="str">
        <f>IF(COUNTIF($A$2:A235, A235) = 1, A235, "")</f>
        <v/>
      </c>
    </row>
    <row r="237" spans="6:38" x14ac:dyDescent="0.2">
      <c r="F237" t="str">
        <f t="shared" si="38"/>
        <v/>
      </c>
      <c r="L237" s="7" t="str">
        <f t="shared" si="39"/>
        <v/>
      </c>
      <c r="N237" s="7" t="str">
        <f t="shared" si="40"/>
        <v/>
      </c>
      <c r="O237" t="str">
        <f t="shared" si="41"/>
        <v/>
      </c>
      <c r="P237" t="str">
        <f t="shared" si="42"/>
        <v/>
      </c>
      <c r="Q237" t="str">
        <f t="shared" si="43"/>
        <v/>
      </c>
      <c r="S237" t="str">
        <f>""</f>
        <v/>
      </c>
      <c r="AL237" s="18" t="str">
        <f>IF(COUNTIF($A$2:A236, A236) = 1, A236, "")</f>
        <v/>
      </c>
    </row>
    <row r="238" spans="6:38" x14ac:dyDescent="0.2">
      <c r="F238" t="str">
        <f t="shared" si="38"/>
        <v/>
      </c>
      <c r="L238" s="7" t="str">
        <f t="shared" si="39"/>
        <v/>
      </c>
      <c r="N238" s="7" t="str">
        <f t="shared" si="40"/>
        <v/>
      </c>
      <c r="O238" t="str">
        <f t="shared" si="41"/>
        <v/>
      </c>
      <c r="P238" t="str">
        <f t="shared" si="42"/>
        <v/>
      </c>
      <c r="Q238" t="str">
        <f t="shared" si="43"/>
        <v/>
      </c>
      <c r="S238" t="str">
        <f>""</f>
        <v/>
      </c>
      <c r="AL238" s="18" t="str">
        <f>IF(COUNTIF($A$2:A237, A237) = 1, A237, "")</f>
        <v/>
      </c>
    </row>
    <row r="239" spans="6:38" x14ac:dyDescent="0.2">
      <c r="F239" t="str">
        <f t="shared" si="38"/>
        <v/>
      </c>
      <c r="L239" s="7" t="str">
        <f t="shared" si="39"/>
        <v/>
      </c>
      <c r="N239" s="7" t="str">
        <f t="shared" si="40"/>
        <v/>
      </c>
      <c r="O239" t="str">
        <f t="shared" si="41"/>
        <v/>
      </c>
      <c r="P239" t="str">
        <f t="shared" si="42"/>
        <v/>
      </c>
      <c r="Q239" t="str">
        <f t="shared" si="43"/>
        <v/>
      </c>
      <c r="S239" t="str">
        <f>""</f>
        <v/>
      </c>
      <c r="AL239" s="18" t="str">
        <f>IF(COUNTIF($A$2:A238, A238) = 1, A238, "")</f>
        <v/>
      </c>
    </row>
    <row r="240" spans="6:38" x14ac:dyDescent="0.2">
      <c r="F240" t="str">
        <f t="shared" si="38"/>
        <v/>
      </c>
      <c r="L240" s="7" t="str">
        <f t="shared" si="39"/>
        <v/>
      </c>
      <c r="N240" s="7" t="str">
        <f t="shared" si="40"/>
        <v/>
      </c>
      <c r="O240" t="str">
        <f t="shared" si="41"/>
        <v/>
      </c>
      <c r="P240" t="str">
        <f t="shared" si="42"/>
        <v/>
      </c>
      <c r="Q240" t="str">
        <f t="shared" si="43"/>
        <v/>
      </c>
      <c r="S240" t="str">
        <f>""</f>
        <v/>
      </c>
      <c r="AL240" s="18" t="str">
        <f>IF(COUNTIF($A$2:A239, A239) = 1, A239, "")</f>
        <v/>
      </c>
    </row>
    <row r="241" spans="6:38" x14ac:dyDescent="0.2">
      <c r="F241" t="str">
        <f t="shared" si="38"/>
        <v/>
      </c>
      <c r="L241" s="7" t="str">
        <f t="shared" si="39"/>
        <v/>
      </c>
      <c r="N241" s="7" t="str">
        <f t="shared" si="40"/>
        <v/>
      </c>
      <c r="O241" t="str">
        <f t="shared" si="41"/>
        <v/>
      </c>
      <c r="P241" t="str">
        <f t="shared" si="42"/>
        <v/>
      </c>
      <c r="Q241" t="str">
        <f t="shared" si="43"/>
        <v/>
      </c>
      <c r="S241" t="str">
        <f>""</f>
        <v/>
      </c>
      <c r="AL241" s="18" t="str">
        <f>IF(COUNTIF($A$2:A240, A240) = 1, A240, "")</f>
        <v/>
      </c>
    </row>
    <row r="242" spans="6:38" x14ac:dyDescent="0.2">
      <c r="F242" t="str">
        <f t="shared" si="38"/>
        <v/>
      </c>
      <c r="L242" s="7" t="str">
        <f t="shared" si="39"/>
        <v/>
      </c>
      <c r="N242" s="7" t="str">
        <f t="shared" si="40"/>
        <v/>
      </c>
      <c r="O242" t="str">
        <f t="shared" si="41"/>
        <v/>
      </c>
      <c r="P242" t="str">
        <f t="shared" si="42"/>
        <v/>
      </c>
      <c r="Q242" t="str">
        <f t="shared" si="43"/>
        <v/>
      </c>
      <c r="S242" t="str">
        <f>""</f>
        <v/>
      </c>
      <c r="AL242" s="18" t="str">
        <f>IF(COUNTIF($A$2:A241, A241) = 1, A241, "")</f>
        <v/>
      </c>
    </row>
    <row r="243" spans="6:38" x14ac:dyDescent="0.2">
      <c r="F243" t="str">
        <f t="shared" si="38"/>
        <v/>
      </c>
      <c r="L243" s="7" t="str">
        <f t="shared" si="39"/>
        <v/>
      </c>
      <c r="N243" s="7" t="str">
        <f t="shared" si="40"/>
        <v/>
      </c>
      <c r="O243" t="str">
        <f t="shared" si="41"/>
        <v/>
      </c>
      <c r="P243" t="str">
        <f t="shared" si="42"/>
        <v/>
      </c>
      <c r="Q243" t="str">
        <f t="shared" si="43"/>
        <v/>
      </c>
      <c r="S243" t="str">
        <f>""</f>
        <v/>
      </c>
      <c r="AL243" s="18" t="str">
        <f>IF(COUNTIF($A$2:A242, A242) = 1, A242, "")</f>
        <v/>
      </c>
    </row>
    <row r="244" spans="6:38" x14ac:dyDescent="0.2">
      <c r="F244" t="str">
        <f t="shared" si="38"/>
        <v/>
      </c>
      <c r="L244" s="7" t="str">
        <f t="shared" si="39"/>
        <v/>
      </c>
      <c r="N244" s="7" t="str">
        <f t="shared" si="40"/>
        <v/>
      </c>
      <c r="O244" t="str">
        <f t="shared" si="41"/>
        <v/>
      </c>
      <c r="P244" t="str">
        <f t="shared" si="42"/>
        <v/>
      </c>
      <c r="Q244" t="str">
        <f t="shared" si="43"/>
        <v/>
      </c>
      <c r="S244" t="str">
        <f>""</f>
        <v/>
      </c>
      <c r="AL244" s="18" t="str">
        <f>IF(COUNTIF($A$2:A243, A243) = 1, A243, "")</f>
        <v/>
      </c>
    </row>
    <row r="245" spans="6:38" x14ac:dyDescent="0.2">
      <c r="F245" t="str">
        <f t="shared" si="38"/>
        <v/>
      </c>
      <c r="L245" s="7" t="str">
        <f t="shared" si="39"/>
        <v/>
      </c>
      <c r="N245" s="7" t="str">
        <f t="shared" si="40"/>
        <v/>
      </c>
      <c r="O245" t="str">
        <f t="shared" si="41"/>
        <v/>
      </c>
      <c r="P245" t="str">
        <f t="shared" si="42"/>
        <v/>
      </c>
      <c r="Q245" t="str">
        <f t="shared" si="43"/>
        <v/>
      </c>
      <c r="S245" t="str">
        <f>""</f>
        <v/>
      </c>
      <c r="AL245" s="18" t="str">
        <f>IF(COUNTIF($A$2:A244, A244) = 1, A244, "")</f>
        <v/>
      </c>
    </row>
    <row r="246" spans="6:38" x14ac:dyDescent="0.2">
      <c r="F246" t="str">
        <f t="shared" si="38"/>
        <v/>
      </c>
      <c r="L246" s="7" t="str">
        <f t="shared" si="39"/>
        <v/>
      </c>
      <c r="N246" s="7" t="str">
        <f t="shared" si="40"/>
        <v/>
      </c>
      <c r="O246" t="str">
        <f t="shared" si="41"/>
        <v/>
      </c>
      <c r="P246" t="str">
        <f t="shared" si="42"/>
        <v/>
      </c>
      <c r="Q246" t="str">
        <f t="shared" si="43"/>
        <v/>
      </c>
      <c r="S246" t="str">
        <f>""</f>
        <v/>
      </c>
      <c r="AL246" s="18" t="str">
        <f>IF(COUNTIF($A$2:A245, A245) = 1, A245, "")</f>
        <v/>
      </c>
    </row>
    <row r="247" spans="6:38" x14ac:dyDescent="0.2">
      <c r="F247" t="str">
        <f t="shared" si="38"/>
        <v/>
      </c>
      <c r="L247" s="7" t="str">
        <f t="shared" si="39"/>
        <v/>
      </c>
      <c r="N247" s="7" t="str">
        <f t="shared" si="40"/>
        <v/>
      </c>
      <c r="O247" t="str">
        <f t="shared" si="41"/>
        <v/>
      </c>
      <c r="P247" t="str">
        <f t="shared" si="42"/>
        <v/>
      </c>
      <c r="Q247" t="str">
        <f t="shared" si="43"/>
        <v/>
      </c>
      <c r="S247" t="str">
        <f>""</f>
        <v/>
      </c>
      <c r="AL247" s="18" t="str">
        <f>IF(COUNTIF($A$2:A246, A246) = 1, A246, "")</f>
        <v/>
      </c>
    </row>
    <row r="248" spans="6:38" x14ac:dyDescent="0.2">
      <c r="F248" t="str">
        <f t="shared" si="38"/>
        <v/>
      </c>
      <c r="L248" s="7" t="str">
        <f t="shared" si="39"/>
        <v/>
      </c>
      <c r="N248" s="7" t="str">
        <f t="shared" si="40"/>
        <v/>
      </c>
      <c r="O248" t="str">
        <f t="shared" si="41"/>
        <v/>
      </c>
      <c r="P248" t="str">
        <f t="shared" si="42"/>
        <v/>
      </c>
      <c r="Q248" t="str">
        <f t="shared" si="43"/>
        <v/>
      </c>
      <c r="S248" t="str">
        <f>""</f>
        <v/>
      </c>
      <c r="AL248" s="18" t="str">
        <f>IF(COUNTIF($A$2:A247, A247) = 1, A247, "")</f>
        <v/>
      </c>
    </row>
    <row r="249" spans="6:38" x14ac:dyDescent="0.2">
      <c r="F249" t="str">
        <f t="shared" si="38"/>
        <v/>
      </c>
      <c r="L249" s="7" t="str">
        <f t="shared" si="39"/>
        <v/>
      </c>
      <c r="N249" s="7" t="str">
        <f t="shared" si="40"/>
        <v/>
      </c>
      <c r="O249" t="str">
        <f t="shared" si="41"/>
        <v/>
      </c>
      <c r="P249" t="str">
        <f t="shared" si="42"/>
        <v/>
      </c>
      <c r="Q249" t="str">
        <f t="shared" si="43"/>
        <v/>
      </c>
      <c r="S249" t="str">
        <f>""</f>
        <v/>
      </c>
      <c r="AL249" s="18" t="str">
        <f>IF(COUNTIF($A$2:A248, A248) = 1, A248, "")</f>
        <v/>
      </c>
    </row>
    <row r="250" spans="6:38" x14ac:dyDescent="0.2">
      <c r="F250" t="str">
        <f t="shared" si="38"/>
        <v/>
      </c>
      <c r="L250" s="7" t="str">
        <f t="shared" si="39"/>
        <v/>
      </c>
      <c r="N250" s="7" t="str">
        <f t="shared" si="40"/>
        <v/>
      </c>
      <c r="O250" t="str">
        <f t="shared" si="41"/>
        <v/>
      </c>
      <c r="P250" t="str">
        <f t="shared" si="42"/>
        <v/>
      </c>
      <c r="Q250" t="str">
        <f t="shared" si="43"/>
        <v/>
      </c>
      <c r="S250" t="str">
        <f>""</f>
        <v/>
      </c>
      <c r="AL250" s="18" t="str">
        <f>IF(COUNTIF($A$2:A249, A249) = 1, A249, "")</f>
        <v/>
      </c>
    </row>
    <row r="251" spans="6:38" x14ac:dyDescent="0.2">
      <c r="F251" t="str">
        <f t="shared" si="38"/>
        <v/>
      </c>
      <c r="L251" s="7" t="str">
        <f t="shared" si="39"/>
        <v/>
      </c>
      <c r="N251" s="7" t="str">
        <f t="shared" si="40"/>
        <v/>
      </c>
      <c r="O251" t="str">
        <f t="shared" si="41"/>
        <v/>
      </c>
      <c r="P251" t="str">
        <f t="shared" si="42"/>
        <v/>
      </c>
      <c r="Q251" t="str">
        <f t="shared" si="43"/>
        <v/>
      </c>
      <c r="S251" t="str">
        <f>""</f>
        <v/>
      </c>
      <c r="AL251" s="18" t="str">
        <f>IF(COUNTIF($A$2:A250, A250) = 1, A250, "")</f>
        <v/>
      </c>
    </row>
    <row r="252" spans="6:38" x14ac:dyDescent="0.2">
      <c r="F252" t="str">
        <f t="shared" si="38"/>
        <v/>
      </c>
      <c r="L252" s="7" t="str">
        <f t="shared" si="39"/>
        <v/>
      </c>
      <c r="N252" s="7" t="str">
        <f t="shared" si="40"/>
        <v/>
      </c>
      <c r="O252" t="str">
        <f t="shared" si="41"/>
        <v/>
      </c>
      <c r="P252" t="str">
        <f t="shared" si="42"/>
        <v/>
      </c>
      <c r="Q252" t="str">
        <f t="shared" si="43"/>
        <v/>
      </c>
      <c r="S252" t="str">
        <f>""</f>
        <v/>
      </c>
      <c r="AL252" s="18" t="str">
        <f>IF(COUNTIF($A$2:A251, A251) = 1, A251, "")</f>
        <v/>
      </c>
    </row>
    <row r="253" spans="6:38" x14ac:dyDescent="0.2">
      <c r="F253" t="str">
        <f t="shared" si="38"/>
        <v/>
      </c>
      <c r="L253" s="7" t="str">
        <f t="shared" si="39"/>
        <v/>
      </c>
      <c r="N253" s="7" t="str">
        <f t="shared" si="40"/>
        <v/>
      </c>
      <c r="O253" t="str">
        <f t="shared" si="41"/>
        <v/>
      </c>
      <c r="P253" t="str">
        <f t="shared" si="42"/>
        <v/>
      </c>
      <c r="Q253" t="str">
        <f t="shared" si="43"/>
        <v/>
      </c>
      <c r="S253" t="str">
        <f>""</f>
        <v/>
      </c>
      <c r="AL253" s="18" t="str">
        <f>IF(COUNTIF($A$2:A252, A252) = 1, A252, "")</f>
        <v/>
      </c>
    </row>
    <row r="254" spans="6:38" x14ac:dyDescent="0.2">
      <c r="F254" t="str">
        <f t="shared" si="38"/>
        <v/>
      </c>
      <c r="L254" s="7" t="str">
        <f t="shared" si="39"/>
        <v/>
      </c>
      <c r="N254" s="7" t="str">
        <f t="shared" si="40"/>
        <v/>
      </c>
      <c r="O254" t="str">
        <f t="shared" si="41"/>
        <v/>
      </c>
      <c r="P254" t="str">
        <f t="shared" si="42"/>
        <v/>
      </c>
      <c r="Q254" t="str">
        <f t="shared" si="43"/>
        <v/>
      </c>
      <c r="S254" t="str">
        <f>""</f>
        <v/>
      </c>
      <c r="AL254" s="18" t="str">
        <f>IF(COUNTIF($A$2:A253, A253) = 1, A253, "")</f>
        <v/>
      </c>
    </row>
    <row r="255" spans="6:38" x14ac:dyDescent="0.2">
      <c r="F255" t="str">
        <f t="shared" si="38"/>
        <v/>
      </c>
      <c r="L255" s="7" t="str">
        <f t="shared" si="39"/>
        <v/>
      </c>
      <c r="N255" s="7" t="str">
        <f t="shared" si="40"/>
        <v/>
      </c>
      <c r="O255" t="str">
        <f t="shared" si="41"/>
        <v/>
      </c>
      <c r="P255" t="str">
        <f t="shared" si="42"/>
        <v/>
      </c>
      <c r="Q255" t="str">
        <f t="shared" si="43"/>
        <v/>
      </c>
      <c r="S255" t="str">
        <f>""</f>
        <v/>
      </c>
      <c r="AL255" s="18" t="str">
        <f>IF(COUNTIF($A$2:A254, A254) = 1, A254, "")</f>
        <v/>
      </c>
    </row>
    <row r="256" spans="6:38" x14ac:dyDescent="0.2">
      <c r="F256" t="str">
        <f t="shared" si="38"/>
        <v/>
      </c>
      <c r="L256" s="7" t="str">
        <f t="shared" si="39"/>
        <v/>
      </c>
      <c r="N256" s="7" t="str">
        <f t="shared" si="40"/>
        <v/>
      </c>
      <c r="O256" t="str">
        <f t="shared" si="41"/>
        <v/>
      </c>
      <c r="P256" t="str">
        <f t="shared" si="42"/>
        <v/>
      </c>
      <c r="Q256" t="str">
        <f t="shared" si="43"/>
        <v/>
      </c>
      <c r="S256" t="str">
        <f>""</f>
        <v/>
      </c>
      <c r="AL256" s="18" t="str">
        <f>IF(COUNTIF($A$2:A255, A255) = 1, A255, "")</f>
        <v/>
      </c>
    </row>
    <row r="257" spans="6:38" x14ac:dyDescent="0.2">
      <c r="F257" t="str">
        <f t="shared" si="38"/>
        <v/>
      </c>
      <c r="L257" s="7" t="str">
        <f t="shared" si="39"/>
        <v/>
      </c>
      <c r="N257" s="7" t="str">
        <f t="shared" si="40"/>
        <v/>
      </c>
      <c r="O257" t="str">
        <f t="shared" si="41"/>
        <v/>
      </c>
      <c r="P257" t="str">
        <f t="shared" si="42"/>
        <v/>
      </c>
      <c r="Q257" t="str">
        <f t="shared" si="43"/>
        <v/>
      </c>
      <c r="S257" t="str">
        <f>""</f>
        <v/>
      </c>
      <c r="AL257" s="18" t="str">
        <f>IF(COUNTIF($A$2:A256, A256) = 1, A256, "")</f>
        <v/>
      </c>
    </row>
    <row r="258" spans="6:38" x14ac:dyDescent="0.2">
      <c r="F258" t="str">
        <f t="shared" si="38"/>
        <v/>
      </c>
      <c r="L258" s="7" t="str">
        <f t="shared" si="39"/>
        <v/>
      </c>
      <c r="N258" s="7" t="str">
        <f t="shared" si="40"/>
        <v/>
      </c>
      <c r="O258" t="str">
        <f t="shared" si="41"/>
        <v/>
      </c>
      <c r="P258" t="str">
        <f t="shared" si="42"/>
        <v/>
      </c>
      <c r="Q258" t="str">
        <f t="shared" si="43"/>
        <v/>
      </c>
      <c r="S258" t="str">
        <f>""</f>
        <v/>
      </c>
      <c r="AL258" s="18" t="str">
        <f>IF(COUNTIF($A$2:A257, A257) = 1, A257, "")</f>
        <v/>
      </c>
    </row>
    <row r="259" spans="6:38" x14ac:dyDescent="0.2">
      <c r="F259" t="str">
        <f t="shared" si="38"/>
        <v/>
      </c>
      <c r="L259" s="7" t="str">
        <f t="shared" si="39"/>
        <v/>
      </c>
      <c r="N259" s="7" t="str">
        <f t="shared" si="40"/>
        <v/>
      </c>
      <c r="O259" t="str">
        <f t="shared" si="41"/>
        <v/>
      </c>
      <c r="P259" t="str">
        <f t="shared" si="42"/>
        <v/>
      </c>
      <c r="Q259" t="str">
        <f t="shared" si="43"/>
        <v/>
      </c>
      <c r="S259" t="str">
        <f>""</f>
        <v/>
      </c>
      <c r="AL259" s="18" t="str">
        <f>IF(COUNTIF($A$2:A258, A258) = 1, A258, "")</f>
        <v/>
      </c>
    </row>
    <row r="260" spans="6:38" x14ac:dyDescent="0.2">
      <c r="F260" t="str">
        <f t="shared" si="38"/>
        <v/>
      </c>
      <c r="L260" s="7" t="str">
        <f t="shared" si="39"/>
        <v/>
      </c>
      <c r="N260" s="7" t="str">
        <f t="shared" si="40"/>
        <v/>
      </c>
      <c r="O260" t="str">
        <f t="shared" si="41"/>
        <v/>
      </c>
      <c r="P260" t="str">
        <f t="shared" si="42"/>
        <v/>
      </c>
      <c r="Q260" t="str">
        <f t="shared" si="43"/>
        <v/>
      </c>
      <c r="S260" t="str">
        <f>""</f>
        <v/>
      </c>
      <c r="AL260" s="18" t="str">
        <f>IF(COUNTIF($A$2:A259, A259) = 1, A259, "")</f>
        <v/>
      </c>
    </row>
    <row r="261" spans="6:38" x14ac:dyDescent="0.2">
      <c r="F261" t="str">
        <f t="shared" si="38"/>
        <v/>
      </c>
      <c r="L261" s="7" t="str">
        <f t="shared" si="39"/>
        <v/>
      </c>
      <c r="N261" s="7" t="str">
        <f t="shared" si="40"/>
        <v/>
      </c>
      <c r="O261" t="str">
        <f t="shared" si="41"/>
        <v/>
      </c>
      <c r="P261" t="str">
        <f t="shared" si="42"/>
        <v/>
      </c>
      <c r="Q261" t="str">
        <f t="shared" si="43"/>
        <v/>
      </c>
      <c r="S261" t="str">
        <f>""</f>
        <v/>
      </c>
      <c r="AL261" s="18" t="str">
        <f>IF(COUNTIF($A$2:A260, A260) = 1, A260, "")</f>
        <v/>
      </c>
    </row>
    <row r="262" spans="6:38" x14ac:dyDescent="0.2">
      <c r="F262" t="str">
        <f t="shared" si="38"/>
        <v/>
      </c>
      <c r="L262" s="7" t="str">
        <f t="shared" si="39"/>
        <v/>
      </c>
      <c r="N262" s="7" t="str">
        <f t="shared" si="40"/>
        <v/>
      </c>
      <c r="O262" t="str">
        <f t="shared" si="41"/>
        <v/>
      </c>
      <c r="P262" t="str">
        <f t="shared" si="42"/>
        <v/>
      </c>
      <c r="Q262" t="str">
        <f t="shared" si="43"/>
        <v/>
      </c>
      <c r="S262" t="str">
        <f>""</f>
        <v/>
      </c>
      <c r="AL262" s="18" t="str">
        <f>IF(COUNTIF($A$2:A261, A261) = 1, A261, "")</f>
        <v/>
      </c>
    </row>
    <row r="263" spans="6:38" x14ac:dyDescent="0.2">
      <c r="F263" t="str">
        <f t="shared" si="38"/>
        <v/>
      </c>
      <c r="L263" s="7" t="str">
        <f t="shared" si="39"/>
        <v/>
      </c>
      <c r="N263" s="7" t="str">
        <f t="shared" si="40"/>
        <v/>
      </c>
      <c r="O263" t="str">
        <f t="shared" si="41"/>
        <v/>
      </c>
      <c r="P263" t="str">
        <f t="shared" si="42"/>
        <v/>
      </c>
      <c r="Q263" t="str">
        <f t="shared" si="43"/>
        <v/>
      </c>
      <c r="S263" t="str">
        <f>""</f>
        <v/>
      </c>
      <c r="AL263" s="18" t="str">
        <f>IF(COUNTIF($A$2:A262, A262) = 1, A262, "")</f>
        <v/>
      </c>
    </row>
    <row r="264" spans="6:38" x14ac:dyDescent="0.2">
      <c r="F264" t="str">
        <f t="shared" si="38"/>
        <v/>
      </c>
      <c r="L264" s="7" t="str">
        <f t="shared" si="39"/>
        <v/>
      </c>
      <c r="N264" s="7" t="str">
        <f t="shared" si="40"/>
        <v/>
      </c>
      <c r="O264" t="str">
        <f t="shared" si="41"/>
        <v/>
      </c>
      <c r="P264" t="str">
        <f t="shared" si="42"/>
        <v/>
      </c>
      <c r="Q264" t="str">
        <f t="shared" si="43"/>
        <v/>
      </c>
      <c r="S264" t="str">
        <f>""</f>
        <v/>
      </c>
      <c r="AL264" s="18" t="str">
        <f>IF(COUNTIF($A$2:A263, A263) = 1, A263, "")</f>
        <v/>
      </c>
    </row>
    <row r="265" spans="6:38" x14ac:dyDescent="0.2">
      <c r="F265" t="str">
        <f t="shared" si="38"/>
        <v/>
      </c>
      <c r="L265" s="7" t="str">
        <f t="shared" si="39"/>
        <v/>
      </c>
      <c r="N265" s="7" t="str">
        <f t="shared" si="40"/>
        <v/>
      </c>
      <c r="O265" t="str">
        <f t="shared" si="41"/>
        <v/>
      </c>
      <c r="P265" t="str">
        <f t="shared" si="42"/>
        <v/>
      </c>
      <c r="Q265" t="str">
        <f t="shared" si="43"/>
        <v/>
      </c>
      <c r="S265" t="str">
        <f>""</f>
        <v/>
      </c>
      <c r="AL265" s="18" t="str">
        <f>IF(COUNTIF($A$2:A264, A264) = 1, A264, "")</f>
        <v/>
      </c>
    </row>
    <row r="266" spans="6:38" x14ac:dyDescent="0.2">
      <c r="F266" t="str">
        <f t="shared" si="38"/>
        <v/>
      </c>
      <c r="L266" s="7" t="str">
        <f t="shared" si="39"/>
        <v/>
      </c>
      <c r="N266" s="7" t="str">
        <f t="shared" si="40"/>
        <v/>
      </c>
      <c r="O266" t="str">
        <f t="shared" si="41"/>
        <v/>
      </c>
      <c r="P266" t="str">
        <f t="shared" si="42"/>
        <v/>
      </c>
      <c r="Q266" t="str">
        <f t="shared" si="43"/>
        <v/>
      </c>
      <c r="S266" t="str">
        <f>""</f>
        <v/>
      </c>
      <c r="AL266" s="18" t="str">
        <f>IF(COUNTIF($A$2:A265, A265) = 1, A265, "")</f>
        <v/>
      </c>
    </row>
    <row r="267" spans="6:38" x14ac:dyDescent="0.2">
      <c r="F267" t="str">
        <f t="shared" si="38"/>
        <v/>
      </c>
      <c r="L267" s="7" t="str">
        <f t="shared" si="39"/>
        <v/>
      </c>
      <c r="N267" s="7" t="str">
        <f t="shared" si="40"/>
        <v/>
      </c>
      <c r="O267" t="str">
        <f t="shared" si="41"/>
        <v/>
      </c>
      <c r="P267" t="str">
        <f t="shared" si="42"/>
        <v/>
      </c>
      <c r="Q267" t="str">
        <f t="shared" si="43"/>
        <v/>
      </c>
      <c r="S267" t="str">
        <f>""</f>
        <v/>
      </c>
      <c r="AL267" s="18" t="str">
        <f>IF(COUNTIF($A$2:A266, A266) = 1, A266, "")</f>
        <v/>
      </c>
    </row>
    <row r="268" spans="6:38" x14ac:dyDescent="0.2">
      <c r="F268" t="str">
        <f t="shared" si="38"/>
        <v/>
      </c>
      <c r="L268" s="7" t="str">
        <f t="shared" si="39"/>
        <v/>
      </c>
      <c r="N268" s="7" t="str">
        <f t="shared" si="40"/>
        <v/>
      </c>
      <c r="O268" t="str">
        <f t="shared" si="41"/>
        <v/>
      </c>
      <c r="P268" t="str">
        <f t="shared" si="42"/>
        <v/>
      </c>
      <c r="Q268" t="str">
        <f t="shared" si="43"/>
        <v/>
      </c>
      <c r="S268" t="str">
        <f>""</f>
        <v/>
      </c>
      <c r="AL268" s="18" t="str">
        <f>IF(COUNTIF($A$2:A267, A267) = 1, A267, "")</f>
        <v/>
      </c>
    </row>
    <row r="269" spans="6:38" x14ac:dyDescent="0.2">
      <c r="F269" t="str">
        <f t="shared" si="38"/>
        <v/>
      </c>
      <c r="L269" s="7" t="str">
        <f t="shared" si="39"/>
        <v/>
      </c>
      <c r="N269" s="7" t="str">
        <f t="shared" si="40"/>
        <v/>
      </c>
      <c r="O269" t="str">
        <f t="shared" si="41"/>
        <v/>
      </c>
      <c r="P269" t="str">
        <f t="shared" si="42"/>
        <v/>
      </c>
      <c r="Q269" t="str">
        <f t="shared" si="43"/>
        <v/>
      </c>
      <c r="S269" t="str">
        <f>""</f>
        <v/>
      </c>
      <c r="AL269" s="18" t="str">
        <f>IF(COUNTIF($A$2:A268, A268) = 1, A268, "")</f>
        <v/>
      </c>
    </row>
    <row r="270" spans="6:38" x14ac:dyDescent="0.2">
      <c r="F270" t="str">
        <f t="shared" si="38"/>
        <v/>
      </c>
      <c r="L270" s="7" t="str">
        <f t="shared" si="39"/>
        <v/>
      </c>
      <c r="N270" s="7" t="str">
        <f t="shared" si="40"/>
        <v/>
      </c>
      <c r="O270" t="str">
        <f t="shared" si="41"/>
        <v/>
      </c>
      <c r="P270" t="str">
        <f t="shared" si="42"/>
        <v/>
      </c>
      <c r="Q270" t="str">
        <f t="shared" si="43"/>
        <v/>
      </c>
      <c r="S270" t="str">
        <f>""</f>
        <v/>
      </c>
      <c r="AL270" s="18" t="str">
        <f>IF(COUNTIF($A$2:A269, A269) = 1, A269, "")</f>
        <v/>
      </c>
    </row>
    <row r="271" spans="6:38" x14ac:dyDescent="0.2">
      <c r="F271" t="str">
        <f t="shared" si="38"/>
        <v/>
      </c>
      <c r="L271" s="7" t="str">
        <f t="shared" si="39"/>
        <v/>
      </c>
      <c r="N271" s="7" t="str">
        <f t="shared" si="40"/>
        <v/>
      </c>
      <c r="O271" t="str">
        <f t="shared" si="41"/>
        <v/>
      </c>
      <c r="P271" t="str">
        <f t="shared" si="42"/>
        <v/>
      </c>
      <c r="Q271" t="str">
        <f t="shared" si="43"/>
        <v/>
      </c>
      <c r="S271" t="str">
        <f>""</f>
        <v/>
      </c>
      <c r="AL271" s="18" t="str">
        <f>IF(COUNTIF($A$2:A270, A270) = 1, A270, "")</f>
        <v/>
      </c>
    </row>
    <row r="272" spans="6:38" x14ac:dyDescent="0.2">
      <c r="F272" t="str">
        <f t="shared" ref="F272:F335" si="44">IF(OR(O272="", P272=""), "", SUM(IF((O272&lt;&gt;"None")*(O272&lt;&gt;""),LEN(O272)-LEN(SUBSTITUTE(O272,",",""))+1,0)) + SUM(IF((P272&lt;&gt;"None")*(P272&lt;&gt;""),LEN(P272)-LEN(SUBSTITUTE(P272,",",""))+1,0)))</f>
        <v/>
      </c>
      <c r="L272" s="7" t="str">
        <f t="shared" ref="L272:L335" si="45">IF(LEN(E272)=0, "", IFERROR(IF(E272&gt;=0, K272 * (1 + E272/100) - K272, K272 / (ABS(E272)/100))+K272, ""))</f>
        <v/>
      </c>
      <c r="N272" s="7" t="str">
        <f t="shared" ref="N272:N335" si="46">IF(M272="Yes",L272-K272,IF(M272="No",-K272,""))</f>
        <v/>
      </c>
      <c r="O272" t="str">
        <f t="shared" ref="O272:O335" si="47">IF(AND(G272="No",H272="No"), "None", "")</f>
        <v/>
      </c>
      <c r="P272" t="str">
        <f t="shared" ref="P272:P335" si="48">IF(I272="No", "None", "")</f>
        <v/>
      </c>
      <c r="Q272" t="str">
        <f t="shared" ref="Q272:Q335" si="49">IF(AND(D272="Straight", M272 = "No"),IF(O272="None",P272,IF(P272="None",O272) ),"")</f>
        <v/>
      </c>
      <c r="S272" t="str">
        <f>""</f>
        <v/>
      </c>
      <c r="AL272" s="18" t="str">
        <f>IF(COUNTIF($A$2:A271, A271) = 1, A271, "")</f>
        <v/>
      </c>
    </row>
    <row r="273" spans="6:38" x14ac:dyDescent="0.2">
      <c r="F273" t="str">
        <f t="shared" si="44"/>
        <v/>
      </c>
      <c r="L273" s="7" t="str">
        <f t="shared" si="45"/>
        <v/>
      </c>
      <c r="N273" s="7" t="str">
        <f t="shared" si="46"/>
        <v/>
      </c>
      <c r="O273" t="str">
        <f t="shared" si="47"/>
        <v/>
      </c>
      <c r="P273" t="str">
        <f t="shared" si="48"/>
        <v/>
      </c>
      <c r="Q273" t="str">
        <f t="shared" si="49"/>
        <v/>
      </c>
      <c r="S273" t="str">
        <f>""</f>
        <v/>
      </c>
      <c r="AL273" s="18" t="str">
        <f>IF(COUNTIF($A$2:A272, A272) = 1, A272, "")</f>
        <v/>
      </c>
    </row>
    <row r="274" spans="6:38" x14ac:dyDescent="0.2">
      <c r="F274" t="str">
        <f t="shared" si="44"/>
        <v/>
      </c>
      <c r="L274" s="7" t="str">
        <f t="shared" si="45"/>
        <v/>
      </c>
      <c r="N274" s="7" t="str">
        <f t="shared" si="46"/>
        <v/>
      </c>
      <c r="O274" t="str">
        <f t="shared" si="47"/>
        <v/>
      </c>
      <c r="P274" t="str">
        <f t="shared" si="48"/>
        <v/>
      </c>
      <c r="Q274" t="str">
        <f t="shared" si="49"/>
        <v/>
      </c>
      <c r="S274" t="str">
        <f>""</f>
        <v/>
      </c>
      <c r="AL274" s="18" t="str">
        <f>IF(COUNTIF($A$2:A273, A273) = 1, A273, "")</f>
        <v/>
      </c>
    </row>
    <row r="275" spans="6:38" x14ac:dyDescent="0.2">
      <c r="F275" t="str">
        <f t="shared" si="44"/>
        <v/>
      </c>
      <c r="L275" s="7" t="str">
        <f t="shared" si="45"/>
        <v/>
      </c>
      <c r="N275" s="7" t="str">
        <f t="shared" si="46"/>
        <v/>
      </c>
      <c r="O275" t="str">
        <f t="shared" si="47"/>
        <v/>
      </c>
      <c r="P275" t="str">
        <f t="shared" si="48"/>
        <v/>
      </c>
      <c r="Q275" t="str">
        <f t="shared" si="49"/>
        <v/>
      </c>
      <c r="S275" t="str">
        <f>""</f>
        <v/>
      </c>
      <c r="AL275" s="18" t="str">
        <f>IF(COUNTIF($A$2:A274, A274) = 1, A274, "")</f>
        <v/>
      </c>
    </row>
    <row r="276" spans="6:38" x14ac:dyDescent="0.2">
      <c r="F276" t="str">
        <f t="shared" si="44"/>
        <v/>
      </c>
      <c r="L276" s="7" t="str">
        <f t="shared" si="45"/>
        <v/>
      </c>
      <c r="N276" s="7" t="str">
        <f t="shared" si="46"/>
        <v/>
      </c>
      <c r="O276" t="str">
        <f t="shared" si="47"/>
        <v/>
      </c>
      <c r="P276" t="str">
        <f t="shared" si="48"/>
        <v/>
      </c>
      <c r="Q276" t="str">
        <f t="shared" si="49"/>
        <v/>
      </c>
      <c r="S276" t="str">
        <f>""</f>
        <v/>
      </c>
      <c r="AL276" s="18" t="str">
        <f>IF(COUNTIF($A$2:A275, A275) = 1, A275, "")</f>
        <v/>
      </c>
    </row>
    <row r="277" spans="6:38" x14ac:dyDescent="0.2">
      <c r="F277" t="str">
        <f t="shared" si="44"/>
        <v/>
      </c>
      <c r="L277" s="7" t="str">
        <f t="shared" si="45"/>
        <v/>
      </c>
      <c r="N277" s="7" t="str">
        <f t="shared" si="46"/>
        <v/>
      </c>
      <c r="O277" t="str">
        <f t="shared" si="47"/>
        <v/>
      </c>
      <c r="P277" t="str">
        <f t="shared" si="48"/>
        <v/>
      </c>
      <c r="Q277" t="str">
        <f t="shared" si="49"/>
        <v/>
      </c>
      <c r="S277" t="str">
        <f>""</f>
        <v/>
      </c>
      <c r="AL277" s="18" t="str">
        <f>IF(COUNTIF($A$2:A276, A276) = 1, A276, "")</f>
        <v/>
      </c>
    </row>
    <row r="278" spans="6:38" x14ac:dyDescent="0.2">
      <c r="F278" t="str">
        <f t="shared" si="44"/>
        <v/>
      </c>
      <c r="L278" s="7" t="str">
        <f t="shared" si="45"/>
        <v/>
      </c>
      <c r="N278" s="7" t="str">
        <f t="shared" si="46"/>
        <v/>
      </c>
      <c r="O278" t="str">
        <f t="shared" si="47"/>
        <v/>
      </c>
      <c r="P278" t="str">
        <f t="shared" si="48"/>
        <v/>
      </c>
      <c r="Q278" t="str">
        <f t="shared" si="49"/>
        <v/>
      </c>
      <c r="S278" t="str">
        <f>""</f>
        <v/>
      </c>
      <c r="AL278" s="18" t="str">
        <f>IF(COUNTIF($A$2:A277, A277) = 1, A277, "")</f>
        <v/>
      </c>
    </row>
    <row r="279" spans="6:38" x14ac:dyDescent="0.2">
      <c r="F279" t="str">
        <f t="shared" si="44"/>
        <v/>
      </c>
      <c r="L279" s="7" t="str">
        <f t="shared" si="45"/>
        <v/>
      </c>
      <c r="N279" s="7" t="str">
        <f t="shared" si="46"/>
        <v/>
      </c>
      <c r="O279" t="str">
        <f t="shared" si="47"/>
        <v/>
      </c>
      <c r="P279" t="str">
        <f t="shared" si="48"/>
        <v/>
      </c>
      <c r="Q279" t="str">
        <f t="shared" si="49"/>
        <v/>
      </c>
      <c r="S279" t="str">
        <f>""</f>
        <v/>
      </c>
      <c r="AL279" s="18" t="str">
        <f>IF(COUNTIF($A$2:A278, A278) = 1, A278, "")</f>
        <v/>
      </c>
    </row>
    <row r="280" spans="6:38" x14ac:dyDescent="0.2">
      <c r="F280" t="str">
        <f t="shared" si="44"/>
        <v/>
      </c>
      <c r="L280" s="7" t="str">
        <f t="shared" si="45"/>
        <v/>
      </c>
      <c r="N280" s="7" t="str">
        <f t="shared" si="46"/>
        <v/>
      </c>
      <c r="O280" t="str">
        <f t="shared" si="47"/>
        <v/>
      </c>
      <c r="P280" t="str">
        <f t="shared" si="48"/>
        <v/>
      </c>
      <c r="Q280" t="str">
        <f t="shared" si="49"/>
        <v/>
      </c>
      <c r="S280" t="str">
        <f>""</f>
        <v/>
      </c>
      <c r="AL280" s="18" t="str">
        <f>IF(COUNTIF($A$2:A279, A279) = 1, A279, "")</f>
        <v/>
      </c>
    </row>
    <row r="281" spans="6:38" x14ac:dyDescent="0.2">
      <c r="F281" t="str">
        <f t="shared" si="44"/>
        <v/>
      </c>
      <c r="L281" s="7" t="str">
        <f t="shared" si="45"/>
        <v/>
      </c>
      <c r="N281" s="7" t="str">
        <f t="shared" si="46"/>
        <v/>
      </c>
      <c r="O281" t="str">
        <f t="shared" si="47"/>
        <v/>
      </c>
      <c r="P281" t="str">
        <f t="shared" si="48"/>
        <v/>
      </c>
      <c r="Q281" t="str">
        <f t="shared" si="49"/>
        <v/>
      </c>
      <c r="S281" t="str">
        <f>""</f>
        <v/>
      </c>
      <c r="AL281" s="18" t="str">
        <f>IF(COUNTIF($A$2:A280, A280) = 1, A280, "")</f>
        <v/>
      </c>
    </row>
    <row r="282" spans="6:38" x14ac:dyDescent="0.2">
      <c r="F282" t="str">
        <f t="shared" si="44"/>
        <v/>
      </c>
      <c r="L282" s="7" t="str">
        <f t="shared" si="45"/>
        <v/>
      </c>
      <c r="N282" s="7" t="str">
        <f t="shared" si="46"/>
        <v/>
      </c>
      <c r="O282" t="str">
        <f t="shared" si="47"/>
        <v/>
      </c>
      <c r="P282" t="str">
        <f t="shared" si="48"/>
        <v/>
      </c>
      <c r="Q282" t="str">
        <f t="shared" si="49"/>
        <v/>
      </c>
      <c r="S282" t="str">
        <f>""</f>
        <v/>
      </c>
      <c r="AL282" s="18" t="str">
        <f>IF(COUNTIF($A$2:A281, A281) = 1, A281, "")</f>
        <v/>
      </c>
    </row>
    <row r="283" spans="6:38" x14ac:dyDescent="0.2">
      <c r="F283" t="str">
        <f t="shared" si="44"/>
        <v/>
      </c>
      <c r="L283" s="7" t="str">
        <f t="shared" si="45"/>
        <v/>
      </c>
      <c r="N283" s="7" t="str">
        <f t="shared" si="46"/>
        <v/>
      </c>
      <c r="O283" t="str">
        <f t="shared" si="47"/>
        <v/>
      </c>
      <c r="P283" t="str">
        <f t="shared" si="48"/>
        <v/>
      </c>
      <c r="Q283" t="str">
        <f t="shared" si="49"/>
        <v/>
      </c>
      <c r="S283" t="str">
        <f>""</f>
        <v/>
      </c>
      <c r="AL283" s="18" t="str">
        <f>IF(COUNTIF($A$2:A282, A282) = 1, A282, "")</f>
        <v/>
      </c>
    </row>
    <row r="284" spans="6:38" x14ac:dyDescent="0.2">
      <c r="F284" t="str">
        <f t="shared" si="44"/>
        <v/>
      </c>
      <c r="L284" s="7" t="str">
        <f t="shared" si="45"/>
        <v/>
      </c>
      <c r="N284" s="7" t="str">
        <f t="shared" si="46"/>
        <v/>
      </c>
      <c r="O284" t="str">
        <f t="shared" si="47"/>
        <v/>
      </c>
      <c r="P284" t="str">
        <f t="shared" si="48"/>
        <v/>
      </c>
      <c r="Q284" t="str">
        <f t="shared" si="49"/>
        <v/>
      </c>
      <c r="S284" t="str">
        <f>""</f>
        <v/>
      </c>
      <c r="AL284" s="18" t="str">
        <f>IF(COUNTIF($A$2:A283, A283) = 1, A283, "")</f>
        <v/>
      </c>
    </row>
    <row r="285" spans="6:38" x14ac:dyDescent="0.2">
      <c r="F285" t="str">
        <f t="shared" si="44"/>
        <v/>
      </c>
      <c r="L285" s="7" t="str">
        <f t="shared" si="45"/>
        <v/>
      </c>
      <c r="N285" s="7" t="str">
        <f t="shared" si="46"/>
        <v/>
      </c>
      <c r="O285" t="str">
        <f t="shared" si="47"/>
        <v/>
      </c>
      <c r="P285" t="str">
        <f t="shared" si="48"/>
        <v/>
      </c>
      <c r="Q285" t="str">
        <f t="shared" si="49"/>
        <v/>
      </c>
      <c r="S285" t="str">
        <f>""</f>
        <v/>
      </c>
      <c r="AL285" s="18" t="str">
        <f>IF(COUNTIF($A$2:A284, A284) = 1, A284, "")</f>
        <v/>
      </c>
    </row>
    <row r="286" spans="6:38" x14ac:dyDescent="0.2">
      <c r="F286" t="str">
        <f t="shared" si="44"/>
        <v/>
      </c>
      <c r="L286" s="7" t="str">
        <f t="shared" si="45"/>
        <v/>
      </c>
      <c r="N286" s="7" t="str">
        <f t="shared" si="46"/>
        <v/>
      </c>
      <c r="O286" t="str">
        <f t="shared" si="47"/>
        <v/>
      </c>
      <c r="P286" t="str">
        <f t="shared" si="48"/>
        <v/>
      </c>
      <c r="Q286" t="str">
        <f t="shared" si="49"/>
        <v/>
      </c>
      <c r="S286" t="str">
        <f>""</f>
        <v/>
      </c>
      <c r="AL286" s="18" t="str">
        <f>IF(COUNTIF($A$2:A285, A285) = 1, A285, "")</f>
        <v/>
      </c>
    </row>
    <row r="287" spans="6:38" x14ac:dyDescent="0.2">
      <c r="F287" t="str">
        <f t="shared" si="44"/>
        <v/>
      </c>
      <c r="L287" s="7" t="str">
        <f t="shared" si="45"/>
        <v/>
      </c>
      <c r="N287" s="7" t="str">
        <f t="shared" si="46"/>
        <v/>
      </c>
      <c r="O287" t="str">
        <f t="shared" si="47"/>
        <v/>
      </c>
      <c r="P287" t="str">
        <f t="shared" si="48"/>
        <v/>
      </c>
      <c r="Q287" t="str">
        <f t="shared" si="49"/>
        <v/>
      </c>
      <c r="S287" t="str">
        <f>""</f>
        <v/>
      </c>
      <c r="AL287" s="18" t="str">
        <f>IF(COUNTIF($A$2:A286, A286) = 1, A286, "")</f>
        <v/>
      </c>
    </row>
    <row r="288" spans="6:38" x14ac:dyDescent="0.2">
      <c r="F288" t="str">
        <f t="shared" si="44"/>
        <v/>
      </c>
      <c r="L288" s="7" t="str">
        <f t="shared" si="45"/>
        <v/>
      </c>
      <c r="N288" s="7" t="str">
        <f t="shared" si="46"/>
        <v/>
      </c>
      <c r="O288" t="str">
        <f t="shared" si="47"/>
        <v/>
      </c>
      <c r="P288" t="str">
        <f t="shared" si="48"/>
        <v/>
      </c>
      <c r="Q288" t="str">
        <f t="shared" si="49"/>
        <v/>
      </c>
      <c r="S288" t="str">
        <f>""</f>
        <v/>
      </c>
      <c r="AL288" s="18" t="str">
        <f>IF(COUNTIF($A$2:A287, A287) = 1, A287, "")</f>
        <v/>
      </c>
    </row>
    <row r="289" spans="6:38" x14ac:dyDescent="0.2">
      <c r="F289" t="str">
        <f t="shared" si="44"/>
        <v/>
      </c>
      <c r="L289" s="7" t="str">
        <f t="shared" si="45"/>
        <v/>
      </c>
      <c r="N289" s="7" t="str">
        <f t="shared" si="46"/>
        <v/>
      </c>
      <c r="O289" t="str">
        <f t="shared" si="47"/>
        <v/>
      </c>
      <c r="P289" t="str">
        <f t="shared" si="48"/>
        <v/>
      </c>
      <c r="Q289" t="str">
        <f t="shared" si="49"/>
        <v/>
      </c>
      <c r="S289" t="str">
        <f>""</f>
        <v/>
      </c>
      <c r="AL289" s="18" t="str">
        <f>IF(COUNTIF($A$2:A288, A288) = 1, A288, "")</f>
        <v/>
      </c>
    </row>
    <row r="290" spans="6:38" x14ac:dyDescent="0.2">
      <c r="F290" t="str">
        <f t="shared" si="44"/>
        <v/>
      </c>
      <c r="L290" s="7" t="str">
        <f t="shared" si="45"/>
        <v/>
      </c>
      <c r="N290" s="7" t="str">
        <f t="shared" si="46"/>
        <v/>
      </c>
      <c r="O290" t="str">
        <f t="shared" si="47"/>
        <v/>
      </c>
      <c r="P290" t="str">
        <f t="shared" si="48"/>
        <v/>
      </c>
      <c r="Q290" t="str">
        <f t="shared" si="49"/>
        <v/>
      </c>
      <c r="S290" t="str">
        <f>""</f>
        <v/>
      </c>
      <c r="AL290" s="18" t="str">
        <f>IF(COUNTIF($A$2:A289, A289) = 1, A289, "")</f>
        <v/>
      </c>
    </row>
    <row r="291" spans="6:38" x14ac:dyDescent="0.2">
      <c r="F291" t="str">
        <f t="shared" si="44"/>
        <v/>
      </c>
      <c r="L291" s="7" t="str">
        <f t="shared" si="45"/>
        <v/>
      </c>
      <c r="N291" s="7" t="str">
        <f t="shared" si="46"/>
        <v/>
      </c>
      <c r="O291" t="str">
        <f t="shared" si="47"/>
        <v/>
      </c>
      <c r="P291" t="str">
        <f t="shared" si="48"/>
        <v/>
      </c>
      <c r="Q291" t="str">
        <f t="shared" si="49"/>
        <v/>
      </c>
      <c r="S291" t="str">
        <f>""</f>
        <v/>
      </c>
      <c r="AL291" s="18" t="str">
        <f>IF(COUNTIF($A$2:A290, A290) = 1, A290, "")</f>
        <v/>
      </c>
    </row>
    <row r="292" spans="6:38" x14ac:dyDescent="0.2">
      <c r="F292" t="str">
        <f t="shared" si="44"/>
        <v/>
      </c>
      <c r="L292" s="7" t="str">
        <f t="shared" si="45"/>
        <v/>
      </c>
      <c r="N292" s="7" t="str">
        <f t="shared" si="46"/>
        <v/>
      </c>
      <c r="O292" t="str">
        <f t="shared" si="47"/>
        <v/>
      </c>
      <c r="P292" t="str">
        <f t="shared" si="48"/>
        <v/>
      </c>
      <c r="Q292" t="str">
        <f t="shared" si="49"/>
        <v/>
      </c>
      <c r="S292" t="str">
        <f>""</f>
        <v/>
      </c>
      <c r="AL292" s="18" t="str">
        <f>IF(COUNTIF($A$2:A291, A291) = 1, A291, "")</f>
        <v/>
      </c>
    </row>
    <row r="293" spans="6:38" x14ac:dyDescent="0.2">
      <c r="F293" t="str">
        <f t="shared" si="44"/>
        <v/>
      </c>
      <c r="L293" s="7" t="str">
        <f t="shared" si="45"/>
        <v/>
      </c>
      <c r="N293" s="7" t="str">
        <f t="shared" si="46"/>
        <v/>
      </c>
      <c r="O293" t="str">
        <f t="shared" si="47"/>
        <v/>
      </c>
      <c r="P293" t="str">
        <f t="shared" si="48"/>
        <v/>
      </c>
      <c r="Q293" t="str">
        <f t="shared" si="49"/>
        <v/>
      </c>
      <c r="S293" t="str">
        <f>""</f>
        <v/>
      </c>
      <c r="AL293" s="18" t="str">
        <f>IF(COUNTIF($A$2:A292, A292) = 1, A292, "")</f>
        <v/>
      </c>
    </row>
    <row r="294" spans="6:38" x14ac:dyDescent="0.2">
      <c r="F294" t="str">
        <f t="shared" si="44"/>
        <v/>
      </c>
      <c r="L294" s="7" t="str">
        <f t="shared" si="45"/>
        <v/>
      </c>
      <c r="N294" s="7" t="str">
        <f t="shared" si="46"/>
        <v/>
      </c>
      <c r="O294" t="str">
        <f t="shared" si="47"/>
        <v/>
      </c>
      <c r="P294" t="str">
        <f t="shared" si="48"/>
        <v/>
      </c>
      <c r="Q294" t="str">
        <f t="shared" si="49"/>
        <v/>
      </c>
      <c r="S294" t="str">
        <f>""</f>
        <v/>
      </c>
      <c r="AL294" s="18" t="str">
        <f>IF(COUNTIF($A$2:A293, A293) = 1, A293, "")</f>
        <v/>
      </c>
    </row>
    <row r="295" spans="6:38" x14ac:dyDescent="0.2">
      <c r="F295" t="str">
        <f t="shared" si="44"/>
        <v/>
      </c>
      <c r="L295" s="7" t="str">
        <f t="shared" si="45"/>
        <v/>
      </c>
      <c r="N295" s="7" t="str">
        <f t="shared" si="46"/>
        <v/>
      </c>
      <c r="O295" t="str">
        <f t="shared" si="47"/>
        <v/>
      </c>
      <c r="P295" t="str">
        <f t="shared" si="48"/>
        <v/>
      </c>
      <c r="Q295" t="str">
        <f t="shared" si="49"/>
        <v/>
      </c>
      <c r="S295" t="str">
        <f>""</f>
        <v/>
      </c>
      <c r="AL295" s="18" t="str">
        <f>IF(COUNTIF($A$2:A294, A294) = 1, A294, "")</f>
        <v/>
      </c>
    </row>
    <row r="296" spans="6:38" x14ac:dyDescent="0.2">
      <c r="F296" t="str">
        <f t="shared" si="44"/>
        <v/>
      </c>
      <c r="L296" s="7" t="str">
        <f t="shared" si="45"/>
        <v/>
      </c>
      <c r="N296" s="7" t="str">
        <f t="shared" si="46"/>
        <v/>
      </c>
      <c r="O296" t="str">
        <f t="shared" si="47"/>
        <v/>
      </c>
      <c r="P296" t="str">
        <f t="shared" si="48"/>
        <v/>
      </c>
      <c r="Q296" t="str">
        <f t="shared" si="49"/>
        <v/>
      </c>
      <c r="S296" t="str">
        <f>""</f>
        <v/>
      </c>
      <c r="AL296" s="18" t="str">
        <f>IF(COUNTIF($A$2:A295, A295) = 1, A295, "")</f>
        <v/>
      </c>
    </row>
    <row r="297" spans="6:38" x14ac:dyDescent="0.2">
      <c r="F297" t="str">
        <f t="shared" si="44"/>
        <v/>
      </c>
      <c r="L297" s="7" t="str">
        <f t="shared" si="45"/>
        <v/>
      </c>
      <c r="N297" s="7" t="str">
        <f t="shared" si="46"/>
        <v/>
      </c>
      <c r="O297" t="str">
        <f t="shared" si="47"/>
        <v/>
      </c>
      <c r="P297" t="str">
        <f t="shared" si="48"/>
        <v/>
      </c>
      <c r="Q297" t="str">
        <f t="shared" si="49"/>
        <v/>
      </c>
      <c r="S297" t="str">
        <f>""</f>
        <v/>
      </c>
      <c r="AL297" s="18" t="str">
        <f>IF(COUNTIF($A$2:A296, A296) = 1, A296, "")</f>
        <v/>
      </c>
    </row>
    <row r="298" spans="6:38" x14ac:dyDescent="0.2">
      <c r="F298" t="str">
        <f t="shared" si="44"/>
        <v/>
      </c>
      <c r="L298" s="7" t="str">
        <f t="shared" si="45"/>
        <v/>
      </c>
      <c r="N298" s="7" t="str">
        <f t="shared" si="46"/>
        <v/>
      </c>
      <c r="O298" t="str">
        <f t="shared" si="47"/>
        <v/>
      </c>
      <c r="P298" t="str">
        <f t="shared" si="48"/>
        <v/>
      </c>
      <c r="Q298" t="str">
        <f t="shared" si="49"/>
        <v/>
      </c>
      <c r="S298" t="str">
        <f>""</f>
        <v/>
      </c>
      <c r="AL298" s="18" t="str">
        <f>IF(COUNTIF($A$2:A297, A297) = 1, A297, "")</f>
        <v/>
      </c>
    </row>
    <row r="299" spans="6:38" x14ac:dyDescent="0.2">
      <c r="F299" t="str">
        <f t="shared" si="44"/>
        <v/>
      </c>
      <c r="L299" s="7" t="str">
        <f t="shared" si="45"/>
        <v/>
      </c>
      <c r="N299" s="7" t="str">
        <f t="shared" si="46"/>
        <v/>
      </c>
      <c r="O299" t="str">
        <f t="shared" si="47"/>
        <v/>
      </c>
      <c r="P299" t="str">
        <f t="shared" si="48"/>
        <v/>
      </c>
      <c r="Q299" t="str">
        <f t="shared" si="49"/>
        <v/>
      </c>
      <c r="S299" t="str">
        <f>""</f>
        <v/>
      </c>
      <c r="AL299" s="18" t="str">
        <f>IF(COUNTIF($A$2:A298, A298) = 1, A298, "")</f>
        <v/>
      </c>
    </row>
    <row r="300" spans="6:38" x14ac:dyDescent="0.2">
      <c r="F300" t="str">
        <f t="shared" si="44"/>
        <v/>
      </c>
      <c r="L300" s="7" t="str">
        <f t="shared" si="45"/>
        <v/>
      </c>
      <c r="N300" s="7" t="str">
        <f t="shared" si="46"/>
        <v/>
      </c>
      <c r="O300" t="str">
        <f t="shared" si="47"/>
        <v/>
      </c>
      <c r="P300" t="str">
        <f t="shared" si="48"/>
        <v/>
      </c>
      <c r="Q300" t="str">
        <f t="shared" si="49"/>
        <v/>
      </c>
      <c r="S300" t="str">
        <f>""</f>
        <v/>
      </c>
      <c r="AL300" s="18" t="str">
        <f>IF(COUNTIF($A$2:A299, A299) = 1, A299, "")</f>
        <v/>
      </c>
    </row>
    <row r="301" spans="6:38" x14ac:dyDescent="0.2">
      <c r="F301" t="str">
        <f t="shared" si="44"/>
        <v/>
      </c>
      <c r="L301" s="7" t="str">
        <f t="shared" si="45"/>
        <v/>
      </c>
      <c r="N301" s="7" t="str">
        <f t="shared" si="46"/>
        <v/>
      </c>
      <c r="O301" t="str">
        <f t="shared" si="47"/>
        <v/>
      </c>
      <c r="P301" t="str">
        <f t="shared" si="48"/>
        <v/>
      </c>
      <c r="Q301" t="str">
        <f t="shared" si="49"/>
        <v/>
      </c>
      <c r="S301" t="str">
        <f>""</f>
        <v/>
      </c>
      <c r="AL301" s="18" t="str">
        <f>IF(COUNTIF($A$2:A300, A300) = 1, A300, "")</f>
        <v/>
      </c>
    </row>
    <row r="302" spans="6:38" x14ac:dyDescent="0.2">
      <c r="F302" t="str">
        <f t="shared" si="44"/>
        <v/>
      </c>
      <c r="L302" s="7" t="str">
        <f t="shared" si="45"/>
        <v/>
      </c>
      <c r="N302" s="7" t="str">
        <f t="shared" si="46"/>
        <v/>
      </c>
      <c r="O302" t="str">
        <f t="shared" si="47"/>
        <v/>
      </c>
      <c r="P302" t="str">
        <f t="shared" si="48"/>
        <v/>
      </c>
      <c r="Q302" t="str">
        <f t="shared" si="49"/>
        <v/>
      </c>
      <c r="S302" t="str">
        <f>""</f>
        <v/>
      </c>
      <c r="AL302" s="18" t="str">
        <f>IF(COUNTIF($A$2:A301, A301) = 1, A301, "")</f>
        <v/>
      </c>
    </row>
    <row r="303" spans="6:38" x14ac:dyDescent="0.2">
      <c r="F303" t="str">
        <f t="shared" si="44"/>
        <v/>
      </c>
      <c r="L303" s="7" t="str">
        <f t="shared" si="45"/>
        <v/>
      </c>
      <c r="N303" s="7" t="str">
        <f t="shared" si="46"/>
        <v/>
      </c>
      <c r="O303" t="str">
        <f t="shared" si="47"/>
        <v/>
      </c>
      <c r="P303" t="str">
        <f t="shared" si="48"/>
        <v/>
      </c>
      <c r="Q303" t="str">
        <f t="shared" si="49"/>
        <v/>
      </c>
      <c r="S303" t="str">
        <f>""</f>
        <v/>
      </c>
      <c r="AL303" s="18" t="str">
        <f>IF(COUNTIF($A$2:A302, A302) = 1, A302, "")</f>
        <v/>
      </c>
    </row>
    <row r="304" spans="6:38" x14ac:dyDescent="0.2">
      <c r="F304" t="str">
        <f t="shared" si="44"/>
        <v/>
      </c>
      <c r="L304" s="7" t="str">
        <f t="shared" si="45"/>
        <v/>
      </c>
      <c r="N304" s="7" t="str">
        <f t="shared" si="46"/>
        <v/>
      </c>
      <c r="O304" t="str">
        <f t="shared" si="47"/>
        <v/>
      </c>
      <c r="P304" t="str">
        <f t="shared" si="48"/>
        <v/>
      </c>
      <c r="Q304" t="str">
        <f t="shared" si="49"/>
        <v/>
      </c>
      <c r="S304" t="str">
        <f>""</f>
        <v/>
      </c>
      <c r="AL304" s="18" t="str">
        <f>IF(COUNTIF($A$2:A303, A303) = 1, A303, "")</f>
        <v/>
      </c>
    </row>
    <row r="305" spans="6:38" x14ac:dyDescent="0.2">
      <c r="F305" t="str">
        <f t="shared" si="44"/>
        <v/>
      </c>
      <c r="L305" s="7" t="str">
        <f t="shared" si="45"/>
        <v/>
      </c>
      <c r="N305" s="7" t="str">
        <f t="shared" si="46"/>
        <v/>
      </c>
      <c r="O305" t="str">
        <f t="shared" si="47"/>
        <v/>
      </c>
      <c r="P305" t="str">
        <f t="shared" si="48"/>
        <v/>
      </c>
      <c r="Q305" t="str">
        <f t="shared" si="49"/>
        <v/>
      </c>
      <c r="S305" t="str">
        <f>""</f>
        <v/>
      </c>
      <c r="AL305" s="18" t="str">
        <f>IF(COUNTIF($A$2:A304, A304) = 1, A304, "")</f>
        <v/>
      </c>
    </row>
    <row r="306" spans="6:38" x14ac:dyDescent="0.2">
      <c r="F306" t="str">
        <f t="shared" si="44"/>
        <v/>
      </c>
      <c r="L306" s="7" t="str">
        <f t="shared" si="45"/>
        <v/>
      </c>
      <c r="N306" s="7" t="str">
        <f t="shared" si="46"/>
        <v/>
      </c>
      <c r="O306" t="str">
        <f t="shared" si="47"/>
        <v/>
      </c>
      <c r="P306" t="str">
        <f t="shared" si="48"/>
        <v/>
      </c>
      <c r="Q306" t="str">
        <f t="shared" si="49"/>
        <v/>
      </c>
      <c r="S306" t="str">
        <f>""</f>
        <v/>
      </c>
      <c r="AL306" s="18" t="str">
        <f>IF(COUNTIF($A$2:A305, A305) = 1, A305, "")</f>
        <v/>
      </c>
    </row>
    <row r="307" spans="6:38" x14ac:dyDescent="0.2">
      <c r="F307" t="str">
        <f t="shared" si="44"/>
        <v/>
      </c>
      <c r="L307" s="7" t="str">
        <f t="shared" si="45"/>
        <v/>
      </c>
      <c r="N307" s="7" t="str">
        <f t="shared" si="46"/>
        <v/>
      </c>
      <c r="O307" t="str">
        <f t="shared" si="47"/>
        <v/>
      </c>
      <c r="P307" t="str">
        <f t="shared" si="48"/>
        <v/>
      </c>
      <c r="Q307" t="str">
        <f t="shared" si="49"/>
        <v/>
      </c>
      <c r="S307" t="str">
        <f>""</f>
        <v/>
      </c>
      <c r="AL307" s="18" t="str">
        <f>IF(COUNTIF($A$2:A306, A306) = 1, A306, "")</f>
        <v/>
      </c>
    </row>
    <row r="308" spans="6:38" x14ac:dyDescent="0.2">
      <c r="F308" t="str">
        <f t="shared" si="44"/>
        <v/>
      </c>
      <c r="L308" s="7" t="str">
        <f t="shared" si="45"/>
        <v/>
      </c>
      <c r="N308" s="7" t="str">
        <f t="shared" si="46"/>
        <v/>
      </c>
      <c r="O308" t="str">
        <f t="shared" si="47"/>
        <v/>
      </c>
      <c r="P308" t="str">
        <f t="shared" si="48"/>
        <v/>
      </c>
      <c r="Q308" t="str">
        <f t="shared" si="49"/>
        <v/>
      </c>
      <c r="S308" t="str">
        <f>""</f>
        <v/>
      </c>
      <c r="AL308" s="18" t="str">
        <f>IF(COUNTIF($A$2:A307, A307) = 1, A307, "")</f>
        <v/>
      </c>
    </row>
    <row r="309" spans="6:38" x14ac:dyDescent="0.2">
      <c r="F309" t="str">
        <f t="shared" si="44"/>
        <v/>
      </c>
      <c r="L309" s="7" t="str">
        <f t="shared" si="45"/>
        <v/>
      </c>
      <c r="N309" s="7" t="str">
        <f t="shared" si="46"/>
        <v/>
      </c>
      <c r="O309" t="str">
        <f t="shared" si="47"/>
        <v/>
      </c>
      <c r="P309" t="str">
        <f t="shared" si="48"/>
        <v/>
      </c>
      <c r="Q309" t="str">
        <f t="shared" si="49"/>
        <v/>
      </c>
      <c r="S309" t="str">
        <f>""</f>
        <v/>
      </c>
      <c r="AL309" s="18" t="str">
        <f>IF(COUNTIF($A$2:A308, A308) = 1, A308, "")</f>
        <v/>
      </c>
    </row>
    <row r="310" spans="6:38" x14ac:dyDescent="0.2">
      <c r="F310" t="str">
        <f t="shared" si="44"/>
        <v/>
      </c>
      <c r="L310" s="7" t="str">
        <f t="shared" si="45"/>
        <v/>
      </c>
      <c r="N310" s="7" t="str">
        <f t="shared" si="46"/>
        <v/>
      </c>
      <c r="O310" t="str">
        <f t="shared" si="47"/>
        <v/>
      </c>
      <c r="P310" t="str">
        <f t="shared" si="48"/>
        <v/>
      </c>
      <c r="Q310" t="str">
        <f t="shared" si="49"/>
        <v/>
      </c>
      <c r="S310" t="str">
        <f>""</f>
        <v/>
      </c>
      <c r="AL310" s="18" t="str">
        <f>IF(COUNTIF($A$2:A309, A309) = 1, A309, "")</f>
        <v/>
      </c>
    </row>
    <row r="311" spans="6:38" x14ac:dyDescent="0.2">
      <c r="F311" t="str">
        <f t="shared" si="44"/>
        <v/>
      </c>
      <c r="L311" s="7" t="str">
        <f t="shared" si="45"/>
        <v/>
      </c>
      <c r="N311" s="7" t="str">
        <f t="shared" si="46"/>
        <v/>
      </c>
      <c r="O311" t="str">
        <f t="shared" si="47"/>
        <v/>
      </c>
      <c r="P311" t="str">
        <f t="shared" si="48"/>
        <v/>
      </c>
      <c r="Q311" t="str">
        <f t="shared" si="49"/>
        <v/>
      </c>
      <c r="S311" t="str">
        <f>""</f>
        <v/>
      </c>
      <c r="AL311" s="18" t="str">
        <f>IF(COUNTIF($A$2:A310, A310) = 1, A310, "")</f>
        <v/>
      </c>
    </row>
    <row r="312" spans="6:38" x14ac:dyDescent="0.2">
      <c r="F312" t="str">
        <f t="shared" si="44"/>
        <v/>
      </c>
      <c r="L312" s="7" t="str">
        <f t="shared" si="45"/>
        <v/>
      </c>
      <c r="N312" s="7" t="str">
        <f t="shared" si="46"/>
        <v/>
      </c>
      <c r="O312" t="str">
        <f t="shared" si="47"/>
        <v/>
      </c>
      <c r="P312" t="str">
        <f t="shared" si="48"/>
        <v/>
      </c>
      <c r="Q312" t="str">
        <f t="shared" si="49"/>
        <v/>
      </c>
      <c r="S312" t="str">
        <f>""</f>
        <v/>
      </c>
      <c r="AL312" s="18" t="str">
        <f>IF(COUNTIF($A$2:A311, A311) = 1, A311, "")</f>
        <v/>
      </c>
    </row>
    <row r="313" spans="6:38" x14ac:dyDescent="0.2">
      <c r="F313" t="str">
        <f t="shared" si="44"/>
        <v/>
      </c>
      <c r="L313" s="7" t="str">
        <f t="shared" si="45"/>
        <v/>
      </c>
      <c r="N313" s="7" t="str">
        <f t="shared" si="46"/>
        <v/>
      </c>
      <c r="O313" t="str">
        <f t="shared" si="47"/>
        <v/>
      </c>
      <c r="P313" t="str">
        <f t="shared" si="48"/>
        <v/>
      </c>
      <c r="Q313" t="str">
        <f t="shared" si="49"/>
        <v/>
      </c>
      <c r="S313" t="str">
        <f>""</f>
        <v/>
      </c>
      <c r="AL313" s="18" t="str">
        <f>IF(COUNTIF($A$2:A312, A312) = 1, A312, "")</f>
        <v/>
      </c>
    </row>
    <row r="314" spans="6:38" x14ac:dyDescent="0.2">
      <c r="F314" t="str">
        <f t="shared" si="44"/>
        <v/>
      </c>
      <c r="L314" s="7" t="str">
        <f t="shared" si="45"/>
        <v/>
      </c>
      <c r="N314" s="7" t="str">
        <f t="shared" si="46"/>
        <v/>
      </c>
      <c r="O314" t="str">
        <f t="shared" si="47"/>
        <v/>
      </c>
      <c r="P314" t="str">
        <f t="shared" si="48"/>
        <v/>
      </c>
      <c r="Q314" t="str">
        <f t="shared" si="49"/>
        <v/>
      </c>
      <c r="S314" t="str">
        <f>""</f>
        <v/>
      </c>
      <c r="AL314" s="18" t="str">
        <f>IF(COUNTIF($A$2:A313, A313) = 1, A313, "")</f>
        <v/>
      </c>
    </row>
    <row r="315" spans="6:38" x14ac:dyDescent="0.2">
      <c r="F315" t="str">
        <f t="shared" si="44"/>
        <v/>
      </c>
      <c r="L315" s="7" t="str">
        <f t="shared" si="45"/>
        <v/>
      </c>
      <c r="N315" s="7" t="str">
        <f t="shared" si="46"/>
        <v/>
      </c>
      <c r="O315" t="str">
        <f t="shared" si="47"/>
        <v/>
      </c>
      <c r="P315" t="str">
        <f t="shared" si="48"/>
        <v/>
      </c>
      <c r="Q315" t="str">
        <f t="shared" si="49"/>
        <v/>
      </c>
      <c r="S315" t="str">
        <f>""</f>
        <v/>
      </c>
      <c r="AL315" s="18" t="str">
        <f>IF(COUNTIF($A$2:A314, A314) = 1, A314, "")</f>
        <v/>
      </c>
    </row>
    <row r="316" spans="6:38" x14ac:dyDescent="0.2">
      <c r="F316" t="str">
        <f t="shared" si="44"/>
        <v/>
      </c>
      <c r="L316" s="7" t="str">
        <f t="shared" si="45"/>
        <v/>
      </c>
      <c r="N316" s="7" t="str">
        <f t="shared" si="46"/>
        <v/>
      </c>
      <c r="O316" t="str">
        <f t="shared" si="47"/>
        <v/>
      </c>
      <c r="P316" t="str">
        <f t="shared" si="48"/>
        <v/>
      </c>
      <c r="Q316" t="str">
        <f t="shared" si="49"/>
        <v/>
      </c>
      <c r="S316" t="str">
        <f>""</f>
        <v/>
      </c>
      <c r="AL316" s="18" t="str">
        <f>IF(COUNTIF($A$2:A315, A315) = 1, A315, "")</f>
        <v/>
      </c>
    </row>
    <row r="317" spans="6:38" x14ac:dyDescent="0.2">
      <c r="F317" t="str">
        <f t="shared" si="44"/>
        <v/>
      </c>
      <c r="L317" s="7" t="str">
        <f t="shared" si="45"/>
        <v/>
      </c>
      <c r="N317" s="7" t="str">
        <f t="shared" si="46"/>
        <v/>
      </c>
      <c r="O317" t="str">
        <f t="shared" si="47"/>
        <v/>
      </c>
      <c r="P317" t="str">
        <f t="shared" si="48"/>
        <v/>
      </c>
      <c r="Q317" t="str">
        <f t="shared" si="49"/>
        <v/>
      </c>
      <c r="S317" t="str">
        <f>""</f>
        <v/>
      </c>
      <c r="AL317" s="18" t="str">
        <f>IF(COUNTIF($A$2:A316, A316) = 1, A316, "")</f>
        <v/>
      </c>
    </row>
    <row r="318" spans="6:38" x14ac:dyDescent="0.2">
      <c r="F318" t="str">
        <f t="shared" si="44"/>
        <v/>
      </c>
      <c r="L318" s="7" t="str">
        <f t="shared" si="45"/>
        <v/>
      </c>
      <c r="N318" s="7" t="str">
        <f t="shared" si="46"/>
        <v/>
      </c>
      <c r="O318" t="str">
        <f t="shared" si="47"/>
        <v/>
      </c>
      <c r="P318" t="str">
        <f t="shared" si="48"/>
        <v/>
      </c>
      <c r="Q318" t="str">
        <f t="shared" si="49"/>
        <v/>
      </c>
      <c r="S318" t="str">
        <f>""</f>
        <v/>
      </c>
      <c r="AL318" s="18" t="str">
        <f>IF(COUNTIF($A$2:A317, A317) = 1, A317, "")</f>
        <v/>
      </c>
    </row>
    <row r="319" spans="6:38" x14ac:dyDescent="0.2">
      <c r="F319" t="str">
        <f t="shared" si="44"/>
        <v/>
      </c>
      <c r="L319" s="7" t="str">
        <f t="shared" si="45"/>
        <v/>
      </c>
      <c r="N319" s="7" t="str">
        <f t="shared" si="46"/>
        <v/>
      </c>
      <c r="O319" t="str">
        <f t="shared" si="47"/>
        <v/>
      </c>
      <c r="P319" t="str">
        <f t="shared" si="48"/>
        <v/>
      </c>
      <c r="Q319" t="str">
        <f t="shared" si="49"/>
        <v/>
      </c>
      <c r="S319" t="str">
        <f>""</f>
        <v/>
      </c>
      <c r="AL319" s="18" t="str">
        <f>IF(COUNTIF($A$2:A318, A318) = 1, A318, "")</f>
        <v/>
      </c>
    </row>
    <row r="320" spans="6:38" x14ac:dyDescent="0.2">
      <c r="F320" t="str">
        <f t="shared" si="44"/>
        <v/>
      </c>
      <c r="L320" s="7" t="str">
        <f t="shared" si="45"/>
        <v/>
      </c>
      <c r="N320" s="7" t="str">
        <f t="shared" si="46"/>
        <v/>
      </c>
      <c r="O320" t="str">
        <f t="shared" si="47"/>
        <v/>
      </c>
      <c r="P320" t="str">
        <f t="shared" si="48"/>
        <v/>
      </c>
      <c r="Q320" t="str">
        <f t="shared" si="49"/>
        <v/>
      </c>
      <c r="S320" t="str">
        <f>""</f>
        <v/>
      </c>
      <c r="AL320" s="18" t="str">
        <f>IF(COUNTIF($A$2:A319, A319) = 1, A319, "")</f>
        <v/>
      </c>
    </row>
    <row r="321" spans="6:38" x14ac:dyDescent="0.2">
      <c r="F321" t="str">
        <f t="shared" si="44"/>
        <v/>
      </c>
      <c r="L321" s="7" t="str">
        <f t="shared" si="45"/>
        <v/>
      </c>
      <c r="N321" s="7" t="str">
        <f t="shared" si="46"/>
        <v/>
      </c>
      <c r="O321" t="str">
        <f t="shared" si="47"/>
        <v/>
      </c>
      <c r="P321" t="str">
        <f t="shared" si="48"/>
        <v/>
      </c>
      <c r="Q321" t="str">
        <f t="shared" si="49"/>
        <v/>
      </c>
      <c r="S321" t="str">
        <f>""</f>
        <v/>
      </c>
      <c r="AL321" s="18" t="str">
        <f>IF(COUNTIF($A$2:A320, A320) = 1, A320, "")</f>
        <v/>
      </c>
    </row>
    <row r="322" spans="6:38" x14ac:dyDescent="0.2">
      <c r="F322" t="str">
        <f t="shared" si="44"/>
        <v/>
      </c>
      <c r="L322" s="7" t="str">
        <f t="shared" si="45"/>
        <v/>
      </c>
      <c r="N322" s="7" t="str">
        <f t="shared" si="46"/>
        <v/>
      </c>
      <c r="O322" t="str">
        <f t="shared" si="47"/>
        <v/>
      </c>
      <c r="P322" t="str">
        <f t="shared" si="48"/>
        <v/>
      </c>
      <c r="Q322" t="str">
        <f t="shared" si="49"/>
        <v/>
      </c>
      <c r="S322" t="str">
        <f>""</f>
        <v/>
      </c>
      <c r="AL322" s="18" t="str">
        <f>IF(COUNTIF($A$2:A321, A321) = 1, A321, "")</f>
        <v/>
      </c>
    </row>
    <row r="323" spans="6:38" x14ac:dyDescent="0.2">
      <c r="F323" t="str">
        <f t="shared" si="44"/>
        <v/>
      </c>
      <c r="L323" s="7" t="str">
        <f t="shared" si="45"/>
        <v/>
      </c>
      <c r="N323" s="7" t="str">
        <f t="shared" si="46"/>
        <v/>
      </c>
      <c r="O323" t="str">
        <f t="shared" si="47"/>
        <v/>
      </c>
      <c r="P323" t="str">
        <f t="shared" si="48"/>
        <v/>
      </c>
      <c r="Q323" t="str">
        <f t="shared" si="49"/>
        <v/>
      </c>
      <c r="S323" t="str">
        <f>""</f>
        <v/>
      </c>
      <c r="AL323" s="18" t="str">
        <f>IF(COUNTIF($A$2:A322, A322) = 1, A322, "")</f>
        <v/>
      </c>
    </row>
    <row r="324" spans="6:38" x14ac:dyDescent="0.2">
      <c r="F324" t="str">
        <f t="shared" si="44"/>
        <v/>
      </c>
      <c r="L324" s="7" t="str">
        <f t="shared" si="45"/>
        <v/>
      </c>
      <c r="N324" s="7" t="str">
        <f t="shared" si="46"/>
        <v/>
      </c>
      <c r="O324" t="str">
        <f t="shared" si="47"/>
        <v/>
      </c>
      <c r="P324" t="str">
        <f t="shared" si="48"/>
        <v/>
      </c>
      <c r="Q324" t="str">
        <f t="shared" si="49"/>
        <v/>
      </c>
      <c r="S324" t="str">
        <f>""</f>
        <v/>
      </c>
      <c r="AL324" s="18" t="str">
        <f>IF(COUNTIF($A$2:A323, A323) = 1, A323, "")</f>
        <v/>
      </c>
    </row>
    <row r="325" spans="6:38" x14ac:dyDescent="0.2">
      <c r="F325" t="str">
        <f t="shared" si="44"/>
        <v/>
      </c>
      <c r="L325" s="7" t="str">
        <f t="shared" si="45"/>
        <v/>
      </c>
      <c r="N325" s="7" t="str">
        <f t="shared" si="46"/>
        <v/>
      </c>
      <c r="O325" t="str">
        <f t="shared" si="47"/>
        <v/>
      </c>
      <c r="P325" t="str">
        <f t="shared" si="48"/>
        <v/>
      </c>
      <c r="Q325" t="str">
        <f t="shared" si="49"/>
        <v/>
      </c>
      <c r="S325" t="str">
        <f>""</f>
        <v/>
      </c>
      <c r="AL325" s="18" t="str">
        <f>IF(COUNTIF($A$2:A324, A324) = 1, A324, "")</f>
        <v/>
      </c>
    </row>
    <row r="326" spans="6:38" x14ac:dyDescent="0.2">
      <c r="F326" t="str">
        <f t="shared" si="44"/>
        <v/>
      </c>
      <c r="L326" s="7" t="str">
        <f t="shared" si="45"/>
        <v/>
      </c>
      <c r="N326" s="7" t="str">
        <f t="shared" si="46"/>
        <v/>
      </c>
      <c r="O326" t="str">
        <f t="shared" si="47"/>
        <v/>
      </c>
      <c r="P326" t="str">
        <f t="shared" si="48"/>
        <v/>
      </c>
      <c r="Q326" t="str">
        <f t="shared" si="49"/>
        <v/>
      </c>
      <c r="S326" t="str">
        <f>""</f>
        <v/>
      </c>
      <c r="AL326" s="18" t="str">
        <f>IF(COUNTIF($A$2:A325, A325) = 1, A325, "")</f>
        <v/>
      </c>
    </row>
    <row r="327" spans="6:38" x14ac:dyDescent="0.2">
      <c r="F327" t="str">
        <f t="shared" si="44"/>
        <v/>
      </c>
      <c r="L327" s="7" t="str">
        <f t="shared" si="45"/>
        <v/>
      </c>
      <c r="N327" s="7" t="str">
        <f t="shared" si="46"/>
        <v/>
      </c>
      <c r="O327" t="str">
        <f t="shared" si="47"/>
        <v/>
      </c>
      <c r="P327" t="str">
        <f t="shared" si="48"/>
        <v/>
      </c>
      <c r="Q327" t="str">
        <f t="shared" si="49"/>
        <v/>
      </c>
      <c r="S327" t="str">
        <f>""</f>
        <v/>
      </c>
      <c r="AL327" s="18" t="str">
        <f>IF(COUNTIF($A$2:A326, A326) = 1, A326, "")</f>
        <v/>
      </c>
    </row>
    <row r="328" spans="6:38" x14ac:dyDescent="0.2">
      <c r="F328" t="str">
        <f t="shared" si="44"/>
        <v/>
      </c>
      <c r="L328" s="7" t="str">
        <f t="shared" si="45"/>
        <v/>
      </c>
      <c r="N328" s="7" t="str">
        <f t="shared" si="46"/>
        <v/>
      </c>
      <c r="O328" t="str">
        <f t="shared" si="47"/>
        <v/>
      </c>
      <c r="P328" t="str">
        <f t="shared" si="48"/>
        <v/>
      </c>
      <c r="Q328" t="str">
        <f t="shared" si="49"/>
        <v/>
      </c>
      <c r="S328" t="str">
        <f>""</f>
        <v/>
      </c>
      <c r="AL328" s="18" t="str">
        <f>IF(COUNTIF($A$2:A327, A327) = 1, A327, "")</f>
        <v/>
      </c>
    </row>
    <row r="329" spans="6:38" x14ac:dyDescent="0.2">
      <c r="F329" t="str">
        <f t="shared" si="44"/>
        <v/>
      </c>
      <c r="L329" s="7" t="str">
        <f t="shared" si="45"/>
        <v/>
      </c>
      <c r="N329" s="7" t="str">
        <f t="shared" si="46"/>
        <v/>
      </c>
      <c r="O329" t="str">
        <f t="shared" si="47"/>
        <v/>
      </c>
      <c r="P329" t="str">
        <f t="shared" si="48"/>
        <v/>
      </c>
      <c r="Q329" t="str">
        <f t="shared" si="49"/>
        <v/>
      </c>
      <c r="S329" t="str">
        <f>""</f>
        <v/>
      </c>
      <c r="AL329" s="18" t="str">
        <f>IF(COUNTIF($A$2:A328, A328) = 1, A328, "")</f>
        <v/>
      </c>
    </row>
    <row r="330" spans="6:38" x14ac:dyDescent="0.2">
      <c r="F330" t="str">
        <f t="shared" si="44"/>
        <v/>
      </c>
      <c r="L330" s="7" t="str">
        <f t="shared" si="45"/>
        <v/>
      </c>
      <c r="N330" s="7" t="str">
        <f t="shared" si="46"/>
        <v/>
      </c>
      <c r="O330" t="str">
        <f t="shared" si="47"/>
        <v/>
      </c>
      <c r="P330" t="str">
        <f t="shared" si="48"/>
        <v/>
      </c>
      <c r="Q330" t="str">
        <f t="shared" si="49"/>
        <v/>
      </c>
      <c r="S330" t="str">
        <f>""</f>
        <v/>
      </c>
      <c r="AL330" s="18" t="str">
        <f>IF(COUNTIF($A$2:A329, A329) = 1, A329, "")</f>
        <v/>
      </c>
    </row>
    <row r="331" spans="6:38" x14ac:dyDescent="0.2">
      <c r="F331" t="str">
        <f t="shared" si="44"/>
        <v/>
      </c>
      <c r="L331" s="7" t="str">
        <f t="shared" si="45"/>
        <v/>
      </c>
      <c r="N331" s="7" t="str">
        <f t="shared" si="46"/>
        <v/>
      </c>
      <c r="O331" t="str">
        <f t="shared" si="47"/>
        <v/>
      </c>
      <c r="P331" t="str">
        <f t="shared" si="48"/>
        <v/>
      </c>
      <c r="Q331" t="str">
        <f t="shared" si="49"/>
        <v/>
      </c>
      <c r="S331" t="str">
        <f>""</f>
        <v/>
      </c>
      <c r="AL331" s="18" t="str">
        <f>IF(COUNTIF($A$2:A330, A330) = 1, A330, "")</f>
        <v/>
      </c>
    </row>
    <row r="332" spans="6:38" x14ac:dyDescent="0.2">
      <c r="F332" t="str">
        <f t="shared" si="44"/>
        <v/>
      </c>
      <c r="L332" s="7" t="str">
        <f t="shared" si="45"/>
        <v/>
      </c>
      <c r="N332" s="7" t="str">
        <f t="shared" si="46"/>
        <v/>
      </c>
      <c r="O332" t="str">
        <f t="shared" si="47"/>
        <v/>
      </c>
      <c r="P332" t="str">
        <f t="shared" si="48"/>
        <v/>
      </c>
      <c r="Q332" t="str">
        <f t="shared" si="49"/>
        <v/>
      </c>
      <c r="S332" t="str">
        <f>""</f>
        <v/>
      </c>
      <c r="AL332" s="18" t="str">
        <f>IF(COUNTIF($A$2:A331, A331) = 1, A331, "")</f>
        <v/>
      </c>
    </row>
    <row r="333" spans="6:38" x14ac:dyDescent="0.2">
      <c r="F333" t="str">
        <f t="shared" si="44"/>
        <v/>
      </c>
      <c r="L333" s="7" t="str">
        <f t="shared" si="45"/>
        <v/>
      </c>
      <c r="N333" s="7" t="str">
        <f t="shared" si="46"/>
        <v/>
      </c>
      <c r="O333" t="str">
        <f t="shared" si="47"/>
        <v/>
      </c>
      <c r="P333" t="str">
        <f t="shared" si="48"/>
        <v/>
      </c>
      <c r="Q333" t="str">
        <f t="shared" si="49"/>
        <v/>
      </c>
      <c r="S333" t="str">
        <f>""</f>
        <v/>
      </c>
      <c r="AL333" s="18" t="str">
        <f>IF(COUNTIF($A$2:A332, A332) = 1, A332, "")</f>
        <v/>
      </c>
    </row>
    <row r="334" spans="6:38" x14ac:dyDescent="0.2">
      <c r="F334" t="str">
        <f t="shared" si="44"/>
        <v/>
      </c>
      <c r="L334" s="7" t="str">
        <f t="shared" si="45"/>
        <v/>
      </c>
      <c r="N334" s="7" t="str">
        <f t="shared" si="46"/>
        <v/>
      </c>
      <c r="O334" t="str">
        <f t="shared" si="47"/>
        <v/>
      </c>
      <c r="P334" t="str">
        <f t="shared" si="48"/>
        <v/>
      </c>
      <c r="Q334" t="str">
        <f t="shared" si="49"/>
        <v/>
      </c>
      <c r="S334" t="str">
        <f>""</f>
        <v/>
      </c>
      <c r="AL334" s="18" t="str">
        <f>IF(COUNTIF($A$2:A333, A333) = 1, A333, "")</f>
        <v/>
      </c>
    </row>
    <row r="335" spans="6:38" x14ac:dyDescent="0.2">
      <c r="F335" t="str">
        <f t="shared" si="44"/>
        <v/>
      </c>
      <c r="L335" s="7" t="str">
        <f t="shared" si="45"/>
        <v/>
      </c>
      <c r="N335" s="7" t="str">
        <f t="shared" si="46"/>
        <v/>
      </c>
      <c r="O335" t="str">
        <f t="shared" si="47"/>
        <v/>
      </c>
      <c r="P335" t="str">
        <f t="shared" si="48"/>
        <v/>
      </c>
      <c r="Q335" t="str">
        <f t="shared" si="49"/>
        <v/>
      </c>
      <c r="S335" t="str">
        <f>""</f>
        <v/>
      </c>
      <c r="AL335" s="18" t="str">
        <f>IF(COUNTIF($A$2:A334, A334) = 1, A334, "")</f>
        <v/>
      </c>
    </row>
    <row r="336" spans="6:38" x14ac:dyDescent="0.2">
      <c r="F336" t="str">
        <f t="shared" ref="F336:F399" si="50">IF(OR(O336="", P336=""), "", SUM(IF((O336&lt;&gt;"None")*(O336&lt;&gt;""),LEN(O336)-LEN(SUBSTITUTE(O336,",",""))+1,0)) + SUM(IF((P336&lt;&gt;"None")*(P336&lt;&gt;""),LEN(P336)-LEN(SUBSTITUTE(P336,",",""))+1,0)))</f>
        <v/>
      </c>
      <c r="L336" s="7" t="str">
        <f t="shared" ref="L336:L399" si="51">IF(LEN(E336)=0, "", IFERROR(IF(E336&gt;=0, K336 * (1 + E336/100) - K336, K336 / (ABS(E336)/100))+K336, ""))</f>
        <v/>
      </c>
      <c r="N336" s="7" t="str">
        <f t="shared" ref="N336:N399" si="52">IF(M336="Yes",L336-K336,IF(M336="No",-K336,""))</f>
        <v/>
      </c>
      <c r="O336" t="str">
        <f t="shared" ref="O336:O399" si="53">IF(AND(G336="No",H336="No"), "None", "")</f>
        <v/>
      </c>
      <c r="P336" t="str">
        <f t="shared" ref="P336:P399" si="54">IF(I336="No", "None", "")</f>
        <v/>
      </c>
      <c r="Q336" t="str">
        <f t="shared" ref="Q336:Q399" si="55">IF(AND(D336="Straight", M336 = "No"),IF(O336="None",P336,IF(P336="None",O336) ),"")</f>
        <v/>
      </c>
      <c r="S336" t="str">
        <f>""</f>
        <v/>
      </c>
      <c r="AL336" s="18" t="str">
        <f>IF(COUNTIF($A$2:A335, A335) = 1, A335, "")</f>
        <v/>
      </c>
    </row>
    <row r="337" spans="6:38" x14ac:dyDescent="0.2">
      <c r="F337" t="str">
        <f t="shared" si="50"/>
        <v/>
      </c>
      <c r="L337" s="7" t="str">
        <f t="shared" si="51"/>
        <v/>
      </c>
      <c r="N337" s="7" t="str">
        <f t="shared" si="52"/>
        <v/>
      </c>
      <c r="O337" t="str">
        <f t="shared" si="53"/>
        <v/>
      </c>
      <c r="P337" t="str">
        <f t="shared" si="54"/>
        <v/>
      </c>
      <c r="Q337" t="str">
        <f t="shared" si="55"/>
        <v/>
      </c>
      <c r="S337" t="str">
        <f>""</f>
        <v/>
      </c>
      <c r="AL337" s="18" t="str">
        <f>IF(COUNTIF($A$2:A336, A336) = 1, A336, "")</f>
        <v/>
      </c>
    </row>
    <row r="338" spans="6:38" x14ac:dyDescent="0.2">
      <c r="F338" t="str">
        <f t="shared" si="50"/>
        <v/>
      </c>
      <c r="L338" s="7" t="str">
        <f t="shared" si="51"/>
        <v/>
      </c>
      <c r="N338" s="7" t="str">
        <f t="shared" si="52"/>
        <v/>
      </c>
      <c r="O338" t="str">
        <f t="shared" si="53"/>
        <v/>
      </c>
      <c r="P338" t="str">
        <f t="shared" si="54"/>
        <v/>
      </c>
      <c r="Q338" t="str">
        <f t="shared" si="55"/>
        <v/>
      </c>
      <c r="S338" t="str">
        <f>""</f>
        <v/>
      </c>
      <c r="AL338" s="18" t="str">
        <f>IF(COUNTIF($A$2:A337, A337) = 1, A337, "")</f>
        <v/>
      </c>
    </row>
    <row r="339" spans="6:38" x14ac:dyDescent="0.2">
      <c r="F339" t="str">
        <f t="shared" si="50"/>
        <v/>
      </c>
      <c r="L339" s="7" t="str">
        <f t="shared" si="51"/>
        <v/>
      </c>
      <c r="N339" s="7" t="str">
        <f t="shared" si="52"/>
        <v/>
      </c>
      <c r="O339" t="str">
        <f t="shared" si="53"/>
        <v/>
      </c>
      <c r="P339" t="str">
        <f t="shared" si="54"/>
        <v/>
      </c>
      <c r="Q339" t="str">
        <f t="shared" si="55"/>
        <v/>
      </c>
      <c r="S339" t="str">
        <f>""</f>
        <v/>
      </c>
      <c r="AL339" s="18" t="str">
        <f>IF(COUNTIF($A$2:A338, A338) = 1, A338, "")</f>
        <v/>
      </c>
    </row>
    <row r="340" spans="6:38" x14ac:dyDescent="0.2">
      <c r="F340" t="str">
        <f t="shared" si="50"/>
        <v/>
      </c>
      <c r="L340" s="7" t="str">
        <f t="shared" si="51"/>
        <v/>
      </c>
      <c r="N340" s="7" t="str">
        <f t="shared" si="52"/>
        <v/>
      </c>
      <c r="O340" t="str">
        <f t="shared" si="53"/>
        <v/>
      </c>
      <c r="P340" t="str">
        <f t="shared" si="54"/>
        <v/>
      </c>
      <c r="Q340" t="str">
        <f t="shared" si="55"/>
        <v/>
      </c>
      <c r="S340" t="str">
        <f>""</f>
        <v/>
      </c>
      <c r="AL340" s="18" t="str">
        <f>IF(COUNTIF($A$2:A339, A339) = 1, A339, "")</f>
        <v/>
      </c>
    </row>
    <row r="341" spans="6:38" x14ac:dyDescent="0.2">
      <c r="F341" t="str">
        <f t="shared" si="50"/>
        <v/>
      </c>
      <c r="L341" s="7" t="str">
        <f t="shared" si="51"/>
        <v/>
      </c>
      <c r="N341" s="7" t="str">
        <f t="shared" si="52"/>
        <v/>
      </c>
      <c r="O341" t="str">
        <f t="shared" si="53"/>
        <v/>
      </c>
      <c r="P341" t="str">
        <f t="shared" si="54"/>
        <v/>
      </c>
      <c r="Q341" t="str">
        <f t="shared" si="55"/>
        <v/>
      </c>
      <c r="S341" t="str">
        <f>""</f>
        <v/>
      </c>
      <c r="AL341" s="18" t="str">
        <f>IF(COUNTIF($A$2:A340, A340) = 1, A340, "")</f>
        <v/>
      </c>
    </row>
    <row r="342" spans="6:38" x14ac:dyDescent="0.2">
      <c r="F342" t="str">
        <f t="shared" si="50"/>
        <v/>
      </c>
      <c r="L342" s="7" t="str">
        <f t="shared" si="51"/>
        <v/>
      </c>
      <c r="N342" s="7" t="str">
        <f t="shared" si="52"/>
        <v/>
      </c>
      <c r="O342" t="str">
        <f t="shared" si="53"/>
        <v/>
      </c>
      <c r="P342" t="str">
        <f t="shared" si="54"/>
        <v/>
      </c>
      <c r="Q342" t="str">
        <f t="shared" si="55"/>
        <v/>
      </c>
      <c r="S342" t="str">
        <f>""</f>
        <v/>
      </c>
      <c r="AL342" s="18" t="str">
        <f>IF(COUNTIF($A$2:A341, A341) = 1, A341, "")</f>
        <v/>
      </c>
    </row>
    <row r="343" spans="6:38" x14ac:dyDescent="0.2">
      <c r="F343" t="str">
        <f t="shared" si="50"/>
        <v/>
      </c>
      <c r="L343" s="7" t="str">
        <f t="shared" si="51"/>
        <v/>
      </c>
      <c r="N343" s="7" t="str">
        <f t="shared" si="52"/>
        <v/>
      </c>
      <c r="O343" t="str">
        <f t="shared" si="53"/>
        <v/>
      </c>
      <c r="P343" t="str">
        <f t="shared" si="54"/>
        <v/>
      </c>
      <c r="Q343" t="str">
        <f t="shared" si="55"/>
        <v/>
      </c>
      <c r="S343" t="str">
        <f>""</f>
        <v/>
      </c>
      <c r="AL343" s="18" t="str">
        <f>IF(COUNTIF($A$2:A342, A342) = 1, A342, "")</f>
        <v/>
      </c>
    </row>
    <row r="344" spans="6:38" x14ac:dyDescent="0.2">
      <c r="F344" t="str">
        <f t="shared" si="50"/>
        <v/>
      </c>
      <c r="L344" s="7" t="str">
        <f t="shared" si="51"/>
        <v/>
      </c>
      <c r="N344" s="7" t="str">
        <f t="shared" si="52"/>
        <v/>
      </c>
      <c r="O344" t="str">
        <f t="shared" si="53"/>
        <v/>
      </c>
      <c r="P344" t="str">
        <f t="shared" si="54"/>
        <v/>
      </c>
      <c r="Q344" t="str">
        <f t="shared" si="55"/>
        <v/>
      </c>
      <c r="S344" t="str">
        <f>""</f>
        <v/>
      </c>
      <c r="AL344" s="18" t="str">
        <f>IF(COUNTIF($A$2:A343, A343) = 1, A343, "")</f>
        <v/>
      </c>
    </row>
    <row r="345" spans="6:38" x14ac:dyDescent="0.2">
      <c r="F345" t="str">
        <f t="shared" si="50"/>
        <v/>
      </c>
      <c r="L345" s="7" t="str">
        <f t="shared" si="51"/>
        <v/>
      </c>
      <c r="N345" s="7" t="str">
        <f t="shared" si="52"/>
        <v/>
      </c>
      <c r="O345" t="str">
        <f t="shared" si="53"/>
        <v/>
      </c>
      <c r="P345" t="str">
        <f t="shared" si="54"/>
        <v/>
      </c>
      <c r="Q345" t="str">
        <f t="shared" si="55"/>
        <v/>
      </c>
      <c r="S345" t="str">
        <f>""</f>
        <v/>
      </c>
      <c r="AL345" s="18" t="str">
        <f>IF(COUNTIF($A$2:A344, A344) = 1, A344, "")</f>
        <v/>
      </c>
    </row>
    <row r="346" spans="6:38" x14ac:dyDescent="0.2">
      <c r="F346" t="str">
        <f t="shared" si="50"/>
        <v/>
      </c>
      <c r="L346" s="7" t="str">
        <f t="shared" si="51"/>
        <v/>
      </c>
      <c r="N346" s="7" t="str">
        <f t="shared" si="52"/>
        <v/>
      </c>
      <c r="O346" t="str">
        <f t="shared" si="53"/>
        <v/>
      </c>
      <c r="P346" t="str">
        <f t="shared" si="54"/>
        <v/>
      </c>
      <c r="Q346" t="str">
        <f t="shared" si="55"/>
        <v/>
      </c>
      <c r="S346" t="str">
        <f>""</f>
        <v/>
      </c>
      <c r="AL346" s="18" t="str">
        <f>IF(COUNTIF($A$2:A345, A345) = 1, A345, "")</f>
        <v/>
      </c>
    </row>
    <row r="347" spans="6:38" x14ac:dyDescent="0.2">
      <c r="F347" t="str">
        <f t="shared" si="50"/>
        <v/>
      </c>
      <c r="L347" s="7" t="str">
        <f t="shared" si="51"/>
        <v/>
      </c>
      <c r="N347" s="7" t="str">
        <f t="shared" si="52"/>
        <v/>
      </c>
      <c r="O347" t="str">
        <f t="shared" si="53"/>
        <v/>
      </c>
      <c r="P347" t="str">
        <f t="shared" si="54"/>
        <v/>
      </c>
      <c r="Q347" t="str">
        <f t="shared" si="55"/>
        <v/>
      </c>
      <c r="S347" t="str">
        <f>""</f>
        <v/>
      </c>
      <c r="AL347" s="18" t="str">
        <f>IF(COUNTIF($A$2:A346, A346) = 1, A346, "")</f>
        <v/>
      </c>
    </row>
    <row r="348" spans="6:38" x14ac:dyDescent="0.2">
      <c r="F348" t="str">
        <f t="shared" si="50"/>
        <v/>
      </c>
      <c r="L348" s="7" t="str">
        <f t="shared" si="51"/>
        <v/>
      </c>
      <c r="N348" s="7" t="str">
        <f t="shared" si="52"/>
        <v/>
      </c>
      <c r="O348" t="str">
        <f t="shared" si="53"/>
        <v/>
      </c>
      <c r="P348" t="str">
        <f t="shared" si="54"/>
        <v/>
      </c>
      <c r="Q348" t="str">
        <f t="shared" si="55"/>
        <v/>
      </c>
      <c r="S348" t="str">
        <f>""</f>
        <v/>
      </c>
      <c r="AL348" s="18" t="str">
        <f>IF(COUNTIF($A$2:A347, A347) = 1, A347, "")</f>
        <v/>
      </c>
    </row>
    <row r="349" spans="6:38" x14ac:dyDescent="0.2">
      <c r="F349" t="str">
        <f t="shared" si="50"/>
        <v/>
      </c>
      <c r="L349" s="7" t="str">
        <f t="shared" si="51"/>
        <v/>
      </c>
      <c r="N349" s="7" t="str">
        <f t="shared" si="52"/>
        <v/>
      </c>
      <c r="O349" t="str">
        <f t="shared" si="53"/>
        <v/>
      </c>
      <c r="P349" t="str">
        <f t="shared" si="54"/>
        <v/>
      </c>
      <c r="Q349" t="str">
        <f t="shared" si="55"/>
        <v/>
      </c>
      <c r="S349" t="str">
        <f>""</f>
        <v/>
      </c>
      <c r="AL349" s="18" t="str">
        <f>IF(COUNTIF($A$2:A348, A348) = 1, A348, "")</f>
        <v/>
      </c>
    </row>
    <row r="350" spans="6:38" x14ac:dyDescent="0.2">
      <c r="F350" t="str">
        <f t="shared" si="50"/>
        <v/>
      </c>
      <c r="L350" s="7" t="str">
        <f t="shared" si="51"/>
        <v/>
      </c>
      <c r="N350" s="7" t="str">
        <f t="shared" si="52"/>
        <v/>
      </c>
      <c r="O350" t="str">
        <f t="shared" si="53"/>
        <v/>
      </c>
      <c r="P350" t="str">
        <f t="shared" si="54"/>
        <v/>
      </c>
      <c r="Q350" t="str">
        <f t="shared" si="55"/>
        <v/>
      </c>
      <c r="S350" t="str">
        <f>""</f>
        <v/>
      </c>
      <c r="AL350" s="18" t="str">
        <f>IF(COUNTIF($A$2:A349, A349) = 1, A349, "")</f>
        <v/>
      </c>
    </row>
    <row r="351" spans="6:38" x14ac:dyDescent="0.2">
      <c r="F351" t="str">
        <f t="shared" si="50"/>
        <v/>
      </c>
      <c r="L351" s="7" t="str">
        <f t="shared" si="51"/>
        <v/>
      </c>
      <c r="N351" s="7" t="str">
        <f t="shared" si="52"/>
        <v/>
      </c>
      <c r="O351" t="str">
        <f t="shared" si="53"/>
        <v/>
      </c>
      <c r="P351" t="str">
        <f t="shared" si="54"/>
        <v/>
      </c>
      <c r="Q351" t="str">
        <f t="shared" si="55"/>
        <v/>
      </c>
      <c r="S351" t="str">
        <f>""</f>
        <v/>
      </c>
      <c r="AL351" s="18" t="str">
        <f>IF(COUNTIF($A$2:A350, A350) = 1, A350, "")</f>
        <v/>
      </c>
    </row>
    <row r="352" spans="6:38" x14ac:dyDescent="0.2">
      <c r="F352" t="str">
        <f t="shared" si="50"/>
        <v/>
      </c>
      <c r="L352" s="7" t="str">
        <f t="shared" si="51"/>
        <v/>
      </c>
      <c r="N352" s="7" t="str">
        <f t="shared" si="52"/>
        <v/>
      </c>
      <c r="O352" t="str">
        <f t="shared" si="53"/>
        <v/>
      </c>
      <c r="P352" t="str">
        <f t="shared" si="54"/>
        <v/>
      </c>
      <c r="Q352" t="str">
        <f t="shared" si="55"/>
        <v/>
      </c>
      <c r="S352" t="str">
        <f>""</f>
        <v/>
      </c>
      <c r="AL352" s="18" t="str">
        <f>IF(COUNTIF($A$2:A351, A351) = 1, A351, "")</f>
        <v/>
      </c>
    </row>
    <row r="353" spans="6:38" x14ac:dyDescent="0.2">
      <c r="F353" t="str">
        <f t="shared" si="50"/>
        <v/>
      </c>
      <c r="L353" s="7" t="str">
        <f t="shared" si="51"/>
        <v/>
      </c>
      <c r="N353" s="7" t="str">
        <f t="shared" si="52"/>
        <v/>
      </c>
      <c r="O353" t="str">
        <f t="shared" si="53"/>
        <v/>
      </c>
      <c r="P353" t="str">
        <f t="shared" si="54"/>
        <v/>
      </c>
      <c r="Q353" t="str">
        <f t="shared" si="55"/>
        <v/>
      </c>
      <c r="S353" t="str">
        <f>""</f>
        <v/>
      </c>
      <c r="AL353" s="18" t="str">
        <f>IF(COUNTIF($A$2:A352, A352) = 1, A352, "")</f>
        <v/>
      </c>
    </row>
    <row r="354" spans="6:38" x14ac:dyDescent="0.2">
      <c r="F354" t="str">
        <f t="shared" si="50"/>
        <v/>
      </c>
      <c r="L354" s="7" t="str">
        <f t="shared" si="51"/>
        <v/>
      </c>
      <c r="N354" s="7" t="str">
        <f t="shared" si="52"/>
        <v/>
      </c>
      <c r="O354" t="str">
        <f t="shared" si="53"/>
        <v/>
      </c>
      <c r="P354" t="str">
        <f t="shared" si="54"/>
        <v/>
      </c>
      <c r="Q354" t="str">
        <f t="shared" si="55"/>
        <v/>
      </c>
      <c r="S354" t="str">
        <f>""</f>
        <v/>
      </c>
      <c r="AL354" s="18" t="str">
        <f>IF(COUNTIF($A$2:A353, A353) = 1, A353, "")</f>
        <v/>
      </c>
    </row>
    <row r="355" spans="6:38" x14ac:dyDescent="0.2">
      <c r="F355" t="str">
        <f t="shared" si="50"/>
        <v/>
      </c>
      <c r="L355" s="7" t="str">
        <f t="shared" si="51"/>
        <v/>
      </c>
      <c r="N355" s="7" t="str">
        <f t="shared" si="52"/>
        <v/>
      </c>
      <c r="O355" t="str">
        <f t="shared" si="53"/>
        <v/>
      </c>
      <c r="P355" t="str">
        <f t="shared" si="54"/>
        <v/>
      </c>
      <c r="Q355" t="str">
        <f t="shared" si="55"/>
        <v/>
      </c>
      <c r="S355" t="str">
        <f>""</f>
        <v/>
      </c>
      <c r="AL355" s="18" t="str">
        <f>IF(COUNTIF($A$2:A354, A354) = 1, A354, "")</f>
        <v/>
      </c>
    </row>
    <row r="356" spans="6:38" x14ac:dyDescent="0.2">
      <c r="F356" t="str">
        <f t="shared" si="50"/>
        <v/>
      </c>
      <c r="L356" s="7" t="str">
        <f t="shared" si="51"/>
        <v/>
      </c>
      <c r="N356" s="7" t="str">
        <f t="shared" si="52"/>
        <v/>
      </c>
      <c r="O356" t="str">
        <f t="shared" si="53"/>
        <v/>
      </c>
      <c r="P356" t="str">
        <f t="shared" si="54"/>
        <v/>
      </c>
      <c r="Q356" t="str">
        <f t="shared" si="55"/>
        <v/>
      </c>
      <c r="S356" t="str">
        <f>""</f>
        <v/>
      </c>
      <c r="AL356" s="18" t="str">
        <f>IF(COUNTIF($A$2:A355, A355) = 1, A355, "")</f>
        <v/>
      </c>
    </row>
    <row r="357" spans="6:38" x14ac:dyDescent="0.2">
      <c r="F357" t="str">
        <f t="shared" si="50"/>
        <v/>
      </c>
      <c r="L357" s="7" t="str">
        <f t="shared" si="51"/>
        <v/>
      </c>
      <c r="N357" s="7" t="str">
        <f t="shared" si="52"/>
        <v/>
      </c>
      <c r="O357" t="str">
        <f t="shared" si="53"/>
        <v/>
      </c>
      <c r="P357" t="str">
        <f t="shared" si="54"/>
        <v/>
      </c>
      <c r="Q357" t="str">
        <f t="shared" si="55"/>
        <v/>
      </c>
      <c r="S357" t="str">
        <f>""</f>
        <v/>
      </c>
      <c r="AL357" s="18" t="str">
        <f>IF(COUNTIF($A$2:A356, A356) = 1, A356, "")</f>
        <v/>
      </c>
    </row>
    <row r="358" spans="6:38" x14ac:dyDescent="0.2">
      <c r="F358" t="str">
        <f t="shared" si="50"/>
        <v/>
      </c>
      <c r="L358" s="7" t="str">
        <f t="shared" si="51"/>
        <v/>
      </c>
      <c r="N358" s="7" t="str">
        <f t="shared" si="52"/>
        <v/>
      </c>
      <c r="O358" t="str">
        <f t="shared" si="53"/>
        <v/>
      </c>
      <c r="P358" t="str">
        <f t="shared" si="54"/>
        <v/>
      </c>
      <c r="Q358" t="str">
        <f t="shared" si="55"/>
        <v/>
      </c>
      <c r="S358" t="str">
        <f>""</f>
        <v/>
      </c>
      <c r="AL358" s="18" t="str">
        <f>IF(COUNTIF($A$2:A357, A357) = 1, A357, "")</f>
        <v/>
      </c>
    </row>
    <row r="359" spans="6:38" x14ac:dyDescent="0.2">
      <c r="F359" t="str">
        <f t="shared" si="50"/>
        <v/>
      </c>
      <c r="L359" s="7" t="str">
        <f t="shared" si="51"/>
        <v/>
      </c>
      <c r="N359" s="7" t="str">
        <f t="shared" si="52"/>
        <v/>
      </c>
      <c r="O359" t="str">
        <f t="shared" si="53"/>
        <v/>
      </c>
      <c r="P359" t="str">
        <f t="shared" si="54"/>
        <v/>
      </c>
      <c r="Q359" t="str">
        <f t="shared" si="55"/>
        <v/>
      </c>
      <c r="S359" t="str">
        <f>""</f>
        <v/>
      </c>
      <c r="AL359" s="18" t="str">
        <f>IF(COUNTIF($A$2:A358, A358) = 1, A358, "")</f>
        <v/>
      </c>
    </row>
    <row r="360" spans="6:38" x14ac:dyDescent="0.2">
      <c r="F360" t="str">
        <f t="shared" si="50"/>
        <v/>
      </c>
      <c r="L360" s="7" t="str">
        <f t="shared" si="51"/>
        <v/>
      </c>
      <c r="N360" s="7" t="str">
        <f t="shared" si="52"/>
        <v/>
      </c>
      <c r="O360" t="str">
        <f t="shared" si="53"/>
        <v/>
      </c>
      <c r="P360" t="str">
        <f t="shared" si="54"/>
        <v/>
      </c>
      <c r="Q360" t="str">
        <f t="shared" si="55"/>
        <v/>
      </c>
      <c r="S360" t="str">
        <f>""</f>
        <v/>
      </c>
      <c r="AL360" s="18" t="str">
        <f>IF(COUNTIF($A$2:A359, A359) = 1, A359, "")</f>
        <v/>
      </c>
    </row>
    <row r="361" spans="6:38" x14ac:dyDescent="0.2">
      <c r="F361" t="str">
        <f t="shared" si="50"/>
        <v/>
      </c>
      <c r="L361" s="7" t="str">
        <f t="shared" si="51"/>
        <v/>
      </c>
      <c r="N361" s="7" t="str">
        <f t="shared" si="52"/>
        <v/>
      </c>
      <c r="O361" t="str">
        <f t="shared" si="53"/>
        <v/>
      </c>
      <c r="P361" t="str">
        <f t="shared" si="54"/>
        <v/>
      </c>
      <c r="Q361" t="str">
        <f t="shared" si="55"/>
        <v/>
      </c>
      <c r="S361" t="str">
        <f>""</f>
        <v/>
      </c>
      <c r="AL361" s="18" t="str">
        <f>IF(COUNTIF($A$2:A360, A360) = 1, A360, "")</f>
        <v/>
      </c>
    </row>
    <row r="362" spans="6:38" x14ac:dyDescent="0.2">
      <c r="F362" t="str">
        <f t="shared" si="50"/>
        <v/>
      </c>
      <c r="L362" s="7" t="str">
        <f t="shared" si="51"/>
        <v/>
      </c>
      <c r="N362" s="7" t="str">
        <f t="shared" si="52"/>
        <v/>
      </c>
      <c r="O362" t="str">
        <f t="shared" si="53"/>
        <v/>
      </c>
      <c r="P362" t="str">
        <f t="shared" si="54"/>
        <v/>
      </c>
      <c r="Q362" t="str">
        <f t="shared" si="55"/>
        <v/>
      </c>
      <c r="S362" t="str">
        <f>""</f>
        <v/>
      </c>
      <c r="AL362" s="18" t="str">
        <f>IF(COUNTIF($A$2:A361, A361) = 1, A361, "")</f>
        <v/>
      </c>
    </row>
    <row r="363" spans="6:38" x14ac:dyDescent="0.2">
      <c r="F363" t="str">
        <f t="shared" si="50"/>
        <v/>
      </c>
      <c r="L363" s="7" t="str">
        <f t="shared" si="51"/>
        <v/>
      </c>
      <c r="N363" s="7" t="str">
        <f t="shared" si="52"/>
        <v/>
      </c>
      <c r="O363" t="str">
        <f t="shared" si="53"/>
        <v/>
      </c>
      <c r="P363" t="str">
        <f t="shared" si="54"/>
        <v/>
      </c>
      <c r="Q363" t="str">
        <f t="shared" si="55"/>
        <v/>
      </c>
      <c r="S363" t="str">
        <f>""</f>
        <v/>
      </c>
      <c r="AL363" s="18" t="str">
        <f>IF(COUNTIF($A$2:A362, A362) = 1, A362, "")</f>
        <v/>
      </c>
    </row>
    <row r="364" spans="6:38" x14ac:dyDescent="0.2">
      <c r="F364" t="str">
        <f t="shared" si="50"/>
        <v/>
      </c>
      <c r="L364" s="7" t="str">
        <f t="shared" si="51"/>
        <v/>
      </c>
      <c r="N364" s="7" t="str">
        <f t="shared" si="52"/>
        <v/>
      </c>
      <c r="O364" t="str">
        <f t="shared" si="53"/>
        <v/>
      </c>
      <c r="P364" t="str">
        <f t="shared" si="54"/>
        <v/>
      </c>
      <c r="Q364" t="str">
        <f t="shared" si="55"/>
        <v/>
      </c>
      <c r="S364" t="str">
        <f>""</f>
        <v/>
      </c>
      <c r="AL364" s="18" t="str">
        <f>IF(COUNTIF($A$2:A363, A363) = 1, A363, "")</f>
        <v/>
      </c>
    </row>
    <row r="365" spans="6:38" x14ac:dyDescent="0.2">
      <c r="F365" t="str">
        <f t="shared" si="50"/>
        <v/>
      </c>
      <c r="L365" s="7" t="str">
        <f t="shared" si="51"/>
        <v/>
      </c>
      <c r="N365" s="7" t="str">
        <f t="shared" si="52"/>
        <v/>
      </c>
      <c r="O365" t="str">
        <f t="shared" si="53"/>
        <v/>
      </c>
      <c r="P365" t="str">
        <f t="shared" si="54"/>
        <v/>
      </c>
      <c r="Q365" t="str">
        <f t="shared" si="55"/>
        <v/>
      </c>
      <c r="S365" t="str">
        <f>""</f>
        <v/>
      </c>
      <c r="AL365" s="18" t="str">
        <f>IF(COUNTIF($A$2:A364, A364) = 1, A364, "")</f>
        <v/>
      </c>
    </row>
    <row r="366" spans="6:38" x14ac:dyDescent="0.2">
      <c r="F366" t="str">
        <f t="shared" si="50"/>
        <v/>
      </c>
      <c r="L366" s="7" t="str">
        <f t="shared" si="51"/>
        <v/>
      </c>
      <c r="N366" s="7" t="str">
        <f t="shared" si="52"/>
        <v/>
      </c>
      <c r="O366" t="str">
        <f t="shared" si="53"/>
        <v/>
      </c>
      <c r="P366" t="str">
        <f t="shared" si="54"/>
        <v/>
      </c>
      <c r="Q366" t="str">
        <f t="shared" si="55"/>
        <v/>
      </c>
      <c r="S366" t="str">
        <f>""</f>
        <v/>
      </c>
      <c r="AL366" s="18" t="str">
        <f>IF(COUNTIF($A$2:A365, A365) = 1, A365, "")</f>
        <v/>
      </c>
    </row>
    <row r="367" spans="6:38" x14ac:dyDescent="0.2">
      <c r="F367" t="str">
        <f t="shared" si="50"/>
        <v/>
      </c>
      <c r="L367" s="7" t="str">
        <f t="shared" si="51"/>
        <v/>
      </c>
      <c r="N367" s="7" t="str">
        <f t="shared" si="52"/>
        <v/>
      </c>
      <c r="O367" t="str">
        <f t="shared" si="53"/>
        <v/>
      </c>
      <c r="P367" t="str">
        <f t="shared" si="54"/>
        <v/>
      </c>
      <c r="Q367" t="str">
        <f t="shared" si="55"/>
        <v/>
      </c>
      <c r="S367" t="str">
        <f>""</f>
        <v/>
      </c>
      <c r="AL367" s="18" t="str">
        <f>IF(COUNTIF($A$2:A366, A366) = 1, A366, "")</f>
        <v/>
      </c>
    </row>
    <row r="368" spans="6:38" x14ac:dyDescent="0.2">
      <c r="F368" t="str">
        <f t="shared" si="50"/>
        <v/>
      </c>
      <c r="L368" s="7" t="str">
        <f t="shared" si="51"/>
        <v/>
      </c>
      <c r="N368" s="7" t="str">
        <f t="shared" si="52"/>
        <v/>
      </c>
      <c r="O368" t="str">
        <f t="shared" si="53"/>
        <v/>
      </c>
      <c r="P368" t="str">
        <f t="shared" si="54"/>
        <v/>
      </c>
      <c r="Q368" t="str">
        <f t="shared" si="55"/>
        <v/>
      </c>
      <c r="S368" t="str">
        <f>""</f>
        <v/>
      </c>
      <c r="AL368" s="18" t="str">
        <f>IF(COUNTIF($A$2:A367, A367) = 1, A367, "")</f>
        <v/>
      </c>
    </row>
    <row r="369" spans="6:38" x14ac:dyDescent="0.2">
      <c r="F369" t="str">
        <f t="shared" si="50"/>
        <v/>
      </c>
      <c r="L369" s="7" t="str">
        <f t="shared" si="51"/>
        <v/>
      </c>
      <c r="N369" s="7" t="str">
        <f t="shared" si="52"/>
        <v/>
      </c>
      <c r="O369" t="str">
        <f t="shared" si="53"/>
        <v/>
      </c>
      <c r="P369" t="str">
        <f t="shared" si="54"/>
        <v/>
      </c>
      <c r="Q369" t="str">
        <f t="shared" si="55"/>
        <v/>
      </c>
      <c r="S369" t="str">
        <f>""</f>
        <v/>
      </c>
      <c r="AL369" s="18" t="str">
        <f>IF(COUNTIF($A$2:A368, A368) = 1, A368, "")</f>
        <v/>
      </c>
    </row>
    <row r="370" spans="6:38" x14ac:dyDescent="0.2">
      <c r="F370" t="str">
        <f t="shared" si="50"/>
        <v/>
      </c>
      <c r="L370" s="7" t="str">
        <f t="shared" si="51"/>
        <v/>
      </c>
      <c r="N370" s="7" t="str">
        <f t="shared" si="52"/>
        <v/>
      </c>
      <c r="O370" t="str">
        <f t="shared" si="53"/>
        <v/>
      </c>
      <c r="P370" t="str">
        <f t="shared" si="54"/>
        <v/>
      </c>
      <c r="Q370" t="str">
        <f t="shared" si="55"/>
        <v/>
      </c>
      <c r="S370" t="str">
        <f>""</f>
        <v/>
      </c>
      <c r="AL370" s="18" t="str">
        <f>IF(COUNTIF($A$2:A369, A369) = 1, A369, "")</f>
        <v/>
      </c>
    </row>
    <row r="371" spans="6:38" x14ac:dyDescent="0.2">
      <c r="F371" t="str">
        <f t="shared" si="50"/>
        <v/>
      </c>
      <c r="L371" s="7" t="str">
        <f t="shared" si="51"/>
        <v/>
      </c>
      <c r="N371" s="7" t="str">
        <f t="shared" si="52"/>
        <v/>
      </c>
      <c r="O371" t="str">
        <f t="shared" si="53"/>
        <v/>
      </c>
      <c r="P371" t="str">
        <f t="shared" si="54"/>
        <v/>
      </c>
      <c r="Q371" t="str">
        <f t="shared" si="55"/>
        <v/>
      </c>
      <c r="S371" t="str">
        <f>""</f>
        <v/>
      </c>
      <c r="AL371" s="18" t="str">
        <f>IF(COUNTIF($A$2:A370, A370) = 1, A370, "")</f>
        <v/>
      </c>
    </row>
    <row r="372" spans="6:38" x14ac:dyDescent="0.2">
      <c r="F372" t="str">
        <f t="shared" si="50"/>
        <v/>
      </c>
      <c r="L372" s="7" t="str">
        <f t="shared" si="51"/>
        <v/>
      </c>
      <c r="N372" s="7" t="str">
        <f t="shared" si="52"/>
        <v/>
      </c>
      <c r="O372" t="str">
        <f t="shared" si="53"/>
        <v/>
      </c>
      <c r="P372" t="str">
        <f t="shared" si="54"/>
        <v/>
      </c>
      <c r="Q372" t="str">
        <f t="shared" si="55"/>
        <v/>
      </c>
      <c r="S372" t="str">
        <f>""</f>
        <v/>
      </c>
      <c r="AL372" s="18" t="str">
        <f>IF(COUNTIF($A$2:A371, A371) = 1, A371, "")</f>
        <v/>
      </c>
    </row>
    <row r="373" spans="6:38" x14ac:dyDescent="0.2">
      <c r="F373" t="str">
        <f t="shared" si="50"/>
        <v/>
      </c>
      <c r="L373" s="7" t="str">
        <f t="shared" si="51"/>
        <v/>
      </c>
      <c r="N373" s="7" t="str">
        <f t="shared" si="52"/>
        <v/>
      </c>
      <c r="O373" t="str">
        <f t="shared" si="53"/>
        <v/>
      </c>
      <c r="P373" t="str">
        <f t="shared" si="54"/>
        <v/>
      </c>
      <c r="Q373" t="str">
        <f t="shared" si="55"/>
        <v/>
      </c>
      <c r="S373" t="str">
        <f>""</f>
        <v/>
      </c>
      <c r="AL373" s="18" t="str">
        <f>IF(COUNTIF($A$2:A372, A372) = 1, A372, "")</f>
        <v/>
      </c>
    </row>
    <row r="374" spans="6:38" x14ac:dyDescent="0.2">
      <c r="F374" t="str">
        <f t="shared" si="50"/>
        <v/>
      </c>
      <c r="L374" s="7" t="str">
        <f t="shared" si="51"/>
        <v/>
      </c>
      <c r="N374" s="7" t="str">
        <f t="shared" si="52"/>
        <v/>
      </c>
      <c r="O374" t="str">
        <f t="shared" si="53"/>
        <v/>
      </c>
      <c r="P374" t="str">
        <f t="shared" si="54"/>
        <v/>
      </c>
      <c r="Q374" t="str">
        <f t="shared" si="55"/>
        <v/>
      </c>
      <c r="S374" t="str">
        <f>""</f>
        <v/>
      </c>
      <c r="AL374" s="18" t="str">
        <f>IF(COUNTIF($A$2:A373, A373) = 1, A373, "")</f>
        <v/>
      </c>
    </row>
    <row r="375" spans="6:38" x14ac:dyDescent="0.2">
      <c r="F375" t="str">
        <f t="shared" si="50"/>
        <v/>
      </c>
      <c r="L375" s="7" t="str">
        <f t="shared" si="51"/>
        <v/>
      </c>
      <c r="N375" s="7" t="str">
        <f t="shared" si="52"/>
        <v/>
      </c>
      <c r="O375" t="str">
        <f t="shared" si="53"/>
        <v/>
      </c>
      <c r="P375" t="str">
        <f t="shared" si="54"/>
        <v/>
      </c>
      <c r="Q375" t="str">
        <f t="shared" si="55"/>
        <v/>
      </c>
      <c r="S375" t="str">
        <f>""</f>
        <v/>
      </c>
      <c r="AL375" s="18" t="str">
        <f>IF(COUNTIF($A$2:A374, A374) = 1, A374, "")</f>
        <v/>
      </c>
    </row>
    <row r="376" spans="6:38" x14ac:dyDescent="0.2">
      <c r="F376" t="str">
        <f t="shared" si="50"/>
        <v/>
      </c>
      <c r="L376" s="7" t="str">
        <f t="shared" si="51"/>
        <v/>
      </c>
      <c r="N376" s="7" t="str">
        <f t="shared" si="52"/>
        <v/>
      </c>
      <c r="O376" t="str">
        <f t="shared" si="53"/>
        <v/>
      </c>
      <c r="P376" t="str">
        <f t="shared" si="54"/>
        <v/>
      </c>
      <c r="Q376" t="str">
        <f t="shared" si="55"/>
        <v/>
      </c>
      <c r="S376" t="str">
        <f>""</f>
        <v/>
      </c>
      <c r="AL376" s="18" t="str">
        <f>IF(COUNTIF($A$2:A375, A375) = 1, A375, "")</f>
        <v/>
      </c>
    </row>
    <row r="377" spans="6:38" x14ac:dyDescent="0.2">
      <c r="F377" t="str">
        <f t="shared" si="50"/>
        <v/>
      </c>
      <c r="L377" s="7" t="str">
        <f t="shared" si="51"/>
        <v/>
      </c>
      <c r="N377" s="7" t="str">
        <f t="shared" si="52"/>
        <v/>
      </c>
      <c r="O377" t="str">
        <f t="shared" si="53"/>
        <v/>
      </c>
      <c r="P377" t="str">
        <f t="shared" si="54"/>
        <v/>
      </c>
      <c r="Q377" t="str">
        <f t="shared" si="55"/>
        <v/>
      </c>
      <c r="S377" t="str">
        <f>""</f>
        <v/>
      </c>
      <c r="AL377" s="18" t="str">
        <f>IF(COUNTIF($A$2:A376, A376) = 1, A376, "")</f>
        <v/>
      </c>
    </row>
    <row r="378" spans="6:38" x14ac:dyDescent="0.2">
      <c r="F378" t="str">
        <f t="shared" si="50"/>
        <v/>
      </c>
      <c r="L378" s="7" t="str">
        <f t="shared" si="51"/>
        <v/>
      </c>
      <c r="N378" s="7" t="str">
        <f t="shared" si="52"/>
        <v/>
      </c>
      <c r="O378" t="str">
        <f t="shared" si="53"/>
        <v/>
      </c>
      <c r="P378" t="str">
        <f t="shared" si="54"/>
        <v/>
      </c>
      <c r="Q378" t="str">
        <f t="shared" si="55"/>
        <v/>
      </c>
      <c r="S378" t="str">
        <f>""</f>
        <v/>
      </c>
      <c r="AL378" s="18" t="str">
        <f>IF(COUNTIF($A$2:A377, A377) = 1, A377, "")</f>
        <v/>
      </c>
    </row>
    <row r="379" spans="6:38" x14ac:dyDescent="0.2">
      <c r="F379" t="str">
        <f t="shared" si="50"/>
        <v/>
      </c>
      <c r="L379" s="7" t="str">
        <f t="shared" si="51"/>
        <v/>
      </c>
      <c r="N379" s="7" t="str">
        <f t="shared" si="52"/>
        <v/>
      </c>
      <c r="O379" t="str">
        <f t="shared" si="53"/>
        <v/>
      </c>
      <c r="P379" t="str">
        <f t="shared" si="54"/>
        <v/>
      </c>
      <c r="Q379" t="str">
        <f t="shared" si="55"/>
        <v/>
      </c>
      <c r="S379" t="str">
        <f>""</f>
        <v/>
      </c>
      <c r="AL379" s="18" t="str">
        <f>IF(COUNTIF($A$2:A378, A378) = 1, A378, "")</f>
        <v/>
      </c>
    </row>
    <row r="380" spans="6:38" x14ac:dyDescent="0.2">
      <c r="F380" t="str">
        <f t="shared" si="50"/>
        <v/>
      </c>
      <c r="L380" s="7" t="str">
        <f t="shared" si="51"/>
        <v/>
      </c>
      <c r="N380" s="7" t="str">
        <f t="shared" si="52"/>
        <v/>
      </c>
      <c r="O380" t="str">
        <f t="shared" si="53"/>
        <v/>
      </c>
      <c r="P380" t="str">
        <f t="shared" si="54"/>
        <v/>
      </c>
      <c r="Q380" t="str">
        <f t="shared" si="55"/>
        <v/>
      </c>
      <c r="S380" t="str">
        <f>""</f>
        <v/>
      </c>
      <c r="AL380" s="18" t="str">
        <f>IF(COUNTIF($A$2:A379, A379) = 1, A379, "")</f>
        <v/>
      </c>
    </row>
    <row r="381" spans="6:38" x14ac:dyDescent="0.2">
      <c r="F381" t="str">
        <f t="shared" si="50"/>
        <v/>
      </c>
      <c r="L381" s="7" t="str">
        <f t="shared" si="51"/>
        <v/>
      </c>
      <c r="N381" s="7" t="str">
        <f t="shared" si="52"/>
        <v/>
      </c>
      <c r="O381" t="str">
        <f t="shared" si="53"/>
        <v/>
      </c>
      <c r="P381" t="str">
        <f t="shared" si="54"/>
        <v/>
      </c>
      <c r="Q381" t="str">
        <f t="shared" si="55"/>
        <v/>
      </c>
      <c r="S381" t="str">
        <f>""</f>
        <v/>
      </c>
      <c r="AL381" s="18" t="str">
        <f>IF(COUNTIF($A$2:A380, A380) = 1, A380, "")</f>
        <v/>
      </c>
    </row>
    <row r="382" spans="6:38" x14ac:dyDescent="0.2">
      <c r="F382" t="str">
        <f t="shared" si="50"/>
        <v/>
      </c>
      <c r="L382" s="7" t="str">
        <f t="shared" si="51"/>
        <v/>
      </c>
      <c r="N382" s="7" t="str">
        <f t="shared" si="52"/>
        <v/>
      </c>
      <c r="O382" t="str">
        <f t="shared" si="53"/>
        <v/>
      </c>
      <c r="P382" t="str">
        <f t="shared" si="54"/>
        <v/>
      </c>
      <c r="Q382" t="str">
        <f t="shared" si="55"/>
        <v/>
      </c>
      <c r="S382" t="str">
        <f>""</f>
        <v/>
      </c>
      <c r="AL382" s="18" t="str">
        <f>IF(COUNTIF($A$2:A381, A381) = 1, A381, "")</f>
        <v/>
      </c>
    </row>
    <row r="383" spans="6:38" x14ac:dyDescent="0.2">
      <c r="F383" t="str">
        <f t="shared" si="50"/>
        <v/>
      </c>
      <c r="L383" s="7" t="str">
        <f t="shared" si="51"/>
        <v/>
      </c>
      <c r="N383" s="7" t="str">
        <f t="shared" si="52"/>
        <v/>
      </c>
      <c r="O383" t="str">
        <f t="shared" si="53"/>
        <v/>
      </c>
      <c r="P383" t="str">
        <f t="shared" si="54"/>
        <v/>
      </c>
      <c r="Q383" t="str">
        <f t="shared" si="55"/>
        <v/>
      </c>
      <c r="S383" t="str">
        <f>""</f>
        <v/>
      </c>
      <c r="AL383" s="18" t="str">
        <f>IF(COUNTIF($A$2:A382, A382) = 1, A382, "")</f>
        <v/>
      </c>
    </row>
    <row r="384" spans="6:38" x14ac:dyDescent="0.2">
      <c r="F384" t="str">
        <f t="shared" si="50"/>
        <v/>
      </c>
      <c r="L384" s="7" t="str">
        <f t="shared" si="51"/>
        <v/>
      </c>
      <c r="N384" s="7" t="str">
        <f t="shared" si="52"/>
        <v/>
      </c>
      <c r="O384" t="str">
        <f t="shared" si="53"/>
        <v/>
      </c>
      <c r="P384" t="str">
        <f t="shared" si="54"/>
        <v/>
      </c>
      <c r="Q384" t="str">
        <f t="shared" si="55"/>
        <v/>
      </c>
      <c r="S384" t="str">
        <f>""</f>
        <v/>
      </c>
      <c r="AL384" s="18" t="str">
        <f>IF(COUNTIF($A$2:A383, A383) = 1, A383, "")</f>
        <v/>
      </c>
    </row>
    <row r="385" spans="6:38" x14ac:dyDescent="0.2">
      <c r="F385" t="str">
        <f t="shared" si="50"/>
        <v/>
      </c>
      <c r="L385" s="7" t="str">
        <f t="shared" si="51"/>
        <v/>
      </c>
      <c r="N385" s="7" t="str">
        <f t="shared" si="52"/>
        <v/>
      </c>
      <c r="O385" t="str">
        <f t="shared" si="53"/>
        <v/>
      </c>
      <c r="P385" t="str">
        <f t="shared" si="54"/>
        <v/>
      </c>
      <c r="Q385" t="str">
        <f t="shared" si="55"/>
        <v/>
      </c>
      <c r="S385" t="str">
        <f>""</f>
        <v/>
      </c>
      <c r="AL385" s="18" t="str">
        <f>IF(COUNTIF($A$2:A384, A384) = 1, A384, "")</f>
        <v/>
      </c>
    </row>
    <row r="386" spans="6:38" x14ac:dyDescent="0.2">
      <c r="F386" t="str">
        <f t="shared" si="50"/>
        <v/>
      </c>
      <c r="L386" s="7" t="str">
        <f t="shared" si="51"/>
        <v/>
      </c>
      <c r="N386" s="7" t="str">
        <f t="shared" si="52"/>
        <v/>
      </c>
      <c r="O386" t="str">
        <f t="shared" si="53"/>
        <v/>
      </c>
      <c r="P386" t="str">
        <f t="shared" si="54"/>
        <v/>
      </c>
      <c r="Q386" t="str">
        <f t="shared" si="55"/>
        <v/>
      </c>
      <c r="S386" t="str">
        <f>""</f>
        <v/>
      </c>
      <c r="AL386" s="18" t="str">
        <f>IF(COUNTIF($A$2:A385, A385) = 1, A385, "")</f>
        <v/>
      </c>
    </row>
    <row r="387" spans="6:38" x14ac:dyDescent="0.2">
      <c r="F387" t="str">
        <f t="shared" si="50"/>
        <v/>
      </c>
      <c r="L387" s="7" t="str">
        <f t="shared" si="51"/>
        <v/>
      </c>
      <c r="N387" s="7" t="str">
        <f t="shared" si="52"/>
        <v/>
      </c>
      <c r="O387" t="str">
        <f t="shared" si="53"/>
        <v/>
      </c>
      <c r="P387" t="str">
        <f t="shared" si="54"/>
        <v/>
      </c>
      <c r="Q387" t="str">
        <f t="shared" si="55"/>
        <v/>
      </c>
      <c r="S387" t="str">
        <f>""</f>
        <v/>
      </c>
      <c r="AL387" s="18" t="str">
        <f>IF(COUNTIF($A$2:A386, A386) = 1, A386, "")</f>
        <v/>
      </c>
    </row>
    <row r="388" spans="6:38" x14ac:dyDescent="0.2">
      <c r="F388" t="str">
        <f t="shared" si="50"/>
        <v/>
      </c>
      <c r="L388" s="7" t="str">
        <f t="shared" si="51"/>
        <v/>
      </c>
      <c r="N388" s="7" t="str">
        <f t="shared" si="52"/>
        <v/>
      </c>
      <c r="O388" t="str">
        <f t="shared" si="53"/>
        <v/>
      </c>
      <c r="P388" t="str">
        <f t="shared" si="54"/>
        <v/>
      </c>
      <c r="Q388" t="str">
        <f t="shared" si="55"/>
        <v/>
      </c>
      <c r="S388" t="str">
        <f>""</f>
        <v/>
      </c>
      <c r="AL388" s="18" t="str">
        <f>IF(COUNTIF($A$2:A387, A387) = 1, A387, "")</f>
        <v/>
      </c>
    </row>
    <row r="389" spans="6:38" x14ac:dyDescent="0.2">
      <c r="F389" t="str">
        <f t="shared" si="50"/>
        <v/>
      </c>
      <c r="L389" s="7" t="str">
        <f t="shared" si="51"/>
        <v/>
      </c>
      <c r="N389" s="7" t="str">
        <f t="shared" si="52"/>
        <v/>
      </c>
      <c r="O389" t="str">
        <f t="shared" si="53"/>
        <v/>
      </c>
      <c r="P389" t="str">
        <f t="shared" si="54"/>
        <v/>
      </c>
      <c r="Q389" t="str">
        <f t="shared" si="55"/>
        <v/>
      </c>
      <c r="S389" t="str">
        <f>""</f>
        <v/>
      </c>
      <c r="AL389" s="18" t="str">
        <f>IF(COUNTIF($A$2:A388, A388) = 1, A388, "")</f>
        <v/>
      </c>
    </row>
    <row r="390" spans="6:38" x14ac:dyDescent="0.2">
      <c r="F390" t="str">
        <f t="shared" si="50"/>
        <v/>
      </c>
      <c r="L390" s="7" t="str">
        <f t="shared" si="51"/>
        <v/>
      </c>
      <c r="N390" s="7" t="str">
        <f t="shared" si="52"/>
        <v/>
      </c>
      <c r="O390" t="str">
        <f t="shared" si="53"/>
        <v/>
      </c>
      <c r="P390" t="str">
        <f t="shared" si="54"/>
        <v/>
      </c>
      <c r="Q390" t="str">
        <f t="shared" si="55"/>
        <v/>
      </c>
      <c r="S390" t="str">
        <f>""</f>
        <v/>
      </c>
      <c r="AL390" s="18" t="str">
        <f>IF(COUNTIF($A$2:A389, A389) = 1, A389, "")</f>
        <v/>
      </c>
    </row>
    <row r="391" spans="6:38" x14ac:dyDescent="0.2">
      <c r="F391" t="str">
        <f t="shared" si="50"/>
        <v/>
      </c>
      <c r="L391" s="7" t="str">
        <f t="shared" si="51"/>
        <v/>
      </c>
      <c r="N391" s="7" t="str">
        <f t="shared" si="52"/>
        <v/>
      </c>
      <c r="O391" t="str">
        <f t="shared" si="53"/>
        <v/>
      </c>
      <c r="P391" t="str">
        <f t="shared" si="54"/>
        <v/>
      </c>
      <c r="Q391" t="str">
        <f t="shared" si="55"/>
        <v/>
      </c>
      <c r="S391" t="str">
        <f>""</f>
        <v/>
      </c>
      <c r="AL391" s="18" t="str">
        <f>IF(COUNTIF($A$2:A390, A390) = 1, A390, "")</f>
        <v/>
      </c>
    </row>
    <row r="392" spans="6:38" x14ac:dyDescent="0.2">
      <c r="F392" t="str">
        <f t="shared" si="50"/>
        <v/>
      </c>
      <c r="L392" s="7" t="str">
        <f t="shared" si="51"/>
        <v/>
      </c>
      <c r="N392" s="7" t="str">
        <f t="shared" si="52"/>
        <v/>
      </c>
      <c r="O392" t="str">
        <f t="shared" si="53"/>
        <v/>
      </c>
      <c r="P392" t="str">
        <f t="shared" si="54"/>
        <v/>
      </c>
      <c r="Q392" t="str">
        <f t="shared" si="55"/>
        <v/>
      </c>
      <c r="S392" t="str">
        <f>""</f>
        <v/>
      </c>
      <c r="AL392" s="18" t="str">
        <f>IF(COUNTIF($A$2:A391, A391) = 1, A391, "")</f>
        <v/>
      </c>
    </row>
    <row r="393" spans="6:38" x14ac:dyDescent="0.2">
      <c r="F393" t="str">
        <f t="shared" si="50"/>
        <v/>
      </c>
      <c r="L393" s="7" t="str">
        <f t="shared" si="51"/>
        <v/>
      </c>
      <c r="N393" s="7" t="str">
        <f t="shared" si="52"/>
        <v/>
      </c>
      <c r="O393" t="str">
        <f t="shared" si="53"/>
        <v/>
      </c>
      <c r="P393" t="str">
        <f t="shared" si="54"/>
        <v/>
      </c>
      <c r="Q393" t="str">
        <f t="shared" si="55"/>
        <v/>
      </c>
      <c r="S393" t="str">
        <f>""</f>
        <v/>
      </c>
      <c r="AL393" s="18" t="str">
        <f>IF(COUNTIF($A$2:A392, A392) = 1, A392, "")</f>
        <v/>
      </c>
    </row>
    <row r="394" spans="6:38" x14ac:dyDescent="0.2">
      <c r="F394" t="str">
        <f t="shared" si="50"/>
        <v/>
      </c>
      <c r="L394" s="7" t="str">
        <f t="shared" si="51"/>
        <v/>
      </c>
      <c r="N394" s="7" t="str">
        <f t="shared" si="52"/>
        <v/>
      </c>
      <c r="O394" t="str">
        <f t="shared" si="53"/>
        <v/>
      </c>
      <c r="P394" t="str">
        <f t="shared" si="54"/>
        <v/>
      </c>
      <c r="Q394" t="str">
        <f t="shared" si="55"/>
        <v/>
      </c>
      <c r="S394" t="str">
        <f>""</f>
        <v/>
      </c>
      <c r="AL394" s="18" t="str">
        <f>IF(COUNTIF($A$2:A393, A393) = 1, A393, "")</f>
        <v/>
      </c>
    </row>
    <row r="395" spans="6:38" x14ac:dyDescent="0.2">
      <c r="F395" t="str">
        <f t="shared" si="50"/>
        <v/>
      </c>
      <c r="L395" s="7" t="str">
        <f t="shared" si="51"/>
        <v/>
      </c>
      <c r="N395" s="7" t="str">
        <f t="shared" si="52"/>
        <v/>
      </c>
      <c r="O395" t="str">
        <f t="shared" si="53"/>
        <v/>
      </c>
      <c r="P395" t="str">
        <f t="shared" si="54"/>
        <v/>
      </c>
      <c r="Q395" t="str">
        <f t="shared" si="55"/>
        <v/>
      </c>
      <c r="S395" t="str">
        <f>""</f>
        <v/>
      </c>
      <c r="AL395" s="18" t="str">
        <f>IF(COUNTIF($A$2:A394, A394) = 1, A394, "")</f>
        <v/>
      </c>
    </row>
    <row r="396" spans="6:38" x14ac:dyDescent="0.2">
      <c r="F396" t="str">
        <f t="shared" si="50"/>
        <v/>
      </c>
      <c r="L396" s="7" t="str">
        <f t="shared" si="51"/>
        <v/>
      </c>
      <c r="N396" s="7" t="str">
        <f t="shared" si="52"/>
        <v/>
      </c>
      <c r="O396" t="str">
        <f t="shared" si="53"/>
        <v/>
      </c>
      <c r="P396" t="str">
        <f t="shared" si="54"/>
        <v/>
      </c>
      <c r="Q396" t="str">
        <f t="shared" si="55"/>
        <v/>
      </c>
      <c r="S396" t="str">
        <f>""</f>
        <v/>
      </c>
      <c r="AL396" s="18" t="str">
        <f>IF(COUNTIF($A$2:A395, A395) = 1, A395, "")</f>
        <v/>
      </c>
    </row>
    <row r="397" spans="6:38" x14ac:dyDescent="0.2">
      <c r="F397" t="str">
        <f t="shared" si="50"/>
        <v/>
      </c>
      <c r="L397" s="7" t="str">
        <f t="shared" si="51"/>
        <v/>
      </c>
      <c r="N397" s="7" t="str">
        <f t="shared" si="52"/>
        <v/>
      </c>
      <c r="O397" t="str">
        <f t="shared" si="53"/>
        <v/>
      </c>
      <c r="P397" t="str">
        <f t="shared" si="54"/>
        <v/>
      </c>
      <c r="Q397" t="str">
        <f t="shared" si="55"/>
        <v/>
      </c>
      <c r="S397" t="str">
        <f>""</f>
        <v/>
      </c>
      <c r="AL397" s="18" t="str">
        <f>IF(COUNTIF($A$2:A396, A396) = 1, A396, "")</f>
        <v/>
      </c>
    </row>
    <row r="398" spans="6:38" x14ac:dyDescent="0.2">
      <c r="F398" t="str">
        <f t="shared" si="50"/>
        <v/>
      </c>
      <c r="L398" s="7" t="str">
        <f t="shared" si="51"/>
        <v/>
      </c>
      <c r="N398" s="7" t="str">
        <f t="shared" si="52"/>
        <v/>
      </c>
      <c r="O398" t="str">
        <f t="shared" si="53"/>
        <v/>
      </c>
      <c r="P398" t="str">
        <f t="shared" si="54"/>
        <v/>
      </c>
      <c r="Q398" t="str">
        <f t="shared" si="55"/>
        <v/>
      </c>
      <c r="S398" t="str">
        <f>""</f>
        <v/>
      </c>
      <c r="AL398" s="18" t="str">
        <f>IF(COUNTIF($A$2:A397, A397) = 1, A397, "")</f>
        <v/>
      </c>
    </row>
    <row r="399" spans="6:38" x14ac:dyDescent="0.2">
      <c r="F399" t="str">
        <f t="shared" si="50"/>
        <v/>
      </c>
      <c r="L399" s="7" t="str">
        <f t="shared" si="51"/>
        <v/>
      </c>
      <c r="N399" s="7" t="str">
        <f t="shared" si="52"/>
        <v/>
      </c>
      <c r="O399" t="str">
        <f t="shared" si="53"/>
        <v/>
      </c>
      <c r="P399" t="str">
        <f t="shared" si="54"/>
        <v/>
      </c>
      <c r="Q399" t="str">
        <f t="shared" si="55"/>
        <v/>
      </c>
      <c r="S399" t="str">
        <f>""</f>
        <v/>
      </c>
      <c r="AL399" s="18" t="str">
        <f>IF(COUNTIF($A$2:A398, A398) = 1, A398, "")</f>
        <v/>
      </c>
    </row>
    <row r="400" spans="6:38" x14ac:dyDescent="0.2">
      <c r="F400" t="str">
        <f t="shared" ref="F400:F463" si="56">IF(OR(O400="", P400=""), "", SUM(IF((O400&lt;&gt;"None")*(O400&lt;&gt;""),LEN(O400)-LEN(SUBSTITUTE(O400,",",""))+1,0)) + SUM(IF((P400&lt;&gt;"None")*(P400&lt;&gt;""),LEN(P400)-LEN(SUBSTITUTE(P400,",",""))+1,0)))</f>
        <v/>
      </c>
      <c r="L400" s="7" t="str">
        <f t="shared" ref="L400:L463" si="57">IF(LEN(E400)=0, "", IFERROR(IF(E400&gt;=0, K400 * (1 + E400/100) - K400, K400 / (ABS(E400)/100))+K400, ""))</f>
        <v/>
      </c>
      <c r="N400" s="7" t="str">
        <f t="shared" ref="N400:N463" si="58">IF(M400="Yes",L400-K400,IF(M400="No",-K400,""))</f>
        <v/>
      </c>
      <c r="O400" t="str">
        <f t="shared" ref="O400:O463" si="59">IF(AND(G400="No",H400="No"), "None", "")</f>
        <v/>
      </c>
      <c r="P400" t="str">
        <f t="shared" ref="P400:P463" si="60">IF(I400="No", "None", "")</f>
        <v/>
      </c>
      <c r="Q400" t="str">
        <f t="shared" ref="Q400:Q463" si="61">IF(AND(D400="Straight", M400 = "No"),IF(O400="None",P400,IF(P400="None",O400) ),"")</f>
        <v/>
      </c>
      <c r="S400" t="str">
        <f>""</f>
        <v/>
      </c>
      <c r="AL400" s="18" t="str">
        <f>IF(COUNTIF($A$2:A399, A399) = 1, A399, "")</f>
        <v/>
      </c>
    </row>
    <row r="401" spans="6:38" x14ac:dyDescent="0.2">
      <c r="F401" t="str">
        <f t="shared" si="56"/>
        <v/>
      </c>
      <c r="L401" s="7" t="str">
        <f t="shared" si="57"/>
        <v/>
      </c>
      <c r="N401" s="7" t="str">
        <f t="shared" si="58"/>
        <v/>
      </c>
      <c r="O401" t="str">
        <f t="shared" si="59"/>
        <v/>
      </c>
      <c r="P401" t="str">
        <f t="shared" si="60"/>
        <v/>
      </c>
      <c r="Q401" t="str">
        <f t="shared" si="61"/>
        <v/>
      </c>
      <c r="S401" t="str">
        <f>""</f>
        <v/>
      </c>
      <c r="AL401" s="18" t="str">
        <f>IF(COUNTIF($A$2:A400, A400) = 1, A400, "")</f>
        <v/>
      </c>
    </row>
    <row r="402" spans="6:38" x14ac:dyDescent="0.2">
      <c r="F402" t="str">
        <f t="shared" si="56"/>
        <v/>
      </c>
      <c r="L402" s="7" t="str">
        <f t="shared" si="57"/>
        <v/>
      </c>
      <c r="N402" s="7" t="str">
        <f t="shared" si="58"/>
        <v/>
      </c>
      <c r="O402" t="str">
        <f t="shared" si="59"/>
        <v/>
      </c>
      <c r="P402" t="str">
        <f t="shared" si="60"/>
        <v/>
      </c>
      <c r="Q402" t="str">
        <f t="shared" si="61"/>
        <v/>
      </c>
      <c r="S402" t="str">
        <f>""</f>
        <v/>
      </c>
      <c r="AL402" s="18" t="str">
        <f>IF(COUNTIF($A$2:A401, A401) = 1, A401, "")</f>
        <v/>
      </c>
    </row>
    <row r="403" spans="6:38" x14ac:dyDescent="0.2">
      <c r="F403" t="str">
        <f t="shared" si="56"/>
        <v/>
      </c>
      <c r="L403" s="7" t="str">
        <f t="shared" si="57"/>
        <v/>
      </c>
      <c r="N403" s="7" t="str">
        <f t="shared" si="58"/>
        <v/>
      </c>
      <c r="O403" t="str">
        <f t="shared" si="59"/>
        <v/>
      </c>
      <c r="P403" t="str">
        <f t="shared" si="60"/>
        <v/>
      </c>
      <c r="Q403" t="str">
        <f t="shared" si="61"/>
        <v/>
      </c>
      <c r="S403" t="str">
        <f>""</f>
        <v/>
      </c>
      <c r="AL403" s="18" t="str">
        <f>IF(COUNTIF($A$2:A402, A402) = 1, A402, "")</f>
        <v/>
      </c>
    </row>
    <row r="404" spans="6:38" x14ac:dyDescent="0.2">
      <c r="F404" t="str">
        <f t="shared" si="56"/>
        <v/>
      </c>
      <c r="L404" s="7" t="str">
        <f t="shared" si="57"/>
        <v/>
      </c>
      <c r="N404" s="7" t="str">
        <f t="shared" si="58"/>
        <v/>
      </c>
      <c r="O404" t="str">
        <f t="shared" si="59"/>
        <v/>
      </c>
      <c r="P404" t="str">
        <f t="shared" si="60"/>
        <v/>
      </c>
      <c r="Q404" t="str">
        <f t="shared" si="61"/>
        <v/>
      </c>
      <c r="S404" t="str">
        <f>""</f>
        <v/>
      </c>
      <c r="AL404" s="18" t="str">
        <f>IF(COUNTIF($A$2:A403, A403) = 1, A403, "")</f>
        <v/>
      </c>
    </row>
    <row r="405" spans="6:38" x14ac:dyDescent="0.2">
      <c r="F405" t="str">
        <f t="shared" si="56"/>
        <v/>
      </c>
      <c r="L405" s="7" t="str">
        <f t="shared" si="57"/>
        <v/>
      </c>
      <c r="N405" s="7" t="str">
        <f t="shared" si="58"/>
        <v/>
      </c>
      <c r="O405" t="str">
        <f t="shared" si="59"/>
        <v/>
      </c>
      <c r="P405" t="str">
        <f t="shared" si="60"/>
        <v/>
      </c>
      <c r="Q405" t="str">
        <f t="shared" si="61"/>
        <v/>
      </c>
      <c r="S405" t="str">
        <f>""</f>
        <v/>
      </c>
      <c r="AL405" s="18" t="str">
        <f>IF(COUNTIF($A$2:A404, A404) = 1, A404, "")</f>
        <v/>
      </c>
    </row>
    <row r="406" spans="6:38" x14ac:dyDescent="0.2">
      <c r="F406" t="str">
        <f t="shared" si="56"/>
        <v/>
      </c>
      <c r="L406" s="7" t="str">
        <f t="shared" si="57"/>
        <v/>
      </c>
      <c r="N406" s="7" t="str">
        <f t="shared" si="58"/>
        <v/>
      </c>
      <c r="O406" t="str">
        <f t="shared" si="59"/>
        <v/>
      </c>
      <c r="P406" t="str">
        <f t="shared" si="60"/>
        <v/>
      </c>
      <c r="Q406" t="str">
        <f t="shared" si="61"/>
        <v/>
      </c>
      <c r="S406" t="str">
        <f>""</f>
        <v/>
      </c>
      <c r="AL406" s="18" t="str">
        <f>IF(COUNTIF($A$2:A405, A405) = 1, A405, "")</f>
        <v/>
      </c>
    </row>
    <row r="407" spans="6:38" x14ac:dyDescent="0.2">
      <c r="F407" t="str">
        <f t="shared" si="56"/>
        <v/>
      </c>
      <c r="L407" s="7" t="str">
        <f t="shared" si="57"/>
        <v/>
      </c>
      <c r="N407" s="7" t="str">
        <f t="shared" si="58"/>
        <v/>
      </c>
      <c r="O407" t="str">
        <f t="shared" si="59"/>
        <v/>
      </c>
      <c r="P407" t="str">
        <f t="shared" si="60"/>
        <v/>
      </c>
      <c r="Q407" t="str">
        <f t="shared" si="61"/>
        <v/>
      </c>
      <c r="S407" t="str">
        <f>""</f>
        <v/>
      </c>
      <c r="AL407" s="18" t="str">
        <f>IF(COUNTIF($A$2:A406, A406) = 1, A406, "")</f>
        <v/>
      </c>
    </row>
    <row r="408" spans="6:38" x14ac:dyDescent="0.2">
      <c r="F408" t="str">
        <f t="shared" si="56"/>
        <v/>
      </c>
      <c r="L408" s="7" t="str">
        <f t="shared" si="57"/>
        <v/>
      </c>
      <c r="N408" s="7" t="str">
        <f t="shared" si="58"/>
        <v/>
      </c>
      <c r="O408" t="str">
        <f t="shared" si="59"/>
        <v/>
      </c>
      <c r="P408" t="str">
        <f t="shared" si="60"/>
        <v/>
      </c>
      <c r="Q408" t="str">
        <f t="shared" si="61"/>
        <v/>
      </c>
      <c r="S408" t="str">
        <f>""</f>
        <v/>
      </c>
      <c r="AL408" s="18" t="str">
        <f>IF(COUNTIF($A$2:A407, A407) = 1, A407, "")</f>
        <v/>
      </c>
    </row>
    <row r="409" spans="6:38" x14ac:dyDescent="0.2">
      <c r="F409" t="str">
        <f t="shared" si="56"/>
        <v/>
      </c>
      <c r="L409" s="7" t="str">
        <f t="shared" si="57"/>
        <v/>
      </c>
      <c r="N409" s="7" t="str">
        <f t="shared" si="58"/>
        <v/>
      </c>
      <c r="O409" t="str">
        <f t="shared" si="59"/>
        <v/>
      </c>
      <c r="P409" t="str">
        <f t="shared" si="60"/>
        <v/>
      </c>
      <c r="Q409" t="str">
        <f t="shared" si="61"/>
        <v/>
      </c>
      <c r="S409" t="str">
        <f>""</f>
        <v/>
      </c>
      <c r="AL409" s="18" t="str">
        <f>IF(COUNTIF($A$2:A408, A408) = 1, A408, "")</f>
        <v/>
      </c>
    </row>
    <row r="410" spans="6:38" x14ac:dyDescent="0.2">
      <c r="F410" t="str">
        <f t="shared" si="56"/>
        <v/>
      </c>
      <c r="L410" s="7" t="str">
        <f t="shared" si="57"/>
        <v/>
      </c>
      <c r="N410" s="7" t="str">
        <f t="shared" si="58"/>
        <v/>
      </c>
      <c r="O410" t="str">
        <f t="shared" si="59"/>
        <v/>
      </c>
      <c r="P410" t="str">
        <f t="shared" si="60"/>
        <v/>
      </c>
      <c r="Q410" t="str">
        <f t="shared" si="61"/>
        <v/>
      </c>
      <c r="S410" t="str">
        <f>""</f>
        <v/>
      </c>
      <c r="AL410" s="18" t="str">
        <f>IF(COUNTIF($A$2:A409, A409) = 1, A409, "")</f>
        <v/>
      </c>
    </row>
    <row r="411" spans="6:38" x14ac:dyDescent="0.2">
      <c r="F411" t="str">
        <f t="shared" si="56"/>
        <v/>
      </c>
      <c r="L411" s="7" t="str">
        <f t="shared" si="57"/>
        <v/>
      </c>
      <c r="N411" s="7" t="str">
        <f t="shared" si="58"/>
        <v/>
      </c>
      <c r="O411" t="str">
        <f t="shared" si="59"/>
        <v/>
      </c>
      <c r="P411" t="str">
        <f t="shared" si="60"/>
        <v/>
      </c>
      <c r="Q411" t="str">
        <f t="shared" si="61"/>
        <v/>
      </c>
      <c r="S411" t="str">
        <f>""</f>
        <v/>
      </c>
      <c r="AL411" s="18" t="str">
        <f>IF(COUNTIF($A$2:A410, A410) = 1, A410, "")</f>
        <v/>
      </c>
    </row>
    <row r="412" spans="6:38" x14ac:dyDescent="0.2">
      <c r="F412" t="str">
        <f t="shared" si="56"/>
        <v/>
      </c>
      <c r="L412" s="7" t="str">
        <f t="shared" si="57"/>
        <v/>
      </c>
      <c r="N412" s="7" t="str">
        <f t="shared" si="58"/>
        <v/>
      </c>
      <c r="O412" t="str">
        <f t="shared" si="59"/>
        <v/>
      </c>
      <c r="P412" t="str">
        <f t="shared" si="60"/>
        <v/>
      </c>
      <c r="Q412" t="str">
        <f t="shared" si="61"/>
        <v/>
      </c>
      <c r="S412" t="str">
        <f>""</f>
        <v/>
      </c>
      <c r="AL412" s="18" t="str">
        <f>IF(COUNTIF($A$2:A411, A411) = 1, A411, "")</f>
        <v/>
      </c>
    </row>
    <row r="413" spans="6:38" x14ac:dyDescent="0.2">
      <c r="F413" t="str">
        <f t="shared" si="56"/>
        <v/>
      </c>
      <c r="L413" s="7" t="str">
        <f t="shared" si="57"/>
        <v/>
      </c>
      <c r="N413" s="7" t="str">
        <f t="shared" si="58"/>
        <v/>
      </c>
      <c r="O413" t="str">
        <f t="shared" si="59"/>
        <v/>
      </c>
      <c r="P413" t="str">
        <f t="shared" si="60"/>
        <v/>
      </c>
      <c r="Q413" t="str">
        <f t="shared" si="61"/>
        <v/>
      </c>
      <c r="S413" t="str">
        <f>""</f>
        <v/>
      </c>
      <c r="AL413" s="18" t="str">
        <f>IF(COUNTIF($A$2:A412, A412) = 1, A412, "")</f>
        <v/>
      </c>
    </row>
    <row r="414" spans="6:38" x14ac:dyDescent="0.2">
      <c r="F414" t="str">
        <f t="shared" si="56"/>
        <v/>
      </c>
      <c r="L414" s="7" t="str">
        <f t="shared" si="57"/>
        <v/>
      </c>
      <c r="N414" s="7" t="str">
        <f t="shared" si="58"/>
        <v/>
      </c>
      <c r="O414" t="str">
        <f t="shared" si="59"/>
        <v/>
      </c>
      <c r="P414" t="str">
        <f t="shared" si="60"/>
        <v/>
      </c>
      <c r="Q414" t="str">
        <f t="shared" si="61"/>
        <v/>
      </c>
      <c r="S414" t="str">
        <f>""</f>
        <v/>
      </c>
      <c r="AL414" s="18" t="str">
        <f>IF(COUNTIF($A$2:A413, A413) = 1, A413, "")</f>
        <v/>
      </c>
    </row>
    <row r="415" spans="6:38" x14ac:dyDescent="0.2">
      <c r="F415" t="str">
        <f t="shared" si="56"/>
        <v/>
      </c>
      <c r="L415" s="7" t="str">
        <f t="shared" si="57"/>
        <v/>
      </c>
      <c r="N415" s="7" t="str">
        <f t="shared" si="58"/>
        <v/>
      </c>
      <c r="O415" t="str">
        <f t="shared" si="59"/>
        <v/>
      </c>
      <c r="P415" t="str">
        <f t="shared" si="60"/>
        <v/>
      </c>
      <c r="Q415" t="str">
        <f t="shared" si="61"/>
        <v/>
      </c>
      <c r="S415" t="str">
        <f>""</f>
        <v/>
      </c>
      <c r="AL415" s="18" t="str">
        <f>IF(COUNTIF($A$2:A414, A414) = 1, A414, "")</f>
        <v/>
      </c>
    </row>
    <row r="416" spans="6:38" x14ac:dyDescent="0.2">
      <c r="F416" t="str">
        <f t="shared" si="56"/>
        <v/>
      </c>
      <c r="L416" s="7" t="str">
        <f t="shared" si="57"/>
        <v/>
      </c>
      <c r="N416" s="7" t="str">
        <f t="shared" si="58"/>
        <v/>
      </c>
      <c r="O416" t="str">
        <f t="shared" si="59"/>
        <v/>
      </c>
      <c r="P416" t="str">
        <f t="shared" si="60"/>
        <v/>
      </c>
      <c r="Q416" t="str">
        <f t="shared" si="61"/>
        <v/>
      </c>
      <c r="S416" t="str">
        <f>""</f>
        <v/>
      </c>
      <c r="AL416" s="18" t="str">
        <f>IF(COUNTIF($A$2:A415, A415) = 1, A415, "")</f>
        <v/>
      </c>
    </row>
    <row r="417" spans="6:38" x14ac:dyDescent="0.2">
      <c r="F417" t="str">
        <f t="shared" si="56"/>
        <v/>
      </c>
      <c r="L417" s="7" t="str">
        <f t="shared" si="57"/>
        <v/>
      </c>
      <c r="N417" s="7" t="str">
        <f t="shared" si="58"/>
        <v/>
      </c>
      <c r="O417" t="str">
        <f t="shared" si="59"/>
        <v/>
      </c>
      <c r="P417" t="str">
        <f t="shared" si="60"/>
        <v/>
      </c>
      <c r="Q417" t="str">
        <f t="shared" si="61"/>
        <v/>
      </c>
      <c r="S417" t="str">
        <f>""</f>
        <v/>
      </c>
      <c r="AL417" s="18" t="str">
        <f>IF(COUNTIF($A$2:A416, A416) = 1, A416, "")</f>
        <v/>
      </c>
    </row>
    <row r="418" spans="6:38" x14ac:dyDescent="0.2">
      <c r="F418" t="str">
        <f t="shared" si="56"/>
        <v/>
      </c>
      <c r="L418" s="7" t="str">
        <f t="shared" si="57"/>
        <v/>
      </c>
      <c r="N418" s="7" t="str">
        <f t="shared" si="58"/>
        <v/>
      </c>
      <c r="O418" t="str">
        <f t="shared" si="59"/>
        <v/>
      </c>
      <c r="P418" t="str">
        <f t="shared" si="60"/>
        <v/>
      </c>
      <c r="Q418" t="str">
        <f t="shared" si="61"/>
        <v/>
      </c>
      <c r="S418" t="str">
        <f>""</f>
        <v/>
      </c>
      <c r="AL418" s="18" t="str">
        <f>IF(COUNTIF($A$2:A417, A417) = 1, A417, "")</f>
        <v/>
      </c>
    </row>
    <row r="419" spans="6:38" x14ac:dyDescent="0.2">
      <c r="F419" t="str">
        <f t="shared" si="56"/>
        <v/>
      </c>
      <c r="L419" s="7" t="str">
        <f t="shared" si="57"/>
        <v/>
      </c>
      <c r="N419" s="7" t="str">
        <f t="shared" si="58"/>
        <v/>
      </c>
      <c r="O419" t="str">
        <f t="shared" si="59"/>
        <v/>
      </c>
      <c r="P419" t="str">
        <f t="shared" si="60"/>
        <v/>
      </c>
      <c r="Q419" t="str">
        <f t="shared" si="61"/>
        <v/>
      </c>
      <c r="S419" t="str">
        <f>""</f>
        <v/>
      </c>
      <c r="AL419" s="18" t="str">
        <f>IF(COUNTIF($A$2:A418, A418) = 1, A418, "")</f>
        <v/>
      </c>
    </row>
    <row r="420" spans="6:38" x14ac:dyDescent="0.2">
      <c r="F420" t="str">
        <f t="shared" si="56"/>
        <v/>
      </c>
      <c r="L420" s="7" t="str">
        <f t="shared" si="57"/>
        <v/>
      </c>
      <c r="N420" s="7" t="str">
        <f t="shared" si="58"/>
        <v/>
      </c>
      <c r="O420" t="str">
        <f t="shared" si="59"/>
        <v/>
      </c>
      <c r="P420" t="str">
        <f t="shared" si="60"/>
        <v/>
      </c>
      <c r="Q420" t="str">
        <f t="shared" si="61"/>
        <v/>
      </c>
      <c r="S420" t="str">
        <f>""</f>
        <v/>
      </c>
      <c r="AL420" s="18" t="str">
        <f>IF(COUNTIF($A$2:A419, A419) = 1, A419, "")</f>
        <v/>
      </c>
    </row>
    <row r="421" spans="6:38" x14ac:dyDescent="0.2">
      <c r="F421" t="str">
        <f t="shared" si="56"/>
        <v/>
      </c>
      <c r="L421" s="7" t="str">
        <f t="shared" si="57"/>
        <v/>
      </c>
      <c r="N421" s="7" t="str">
        <f t="shared" si="58"/>
        <v/>
      </c>
      <c r="O421" t="str">
        <f t="shared" si="59"/>
        <v/>
      </c>
      <c r="P421" t="str">
        <f t="shared" si="60"/>
        <v/>
      </c>
      <c r="Q421" t="str">
        <f t="shared" si="61"/>
        <v/>
      </c>
      <c r="S421" t="str">
        <f>""</f>
        <v/>
      </c>
      <c r="AL421" s="18" t="str">
        <f>IF(COUNTIF($A$2:A420, A420) = 1, A420, "")</f>
        <v/>
      </c>
    </row>
    <row r="422" spans="6:38" x14ac:dyDescent="0.2">
      <c r="F422" t="str">
        <f t="shared" si="56"/>
        <v/>
      </c>
      <c r="L422" s="7" t="str">
        <f t="shared" si="57"/>
        <v/>
      </c>
      <c r="N422" s="7" t="str">
        <f t="shared" si="58"/>
        <v/>
      </c>
      <c r="O422" t="str">
        <f t="shared" si="59"/>
        <v/>
      </c>
      <c r="P422" t="str">
        <f t="shared" si="60"/>
        <v/>
      </c>
      <c r="Q422" t="str">
        <f t="shared" si="61"/>
        <v/>
      </c>
      <c r="S422" t="str">
        <f>""</f>
        <v/>
      </c>
      <c r="AL422" s="18" t="str">
        <f>IF(COUNTIF($A$2:A421, A421) = 1, A421, "")</f>
        <v/>
      </c>
    </row>
    <row r="423" spans="6:38" x14ac:dyDescent="0.2">
      <c r="F423" t="str">
        <f t="shared" si="56"/>
        <v/>
      </c>
      <c r="L423" s="7" t="str">
        <f t="shared" si="57"/>
        <v/>
      </c>
      <c r="N423" s="7" t="str">
        <f t="shared" si="58"/>
        <v/>
      </c>
      <c r="O423" t="str">
        <f t="shared" si="59"/>
        <v/>
      </c>
      <c r="P423" t="str">
        <f t="shared" si="60"/>
        <v/>
      </c>
      <c r="Q423" t="str">
        <f t="shared" si="61"/>
        <v/>
      </c>
      <c r="S423" t="str">
        <f>""</f>
        <v/>
      </c>
      <c r="AL423" s="18" t="str">
        <f>IF(COUNTIF($A$2:A422, A422) = 1, A422, "")</f>
        <v/>
      </c>
    </row>
    <row r="424" spans="6:38" x14ac:dyDescent="0.2">
      <c r="F424" t="str">
        <f t="shared" si="56"/>
        <v/>
      </c>
      <c r="L424" s="7" t="str">
        <f t="shared" si="57"/>
        <v/>
      </c>
      <c r="N424" s="7" t="str">
        <f t="shared" si="58"/>
        <v/>
      </c>
      <c r="O424" t="str">
        <f t="shared" si="59"/>
        <v/>
      </c>
      <c r="P424" t="str">
        <f t="shared" si="60"/>
        <v/>
      </c>
      <c r="Q424" t="str">
        <f t="shared" si="61"/>
        <v/>
      </c>
      <c r="S424" t="str">
        <f>""</f>
        <v/>
      </c>
      <c r="AL424" s="18" t="str">
        <f>IF(COUNTIF($A$2:A423, A423) = 1, A423, "")</f>
        <v/>
      </c>
    </row>
    <row r="425" spans="6:38" x14ac:dyDescent="0.2">
      <c r="F425" t="str">
        <f t="shared" si="56"/>
        <v/>
      </c>
      <c r="L425" s="7" t="str">
        <f t="shared" si="57"/>
        <v/>
      </c>
      <c r="N425" s="7" t="str">
        <f t="shared" si="58"/>
        <v/>
      </c>
      <c r="O425" t="str">
        <f t="shared" si="59"/>
        <v/>
      </c>
      <c r="P425" t="str">
        <f t="shared" si="60"/>
        <v/>
      </c>
      <c r="Q425" t="str">
        <f t="shared" si="61"/>
        <v/>
      </c>
      <c r="S425" t="str">
        <f>""</f>
        <v/>
      </c>
      <c r="AL425" s="18" t="str">
        <f>IF(COUNTIF($A$2:A424, A424) = 1, A424, "")</f>
        <v/>
      </c>
    </row>
    <row r="426" spans="6:38" x14ac:dyDescent="0.2">
      <c r="F426" t="str">
        <f t="shared" si="56"/>
        <v/>
      </c>
      <c r="L426" s="7" t="str">
        <f t="shared" si="57"/>
        <v/>
      </c>
      <c r="N426" s="7" t="str">
        <f t="shared" si="58"/>
        <v/>
      </c>
      <c r="O426" t="str">
        <f t="shared" si="59"/>
        <v/>
      </c>
      <c r="P426" t="str">
        <f t="shared" si="60"/>
        <v/>
      </c>
      <c r="Q426" t="str">
        <f t="shared" si="61"/>
        <v/>
      </c>
      <c r="S426" t="str">
        <f>""</f>
        <v/>
      </c>
      <c r="AL426" s="18" t="str">
        <f>IF(COUNTIF($A$2:A425, A425) = 1, A425, "")</f>
        <v/>
      </c>
    </row>
    <row r="427" spans="6:38" x14ac:dyDescent="0.2">
      <c r="F427" t="str">
        <f t="shared" si="56"/>
        <v/>
      </c>
      <c r="L427" s="7" t="str">
        <f t="shared" si="57"/>
        <v/>
      </c>
      <c r="N427" s="7" t="str">
        <f t="shared" si="58"/>
        <v/>
      </c>
      <c r="O427" t="str">
        <f t="shared" si="59"/>
        <v/>
      </c>
      <c r="P427" t="str">
        <f t="shared" si="60"/>
        <v/>
      </c>
      <c r="Q427" t="str">
        <f t="shared" si="61"/>
        <v/>
      </c>
      <c r="S427" t="str">
        <f>""</f>
        <v/>
      </c>
      <c r="AL427" s="18" t="str">
        <f>IF(COUNTIF($A$2:A426, A426) = 1, A426, "")</f>
        <v/>
      </c>
    </row>
    <row r="428" spans="6:38" x14ac:dyDescent="0.2">
      <c r="F428" t="str">
        <f t="shared" si="56"/>
        <v/>
      </c>
      <c r="L428" s="7" t="str">
        <f t="shared" si="57"/>
        <v/>
      </c>
      <c r="N428" s="7" t="str">
        <f t="shared" si="58"/>
        <v/>
      </c>
      <c r="O428" t="str">
        <f t="shared" si="59"/>
        <v/>
      </c>
      <c r="P428" t="str">
        <f t="shared" si="60"/>
        <v/>
      </c>
      <c r="Q428" t="str">
        <f t="shared" si="61"/>
        <v/>
      </c>
      <c r="S428" t="str">
        <f>""</f>
        <v/>
      </c>
      <c r="AL428" s="18" t="str">
        <f>IF(COUNTIF($A$2:A427, A427) = 1, A427, "")</f>
        <v/>
      </c>
    </row>
    <row r="429" spans="6:38" x14ac:dyDescent="0.2">
      <c r="F429" t="str">
        <f t="shared" si="56"/>
        <v/>
      </c>
      <c r="L429" s="7" t="str">
        <f t="shared" si="57"/>
        <v/>
      </c>
      <c r="N429" s="7" t="str">
        <f t="shared" si="58"/>
        <v/>
      </c>
      <c r="O429" t="str">
        <f t="shared" si="59"/>
        <v/>
      </c>
      <c r="P429" t="str">
        <f t="shared" si="60"/>
        <v/>
      </c>
      <c r="Q429" t="str">
        <f t="shared" si="61"/>
        <v/>
      </c>
      <c r="S429" t="str">
        <f>""</f>
        <v/>
      </c>
      <c r="AL429" s="18" t="str">
        <f>IF(COUNTIF($A$2:A428, A428) = 1, A428, "")</f>
        <v/>
      </c>
    </row>
    <row r="430" spans="6:38" x14ac:dyDescent="0.2">
      <c r="F430" t="str">
        <f t="shared" si="56"/>
        <v/>
      </c>
      <c r="L430" s="7" t="str">
        <f t="shared" si="57"/>
        <v/>
      </c>
      <c r="N430" s="7" t="str">
        <f t="shared" si="58"/>
        <v/>
      </c>
      <c r="O430" t="str">
        <f t="shared" si="59"/>
        <v/>
      </c>
      <c r="P430" t="str">
        <f t="shared" si="60"/>
        <v/>
      </c>
      <c r="Q430" t="str">
        <f t="shared" si="61"/>
        <v/>
      </c>
      <c r="S430" t="str">
        <f>""</f>
        <v/>
      </c>
      <c r="AL430" s="18" t="str">
        <f>IF(COUNTIF($A$2:A429, A429) = 1, A429, "")</f>
        <v/>
      </c>
    </row>
    <row r="431" spans="6:38" x14ac:dyDescent="0.2">
      <c r="F431" t="str">
        <f t="shared" si="56"/>
        <v/>
      </c>
      <c r="L431" s="7" t="str">
        <f t="shared" si="57"/>
        <v/>
      </c>
      <c r="N431" s="7" t="str">
        <f t="shared" si="58"/>
        <v/>
      </c>
      <c r="O431" t="str">
        <f t="shared" si="59"/>
        <v/>
      </c>
      <c r="P431" t="str">
        <f t="shared" si="60"/>
        <v/>
      </c>
      <c r="Q431" t="str">
        <f t="shared" si="61"/>
        <v/>
      </c>
      <c r="S431" t="str">
        <f>""</f>
        <v/>
      </c>
      <c r="AL431" s="18" t="str">
        <f>IF(COUNTIF($A$2:A430, A430) = 1, A430, "")</f>
        <v/>
      </c>
    </row>
    <row r="432" spans="6:38" x14ac:dyDescent="0.2">
      <c r="F432" t="str">
        <f t="shared" si="56"/>
        <v/>
      </c>
      <c r="L432" s="7" t="str">
        <f t="shared" si="57"/>
        <v/>
      </c>
      <c r="N432" s="7" t="str">
        <f t="shared" si="58"/>
        <v/>
      </c>
      <c r="O432" t="str">
        <f t="shared" si="59"/>
        <v/>
      </c>
      <c r="P432" t="str">
        <f t="shared" si="60"/>
        <v/>
      </c>
      <c r="Q432" t="str">
        <f t="shared" si="61"/>
        <v/>
      </c>
      <c r="S432" t="str">
        <f>""</f>
        <v/>
      </c>
      <c r="AL432" s="18" t="str">
        <f>IF(COUNTIF($A$2:A431, A431) = 1, A431, "")</f>
        <v/>
      </c>
    </row>
    <row r="433" spans="6:38" x14ac:dyDescent="0.2">
      <c r="F433" t="str">
        <f t="shared" si="56"/>
        <v/>
      </c>
      <c r="L433" s="7" t="str">
        <f t="shared" si="57"/>
        <v/>
      </c>
      <c r="N433" s="7" t="str">
        <f t="shared" si="58"/>
        <v/>
      </c>
      <c r="O433" t="str">
        <f t="shared" si="59"/>
        <v/>
      </c>
      <c r="P433" t="str">
        <f t="shared" si="60"/>
        <v/>
      </c>
      <c r="Q433" t="str">
        <f t="shared" si="61"/>
        <v/>
      </c>
      <c r="S433" t="str">
        <f>""</f>
        <v/>
      </c>
      <c r="AL433" s="18" t="str">
        <f>IF(COUNTIF($A$2:A432, A432) = 1, A432, "")</f>
        <v/>
      </c>
    </row>
    <row r="434" spans="6:38" x14ac:dyDescent="0.2">
      <c r="F434" t="str">
        <f t="shared" si="56"/>
        <v/>
      </c>
      <c r="L434" s="7" t="str">
        <f t="shared" si="57"/>
        <v/>
      </c>
      <c r="N434" s="7" t="str">
        <f t="shared" si="58"/>
        <v/>
      </c>
      <c r="O434" t="str">
        <f t="shared" si="59"/>
        <v/>
      </c>
      <c r="P434" t="str">
        <f t="shared" si="60"/>
        <v/>
      </c>
      <c r="Q434" t="str">
        <f t="shared" si="61"/>
        <v/>
      </c>
      <c r="S434" t="str">
        <f>""</f>
        <v/>
      </c>
      <c r="AL434" s="18" t="str">
        <f>IF(COUNTIF($A$2:A433, A433) = 1, A433, "")</f>
        <v/>
      </c>
    </row>
    <row r="435" spans="6:38" x14ac:dyDescent="0.2">
      <c r="F435" t="str">
        <f t="shared" si="56"/>
        <v/>
      </c>
      <c r="L435" s="7" t="str">
        <f t="shared" si="57"/>
        <v/>
      </c>
      <c r="N435" s="7" t="str">
        <f t="shared" si="58"/>
        <v/>
      </c>
      <c r="O435" t="str">
        <f t="shared" si="59"/>
        <v/>
      </c>
      <c r="P435" t="str">
        <f t="shared" si="60"/>
        <v/>
      </c>
      <c r="Q435" t="str">
        <f t="shared" si="61"/>
        <v/>
      </c>
      <c r="S435" t="str">
        <f>""</f>
        <v/>
      </c>
      <c r="AL435" s="18" t="str">
        <f>IF(COUNTIF($A$2:A434, A434) = 1, A434, "")</f>
        <v/>
      </c>
    </row>
    <row r="436" spans="6:38" x14ac:dyDescent="0.2">
      <c r="F436" t="str">
        <f t="shared" si="56"/>
        <v/>
      </c>
      <c r="L436" s="7" t="str">
        <f t="shared" si="57"/>
        <v/>
      </c>
      <c r="N436" s="7" t="str">
        <f t="shared" si="58"/>
        <v/>
      </c>
      <c r="O436" t="str">
        <f t="shared" si="59"/>
        <v/>
      </c>
      <c r="P436" t="str">
        <f t="shared" si="60"/>
        <v/>
      </c>
      <c r="Q436" t="str">
        <f t="shared" si="61"/>
        <v/>
      </c>
      <c r="S436" t="str">
        <f>""</f>
        <v/>
      </c>
      <c r="AL436" s="18" t="str">
        <f>IF(COUNTIF($A$2:A435, A435) = 1, A435, "")</f>
        <v/>
      </c>
    </row>
    <row r="437" spans="6:38" x14ac:dyDescent="0.2">
      <c r="F437" t="str">
        <f t="shared" si="56"/>
        <v/>
      </c>
      <c r="L437" s="7" t="str">
        <f t="shared" si="57"/>
        <v/>
      </c>
      <c r="N437" s="7" t="str">
        <f t="shared" si="58"/>
        <v/>
      </c>
      <c r="O437" t="str">
        <f t="shared" si="59"/>
        <v/>
      </c>
      <c r="P437" t="str">
        <f t="shared" si="60"/>
        <v/>
      </c>
      <c r="Q437" t="str">
        <f t="shared" si="61"/>
        <v/>
      </c>
      <c r="S437" t="str">
        <f>""</f>
        <v/>
      </c>
      <c r="AL437" s="18" t="str">
        <f>IF(COUNTIF($A$2:A436, A436) = 1, A436, "")</f>
        <v/>
      </c>
    </row>
    <row r="438" spans="6:38" x14ac:dyDescent="0.2">
      <c r="F438" t="str">
        <f t="shared" si="56"/>
        <v/>
      </c>
      <c r="L438" s="7" t="str">
        <f t="shared" si="57"/>
        <v/>
      </c>
      <c r="N438" s="7" t="str">
        <f t="shared" si="58"/>
        <v/>
      </c>
      <c r="O438" t="str">
        <f t="shared" si="59"/>
        <v/>
      </c>
      <c r="P438" t="str">
        <f t="shared" si="60"/>
        <v/>
      </c>
      <c r="Q438" t="str">
        <f t="shared" si="61"/>
        <v/>
      </c>
      <c r="S438" t="str">
        <f>""</f>
        <v/>
      </c>
      <c r="AL438" s="18" t="str">
        <f>IF(COUNTIF($A$2:A437, A437) = 1, A437, "")</f>
        <v/>
      </c>
    </row>
    <row r="439" spans="6:38" x14ac:dyDescent="0.2">
      <c r="F439" t="str">
        <f t="shared" si="56"/>
        <v/>
      </c>
      <c r="L439" s="7" t="str">
        <f t="shared" si="57"/>
        <v/>
      </c>
      <c r="N439" s="7" t="str">
        <f t="shared" si="58"/>
        <v/>
      </c>
      <c r="O439" t="str">
        <f t="shared" si="59"/>
        <v/>
      </c>
      <c r="P439" t="str">
        <f t="shared" si="60"/>
        <v/>
      </c>
      <c r="Q439" t="str">
        <f t="shared" si="61"/>
        <v/>
      </c>
      <c r="S439" t="str">
        <f>""</f>
        <v/>
      </c>
      <c r="AL439" s="18" t="str">
        <f>IF(COUNTIF($A$2:A438, A438) = 1, A438, "")</f>
        <v/>
      </c>
    </row>
    <row r="440" spans="6:38" x14ac:dyDescent="0.2">
      <c r="F440" t="str">
        <f t="shared" si="56"/>
        <v/>
      </c>
      <c r="L440" s="7" t="str">
        <f t="shared" si="57"/>
        <v/>
      </c>
      <c r="N440" s="7" t="str">
        <f t="shared" si="58"/>
        <v/>
      </c>
      <c r="O440" t="str">
        <f t="shared" si="59"/>
        <v/>
      </c>
      <c r="P440" t="str">
        <f t="shared" si="60"/>
        <v/>
      </c>
      <c r="Q440" t="str">
        <f t="shared" si="61"/>
        <v/>
      </c>
      <c r="S440" t="str">
        <f>""</f>
        <v/>
      </c>
      <c r="AL440" s="18" t="str">
        <f>IF(COUNTIF($A$2:A439, A439) = 1, A439, "")</f>
        <v/>
      </c>
    </row>
    <row r="441" spans="6:38" x14ac:dyDescent="0.2">
      <c r="F441" t="str">
        <f t="shared" si="56"/>
        <v/>
      </c>
      <c r="L441" s="7" t="str">
        <f t="shared" si="57"/>
        <v/>
      </c>
      <c r="N441" s="7" t="str">
        <f t="shared" si="58"/>
        <v/>
      </c>
      <c r="O441" t="str">
        <f t="shared" si="59"/>
        <v/>
      </c>
      <c r="P441" t="str">
        <f t="shared" si="60"/>
        <v/>
      </c>
      <c r="Q441" t="str">
        <f t="shared" si="61"/>
        <v/>
      </c>
      <c r="S441" t="str">
        <f>""</f>
        <v/>
      </c>
      <c r="AL441" s="18" t="str">
        <f>IF(COUNTIF($A$2:A440, A440) = 1, A440, "")</f>
        <v/>
      </c>
    </row>
    <row r="442" spans="6:38" x14ac:dyDescent="0.2">
      <c r="F442" t="str">
        <f t="shared" si="56"/>
        <v/>
      </c>
      <c r="L442" s="7" t="str">
        <f t="shared" si="57"/>
        <v/>
      </c>
      <c r="N442" s="7" t="str">
        <f t="shared" si="58"/>
        <v/>
      </c>
      <c r="O442" t="str">
        <f t="shared" si="59"/>
        <v/>
      </c>
      <c r="P442" t="str">
        <f t="shared" si="60"/>
        <v/>
      </c>
      <c r="Q442" t="str">
        <f t="shared" si="61"/>
        <v/>
      </c>
      <c r="S442" t="str">
        <f>""</f>
        <v/>
      </c>
      <c r="AL442" s="18" t="str">
        <f>IF(COUNTIF($A$2:A441, A441) = 1, A441, "")</f>
        <v/>
      </c>
    </row>
    <row r="443" spans="6:38" x14ac:dyDescent="0.2">
      <c r="F443" t="str">
        <f t="shared" si="56"/>
        <v/>
      </c>
      <c r="L443" s="7" t="str">
        <f t="shared" si="57"/>
        <v/>
      </c>
      <c r="N443" s="7" t="str">
        <f t="shared" si="58"/>
        <v/>
      </c>
      <c r="O443" t="str">
        <f t="shared" si="59"/>
        <v/>
      </c>
      <c r="P443" t="str">
        <f t="shared" si="60"/>
        <v/>
      </c>
      <c r="Q443" t="str">
        <f t="shared" si="61"/>
        <v/>
      </c>
      <c r="S443" t="str">
        <f>""</f>
        <v/>
      </c>
      <c r="AL443" s="18" t="str">
        <f>IF(COUNTIF($A$2:A442, A442) = 1, A442, "")</f>
        <v/>
      </c>
    </row>
    <row r="444" spans="6:38" x14ac:dyDescent="0.2">
      <c r="F444" t="str">
        <f t="shared" si="56"/>
        <v/>
      </c>
      <c r="L444" s="7" t="str">
        <f t="shared" si="57"/>
        <v/>
      </c>
      <c r="N444" s="7" t="str">
        <f t="shared" si="58"/>
        <v/>
      </c>
      <c r="O444" t="str">
        <f t="shared" si="59"/>
        <v/>
      </c>
      <c r="P444" t="str">
        <f t="shared" si="60"/>
        <v/>
      </c>
      <c r="Q444" t="str">
        <f t="shared" si="61"/>
        <v/>
      </c>
      <c r="S444" t="str">
        <f>""</f>
        <v/>
      </c>
      <c r="AL444" s="18" t="str">
        <f>IF(COUNTIF($A$2:A443, A443) = 1, A443, "")</f>
        <v/>
      </c>
    </row>
    <row r="445" spans="6:38" x14ac:dyDescent="0.2">
      <c r="F445" t="str">
        <f t="shared" si="56"/>
        <v/>
      </c>
      <c r="L445" s="7" t="str">
        <f t="shared" si="57"/>
        <v/>
      </c>
      <c r="N445" s="7" t="str">
        <f t="shared" si="58"/>
        <v/>
      </c>
      <c r="O445" t="str">
        <f t="shared" si="59"/>
        <v/>
      </c>
      <c r="P445" t="str">
        <f t="shared" si="60"/>
        <v/>
      </c>
      <c r="Q445" t="str">
        <f t="shared" si="61"/>
        <v/>
      </c>
      <c r="S445" t="str">
        <f>""</f>
        <v/>
      </c>
      <c r="AL445" s="18" t="str">
        <f>IF(COUNTIF($A$2:A444, A444) = 1, A444, "")</f>
        <v/>
      </c>
    </row>
    <row r="446" spans="6:38" x14ac:dyDescent="0.2">
      <c r="F446" t="str">
        <f t="shared" si="56"/>
        <v/>
      </c>
      <c r="L446" s="7" t="str">
        <f t="shared" si="57"/>
        <v/>
      </c>
      <c r="N446" s="7" t="str">
        <f t="shared" si="58"/>
        <v/>
      </c>
      <c r="O446" t="str">
        <f t="shared" si="59"/>
        <v/>
      </c>
      <c r="P446" t="str">
        <f t="shared" si="60"/>
        <v/>
      </c>
      <c r="Q446" t="str">
        <f t="shared" si="61"/>
        <v/>
      </c>
      <c r="S446" t="str">
        <f>""</f>
        <v/>
      </c>
      <c r="AL446" s="18" t="str">
        <f>IF(COUNTIF($A$2:A445, A445) = 1, A445, "")</f>
        <v/>
      </c>
    </row>
    <row r="447" spans="6:38" x14ac:dyDescent="0.2">
      <c r="F447" t="str">
        <f t="shared" si="56"/>
        <v/>
      </c>
      <c r="L447" s="7" t="str">
        <f t="shared" si="57"/>
        <v/>
      </c>
      <c r="N447" s="7" t="str">
        <f t="shared" si="58"/>
        <v/>
      </c>
      <c r="O447" t="str">
        <f t="shared" si="59"/>
        <v/>
      </c>
      <c r="P447" t="str">
        <f t="shared" si="60"/>
        <v/>
      </c>
      <c r="Q447" t="str">
        <f t="shared" si="61"/>
        <v/>
      </c>
      <c r="S447" t="str">
        <f>""</f>
        <v/>
      </c>
      <c r="AL447" s="18" t="str">
        <f>IF(COUNTIF($A$2:A446, A446) = 1, A446, "")</f>
        <v/>
      </c>
    </row>
    <row r="448" spans="6:38" x14ac:dyDescent="0.2">
      <c r="F448" t="str">
        <f t="shared" si="56"/>
        <v/>
      </c>
      <c r="L448" s="7" t="str">
        <f t="shared" si="57"/>
        <v/>
      </c>
      <c r="N448" s="7" t="str">
        <f t="shared" si="58"/>
        <v/>
      </c>
      <c r="O448" t="str">
        <f t="shared" si="59"/>
        <v/>
      </c>
      <c r="P448" t="str">
        <f t="shared" si="60"/>
        <v/>
      </c>
      <c r="Q448" t="str">
        <f t="shared" si="61"/>
        <v/>
      </c>
      <c r="S448" t="str">
        <f>""</f>
        <v/>
      </c>
      <c r="AL448" s="18" t="str">
        <f>IF(COUNTIF($A$2:A447, A447) = 1, A447, "")</f>
        <v/>
      </c>
    </row>
    <row r="449" spans="6:38" x14ac:dyDescent="0.2">
      <c r="F449" t="str">
        <f t="shared" si="56"/>
        <v/>
      </c>
      <c r="L449" s="7" t="str">
        <f t="shared" si="57"/>
        <v/>
      </c>
      <c r="N449" s="7" t="str">
        <f t="shared" si="58"/>
        <v/>
      </c>
      <c r="O449" t="str">
        <f t="shared" si="59"/>
        <v/>
      </c>
      <c r="P449" t="str">
        <f t="shared" si="60"/>
        <v/>
      </c>
      <c r="Q449" t="str">
        <f t="shared" si="61"/>
        <v/>
      </c>
      <c r="S449" t="str">
        <f>""</f>
        <v/>
      </c>
      <c r="AL449" s="18" t="str">
        <f>IF(COUNTIF($A$2:A448, A448) = 1, A448, "")</f>
        <v/>
      </c>
    </row>
    <row r="450" spans="6:38" x14ac:dyDescent="0.2">
      <c r="F450" t="str">
        <f t="shared" si="56"/>
        <v/>
      </c>
      <c r="L450" s="7" t="str">
        <f t="shared" si="57"/>
        <v/>
      </c>
      <c r="N450" s="7" t="str">
        <f t="shared" si="58"/>
        <v/>
      </c>
      <c r="O450" t="str">
        <f t="shared" si="59"/>
        <v/>
      </c>
      <c r="P450" t="str">
        <f t="shared" si="60"/>
        <v/>
      </c>
      <c r="Q450" t="str">
        <f t="shared" si="61"/>
        <v/>
      </c>
      <c r="S450" t="str">
        <f>""</f>
        <v/>
      </c>
      <c r="AL450" s="18" t="str">
        <f>IF(COUNTIF($A$2:A449, A449) = 1, A449, "")</f>
        <v/>
      </c>
    </row>
    <row r="451" spans="6:38" x14ac:dyDescent="0.2">
      <c r="F451" t="str">
        <f t="shared" si="56"/>
        <v/>
      </c>
      <c r="L451" s="7" t="str">
        <f t="shared" si="57"/>
        <v/>
      </c>
      <c r="N451" s="7" t="str">
        <f t="shared" si="58"/>
        <v/>
      </c>
      <c r="O451" t="str">
        <f t="shared" si="59"/>
        <v/>
      </c>
      <c r="P451" t="str">
        <f t="shared" si="60"/>
        <v/>
      </c>
      <c r="Q451" t="str">
        <f t="shared" si="61"/>
        <v/>
      </c>
      <c r="S451" t="str">
        <f>""</f>
        <v/>
      </c>
      <c r="AL451" s="18" t="str">
        <f>IF(COUNTIF($A$2:A450, A450) = 1, A450, "")</f>
        <v/>
      </c>
    </row>
    <row r="452" spans="6:38" x14ac:dyDescent="0.2">
      <c r="F452" t="str">
        <f t="shared" si="56"/>
        <v/>
      </c>
      <c r="L452" s="7" t="str">
        <f t="shared" si="57"/>
        <v/>
      </c>
      <c r="N452" s="7" t="str">
        <f t="shared" si="58"/>
        <v/>
      </c>
      <c r="O452" t="str">
        <f t="shared" si="59"/>
        <v/>
      </c>
      <c r="P452" t="str">
        <f t="shared" si="60"/>
        <v/>
      </c>
      <c r="Q452" t="str">
        <f t="shared" si="61"/>
        <v/>
      </c>
      <c r="S452" t="str">
        <f>""</f>
        <v/>
      </c>
      <c r="AL452" s="18" t="str">
        <f>IF(COUNTIF($A$2:A451, A451) = 1, A451, "")</f>
        <v/>
      </c>
    </row>
    <row r="453" spans="6:38" x14ac:dyDescent="0.2">
      <c r="F453" t="str">
        <f t="shared" si="56"/>
        <v/>
      </c>
      <c r="L453" s="7" t="str">
        <f t="shared" si="57"/>
        <v/>
      </c>
      <c r="N453" s="7" t="str">
        <f t="shared" si="58"/>
        <v/>
      </c>
      <c r="O453" t="str">
        <f t="shared" si="59"/>
        <v/>
      </c>
      <c r="P453" t="str">
        <f t="shared" si="60"/>
        <v/>
      </c>
      <c r="Q453" t="str">
        <f t="shared" si="61"/>
        <v/>
      </c>
      <c r="S453" t="str">
        <f>""</f>
        <v/>
      </c>
      <c r="AL453" s="18" t="str">
        <f>IF(COUNTIF($A$2:A452, A452) = 1, A452, "")</f>
        <v/>
      </c>
    </row>
    <row r="454" spans="6:38" x14ac:dyDescent="0.2">
      <c r="F454" t="str">
        <f t="shared" si="56"/>
        <v/>
      </c>
      <c r="L454" s="7" t="str">
        <f t="shared" si="57"/>
        <v/>
      </c>
      <c r="N454" s="7" t="str">
        <f t="shared" si="58"/>
        <v/>
      </c>
      <c r="O454" t="str">
        <f t="shared" si="59"/>
        <v/>
      </c>
      <c r="P454" t="str">
        <f t="shared" si="60"/>
        <v/>
      </c>
      <c r="Q454" t="str">
        <f t="shared" si="61"/>
        <v/>
      </c>
      <c r="S454" t="str">
        <f>""</f>
        <v/>
      </c>
      <c r="AL454" s="18" t="str">
        <f>IF(COUNTIF($A$2:A453, A453) = 1, A453, "")</f>
        <v/>
      </c>
    </row>
    <row r="455" spans="6:38" x14ac:dyDescent="0.2">
      <c r="F455" t="str">
        <f t="shared" si="56"/>
        <v/>
      </c>
      <c r="L455" s="7" t="str">
        <f t="shared" si="57"/>
        <v/>
      </c>
      <c r="N455" s="7" t="str">
        <f t="shared" si="58"/>
        <v/>
      </c>
      <c r="O455" t="str">
        <f t="shared" si="59"/>
        <v/>
      </c>
      <c r="P455" t="str">
        <f t="shared" si="60"/>
        <v/>
      </c>
      <c r="Q455" t="str">
        <f t="shared" si="61"/>
        <v/>
      </c>
      <c r="S455" t="str">
        <f>""</f>
        <v/>
      </c>
      <c r="AL455" s="18" t="str">
        <f>IF(COUNTIF($A$2:A454, A454) = 1, A454, "")</f>
        <v/>
      </c>
    </row>
    <row r="456" spans="6:38" x14ac:dyDescent="0.2">
      <c r="F456" t="str">
        <f t="shared" si="56"/>
        <v/>
      </c>
      <c r="L456" s="7" t="str">
        <f t="shared" si="57"/>
        <v/>
      </c>
      <c r="N456" s="7" t="str">
        <f t="shared" si="58"/>
        <v/>
      </c>
      <c r="O456" t="str">
        <f t="shared" si="59"/>
        <v/>
      </c>
      <c r="P456" t="str">
        <f t="shared" si="60"/>
        <v/>
      </c>
      <c r="Q456" t="str">
        <f t="shared" si="61"/>
        <v/>
      </c>
      <c r="S456" t="str">
        <f>""</f>
        <v/>
      </c>
      <c r="AL456" s="18" t="str">
        <f>IF(COUNTIF($A$2:A455, A455) = 1, A455, "")</f>
        <v/>
      </c>
    </row>
    <row r="457" spans="6:38" x14ac:dyDescent="0.2">
      <c r="F457" t="str">
        <f t="shared" si="56"/>
        <v/>
      </c>
      <c r="L457" s="7" t="str">
        <f t="shared" si="57"/>
        <v/>
      </c>
      <c r="N457" s="7" t="str">
        <f t="shared" si="58"/>
        <v/>
      </c>
      <c r="O457" t="str">
        <f t="shared" si="59"/>
        <v/>
      </c>
      <c r="P457" t="str">
        <f t="shared" si="60"/>
        <v/>
      </c>
      <c r="Q457" t="str">
        <f t="shared" si="61"/>
        <v/>
      </c>
      <c r="S457" t="str">
        <f>""</f>
        <v/>
      </c>
      <c r="AL457" s="18" t="str">
        <f>IF(COUNTIF($A$2:A456, A456) = 1, A456, "")</f>
        <v/>
      </c>
    </row>
    <row r="458" spans="6:38" x14ac:dyDescent="0.2">
      <c r="F458" t="str">
        <f t="shared" si="56"/>
        <v/>
      </c>
      <c r="L458" s="7" t="str">
        <f t="shared" si="57"/>
        <v/>
      </c>
      <c r="N458" s="7" t="str">
        <f t="shared" si="58"/>
        <v/>
      </c>
      <c r="O458" t="str">
        <f t="shared" si="59"/>
        <v/>
      </c>
      <c r="P458" t="str">
        <f t="shared" si="60"/>
        <v/>
      </c>
      <c r="Q458" t="str">
        <f t="shared" si="61"/>
        <v/>
      </c>
      <c r="S458" t="str">
        <f>""</f>
        <v/>
      </c>
      <c r="AL458" s="18" t="str">
        <f>IF(COUNTIF($A$2:A457, A457) = 1, A457, "")</f>
        <v/>
      </c>
    </row>
    <row r="459" spans="6:38" x14ac:dyDescent="0.2">
      <c r="F459" t="str">
        <f t="shared" si="56"/>
        <v/>
      </c>
      <c r="L459" s="7" t="str">
        <f t="shared" si="57"/>
        <v/>
      </c>
      <c r="N459" s="7" t="str">
        <f t="shared" si="58"/>
        <v/>
      </c>
      <c r="O459" t="str">
        <f t="shared" si="59"/>
        <v/>
      </c>
      <c r="P459" t="str">
        <f t="shared" si="60"/>
        <v/>
      </c>
      <c r="Q459" t="str">
        <f t="shared" si="61"/>
        <v/>
      </c>
      <c r="S459" t="str">
        <f>""</f>
        <v/>
      </c>
      <c r="AL459" s="18" t="str">
        <f>IF(COUNTIF($A$2:A458, A458) = 1, A458, "")</f>
        <v/>
      </c>
    </row>
    <row r="460" spans="6:38" x14ac:dyDescent="0.2">
      <c r="F460" t="str">
        <f t="shared" si="56"/>
        <v/>
      </c>
      <c r="L460" s="7" t="str">
        <f t="shared" si="57"/>
        <v/>
      </c>
      <c r="N460" s="7" t="str">
        <f t="shared" si="58"/>
        <v/>
      </c>
      <c r="O460" t="str">
        <f t="shared" si="59"/>
        <v/>
      </c>
      <c r="P460" t="str">
        <f t="shared" si="60"/>
        <v/>
      </c>
      <c r="Q460" t="str">
        <f t="shared" si="61"/>
        <v/>
      </c>
      <c r="S460" t="str">
        <f>""</f>
        <v/>
      </c>
      <c r="AL460" s="18" t="str">
        <f>IF(COUNTIF($A$2:A459, A459) = 1, A459, "")</f>
        <v/>
      </c>
    </row>
    <row r="461" spans="6:38" x14ac:dyDescent="0.2">
      <c r="F461" t="str">
        <f t="shared" si="56"/>
        <v/>
      </c>
      <c r="L461" s="7" t="str">
        <f t="shared" si="57"/>
        <v/>
      </c>
      <c r="N461" s="7" t="str">
        <f t="shared" si="58"/>
        <v/>
      </c>
      <c r="O461" t="str">
        <f t="shared" si="59"/>
        <v/>
      </c>
      <c r="P461" t="str">
        <f t="shared" si="60"/>
        <v/>
      </c>
      <c r="Q461" t="str">
        <f t="shared" si="61"/>
        <v/>
      </c>
      <c r="S461" t="str">
        <f>""</f>
        <v/>
      </c>
      <c r="AL461" s="18" t="str">
        <f>IF(COUNTIF($A$2:A460, A460) = 1, A460, "")</f>
        <v/>
      </c>
    </row>
    <row r="462" spans="6:38" x14ac:dyDescent="0.2">
      <c r="F462" t="str">
        <f t="shared" si="56"/>
        <v/>
      </c>
      <c r="L462" s="7" t="str">
        <f t="shared" si="57"/>
        <v/>
      </c>
      <c r="N462" s="7" t="str">
        <f t="shared" si="58"/>
        <v/>
      </c>
      <c r="O462" t="str">
        <f t="shared" si="59"/>
        <v/>
      </c>
      <c r="P462" t="str">
        <f t="shared" si="60"/>
        <v/>
      </c>
      <c r="Q462" t="str">
        <f t="shared" si="61"/>
        <v/>
      </c>
      <c r="S462" t="str">
        <f>""</f>
        <v/>
      </c>
      <c r="AL462" s="18" t="str">
        <f>IF(COUNTIF($A$2:A461, A461) = 1, A461, "")</f>
        <v/>
      </c>
    </row>
    <row r="463" spans="6:38" x14ac:dyDescent="0.2">
      <c r="F463" t="str">
        <f t="shared" si="56"/>
        <v/>
      </c>
      <c r="L463" s="7" t="str">
        <f t="shared" si="57"/>
        <v/>
      </c>
      <c r="N463" s="7" t="str">
        <f t="shared" si="58"/>
        <v/>
      </c>
      <c r="O463" t="str">
        <f t="shared" si="59"/>
        <v/>
      </c>
      <c r="P463" t="str">
        <f t="shared" si="60"/>
        <v/>
      </c>
      <c r="Q463" t="str">
        <f t="shared" si="61"/>
        <v/>
      </c>
      <c r="S463" t="str">
        <f>""</f>
        <v/>
      </c>
      <c r="AL463" s="18" t="str">
        <f>IF(COUNTIF($A$2:A462, A462) = 1, A462, "")</f>
        <v/>
      </c>
    </row>
    <row r="464" spans="6:38" x14ac:dyDescent="0.2">
      <c r="F464" t="str">
        <f t="shared" ref="F464:F527" si="62">IF(OR(O464="", P464=""), "", SUM(IF((O464&lt;&gt;"None")*(O464&lt;&gt;""),LEN(O464)-LEN(SUBSTITUTE(O464,",",""))+1,0)) + SUM(IF((P464&lt;&gt;"None")*(P464&lt;&gt;""),LEN(P464)-LEN(SUBSTITUTE(P464,",",""))+1,0)))</f>
        <v/>
      </c>
      <c r="L464" s="7" t="str">
        <f t="shared" ref="L464:L527" si="63">IF(LEN(E464)=0, "", IFERROR(IF(E464&gt;=0, K464 * (1 + E464/100) - K464, K464 / (ABS(E464)/100))+K464, ""))</f>
        <v/>
      </c>
      <c r="N464" s="7" t="str">
        <f t="shared" ref="N464:N527" si="64">IF(M464="Yes",L464-K464,IF(M464="No",-K464,""))</f>
        <v/>
      </c>
      <c r="O464" t="str">
        <f t="shared" ref="O464:O527" si="65">IF(AND(G464="No",H464="No"), "None", "")</f>
        <v/>
      </c>
      <c r="P464" t="str">
        <f t="shared" ref="P464:P527" si="66">IF(I464="No", "None", "")</f>
        <v/>
      </c>
      <c r="Q464" t="str">
        <f t="shared" ref="Q464:Q527" si="67">IF(AND(D464="Straight", M464 = "No"),IF(O464="None",P464,IF(P464="None",O464) ),"")</f>
        <v/>
      </c>
      <c r="S464" t="str">
        <f>""</f>
        <v/>
      </c>
      <c r="AL464" s="18" t="str">
        <f>IF(COUNTIF($A$2:A463, A463) = 1, A463, "")</f>
        <v/>
      </c>
    </row>
    <row r="465" spans="6:38" x14ac:dyDescent="0.2">
      <c r="F465" t="str">
        <f t="shared" si="62"/>
        <v/>
      </c>
      <c r="L465" s="7" t="str">
        <f t="shared" si="63"/>
        <v/>
      </c>
      <c r="N465" s="7" t="str">
        <f t="shared" si="64"/>
        <v/>
      </c>
      <c r="O465" t="str">
        <f t="shared" si="65"/>
        <v/>
      </c>
      <c r="P465" t="str">
        <f t="shared" si="66"/>
        <v/>
      </c>
      <c r="Q465" t="str">
        <f t="shared" si="67"/>
        <v/>
      </c>
      <c r="S465" t="str">
        <f>""</f>
        <v/>
      </c>
      <c r="AL465" s="18" t="str">
        <f>IF(COUNTIF($A$2:A464, A464) = 1, A464, "")</f>
        <v/>
      </c>
    </row>
    <row r="466" spans="6:38" x14ac:dyDescent="0.2">
      <c r="F466" t="str">
        <f t="shared" si="62"/>
        <v/>
      </c>
      <c r="L466" s="7" t="str">
        <f t="shared" si="63"/>
        <v/>
      </c>
      <c r="N466" s="7" t="str">
        <f t="shared" si="64"/>
        <v/>
      </c>
      <c r="O466" t="str">
        <f t="shared" si="65"/>
        <v/>
      </c>
      <c r="P466" t="str">
        <f t="shared" si="66"/>
        <v/>
      </c>
      <c r="Q466" t="str">
        <f t="shared" si="67"/>
        <v/>
      </c>
      <c r="S466" t="str">
        <f>""</f>
        <v/>
      </c>
      <c r="AL466" s="18" t="str">
        <f>IF(COUNTIF($A$2:A465, A465) = 1, A465, "")</f>
        <v/>
      </c>
    </row>
    <row r="467" spans="6:38" x14ac:dyDescent="0.2">
      <c r="F467" t="str">
        <f t="shared" si="62"/>
        <v/>
      </c>
      <c r="L467" s="7" t="str">
        <f t="shared" si="63"/>
        <v/>
      </c>
      <c r="N467" s="7" t="str">
        <f t="shared" si="64"/>
        <v/>
      </c>
      <c r="O467" t="str">
        <f t="shared" si="65"/>
        <v/>
      </c>
      <c r="P467" t="str">
        <f t="shared" si="66"/>
        <v/>
      </c>
      <c r="Q467" t="str">
        <f t="shared" si="67"/>
        <v/>
      </c>
      <c r="S467" t="str">
        <f>""</f>
        <v/>
      </c>
      <c r="AL467" s="18" t="str">
        <f>IF(COUNTIF($A$2:A466, A466) = 1, A466, "")</f>
        <v/>
      </c>
    </row>
    <row r="468" spans="6:38" x14ac:dyDescent="0.2">
      <c r="F468" t="str">
        <f t="shared" si="62"/>
        <v/>
      </c>
      <c r="L468" s="7" t="str">
        <f t="shared" si="63"/>
        <v/>
      </c>
      <c r="N468" s="7" t="str">
        <f t="shared" si="64"/>
        <v/>
      </c>
      <c r="O468" t="str">
        <f t="shared" si="65"/>
        <v/>
      </c>
      <c r="P468" t="str">
        <f t="shared" si="66"/>
        <v/>
      </c>
      <c r="Q468" t="str">
        <f t="shared" si="67"/>
        <v/>
      </c>
      <c r="S468" t="str">
        <f>""</f>
        <v/>
      </c>
      <c r="AL468" s="18" t="str">
        <f>IF(COUNTIF($A$2:A467, A467) = 1, A467, "")</f>
        <v/>
      </c>
    </row>
    <row r="469" spans="6:38" x14ac:dyDescent="0.2">
      <c r="F469" t="str">
        <f t="shared" si="62"/>
        <v/>
      </c>
      <c r="L469" s="7" t="str">
        <f t="shared" si="63"/>
        <v/>
      </c>
      <c r="N469" s="7" t="str">
        <f t="shared" si="64"/>
        <v/>
      </c>
      <c r="O469" t="str">
        <f t="shared" si="65"/>
        <v/>
      </c>
      <c r="P469" t="str">
        <f t="shared" si="66"/>
        <v/>
      </c>
      <c r="Q469" t="str">
        <f t="shared" si="67"/>
        <v/>
      </c>
      <c r="S469" t="str">
        <f>""</f>
        <v/>
      </c>
      <c r="AL469" s="18" t="str">
        <f>IF(COUNTIF($A$2:A468, A468) = 1, A468, "")</f>
        <v/>
      </c>
    </row>
    <row r="470" spans="6:38" x14ac:dyDescent="0.2">
      <c r="F470" t="str">
        <f t="shared" si="62"/>
        <v/>
      </c>
      <c r="L470" s="7" t="str">
        <f t="shared" si="63"/>
        <v/>
      </c>
      <c r="N470" s="7" t="str">
        <f t="shared" si="64"/>
        <v/>
      </c>
      <c r="O470" t="str">
        <f t="shared" si="65"/>
        <v/>
      </c>
      <c r="P470" t="str">
        <f t="shared" si="66"/>
        <v/>
      </c>
      <c r="Q470" t="str">
        <f t="shared" si="67"/>
        <v/>
      </c>
      <c r="S470" t="str">
        <f>""</f>
        <v/>
      </c>
      <c r="AL470" s="18" t="str">
        <f>IF(COUNTIF($A$2:A469, A469) = 1, A469, "")</f>
        <v/>
      </c>
    </row>
    <row r="471" spans="6:38" x14ac:dyDescent="0.2">
      <c r="F471" t="str">
        <f t="shared" si="62"/>
        <v/>
      </c>
      <c r="L471" s="7" t="str">
        <f t="shared" si="63"/>
        <v/>
      </c>
      <c r="N471" s="7" t="str">
        <f t="shared" si="64"/>
        <v/>
      </c>
      <c r="O471" t="str">
        <f t="shared" si="65"/>
        <v/>
      </c>
      <c r="P471" t="str">
        <f t="shared" si="66"/>
        <v/>
      </c>
      <c r="Q471" t="str">
        <f t="shared" si="67"/>
        <v/>
      </c>
      <c r="S471" t="str">
        <f>""</f>
        <v/>
      </c>
      <c r="AL471" s="18" t="str">
        <f>IF(COUNTIF($A$2:A470, A470) = 1, A470, "")</f>
        <v/>
      </c>
    </row>
    <row r="472" spans="6:38" x14ac:dyDescent="0.2">
      <c r="F472" t="str">
        <f t="shared" si="62"/>
        <v/>
      </c>
      <c r="L472" s="7" t="str">
        <f t="shared" si="63"/>
        <v/>
      </c>
      <c r="N472" s="7" t="str">
        <f t="shared" si="64"/>
        <v/>
      </c>
      <c r="O472" t="str">
        <f t="shared" si="65"/>
        <v/>
      </c>
      <c r="P472" t="str">
        <f t="shared" si="66"/>
        <v/>
      </c>
      <c r="Q472" t="str">
        <f t="shared" si="67"/>
        <v/>
      </c>
      <c r="S472" t="str">
        <f>""</f>
        <v/>
      </c>
      <c r="AL472" s="18" t="str">
        <f>IF(COUNTIF($A$2:A471, A471) = 1, A471, "")</f>
        <v/>
      </c>
    </row>
    <row r="473" spans="6:38" x14ac:dyDescent="0.2">
      <c r="F473" t="str">
        <f t="shared" si="62"/>
        <v/>
      </c>
      <c r="L473" s="7" t="str">
        <f t="shared" si="63"/>
        <v/>
      </c>
      <c r="N473" s="7" t="str">
        <f t="shared" si="64"/>
        <v/>
      </c>
      <c r="O473" t="str">
        <f t="shared" si="65"/>
        <v/>
      </c>
      <c r="P473" t="str">
        <f t="shared" si="66"/>
        <v/>
      </c>
      <c r="Q473" t="str">
        <f t="shared" si="67"/>
        <v/>
      </c>
      <c r="S473" t="str">
        <f>""</f>
        <v/>
      </c>
      <c r="AL473" s="18" t="str">
        <f>IF(COUNTIF($A$2:A472, A472) = 1, A472, "")</f>
        <v/>
      </c>
    </row>
    <row r="474" spans="6:38" x14ac:dyDescent="0.2">
      <c r="F474" t="str">
        <f t="shared" si="62"/>
        <v/>
      </c>
      <c r="L474" s="7" t="str">
        <f t="shared" si="63"/>
        <v/>
      </c>
      <c r="N474" s="7" t="str">
        <f t="shared" si="64"/>
        <v/>
      </c>
      <c r="O474" t="str">
        <f t="shared" si="65"/>
        <v/>
      </c>
      <c r="P474" t="str">
        <f t="shared" si="66"/>
        <v/>
      </c>
      <c r="Q474" t="str">
        <f t="shared" si="67"/>
        <v/>
      </c>
      <c r="S474" t="str">
        <f>""</f>
        <v/>
      </c>
      <c r="AL474" s="18" t="str">
        <f>IF(COUNTIF($A$2:A473, A473) = 1, A473, "")</f>
        <v/>
      </c>
    </row>
    <row r="475" spans="6:38" x14ac:dyDescent="0.2">
      <c r="F475" t="str">
        <f t="shared" si="62"/>
        <v/>
      </c>
      <c r="L475" s="7" t="str">
        <f t="shared" si="63"/>
        <v/>
      </c>
      <c r="N475" s="7" t="str">
        <f t="shared" si="64"/>
        <v/>
      </c>
      <c r="O475" t="str">
        <f t="shared" si="65"/>
        <v/>
      </c>
      <c r="P475" t="str">
        <f t="shared" si="66"/>
        <v/>
      </c>
      <c r="Q475" t="str">
        <f t="shared" si="67"/>
        <v/>
      </c>
      <c r="S475" t="str">
        <f>""</f>
        <v/>
      </c>
      <c r="AL475" s="18" t="str">
        <f>IF(COUNTIF($A$2:A474, A474) = 1, A474, "")</f>
        <v/>
      </c>
    </row>
    <row r="476" spans="6:38" x14ac:dyDescent="0.2">
      <c r="F476" t="str">
        <f t="shared" si="62"/>
        <v/>
      </c>
      <c r="L476" s="7" t="str">
        <f t="shared" si="63"/>
        <v/>
      </c>
      <c r="N476" s="7" t="str">
        <f t="shared" si="64"/>
        <v/>
      </c>
      <c r="O476" t="str">
        <f t="shared" si="65"/>
        <v/>
      </c>
      <c r="P476" t="str">
        <f t="shared" si="66"/>
        <v/>
      </c>
      <c r="Q476" t="str">
        <f t="shared" si="67"/>
        <v/>
      </c>
      <c r="S476" t="str">
        <f>""</f>
        <v/>
      </c>
      <c r="AL476" s="18" t="str">
        <f>IF(COUNTIF($A$2:A475, A475) = 1, A475, "")</f>
        <v/>
      </c>
    </row>
    <row r="477" spans="6:38" x14ac:dyDescent="0.2">
      <c r="F477" t="str">
        <f t="shared" si="62"/>
        <v/>
      </c>
      <c r="L477" s="7" t="str">
        <f t="shared" si="63"/>
        <v/>
      </c>
      <c r="N477" s="7" t="str">
        <f t="shared" si="64"/>
        <v/>
      </c>
      <c r="O477" t="str">
        <f t="shared" si="65"/>
        <v/>
      </c>
      <c r="P477" t="str">
        <f t="shared" si="66"/>
        <v/>
      </c>
      <c r="Q477" t="str">
        <f t="shared" si="67"/>
        <v/>
      </c>
      <c r="S477" t="str">
        <f>""</f>
        <v/>
      </c>
      <c r="AL477" s="18" t="str">
        <f>IF(COUNTIF($A$2:A476, A476) = 1, A476, "")</f>
        <v/>
      </c>
    </row>
    <row r="478" spans="6:38" x14ac:dyDescent="0.2">
      <c r="F478" t="str">
        <f t="shared" si="62"/>
        <v/>
      </c>
      <c r="L478" s="7" t="str">
        <f t="shared" si="63"/>
        <v/>
      </c>
      <c r="N478" s="7" t="str">
        <f t="shared" si="64"/>
        <v/>
      </c>
      <c r="O478" t="str">
        <f t="shared" si="65"/>
        <v/>
      </c>
      <c r="P478" t="str">
        <f t="shared" si="66"/>
        <v/>
      </c>
      <c r="Q478" t="str">
        <f t="shared" si="67"/>
        <v/>
      </c>
      <c r="S478" t="str">
        <f>""</f>
        <v/>
      </c>
      <c r="AL478" s="18" t="str">
        <f>IF(COUNTIF($A$2:A477, A477) = 1, A477, "")</f>
        <v/>
      </c>
    </row>
    <row r="479" spans="6:38" x14ac:dyDescent="0.2">
      <c r="F479" t="str">
        <f t="shared" si="62"/>
        <v/>
      </c>
      <c r="L479" s="7" t="str">
        <f t="shared" si="63"/>
        <v/>
      </c>
      <c r="N479" s="7" t="str">
        <f t="shared" si="64"/>
        <v/>
      </c>
      <c r="O479" t="str">
        <f t="shared" si="65"/>
        <v/>
      </c>
      <c r="P479" t="str">
        <f t="shared" si="66"/>
        <v/>
      </c>
      <c r="Q479" t="str">
        <f t="shared" si="67"/>
        <v/>
      </c>
      <c r="S479" t="str">
        <f>""</f>
        <v/>
      </c>
      <c r="AL479" s="18" t="str">
        <f>IF(COUNTIF($A$2:A478, A478) = 1, A478, "")</f>
        <v/>
      </c>
    </row>
    <row r="480" spans="6:38" x14ac:dyDescent="0.2">
      <c r="F480" t="str">
        <f t="shared" si="62"/>
        <v/>
      </c>
      <c r="L480" s="7" t="str">
        <f t="shared" si="63"/>
        <v/>
      </c>
      <c r="N480" s="7" t="str">
        <f t="shared" si="64"/>
        <v/>
      </c>
      <c r="O480" t="str">
        <f t="shared" si="65"/>
        <v/>
      </c>
      <c r="P480" t="str">
        <f t="shared" si="66"/>
        <v/>
      </c>
      <c r="Q480" t="str">
        <f t="shared" si="67"/>
        <v/>
      </c>
      <c r="S480" t="str">
        <f>""</f>
        <v/>
      </c>
      <c r="AL480" s="18" t="str">
        <f>IF(COUNTIF($A$2:A479, A479) = 1, A479, "")</f>
        <v/>
      </c>
    </row>
    <row r="481" spans="6:38" x14ac:dyDescent="0.2">
      <c r="F481" t="str">
        <f t="shared" si="62"/>
        <v/>
      </c>
      <c r="L481" s="7" t="str">
        <f t="shared" si="63"/>
        <v/>
      </c>
      <c r="N481" s="7" t="str">
        <f t="shared" si="64"/>
        <v/>
      </c>
      <c r="O481" t="str">
        <f t="shared" si="65"/>
        <v/>
      </c>
      <c r="P481" t="str">
        <f t="shared" si="66"/>
        <v/>
      </c>
      <c r="Q481" t="str">
        <f t="shared" si="67"/>
        <v/>
      </c>
      <c r="S481" t="str">
        <f>""</f>
        <v/>
      </c>
      <c r="AL481" s="18" t="str">
        <f>IF(COUNTIF($A$2:A480, A480) = 1, A480, "")</f>
        <v/>
      </c>
    </row>
    <row r="482" spans="6:38" x14ac:dyDescent="0.2">
      <c r="F482" t="str">
        <f t="shared" si="62"/>
        <v/>
      </c>
      <c r="L482" s="7" t="str">
        <f t="shared" si="63"/>
        <v/>
      </c>
      <c r="N482" s="7" t="str">
        <f t="shared" si="64"/>
        <v/>
      </c>
      <c r="O482" t="str">
        <f t="shared" si="65"/>
        <v/>
      </c>
      <c r="P482" t="str">
        <f t="shared" si="66"/>
        <v/>
      </c>
      <c r="Q482" t="str">
        <f t="shared" si="67"/>
        <v/>
      </c>
      <c r="S482" t="str">
        <f>""</f>
        <v/>
      </c>
      <c r="AL482" s="18" t="str">
        <f>IF(COUNTIF($A$2:A481, A481) = 1, A481, "")</f>
        <v/>
      </c>
    </row>
    <row r="483" spans="6:38" x14ac:dyDescent="0.2">
      <c r="F483" t="str">
        <f t="shared" si="62"/>
        <v/>
      </c>
      <c r="L483" s="7" t="str">
        <f t="shared" si="63"/>
        <v/>
      </c>
      <c r="N483" s="7" t="str">
        <f t="shared" si="64"/>
        <v/>
      </c>
      <c r="O483" t="str">
        <f t="shared" si="65"/>
        <v/>
      </c>
      <c r="P483" t="str">
        <f t="shared" si="66"/>
        <v/>
      </c>
      <c r="Q483" t="str">
        <f t="shared" si="67"/>
        <v/>
      </c>
      <c r="S483" t="str">
        <f>""</f>
        <v/>
      </c>
      <c r="AL483" s="18" t="str">
        <f>IF(COUNTIF($A$2:A482, A482) = 1, A482, "")</f>
        <v/>
      </c>
    </row>
    <row r="484" spans="6:38" x14ac:dyDescent="0.2">
      <c r="F484" t="str">
        <f t="shared" si="62"/>
        <v/>
      </c>
      <c r="L484" s="7" t="str">
        <f t="shared" si="63"/>
        <v/>
      </c>
      <c r="N484" s="7" t="str">
        <f t="shared" si="64"/>
        <v/>
      </c>
      <c r="O484" t="str">
        <f t="shared" si="65"/>
        <v/>
      </c>
      <c r="P484" t="str">
        <f t="shared" si="66"/>
        <v/>
      </c>
      <c r="Q484" t="str">
        <f t="shared" si="67"/>
        <v/>
      </c>
      <c r="S484" t="str">
        <f>""</f>
        <v/>
      </c>
      <c r="AL484" s="18" t="str">
        <f>IF(COUNTIF($A$2:A483, A483) = 1, A483, "")</f>
        <v/>
      </c>
    </row>
    <row r="485" spans="6:38" x14ac:dyDescent="0.2">
      <c r="F485" t="str">
        <f t="shared" si="62"/>
        <v/>
      </c>
      <c r="L485" s="7" t="str">
        <f t="shared" si="63"/>
        <v/>
      </c>
      <c r="N485" s="7" t="str">
        <f t="shared" si="64"/>
        <v/>
      </c>
      <c r="O485" t="str">
        <f t="shared" si="65"/>
        <v/>
      </c>
      <c r="P485" t="str">
        <f t="shared" si="66"/>
        <v/>
      </c>
      <c r="Q485" t="str">
        <f t="shared" si="67"/>
        <v/>
      </c>
      <c r="S485" t="str">
        <f>""</f>
        <v/>
      </c>
      <c r="AL485" s="18" t="str">
        <f>IF(COUNTIF($A$2:A484, A484) = 1, A484, "")</f>
        <v/>
      </c>
    </row>
    <row r="486" spans="6:38" x14ac:dyDescent="0.2">
      <c r="F486" t="str">
        <f t="shared" si="62"/>
        <v/>
      </c>
      <c r="L486" s="7" t="str">
        <f t="shared" si="63"/>
        <v/>
      </c>
      <c r="N486" s="7" t="str">
        <f t="shared" si="64"/>
        <v/>
      </c>
      <c r="O486" t="str">
        <f t="shared" si="65"/>
        <v/>
      </c>
      <c r="P486" t="str">
        <f t="shared" si="66"/>
        <v/>
      </c>
      <c r="Q486" t="str">
        <f t="shared" si="67"/>
        <v/>
      </c>
      <c r="S486" t="str">
        <f>""</f>
        <v/>
      </c>
      <c r="AL486" s="18" t="str">
        <f>IF(COUNTIF($A$2:A485, A485) = 1, A485, "")</f>
        <v/>
      </c>
    </row>
    <row r="487" spans="6:38" x14ac:dyDescent="0.2">
      <c r="F487" t="str">
        <f t="shared" si="62"/>
        <v/>
      </c>
      <c r="L487" s="7" t="str">
        <f t="shared" si="63"/>
        <v/>
      </c>
      <c r="N487" s="7" t="str">
        <f t="shared" si="64"/>
        <v/>
      </c>
      <c r="O487" t="str">
        <f t="shared" si="65"/>
        <v/>
      </c>
      <c r="P487" t="str">
        <f t="shared" si="66"/>
        <v/>
      </c>
      <c r="Q487" t="str">
        <f t="shared" si="67"/>
        <v/>
      </c>
      <c r="S487" t="str">
        <f>""</f>
        <v/>
      </c>
      <c r="AL487" s="18" t="str">
        <f>IF(COUNTIF($A$2:A486, A486) = 1, A486, "")</f>
        <v/>
      </c>
    </row>
    <row r="488" spans="6:38" x14ac:dyDescent="0.2">
      <c r="F488" t="str">
        <f t="shared" si="62"/>
        <v/>
      </c>
      <c r="L488" s="7" t="str">
        <f t="shared" si="63"/>
        <v/>
      </c>
      <c r="N488" s="7" t="str">
        <f t="shared" si="64"/>
        <v/>
      </c>
      <c r="O488" t="str">
        <f t="shared" si="65"/>
        <v/>
      </c>
      <c r="P488" t="str">
        <f t="shared" si="66"/>
        <v/>
      </c>
      <c r="Q488" t="str">
        <f t="shared" si="67"/>
        <v/>
      </c>
      <c r="S488" t="str">
        <f>""</f>
        <v/>
      </c>
      <c r="AL488" s="18" t="str">
        <f>IF(COUNTIF($A$2:A487, A487) = 1, A487, "")</f>
        <v/>
      </c>
    </row>
    <row r="489" spans="6:38" x14ac:dyDescent="0.2">
      <c r="F489" t="str">
        <f t="shared" si="62"/>
        <v/>
      </c>
      <c r="L489" s="7" t="str">
        <f t="shared" si="63"/>
        <v/>
      </c>
      <c r="N489" s="7" t="str">
        <f t="shared" si="64"/>
        <v/>
      </c>
      <c r="O489" t="str">
        <f t="shared" si="65"/>
        <v/>
      </c>
      <c r="P489" t="str">
        <f t="shared" si="66"/>
        <v/>
      </c>
      <c r="Q489" t="str">
        <f t="shared" si="67"/>
        <v/>
      </c>
      <c r="S489" t="str">
        <f>""</f>
        <v/>
      </c>
      <c r="AL489" s="18" t="str">
        <f>IF(COUNTIF($A$2:A488, A488) = 1, A488, "")</f>
        <v/>
      </c>
    </row>
    <row r="490" spans="6:38" x14ac:dyDescent="0.2">
      <c r="F490" t="str">
        <f t="shared" si="62"/>
        <v/>
      </c>
      <c r="L490" s="7" t="str">
        <f t="shared" si="63"/>
        <v/>
      </c>
      <c r="N490" s="7" t="str">
        <f t="shared" si="64"/>
        <v/>
      </c>
      <c r="O490" t="str">
        <f t="shared" si="65"/>
        <v/>
      </c>
      <c r="P490" t="str">
        <f t="shared" si="66"/>
        <v/>
      </c>
      <c r="Q490" t="str">
        <f t="shared" si="67"/>
        <v/>
      </c>
      <c r="S490" t="str">
        <f>""</f>
        <v/>
      </c>
      <c r="AL490" s="18" t="str">
        <f>IF(COUNTIF($A$2:A489, A489) = 1, A489, "")</f>
        <v/>
      </c>
    </row>
    <row r="491" spans="6:38" x14ac:dyDescent="0.2">
      <c r="F491" t="str">
        <f t="shared" si="62"/>
        <v/>
      </c>
      <c r="L491" s="7" t="str">
        <f t="shared" si="63"/>
        <v/>
      </c>
      <c r="N491" s="7" t="str">
        <f t="shared" si="64"/>
        <v/>
      </c>
      <c r="O491" t="str">
        <f t="shared" si="65"/>
        <v/>
      </c>
      <c r="P491" t="str">
        <f t="shared" si="66"/>
        <v/>
      </c>
      <c r="Q491" t="str">
        <f t="shared" si="67"/>
        <v/>
      </c>
      <c r="S491" t="str">
        <f>""</f>
        <v/>
      </c>
      <c r="AL491" s="18" t="str">
        <f>IF(COUNTIF($A$2:A490, A490) = 1, A490, "")</f>
        <v/>
      </c>
    </row>
    <row r="492" spans="6:38" x14ac:dyDescent="0.2">
      <c r="F492" t="str">
        <f t="shared" si="62"/>
        <v/>
      </c>
      <c r="L492" s="7" t="str">
        <f t="shared" si="63"/>
        <v/>
      </c>
      <c r="N492" s="7" t="str">
        <f t="shared" si="64"/>
        <v/>
      </c>
      <c r="O492" t="str">
        <f t="shared" si="65"/>
        <v/>
      </c>
      <c r="P492" t="str">
        <f t="shared" si="66"/>
        <v/>
      </c>
      <c r="Q492" t="str">
        <f t="shared" si="67"/>
        <v/>
      </c>
      <c r="S492" t="str">
        <f>""</f>
        <v/>
      </c>
      <c r="AL492" s="18" t="str">
        <f>IF(COUNTIF($A$2:A491, A491) = 1, A491, "")</f>
        <v/>
      </c>
    </row>
    <row r="493" spans="6:38" x14ac:dyDescent="0.2">
      <c r="F493" t="str">
        <f t="shared" si="62"/>
        <v/>
      </c>
      <c r="L493" s="7" t="str">
        <f t="shared" si="63"/>
        <v/>
      </c>
      <c r="N493" s="7" t="str">
        <f t="shared" si="64"/>
        <v/>
      </c>
      <c r="O493" t="str">
        <f t="shared" si="65"/>
        <v/>
      </c>
      <c r="P493" t="str">
        <f t="shared" si="66"/>
        <v/>
      </c>
      <c r="Q493" t="str">
        <f t="shared" si="67"/>
        <v/>
      </c>
      <c r="S493" t="str">
        <f>""</f>
        <v/>
      </c>
      <c r="AL493" s="18" t="str">
        <f>IF(COUNTIF($A$2:A492, A492) = 1, A492, "")</f>
        <v/>
      </c>
    </row>
    <row r="494" spans="6:38" x14ac:dyDescent="0.2">
      <c r="F494" t="str">
        <f t="shared" si="62"/>
        <v/>
      </c>
      <c r="L494" s="7" t="str">
        <f t="shared" si="63"/>
        <v/>
      </c>
      <c r="N494" s="7" t="str">
        <f t="shared" si="64"/>
        <v/>
      </c>
      <c r="O494" t="str">
        <f t="shared" si="65"/>
        <v/>
      </c>
      <c r="P494" t="str">
        <f t="shared" si="66"/>
        <v/>
      </c>
      <c r="Q494" t="str">
        <f t="shared" si="67"/>
        <v/>
      </c>
      <c r="S494" t="str">
        <f>""</f>
        <v/>
      </c>
      <c r="AL494" s="18" t="str">
        <f>IF(COUNTIF($A$2:A493, A493) = 1, A493, "")</f>
        <v/>
      </c>
    </row>
    <row r="495" spans="6:38" x14ac:dyDescent="0.2">
      <c r="F495" t="str">
        <f t="shared" si="62"/>
        <v/>
      </c>
      <c r="L495" s="7" t="str">
        <f t="shared" si="63"/>
        <v/>
      </c>
      <c r="N495" s="7" t="str">
        <f t="shared" si="64"/>
        <v/>
      </c>
      <c r="O495" t="str">
        <f t="shared" si="65"/>
        <v/>
      </c>
      <c r="P495" t="str">
        <f t="shared" si="66"/>
        <v/>
      </c>
      <c r="Q495" t="str">
        <f t="shared" si="67"/>
        <v/>
      </c>
      <c r="S495" t="str">
        <f>""</f>
        <v/>
      </c>
      <c r="AL495" s="18" t="str">
        <f>IF(COUNTIF($A$2:A494, A494) = 1, A494, "")</f>
        <v/>
      </c>
    </row>
    <row r="496" spans="6:38" x14ac:dyDescent="0.2">
      <c r="F496" t="str">
        <f t="shared" si="62"/>
        <v/>
      </c>
      <c r="L496" s="7" t="str">
        <f t="shared" si="63"/>
        <v/>
      </c>
      <c r="N496" s="7" t="str">
        <f t="shared" si="64"/>
        <v/>
      </c>
      <c r="O496" t="str">
        <f t="shared" si="65"/>
        <v/>
      </c>
      <c r="P496" t="str">
        <f t="shared" si="66"/>
        <v/>
      </c>
      <c r="Q496" t="str">
        <f t="shared" si="67"/>
        <v/>
      </c>
      <c r="S496" t="str">
        <f>""</f>
        <v/>
      </c>
      <c r="AL496" s="18" t="str">
        <f>IF(COUNTIF($A$2:A495, A495) = 1, A495, "")</f>
        <v/>
      </c>
    </row>
    <row r="497" spans="6:38" x14ac:dyDescent="0.2">
      <c r="F497" t="str">
        <f t="shared" si="62"/>
        <v/>
      </c>
      <c r="L497" s="7" t="str">
        <f t="shared" si="63"/>
        <v/>
      </c>
      <c r="N497" s="7" t="str">
        <f t="shared" si="64"/>
        <v/>
      </c>
      <c r="O497" t="str">
        <f t="shared" si="65"/>
        <v/>
      </c>
      <c r="P497" t="str">
        <f t="shared" si="66"/>
        <v/>
      </c>
      <c r="Q497" t="str">
        <f t="shared" si="67"/>
        <v/>
      </c>
      <c r="S497" t="str">
        <f>""</f>
        <v/>
      </c>
      <c r="AL497" s="18" t="str">
        <f>IF(COUNTIF($A$2:A496, A496) = 1, A496, "")</f>
        <v/>
      </c>
    </row>
    <row r="498" spans="6:38" x14ac:dyDescent="0.2">
      <c r="F498" t="str">
        <f t="shared" si="62"/>
        <v/>
      </c>
      <c r="L498" s="7" t="str">
        <f t="shared" si="63"/>
        <v/>
      </c>
      <c r="N498" s="7" t="str">
        <f t="shared" si="64"/>
        <v/>
      </c>
      <c r="O498" t="str">
        <f t="shared" si="65"/>
        <v/>
      </c>
      <c r="P498" t="str">
        <f t="shared" si="66"/>
        <v/>
      </c>
      <c r="Q498" t="str">
        <f t="shared" si="67"/>
        <v/>
      </c>
      <c r="S498" t="str">
        <f>""</f>
        <v/>
      </c>
      <c r="AL498" s="18" t="str">
        <f>IF(COUNTIF($A$2:A497, A497) = 1, A497, "")</f>
        <v/>
      </c>
    </row>
    <row r="499" spans="6:38" x14ac:dyDescent="0.2">
      <c r="F499" t="str">
        <f t="shared" si="62"/>
        <v/>
      </c>
      <c r="L499" s="7" t="str">
        <f t="shared" si="63"/>
        <v/>
      </c>
      <c r="N499" s="7" t="str">
        <f t="shared" si="64"/>
        <v/>
      </c>
      <c r="O499" t="str">
        <f t="shared" si="65"/>
        <v/>
      </c>
      <c r="P499" t="str">
        <f t="shared" si="66"/>
        <v/>
      </c>
      <c r="Q499" t="str">
        <f t="shared" si="67"/>
        <v/>
      </c>
      <c r="S499" t="str">
        <f>""</f>
        <v/>
      </c>
      <c r="AL499" s="18" t="str">
        <f>IF(COUNTIF($A$2:A498, A498) = 1, A498, "")</f>
        <v/>
      </c>
    </row>
    <row r="500" spans="6:38" x14ac:dyDescent="0.2">
      <c r="F500" t="str">
        <f t="shared" si="62"/>
        <v/>
      </c>
      <c r="L500" s="7" t="str">
        <f t="shared" si="63"/>
        <v/>
      </c>
      <c r="N500" s="7" t="str">
        <f t="shared" si="64"/>
        <v/>
      </c>
      <c r="O500" t="str">
        <f t="shared" si="65"/>
        <v/>
      </c>
      <c r="P500" t="str">
        <f t="shared" si="66"/>
        <v/>
      </c>
      <c r="Q500" t="str">
        <f t="shared" si="67"/>
        <v/>
      </c>
      <c r="S500" t="str">
        <f>""</f>
        <v/>
      </c>
      <c r="AL500" s="18" t="str">
        <f>IF(COUNTIF($A$2:A499, A499) = 1, A499, "")</f>
        <v/>
      </c>
    </row>
    <row r="501" spans="6:38" x14ac:dyDescent="0.2">
      <c r="F501" t="str">
        <f t="shared" si="62"/>
        <v/>
      </c>
      <c r="L501" s="7" t="str">
        <f t="shared" si="63"/>
        <v/>
      </c>
      <c r="N501" s="7" t="str">
        <f t="shared" si="64"/>
        <v/>
      </c>
      <c r="O501" t="str">
        <f t="shared" si="65"/>
        <v/>
      </c>
      <c r="P501" t="str">
        <f t="shared" si="66"/>
        <v/>
      </c>
      <c r="Q501" t="str">
        <f t="shared" si="67"/>
        <v/>
      </c>
      <c r="S501" t="str">
        <f>""</f>
        <v/>
      </c>
      <c r="AL501" s="18" t="str">
        <f>IF(COUNTIF($A$2:A500, A500) = 1, A500, "")</f>
        <v/>
      </c>
    </row>
    <row r="502" spans="6:38" x14ac:dyDescent="0.2">
      <c r="F502" t="str">
        <f t="shared" si="62"/>
        <v/>
      </c>
      <c r="L502" s="7" t="str">
        <f t="shared" si="63"/>
        <v/>
      </c>
      <c r="N502" s="7" t="str">
        <f t="shared" si="64"/>
        <v/>
      </c>
      <c r="O502" t="str">
        <f t="shared" si="65"/>
        <v/>
      </c>
      <c r="P502" t="str">
        <f t="shared" si="66"/>
        <v/>
      </c>
      <c r="Q502" t="str">
        <f t="shared" si="67"/>
        <v/>
      </c>
      <c r="S502" t="str">
        <f>""</f>
        <v/>
      </c>
      <c r="AL502" s="18" t="str">
        <f>IF(COUNTIF($A$2:A501, A501) = 1, A501, "")</f>
        <v/>
      </c>
    </row>
    <row r="503" spans="6:38" x14ac:dyDescent="0.2">
      <c r="F503" t="str">
        <f t="shared" si="62"/>
        <v/>
      </c>
      <c r="L503" s="7" t="str">
        <f t="shared" si="63"/>
        <v/>
      </c>
      <c r="N503" s="7" t="str">
        <f t="shared" si="64"/>
        <v/>
      </c>
      <c r="O503" t="str">
        <f t="shared" si="65"/>
        <v/>
      </c>
      <c r="P503" t="str">
        <f t="shared" si="66"/>
        <v/>
      </c>
      <c r="Q503" t="str">
        <f t="shared" si="67"/>
        <v/>
      </c>
      <c r="S503" t="str">
        <f>""</f>
        <v/>
      </c>
      <c r="AL503" s="18" t="str">
        <f>IF(COUNTIF($A$2:A502, A502) = 1, A502, "")</f>
        <v/>
      </c>
    </row>
    <row r="504" spans="6:38" x14ac:dyDescent="0.2">
      <c r="F504" t="str">
        <f t="shared" si="62"/>
        <v/>
      </c>
      <c r="L504" s="7" t="str">
        <f t="shared" si="63"/>
        <v/>
      </c>
      <c r="N504" s="7" t="str">
        <f t="shared" si="64"/>
        <v/>
      </c>
      <c r="O504" t="str">
        <f t="shared" si="65"/>
        <v/>
      </c>
      <c r="P504" t="str">
        <f t="shared" si="66"/>
        <v/>
      </c>
      <c r="Q504" t="str">
        <f t="shared" si="67"/>
        <v/>
      </c>
      <c r="S504" t="str">
        <f>""</f>
        <v/>
      </c>
      <c r="AL504" s="18" t="str">
        <f>IF(COUNTIF($A$2:A503, A503) = 1, A503, "")</f>
        <v/>
      </c>
    </row>
    <row r="505" spans="6:38" x14ac:dyDescent="0.2">
      <c r="F505" t="str">
        <f t="shared" si="62"/>
        <v/>
      </c>
      <c r="L505" s="7" t="str">
        <f t="shared" si="63"/>
        <v/>
      </c>
      <c r="N505" s="7" t="str">
        <f t="shared" si="64"/>
        <v/>
      </c>
      <c r="O505" t="str">
        <f t="shared" si="65"/>
        <v/>
      </c>
      <c r="P505" t="str">
        <f t="shared" si="66"/>
        <v/>
      </c>
      <c r="Q505" t="str">
        <f t="shared" si="67"/>
        <v/>
      </c>
      <c r="S505" t="str">
        <f>""</f>
        <v/>
      </c>
      <c r="AL505" s="18" t="str">
        <f>IF(COUNTIF($A$2:A504, A504) = 1, A504, "")</f>
        <v/>
      </c>
    </row>
    <row r="506" spans="6:38" x14ac:dyDescent="0.2">
      <c r="F506" t="str">
        <f t="shared" si="62"/>
        <v/>
      </c>
      <c r="L506" s="7" t="str">
        <f t="shared" si="63"/>
        <v/>
      </c>
      <c r="N506" s="7" t="str">
        <f t="shared" si="64"/>
        <v/>
      </c>
      <c r="O506" t="str">
        <f t="shared" si="65"/>
        <v/>
      </c>
      <c r="P506" t="str">
        <f t="shared" si="66"/>
        <v/>
      </c>
      <c r="Q506" t="str">
        <f t="shared" si="67"/>
        <v/>
      </c>
      <c r="S506" t="str">
        <f>""</f>
        <v/>
      </c>
      <c r="AL506" s="18" t="str">
        <f>IF(COUNTIF($A$2:A505, A505) = 1, A505, "")</f>
        <v/>
      </c>
    </row>
    <row r="507" spans="6:38" x14ac:dyDescent="0.2">
      <c r="F507" t="str">
        <f t="shared" si="62"/>
        <v/>
      </c>
      <c r="L507" s="7" t="str">
        <f t="shared" si="63"/>
        <v/>
      </c>
      <c r="N507" s="7" t="str">
        <f t="shared" si="64"/>
        <v/>
      </c>
      <c r="O507" t="str">
        <f t="shared" si="65"/>
        <v/>
      </c>
      <c r="P507" t="str">
        <f t="shared" si="66"/>
        <v/>
      </c>
      <c r="Q507" t="str">
        <f t="shared" si="67"/>
        <v/>
      </c>
      <c r="S507" t="str">
        <f>""</f>
        <v/>
      </c>
      <c r="AL507" s="18" t="str">
        <f>IF(COUNTIF($A$2:A506, A506) = 1, A506, "")</f>
        <v/>
      </c>
    </row>
    <row r="508" spans="6:38" x14ac:dyDescent="0.2">
      <c r="F508" t="str">
        <f t="shared" si="62"/>
        <v/>
      </c>
      <c r="L508" s="7" t="str">
        <f t="shared" si="63"/>
        <v/>
      </c>
      <c r="N508" s="7" t="str">
        <f t="shared" si="64"/>
        <v/>
      </c>
      <c r="O508" t="str">
        <f t="shared" si="65"/>
        <v/>
      </c>
      <c r="P508" t="str">
        <f t="shared" si="66"/>
        <v/>
      </c>
      <c r="Q508" t="str">
        <f t="shared" si="67"/>
        <v/>
      </c>
      <c r="S508" t="str">
        <f>""</f>
        <v/>
      </c>
      <c r="AL508" s="18" t="str">
        <f>IF(COUNTIF($A$2:A507, A507) = 1, A507, "")</f>
        <v/>
      </c>
    </row>
    <row r="509" spans="6:38" x14ac:dyDescent="0.2">
      <c r="F509" t="str">
        <f t="shared" si="62"/>
        <v/>
      </c>
      <c r="L509" s="7" t="str">
        <f t="shared" si="63"/>
        <v/>
      </c>
      <c r="N509" s="7" t="str">
        <f t="shared" si="64"/>
        <v/>
      </c>
      <c r="O509" t="str">
        <f t="shared" si="65"/>
        <v/>
      </c>
      <c r="P509" t="str">
        <f t="shared" si="66"/>
        <v/>
      </c>
      <c r="Q509" t="str">
        <f t="shared" si="67"/>
        <v/>
      </c>
      <c r="S509" t="str">
        <f>""</f>
        <v/>
      </c>
      <c r="AL509" s="18" t="str">
        <f>IF(COUNTIF($A$2:A508, A508) = 1, A508, "")</f>
        <v/>
      </c>
    </row>
    <row r="510" spans="6:38" x14ac:dyDescent="0.2">
      <c r="F510" t="str">
        <f t="shared" si="62"/>
        <v/>
      </c>
      <c r="L510" s="7" t="str">
        <f t="shared" si="63"/>
        <v/>
      </c>
      <c r="N510" s="7" t="str">
        <f t="shared" si="64"/>
        <v/>
      </c>
      <c r="O510" t="str">
        <f t="shared" si="65"/>
        <v/>
      </c>
      <c r="P510" t="str">
        <f t="shared" si="66"/>
        <v/>
      </c>
      <c r="Q510" t="str">
        <f t="shared" si="67"/>
        <v/>
      </c>
      <c r="S510" t="str">
        <f>""</f>
        <v/>
      </c>
      <c r="AL510" s="18" t="str">
        <f>IF(COUNTIF($A$2:A509, A509) = 1, A509, "")</f>
        <v/>
      </c>
    </row>
    <row r="511" spans="6:38" x14ac:dyDescent="0.2">
      <c r="F511" t="str">
        <f t="shared" si="62"/>
        <v/>
      </c>
      <c r="L511" s="7" t="str">
        <f t="shared" si="63"/>
        <v/>
      </c>
      <c r="N511" s="7" t="str">
        <f t="shared" si="64"/>
        <v/>
      </c>
      <c r="O511" t="str">
        <f t="shared" si="65"/>
        <v/>
      </c>
      <c r="P511" t="str">
        <f t="shared" si="66"/>
        <v/>
      </c>
      <c r="Q511" t="str">
        <f t="shared" si="67"/>
        <v/>
      </c>
      <c r="S511" t="str">
        <f>""</f>
        <v/>
      </c>
      <c r="AL511" s="18" t="str">
        <f>IF(COUNTIF($A$2:A510, A510) = 1, A510, "")</f>
        <v/>
      </c>
    </row>
    <row r="512" spans="6:38" x14ac:dyDescent="0.2">
      <c r="F512" t="str">
        <f t="shared" si="62"/>
        <v/>
      </c>
      <c r="L512" s="7" t="str">
        <f t="shared" si="63"/>
        <v/>
      </c>
      <c r="N512" s="7" t="str">
        <f t="shared" si="64"/>
        <v/>
      </c>
      <c r="O512" t="str">
        <f t="shared" si="65"/>
        <v/>
      </c>
      <c r="P512" t="str">
        <f t="shared" si="66"/>
        <v/>
      </c>
      <c r="Q512" t="str">
        <f t="shared" si="67"/>
        <v/>
      </c>
      <c r="S512" t="str">
        <f>""</f>
        <v/>
      </c>
      <c r="AL512" s="18" t="str">
        <f>IF(COUNTIF($A$2:A511, A511) = 1, A511, "")</f>
        <v/>
      </c>
    </row>
    <row r="513" spans="6:38" x14ac:dyDescent="0.2">
      <c r="F513" t="str">
        <f t="shared" si="62"/>
        <v/>
      </c>
      <c r="L513" s="7" t="str">
        <f t="shared" si="63"/>
        <v/>
      </c>
      <c r="N513" s="7" t="str">
        <f t="shared" si="64"/>
        <v/>
      </c>
      <c r="O513" t="str">
        <f t="shared" si="65"/>
        <v/>
      </c>
      <c r="P513" t="str">
        <f t="shared" si="66"/>
        <v/>
      </c>
      <c r="Q513" t="str">
        <f t="shared" si="67"/>
        <v/>
      </c>
      <c r="S513" t="str">
        <f>""</f>
        <v/>
      </c>
      <c r="AL513" s="18" t="str">
        <f>IF(COUNTIF($A$2:A512, A512) = 1, A512, "")</f>
        <v/>
      </c>
    </row>
    <row r="514" spans="6:38" x14ac:dyDescent="0.2">
      <c r="F514" t="str">
        <f t="shared" si="62"/>
        <v/>
      </c>
      <c r="L514" s="7" t="str">
        <f t="shared" si="63"/>
        <v/>
      </c>
      <c r="N514" s="7" t="str">
        <f t="shared" si="64"/>
        <v/>
      </c>
      <c r="O514" t="str">
        <f t="shared" si="65"/>
        <v/>
      </c>
      <c r="P514" t="str">
        <f t="shared" si="66"/>
        <v/>
      </c>
      <c r="Q514" t="str">
        <f t="shared" si="67"/>
        <v/>
      </c>
      <c r="S514" t="str">
        <f>""</f>
        <v/>
      </c>
      <c r="AL514" s="18" t="str">
        <f>IF(COUNTIF($A$2:A513, A513) = 1, A513, "")</f>
        <v/>
      </c>
    </row>
    <row r="515" spans="6:38" x14ac:dyDescent="0.2">
      <c r="F515" t="str">
        <f t="shared" si="62"/>
        <v/>
      </c>
      <c r="L515" s="7" t="str">
        <f t="shared" si="63"/>
        <v/>
      </c>
      <c r="N515" s="7" t="str">
        <f t="shared" si="64"/>
        <v/>
      </c>
      <c r="O515" t="str">
        <f t="shared" si="65"/>
        <v/>
      </c>
      <c r="P515" t="str">
        <f t="shared" si="66"/>
        <v/>
      </c>
      <c r="Q515" t="str">
        <f t="shared" si="67"/>
        <v/>
      </c>
      <c r="S515" t="str">
        <f>""</f>
        <v/>
      </c>
      <c r="AL515" s="18" t="str">
        <f>IF(COUNTIF($A$2:A514, A514) = 1, A514, "")</f>
        <v/>
      </c>
    </row>
    <row r="516" spans="6:38" x14ac:dyDescent="0.2">
      <c r="F516" t="str">
        <f t="shared" si="62"/>
        <v/>
      </c>
      <c r="L516" s="7" t="str">
        <f t="shared" si="63"/>
        <v/>
      </c>
      <c r="N516" s="7" t="str">
        <f t="shared" si="64"/>
        <v/>
      </c>
      <c r="O516" t="str">
        <f t="shared" si="65"/>
        <v/>
      </c>
      <c r="P516" t="str">
        <f t="shared" si="66"/>
        <v/>
      </c>
      <c r="Q516" t="str">
        <f t="shared" si="67"/>
        <v/>
      </c>
      <c r="S516" t="str">
        <f>""</f>
        <v/>
      </c>
      <c r="AL516" s="18" t="str">
        <f>IF(COUNTIF($A$2:A515, A515) = 1, A515, "")</f>
        <v/>
      </c>
    </row>
    <row r="517" spans="6:38" x14ac:dyDescent="0.2">
      <c r="F517" t="str">
        <f t="shared" si="62"/>
        <v/>
      </c>
      <c r="L517" s="7" t="str">
        <f t="shared" si="63"/>
        <v/>
      </c>
      <c r="N517" s="7" t="str">
        <f t="shared" si="64"/>
        <v/>
      </c>
      <c r="O517" t="str">
        <f t="shared" si="65"/>
        <v/>
      </c>
      <c r="P517" t="str">
        <f t="shared" si="66"/>
        <v/>
      </c>
      <c r="Q517" t="str">
        <f t="shared" si="67"/>
        <v/>
      </c>
      <c r="S517" t="str">
        <f>""</f>
        <v/>
      </c>
      <c r="AL517" s="18" t="str">
        <f>IF(COUNTIF($A$2:A516, A516) = 1, A516, "")</f>
        <v/>
      </c>
    </row>
    <row r="518" spans="6:38" x14ac:dyDescent="0.2">
      <c r="F518" t="str">
        <f t="shared" si="62"/>
        <v/>
      </c>
      <c r="L518" s="7" t="str">
        <f t="shared" si="63"/>
        <v/>
      </c>
      <c r="N518" s="7" t="str">
        <f t="shared" si="64"/>
        <v/>
      </c>
      <c r="O518" t="str">
        <f t="shared" si="65"/>
        <v/>
      </c>
      <c r="P518" t="str">
        <f t="shared" si="66"/>
        <v/>
      </c>
      <c r="Q518" t="str">
        <f t="shared" si="67"/>
        <v/>
      </c>
      <c r="S518" t="str">
        <f>""</f>
        <v/>
      </c>
      <c r="AL518" s="18" t="str">
        <f>IF(COUNTIF($A$2:A517, A517) = 1, A517, "")</f>
        <v/>
      </c>
    </row>
    <row r="519" spans="6:38" x14ac:dyDescent="0.2">
      <c r="F519" t="str">
        <f t="shared" si="62"/>
        <v/>
      </c>
      <c r="L519" s="7" t="str">
        <f t="shared" si="63"/>
        <v/>
      </c>
      <c r="N519" s="7" t="str">
        <f t="shared" si="64"/>
        <v/>
      </c>
      <c r="O519" t="str">
        <f t="shared" si="65"/>
        <v/>
      </c>
      <c r="P519" t="str">
        <f t="shared" si="66"/>
        <v/>
      </c>
      <c r="Q519" t="str">
        <f t="shared" si="67"/>
        <v/>
      </c>
      <c r="S519" t="str">
        <f>""</f>
        <v/>
      </c>
      <c r="AL519" s="18" t="str">
        <f>IF(COUNTIF($A$2:A518, A518) = 1, A518, "")</f>
        <v/>
      </c>
    </row>
    <row r="520" spans="6:38" x14ac:dyDescent="0.2">
      <c r="F520" t="str">
        <f t="shared" si="62"/>
        <v/>
      </c>
      <c r="L520" s="7" t="str">
        <f t="shared" si="63"/>
        <v/>
      </c>
      <c r="N520" s="7" t="str">
        <f t="shared" si="64"/>
        <v/>
      </c>
      <c r="O520" t="str">
        <f t="shared" si="65"/>
        <v/>
      </c>
      <c r="P520" t="str">
        <f t="shared" si="66"/>
        <v/>
      </c>
      <c r="Q520" t="str">
        <f t="shared" si="67"/>
        <v/>
      </c>
      <c r="S520" t="str">
        <f>""</f>
        <v/>
      </c>
      <c r="AL520" s="18" t="str">
        <f>IF(COUNTIF($A$2:A519, A519) = 1, A519, "")</f>
        <v/>
      </c>
    </row>
    <row r="521" spans="6:38" x14ac:dyDescent="0.2">
      <c r="F521" t="str">
        <f t="shared" si="62"/>
        <v/>
      </c>
      <c r="L521" s="7" t="str">
        <f t="shared" si="63"/>
        <v/>
      </c>
      <c r="N521" s="7" t="str">
        <f t="shared" si="64"/>
        <v/>
      </c>
      <c r="O521" t="str">
        <f t="shared" si="65"/>
        <v/>
      </c>
      <c r="P521" t="str">
        <f t="shared" si="66"/>
        <v/>
      </c>
      <c r="Q521" t="str">
        <f t="shared" si="67"/>
        <v/>
      </c>
      <c r="S521" t="str">
        <f>""</f>
        <v/>
      </c>
      <c r="AL521" s="18" t="str">
        <f>IF(COUNTIF($A$2:A520, A520) = 1, A520, "")</f>
        <v/>
      </c>
    </row>
    <row r="522" spans="6:38" x14ac:dyDescent="0.2">
      <c r="F522" t="str">
        <f t="shared" si="62"/>
        <v/>
      </c>
      <c r="L522" s="7" t="str">
        <f t="shared" si="63"/>
        <v/>
      </c>
      <c r="N522" s="7" t="str">
        <f t="shared" si="64"/>
        <v/>
      </c>
      <c r="O522" t="str">
        <f t="shared" si="65"/>
        <v/>
      </c>
      <c r="P522" t="str">
        <f t="shared" si="66"/>
        <v/>
      </c>
      <c r="Q522" t="str">
        <f t="shared" si="67"/>
        <v/>
      </c>
      <c r="S522" t="str">
        <f>""</f>
        <v/>
      </c>
      <c r="AL522" s="18" t="str">
        <f>IF(COUNTIF($A$2:A521, A521) = 1, A521, "")</f>
        <v/>
      </c>
    </row>
    <row r="523" spans="6:38" x14ac:dyDescent="0.2">
      <c r="F523" t="str">
        <f t="shared" si="62"/>
        <v/>
      </c>
      <c r="L523" s="7" t="str">
        <f t="shared" si="63"/>
        <v/>
      </c>
      <c r="N523" s="7" t="str">
        <f t="shared" si="64"/>
        <v/>
      </c>
      <c r="O523" t="str">
        <f t="shared" si="65"/>
        <v/>
      </c>
      <c r="P523" t="str">
        <f t="shared" si="66"/>
        <v/>
      </c>
      <c r="Q523" t="str">
        <f t="shared" si="67"/>
        <v/>
      </c>
      <c r="S523" t="str">
        <f>""</f>
        <v/>
      </c>
      <c r="AL523" s="18" t="str">
        <f>IF(COUNTIF($A$2:A522, A522) = 1, A522, "")</f>
        <v/>
      </c>
    </row>
    <row r="524" spans="6:38" x14ac:dyDescent="0.2">
      <c r="F524" t="str">
        <f t="shared" si="62"/>
        <v/>
      </c>
      <c r="L524" s="7" t="str">
        <f t="shared" si="63"/>
        <v/>
      </c>
      <c r="N524" s="7" t="str">
        <f t="shared" si="64"/>
        <v/>
      </c>
      <c r="O524" t="str">
        <f t="shared" si="65"/>
        <v/>
      </c>
      <c r="P524" t="str">
        <f t="shared" si="66"/>
        <v/>
      </c>
      <c r="Q524" t="str">
        <f t="shared" si="67"/>
        <v/>
      </c>
      <c r="S524" t="str">
        <f>""</f>
        <v/>
      </c>
      <c r="AL524" s="18" t="str">
        <f>IF(COUNTIF($A$2:A523, A523) = 1, A523, "")</f>
        <v/>
      </c>
    </row>
    <row r="525" spans="6:38" x14ac:dyDescent="0.2">
      <c r="F525" t="str">
        <f t="shared" si="62"/>
        <v/>
      </c>
      <c r="L525" s="7" t="str">
        <f t="shared" si="63"/>
        <v/>
      </c>
      <c r="N525" s="7" t="str">
        <f t="shared" si="64"/>
        <v/>
      </c>
      <c r="O525" t="str">
        <f t="shared" si="65"/>
        <v/>
      </c>
      <c r="P525" t="str">
        <f t="shared" si="66"/>
        <v/>
      </c>
      <c r="Q525" t="str">
        <f t="shared" si="67"/>
        <v/>
      </c>
      <c r="S525" t="str">
        <f>""</f>
        <v/>
      </c>
      <c r="AL525" s="18" t="str">
        <f>IF(COUNTIF($A$2:A524, A524) = 1, A524, "")</f>
        <v/>
      </c>
    </row>
    <row r="526" spans="6:38" x14ac:dyDescent="0.2">
      <c r="F526" t="str">
        <f t="shared" si="62"/>
        <v/>
      </c>
      <c r="L526" s="7" t="str">
        <f t="shared" si="63"/>
        <v/>
      </c>
      <c r="N526" s="7" t="str">
        <f t="shared" si="64"/>
        <v/>
      </c>
      <c r="O526" t="str">
        <f t="shared" si="65"/>
        <v/>
      </c>
      <c r="P526" t="str">
        <f t="shared" si="66"/>
        <v/>
      </c>
      <c r="Q526" t="str">
        <f t="shared" si="67"/>
        <v/>
      </c>
      <c r="S526" t="str">
        <f>""</f>
        <v/>
      </c>
      <c r="AL526" s="18" t="str">
        <f>IF(COUNTIF($A$2:A525, A525) = 1, A525, "")</f>
        <v/>
      </c>
    </row>
    <row r="527" spans="6:38" x14ac:dyDescent="0.2">
      <c r="F527" t="str">
        <f t="shared" si="62"/>
        <v/>
      </c>
      <c r="L527" s="7" t="str">
        <f t="shared" si="63"/>
        <v/>
      </c>
      <c r="N527" s="7" t="str">
        <f t="shared" si="64"/>
        <v/>
      </c>
      <c r="O527" t="str">
        <f t="shared" si="65"/>
        <v/>
      </c>
      <c r="P527" t="str">
        <f t="shared" si="66"/>
        <v/>
      </c>
      <c r="Q527" t="str">
        <f t="shared" si="67"/>
        <v/>
      </c>
      <c r="S527" t="str">
        <f>""</f>
        <v/>
      </c>
      <c r="AL527" s="18" t="str">
        <f>IF(COUNTIF($A$2:A526, A526) = 1, A526, "")</f>
        <v/>
      </c>
    </row>
    <row r="528" spans="6:38" x14ac:dyDescent="0.2">
      <c r="F528" t="str">
        <f t="shared" ref="F528:F543" si="68">IF(OR(O528="", P528=""), "", SUM(IF((O528&lt;&gt;"None")*(O528&lt;&gt;""),LEN(O528)-LEN(SUBSTITUTE(O528,",",""))+1,0)) + SUM(IF((P528&lt;&gt;"None")*(P528&lt;&gt;""),LEN(P528)-LEN(SUBSTITUTE(P528,",",""))+1,0)))</f>
        <v/>
      </c>
      <c r="L528" s="7" t="str">
        <f t="shared" ref="L528:L543" si="69">IF(LEN(E528)=0, "", IFERROR(IF(E528&gt;=0, K528 * (1 + E528/100) - K528, K528 / (ABS(E528)/100))+K528, ""))</f>
        <v/>
      </c>
      <c r="N528" s="7" t="str">
        <f t="shared" ref="N528:N543" si="70">IF(M528="Yes",L528-K528,IF(M528="No",-K528,""))</f>
        <v/>
      </c>
      <c r="O528" t="str">
        <f t="shared" ref="O528:O543" si="71">IF(AND(G528="No",H528="No"), "None", "")</f>
        <v/>
      </c>
      <c r="P528" t="str">
        <f t="shared" ref="P528:P543" si="72">IF(I528="No", "None", "")</f>
        <v/>
      </c>
      <c r="Q528" t="str">
        <f t="shared" ref="Q528:Q543" si="73">IF(AND(D528="Straight", M528 = "No"),IF(O528="None",P528,IF(P528="None",O528) ),"")</f>
        <v/>
      </c>
      <c r="S528" t="str">
        <f>""</f>
        <v/>
      </c>
      <c r="AL528" s="18" t="str">
        <f>IF(COUNTIF($A$2:A527, A527) = 1, A527, "")</f>
        <v/>
      </c>
    </row>
    <row r="529" spans="6:38" x14ac:dyDescent="0.2">
      <c r="F529" t="str">
        <f t="shared" si="68"/>
        <v/>
      </c>
      <c r="L529" s="7" t="str">
        <f t="shared" si="69"/>
        <v/>
      </c>
      <c r="N529" s="7" t="str">
        <f t="shared" si="70"/>
        <v/>
      </c>
      <c r="O529" t="str">
        <f t="shared" si="71"/>
        <v/>
      </c>
      <c r="P529" t="str">
        <f t="shared" si="72"/>
        <v/>
      </c>
      <c r="Q529" t="str">
        <f t="shared" si="73"/>
        <v/>
      </c>
      <c r="S529" t="str">
        <f>""</f>
        <v/>
      </c>
      <c r="AL529" s="18" t="str">
        <f>IF(COUNTIF($A$2:A528, A528) = 1, A528, "")</f>
        <v/>
      </c>
    </row>
    <row r="530" spans="6:38" x14ac:dyDescent="0.2">
      <c r="F530" t="str">
        <f t="shared" si="68"/>
        <v/>
      </c>
      <c r="L530" s="7" t="str">
        <f t="shared" si="69"/>
        <v/>
      </c>
      <c r="N530" s="7" t="str">
        <f t="shared" si="70"/>
        <v/>
      </c>
      <c r="O530" t="str">
        <f t="shared" si="71"/>
        <v/>
      </c>
      <c r="P530" t="str">
        <f t="shared" si="72"/>
        <v/>
      </c>
      <c r="Q530" t="str">
        <f t="shared" si="73"/>
        <v/>
      </c>
      <c r="S530" t="str">
        <f>""</f>
        <v/>
      </c>
      <c r="AL530" s="18" t="str">
        <f>IF(COUNTIF($A$2:A529, A529) = 1, A529, "")</f>
        <v/>
      </c>
    </row>
    <row r="531" spans="6:38" x14ac:dyDescent="0.2">
      <c r="F531" t="str">
        <f t="shared" si="68"/>
        <v/>
      </c>
      <c r="L531" s="7" t="str">
        <f t="shared" si="69"/>
        <v/>
      </c>
      <c r="N531" s="7" t="str">
        <f t="shared" si="70"/>
        <v/>
      </c>
      <c r="O531" t="str">
        <f t="shared" si="71"/>
        <v/>
      </c>
      <c r="P531" t="str">
        <f t="shared" si="72"/>
        <v/>
      </c>
      <c r="Q531" t="str">
        <f t="shared" si="73"/>
        <v/>
      </c>
      <c r="S531" t="str">
        <f>""</f>
        <v/>
      </c>
      <c r="AL531" s="18" t="str">
        <f>IF(COUNTIF($A$2:A530, A530) = 1, A530, "")</f>
        <v/>
      </c>
    </row>
    <row r="532" spans="6:38" x14ac:dyDescent="0.2">
      <c r="F532" t="str">
        <f t="shared" si="68"/>
        <v/>
      </c>
      <c r="L532" s="7" t="str">
        <f t="shared" si="69"/>
        <v/>
      </c>
      <c r="N532" s="7" t="str">
        <f t="shared" si="70"/>
        <v/>
      </c>
      <c r="O532" t="str">
        <f t="shared" si="71"/>
        <v/>
      </c>
      <c r="P532" t="str">
        <f t="shared" si="72"/>
        <v/>
      </c>
      <c r="Q532" t="str">
        <f t="shared" si="73"/>
        <v/>
      </c>
      <c r="S532" t="str">
        <f>""</f>
        <v/>
      </c>
      <c r="AL532" s="18" t="str">
        <f>IF(COUNTIF($A$2:A531, A531) = 1, A531, "")</f>
        <v/>
      </c>
    </row>
    <row r="533" spans="6:38" x14ac:dyDescent="0.2">
      <c r="F533" t="str">
        <f t="shared" si="68"/>
        <v/>
      </c>
      <c r="L533" s="7" t="str">
        <f t="shared" si="69"/>
        <v/>
      </c>
      <c r="N533" s="7" t="str">
        <f t="shared" si="70"/>
        <v/>
      </c>
      <c r="O533" t="str">
        <f t="shared" si="71"/>
        <v/>
      </c>
      <c r="P533" t="str">
        <f t="shared" si="72"/>
        <v/>
      </c>
      <c r="Q533" t="str">
        <f t="shared" si="73"/>
        <v/>
      </c>
      <c r="S533" t="str">
        <f>""</f>
        <v/>
      </c>
      <c r="AL533" s="18" t="str">
        <f>IF(COUNTIF($A$2:A532, A532) = 1, A532, "")</f>
        <v/>
      </c>
    </row>
    <row r="534" spans="6:38" x14ac:dyDescent="0.2">
      <c r="F534" t="str">
        <f t="shared" si="68"/>
        <v/>
      </c>
      <c r="L534" s="7" t="str">
        <f t="shared" si="69"/>
        <v/>
      </c>
      <c r="N534" s="7" t="str">
        <f t="shared" si="70"/>
        <v/>
      </c>
      <c r="O534" t="str">
        <f t="shared" si="71"/>
        <v/>
      </c>
      <c r="P534" t="str">
        <f t="shared" si="72"/>
        <v/>
      </c>
      <c r="Q534" t="str">
        <f t="shared" si="73"/>
        <v/>
      </c>
      <c r="S534" t="str">
        <f>""</f>
        <v/>
      </c>
      <c r="AL534" s="18" t="str">
        <f>IF(COUNTIF($A$2:A533, A533) = 1, A533, "")</f>
        <v/>
      </c>
    </row>
    <row r="535" spans="6:38" x14ac:dyDescent="0.2">
      <c r="F535" t="str">
        <f t="shared" si="68"/>
        <v/>
      </c>
      <c r="L535" s="7" t="str">
        <f t="shared" si="69"/>
        <v/>
      </c>
      <c r="N535" s="7" t="str">
        <f t="shared" si="70"/>
        <v/>
      </c>
      <c r="O535" t="str">
        <f t="shared" si="71"/>
        <v/>
      </c>
      <c r="P535" t="str">
        <f t="shared" si="72"/>
        <v/>
      </c>
      <c r="Q535" t="str">
        <f t="shared" si="73"/>
        <v/>
      </c>
      <c r="S535" t="str">
        <f>""</f>
        <v/>
      </c>
      <c r="AL535" s="18" t="str">
        <f>IF(COUNTIF($A$2:A534, A534) = 1, A534, "")</f>
        <v/>
      </c>
    </row>
    <row r="536" spans="6:38" x14ac:dyDescent="0.2">
      <c r="F536" t="str">
        <f t="shared" si="68"/>
        <v/>
      </c>
      <c r="L536" s="7" t="str">
        <f t="shared" si="69"/>
        <v/>
      </c>
      <c r="N536" s="7" t="str">
        <f t="shared" si="70"/>
        <v/>
      </c>
      <c r="O536" t="str">
        <f t="shared" si="71"/>
        <v/>
      </c>
      <c r="P536" t="str">
        <f t="shared" si="72"/>
        <v/>
      </c>
      <c r="Q536" t="str">
        <f t="shared" si="73"/>
        <v/>
      </c>
      <c r="S536" t="str">
        <f>""</f>
        <v/>
      </c>
      <c r="AL536" s="18" t="str">
        <f>IF(COUNTIF($A$2:A535, A535) = 1, A535, "")</f>
        <v/>
      </c>
    </row>
    <row r="537" spans="6:38" x14ac:dyDescent="0.2">
      <c r="F537" t="str">
        <f t="shared" si="68"/>
        <v/>
      </c>
      <c r="L537" s="7" t="str">
        <f t="shared" si="69"/>
        <v/>
      </c>
      <c r="N537" s="7" t="str">
        <f t="shared" si="70"/>
        <v/>
      </c>
      <c r="O537" t="str">
        <f t="shared" si="71"/>
        <v/>
      </c>
      <c r="P537" t="str">
        <f t="shared" si="72"/>
        <v/>
      </c>
      <c r="Q537" t="str">
        <f t="shared" si="73"/>
        <v/>
      </c>
      <c r="S537" t="str">
        <f>""</f>
        <v/>
      </c>
      <c r="AL537" s="18" t="str">
        <f>IF(COUNTIF($A$2:A536, A536) = 1, A536, "")</f>
        <v/>
      </c>
    </row>
    <row r="538" spans="6:38" x14ac:dyDescent="0.2">
      <c r="F538" t="str">
        <f t="shared" si="68"/>
        <v/>
      </c>
      <c r="L538" s="7" t="str">
        <f t="shared" si="69"/>
        <v/>
      </c>
      <c r="N538" s="7" t="str">
        <f t="shared" si="70"/>
        <v/>
      </c>
      <c r="O538" t="str">
        <f t="shared" si="71"/>
        <v/>
      </c>
      <c r="P538" t="str">
        <f t="shared" si="72"/>
        <v/>
      </c>
      <c r="Q538" t="str">
        <f t="shared" si="73"/>
        <v/>
      </c>
      <c r="S538" t="str">
        <f>""</f>
        <v/>
      </c>
      <c r="AL538" s="18" t="str">
        <f>IF(COUNTIF($A$2:A537, A537) = 1, A537, "")</f>
        <v/>
      </c>
    </row>
    <row r="539" spans="6:38" x14ac:dyDescent="0.2">
      <c r="F539" t="str">
        <f t="shared" si="68"/>
        <v/>
      </c>
      <c r="L539" s="7" t="str">
        <f t="shared" si="69"/>
        <v/>
      </c>
      <c r="N539" s="7" t="str">
        <f t="shared" si="70"/>
        <v/>
      </c>
      <c r="O539" t="str">
        <f t="shared" si="71"/>
        <v/>
      </c>
      <c r="P539" t="str">
        <f t="shared" si="72"/>
        <v/>
      </c>
      <c r="Q539" t="str">
        <f t="shared" si="73"/>
        <v/>
      </c>
      <c r="S539" t="str">
        <f>""</f>
        <v/>
      </c>
      <c r="AL539" s="18" t="str">
        <f>IF(COUNTIF($A$2:A538, A538) = 1, A538, "")</f>
        <v/>
      </c>
    </row>
    <row r="540" spans="6:38" x14ac:dyDescent="0.2">
      <c r="F540" t="str">
        <f t="shared" si="68"/>
        <v/>
      </c>
      <c r="L540" s="7" t="str">
        <f t="shared" si="69"/>
        <v/>
      </c>
      <c r="N540" s="7" t="str">
        <f t="shared" si="70"/>
        <v/>
      </c>
      <c r="O540" t="str">
        <f t="shared" si="71"/>
        <v/>
      </c>
      <c r="P540" t="str">
        <f t="shared" si="72"/>
        <v/>
      </c>
      <c r="Q540" t="str">
        <f t="shared" si="73"/>
        <v/>
      </c>
      <c r="S540" t="str">
        <f>""</f>
        <v/>
      </c>
      <c r="AL540" s="18" t="str">
        <f>IF(COUNTIF($A$2:A539, A539) = 1, A539, "")</f>
        <v/>
      </c>
    </row>
    <row r="541" spans="6:38" x14ac:dyDescent="0.2">
      <c r="F541" t="str">
        <f t="shared" si="68"/>
        <v/>
      </c>
      <c r="L541" s="7" t="str">
        <f t="shared" si="69"/>
        <v/>
      </c>
      <c r="N541" s="7" t="str">
        <f t="shared" si="70"/>
        <v/>
      </c>
      <c r="O541" t="str">
        <f t="shared" si="71"/>
        <v/>
      </c>
      <c r="P541" t="str">
        <f t="shared" si="72"/>
        <v/>
      </c>
      <c r="Q541" t="str">
        <f t="shared" si="73"/>
        <v/>
      </c>
      <c r="S541" t="str">
        <f>""</f>
        <v/>
      </c>
      <c r="AL541" s="18" t="str">
        <f>IF(COUNTIF($A$2:A540, A540) = 1, A540, "")</f>
        <v/>
      </c>
    </row>
    <row r="542" spans="6:38" x14ac:dyDescent="0.2">
      <c r="F542" t="str">
        <f t="shared" si="68"/>
        <v/>
      </c>
      <c r="L542" s="7" t="str">
        <f t="shared" si="69"/>
        <v/>
      </c>
      <c r="N542" s="7" t="str">
        <f t="shared" si="70"/>
        <v/>
      </c>
      <c r="O542" t="str">
        <f t="shared" si="71"/>
        <v/>
      </c>
      <c r="P542" t="str">
        <f t="shared" si="72"/>
        <v/>
      </c>
      <c r="Q542" t="str">
        <f t="shared" si="73"/>
        <v/>
      </c>
      <c r="S542" t="str">
        <f>""</f>
        <v/>
      </c>
      <c r="AL542" s="18" t="str">
        <f>IF(COUNTIF($A$2:A541, A541) = 1, A541, "")</f>
        <v/>
      </c>
    </row>
    <row r="543" spans="6:38" x14ac:dyDescent="0.2">
      <c r="F543" t="str">
        <f t="shared" si="68"/>
        <v/>
      </c>
      <c r="L543" s="7" t="str">
        <f t="shared" si="69"/>
        <v/>
      </c>
      <c r="N543" s="7" t="str">
        <f t="shared" si="70"/>
        <v/>
      </c>
      <c r="O543" t="str">
        <f t="shared" si="71"/>
        <v/>
      </c>
      <c r="P543" t="str">
        <f t="shared" si="72"/>
        <v/>
      </c>
      <c r="Q543" t="str">
        <f t="shared" si="73"/>
        <v/>
      </c>
      <c r="S543" t="str">
        <f>""</f>
        <v/>
      </c>
      <c r="AL543" s="18" t="str">
        <f>IF(COUNTIF($A$2:A542, A542) = 1, A542, "")</f>
        <v/>
      </c>
    </row>
    <row r="544" spans="6:38" x14ac:dyDescent="0.2">
      <c r="AL544" s="18" t="str">
        <f>IF(COUNTIF($A$2:A543, A543) = 1, A543, "")</f>
        <v/>
      </c>
    </row>
    <row r="545" spans="38:38" x14ac:dyDescent="0.2">
      <c r="AL545" s="18" t="str">
        <f>IF(COUNTIF($A$2:A544, A544) = 1, A544, "")</f>
        <v/>
      </c>
    </row>
    <row r="546" spans="38:38" x14ac:dyDescent="0.2">
      <c r="AL546" s="18" t="str">
        <f>IF(COUNTIF($A$2:A545, A545) = 1, A545, "")</f>
        <v/>
      </c>
    </row>
    <row r="547" spans="38:38" x14ac:dyDescent="0.2">
      <c r="AL547" s="18" t="str">
        <f>IF(COUNTIF($A$2:A546, A546) = 1, A546, "")</f>
        <v/>
      </c>
    </row>
    <row r="548" spans="38:38" x14ac:dyDescent="0.2">
      <c r="AL548" s="18" t="str">
        <f>IF(COUNTIF($A$2:A547, A547) = 1, A547, "")</f>
        <v/>
      </c>
    </row>
    <row r="549" spans="38:38" x14ac:dyDescent="0.2">
      <c r="AL549" s="18" t="str">
        <f>IF(COUNTIF($A$2:A548, A548) = 1, A548, "")</f>
        <v/>
      </c>
    </row>
    <row r="550" spans="38:38" x14ac:dyDescent="0.2">
      <c r="AL550" s="18" t="str">
        <f>IF(COUNTIF($A$2:A549, A549) = 1, A549, "")</f>
        <v/>
      </c>
    </row>
    <row r="551" spans="38:38" x14ac:dyDescent="0.2">
      <c r="AL551" s="18" t="str">
        <f>IF(COUNTIF($A$2:A550, A550) = 1, A550, "")</f>
        <v/>
      </c>
    </row>
    <row r="552" spans="38:38" x14ac:dyDescent="0.2">
      <c r="AL552" s="18" t="str">
        <f>IF(COUNTIF($A$2:A551, A551) = 1, A551, "")</f>
        <v/>
      </c>
    </row>
    <row r="553" spans="38:38" x14ac:dyDescent="0.2">
      <c r="AL553" s="18" t="str">
        <f>IF(COUNTIF($A$2:A552, A552) = 1, A552, "")</f>
        <v/>
      </c>
    </row>
    <row r="554" spans="38:38" x14ac:dyDescent="0.2">
      <c r="AL554" s="18" t="str">
        <f>IF(COUNTIF($A$2:A553, A553) = 1, A553, "")</f>
        <v/>
      </c>
    </row>
    <row r="555" spans="38:38" x14ac:dyDescent="0.2">
      <c r="AL555" s="18" t="str">
        <f>IF(COUNTIF($A$2:A554, A554) = 1, A554, "")</f>
        <v/>
      </c>
    </row>
    <row r="556" spans="38:38" x14ac:dyDescent="0.2">
      <c r="AL556" s="18" t="str">
        <f>IF(COUNTIF($A$2:A555, A555) = 1, A555, "")</f>
        <v/>
      </c>
    </row>
    <row r="557" spans="38:38" x14ac:dyDescent="0.2">
      <c r="AL557" s="18" t="str">
        <f>IF(COUNTIF($A$2:A556, A556) = 1, A556, "")</f>
        <v/>
      </c>
    </row>
    <row r="558" spans="38:38" x14ac:dyDescent="0.2">
      <c r="AL558" s="18" t="str">
        <f>IF(COUNTIF($A$2:A557, A557) = 1, A557, "")</f>
        <v/>
      </c>
    </row>
    <row r="559" spans="38:38" x14ac:dyDescent="0.2">
      <c r="AL559" s="18" t="str">
        <f>IF(COUNTIF($A$2:A558, A558) = 1, A558, "")</f>
        <v/>
      </c>
    </row>
    <row r="560" spans="38:38" x14ac:dyDescent="0.2">
      <c r="AL560" s="18" t="str">
        <f>IF(COUNTIF($A$2:A559, A559) = 1, A559, "")</f>
        <v/>
      </c>
    </row>
    <row r="561" spans="38:38" x14ac:dyDescent="0.2">
      <c r="AL561" s="18" t="str">
        <f>IF(COUNTIF($A$2:A560, A560) = 1, A560, "")</f>
        <v/>
      </c>
    </row>
    <row r="562" spans="38:38" x14ac:dyDescent="0.2">
      <c r="AL562" s="18" t="str">
        <f>IF(COUNTIF($A$2:A561, A561) = 1, A561, "")</f>
        <v/>
      </c>
    </row>
    <row r="563" spans="38:38" x14ac:dyDescent="0.2">
      <c r="AL563" s="18" t="str">
        <f>IF(COUNTIF($A$2:A562, A562) = 1, A562, "")</f>
        <v/>
      </c>
    </row>
    <row r="564" spans="38:38" x14ac:dyDescent="0.2">
      <c r="AL564" s="18" t="str">
        <f>IF(COUNTIF($A$2:A563, A563) = 1, A563, "")</f>
        <v/>
      </c>
    </row>
    <row r="565" spans="38:38" x14ac:dyDescent="0.2">
      <c r="AL565" s="18" t="str">
        <f>IF(COUNTIF($A$2:A564, A564) = 1, A564, "")</f>
        <v/>
      </c>
    </row>
    <row r="566" spans="38:38" x14ac:dyDescent="0.2">
      <c r="AL566" s="18" t="str">
        <f>IF(COUNTIF($A$2:A565, A565) = 1, A565, "")</f>
        <v/>
      </c>
    </row>
    <row r="567" spans="38:38" x14ac:dyDescent="0.2">
      <c r="AL567" s="18" t="str">
        <f>IF(COUNTIF($A$2:A566, A566) = 1, A566, "")</f>
        <v/>
      </c>
    </row>
    <row r="568" spans="38:38" x14ac:dyDescent="0.2">
      <c r="AL568" s="18" t="str">
        <f>IF(COUNTIF($A$2:A567, A567) = 1, A567, "")</f>
        <v/>
      </c>
    </row>
    <row r="569" spans="38:38" x14ac:dyDescent="0.2">
      <c r="AL569" s="18" t="str">
        <f>IF(COUNTIF($A$2:A568, A568) = 1, A568, "")</f>
        <v/>
      </c>
    </row>
    <row r="570" spans="38:38" x14ac:dyDescent="0.2">
      <c r="AL570" s="18" t="str">
        <f>IF(COUNTIF($A$2:A569, A569) = 1, A569, "")</f>
        <v/>
      </c>
    </row>
    <row r="571" spans="38:38" x14ac:dyDescent="0.2">
      <c r="AL571" s="18" t="str">
        <f>IF(COUNTIF($A$2:A570, A570) = 1, A570, "")</f>
        <v/>
      </c>
    </row>
    <row r="572" spans="38:38" x14ac:dyDescent="0.2">
      <c r="AL572" s="18" t="str">
        <f>IF(COUNTIF($A$2:A571, A571) = 1, A571, "")</f>
        <v/>
      </c>
    </row>
    <row r="573" spans="38:38" x14ac:dyDescent="0.2">
      <c r="AL573" s="18" t="str">
        <f>IF(COUNTIF($A$2:A572, A572) = 1, A572, "")</f>
        <v/>
      </c>
    </row>
    <row r="574" spans="38:38" x14ac:dyDescent="0.2">
      <c r="AL574" s="18" t="str">
        <f>IF(COUNTIF($A$2:A573, A573) = 1, A573, "")</f>
        <v/>
      </c>
    </row>
    <row r="575" spans="38:38" x14ac:dyDescent="0.2">
      <c r="AL575" s="18" t="str">
        <f>IF(COUNTIF($A$2:A574, A574) = 1, A574, "")</f>
        <v/>
      </c>
    </row>
    <row r="576" spans="38:38" x14ac:dyDescent="0.2">
      <c r="AL576" s="18" t="str">
        <f>IF(COUNTIF($A$2:A575, A575) = 1, A575, "")</f>
        <v/>
      </c>
    </row>
    <row r="577" spans="38:38" x14ac:dyDescent="0.2">
      <c r="AL577" s="18" t="str">
        <f>IF(COUNTIF($A$2:A576, A576) = 1, A576, "")</f>
        <v/>
      </c>
    </row>
    <row r="578" spans="38:38" x14ac:dyDescent="0.2">
      <c r="AL578" s="18" t="str">
        <f>IF(COUNTIF($A$2:A577, A577) = 1, A577, "")</f>
        <v/>
      </c>
    </row>
    <row r="579" spans="38:38" x14ac:dyDescent="0.2">
      <c r="AL579" s="18" t="str">
        <f>IF(COUNTIF($A$2:A578, A578) = 1, A578, "")</f>
        <v/>
      </c>
    </row>
    <row r="580" spans="38:38" x14ac:dyDescent="0.2">
      <c r="AL580" s="18" t="str">
        <f>IF(COUNTIF($A$2:A579, A579) = 1, A579, "")</f>
        <v/>
      </c>
    </row>
    <row r="581" spans="38:38" x14ac:dyDescent="0.2">
      <c r="AL581" s="18" t="str">
        <f>IF(COUNTIF($A$2:A580, A580) = 1, A580, "")</f>
        <v/>
      </c>
    </row>
  </sheetData>
  <mergeCells count="19">
    <mergeCell ref="T2:U2"/>
    <mergeCell ref="T3:U3"/>
    <mergeCell ref="T4:U4"/>
    <mergeCell ref="T6:U6"/>
    <mergeCell ref="T19:U19"/>
    <mergeCell ref="T20:U20"/>
    <mergeCell ref="T21:U21"/>
    <mergeCell ref="T22:U22"/>
    <mergeCell ref="T7:U7"/>
    <mergeCell ref="T8:U8"/>
    <mergeCell ref="T9:U9"/>
    <mergeCell ref="T10:U10"/>
    <mergeCell ref="T11:V11"/>
    <mergeCell ref="T12:U12"/>
    <mergeCell ref="T14:U14"/>
    <mergeCell ref="T15:U15"/>
    <mergeCell ref="T16:U16"/>
    <mergeCell ref="T17:V17"/>
    <mergeCell ref="T13:U13"/>
  </mergeCells>
  <conditionalFormatting sqref="N1:N1048576">
    <cfRule type="dataBar" priority="63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{3EB8135F-06D6-6048-B6F1-A1ADAD3AA1F8}</x14:id>
        </ext>
      </extLst>
    </cfRule>
  </conditionalFormatting>
  <conditionalFormatting sqref="V4">
    <cfRule type="colorScale" priority="56">
      <colorScale>
        <cfvo type="num" val="-50"/>
        <cfvo type="num" val="0"/>
        <cfvo type="num" val="50"/>
        <color rgb="FFC00000"/>
        <color theme="0"/>
        <color rgb="FF00B050"/>
      </colorScale>
    </cfRule>
  </conditionalFormatting>
  <conditionalFormatting sqref="V9">
    <cfRule type="dataBar" priority="55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{6DA00D29-D86E-7C43-B7E3-4132F2ED49D7}</x14:id>
        </ext>
      </extLst>
    </cfRule>
  </conditionalFormatting>
  <conditionalFormatting sqref="V15">
    <cfRule type="dataBar" priority="54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{B642110F-1D2B-0647-9BFB-0BBD3CF1FA2F}</x14:id>
        </ext>
      </extLst>
    </cfRule>
  </conditionalFormatting>
  <conditionalFormatting sqref="V10">
    <cfRule type="dataBar" priority="38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{E321E1EE-3A1A-0641-AE3B-F3D1001185CD}</x14:id>
        </ext>
      </extLst>
    </cfRule>
    <cfRule type="colorScale" priority="39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V16">
    <cfRule type="dataBar" priority="36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{20ABFC42-ACA5-3F44-AD2C-BC663C8279AF}</x14:id>
        </ext>
      </extLst>
    </cfRule>
    <cfRule type="colorScale" priority="37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12:Y18">
    <cfRule type="dataBar" priority="16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{43BA4368-B4B8-5840-840A-62BB86C8636A}</x14:id>
        </ext>
      </extLst>
    </cfRule>
    <cfRule type="colorScale" priority="17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A41:AA43 AA26:AA31 AA3:AA9 AA34:AA38 AA12:AA18 AA21:AA23">
    <cfRule type="dataBar" priority="11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{3F8A952A-E8B5-5644-B306-E80AF9C36563}</x14:id>
        </ext>
      </extLst>
    </cfRule>
  </conditionalFormatting>
  <conditionalFormatting sqref="AA46:AA47">
    <cfRule type="dataBar" priority="10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{C6169A7D-0708-1B4E-AC51-65C47DB95F9B}</x14:id>
        </ext>
      </extLst>
    </cfRule>
  </conditionalFormatting>
  <conditionalFormatting sqref="Z2:Z47">
    <cfRule type="dataBar" priority="9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{8CA4B197-81C6-5343-ABC5-C34B15A1E02A}</x14:id>
        </ext>
      </extLst>
    </cfRule>
  </conditionalFormatting>
  <conditionalFormatting sqref="AE3:AE50">
    <cfRule type="dataBar" priority="12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{3BC27019-2841-9645-9D74-F0496459A556}</x14:id>
        </ext>
      </extLst>
    </cfRule>
    <cfRule type="colorScale" priority="13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D3:AD50">
    <cfRule type="dataBar" priority="14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{276E51D4-157B-5241-961C-97017CD63B53}</x14:id>
        </ext>
      </extLst>
    </cfRule>
    <cfRule type="colorScale" priority="15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3:Y9">
    <cfRule type="dataBar" priority="7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{427C7138-9657-C447-8C0E-2C0CBBBCB574}</x14:id>
        </ext>
      </extLst>
    </cfRule>
    <cfRule type="colorScale" priority="8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21:Y47">
    <cfRule type="dataBar" priority="5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{B8B2F6CB-9B67-1449-A175-21FC26359F05}</x14:id>
        </ext>
      </extLst>
    </cfRule>
    <cfRule type="colorScale" priority="6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A50:AA58">
    <cfRule type="dataBar" priority="4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{B5260526-A978-FD45-9014-E2D789AFFB05}</x14:id>
        </ext>
      </extLst>
    </cfRule>
  </conditionalFormatting>
  <conditionalFormatting sqref="Z49:Z58">
    <cfRule type="dataBar" priority="3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{3AAF2116-9D04-534A-B0F2-AF680ADAA3C2}</x14:id>
        </ext>
      </extLst>
    </cfRule>
  </conditionalFormatting>
  <conditionalFormatting sqref="Y49:Y58">
    <cfRule type="dataBar" priority="1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{AC84E725-E7A2-B445-ADFE-389B3ED0D613}</x14:id>
        </ext>
      </extLst>
    </cfRule>
    <cfRule type="colorScale" priority="2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dataValidations count="3">
    <dataValidation type="list" allowBlank="1" showInputMessage="1" showErrorMessage="1" sqref="D2:D543" xr:uid="{3B4403D3-B3FF-2B43-A93B-DA71F4831461}">
      <formula1>"Straight, Parlay, Boost"</formula1>
    </dataValidation>
    <dataValidation type="list" allowBlank="1" showInputMessage="1" showErrorMessage="1" sqref="M2:M543 G2:J543" xr:uid="{421AEB14-5256-3349-9258-45CB372D6124}">
      <formula1>"Yes, No"</formula1>
    </dataValidation>
    <dataValidation type="list" allowBlank="1" showInputMessage="1" showErrorMessage="1" sqref="R2:R1048576" xr:uid="{E051E735-7F5E-4547-8521-B3CA366EE01D}">
      <formula1>$X$50:$X$58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EB8135F-06D6-6048-B6F1-A1ADAD3AA1F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N1:N1048576</xm:sqref>
        </x14:conditionalFormatting>
        <x14:conditionalFormatting xmlns:xm="http://schemas.microsoft.com/office/excel/2006/main">
          <x14:cfRule type="dataBar" id="{6DA00D29-D86E-7C43-B7E3-4132F2ED49D7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B642110F-1D2B-0647-9BFB-0BBD3CF1FA2F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E321E1EE-3A1A-0641-AE3B-F3D1001185C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20ABFC42-ACA5-3F44-AD2C-BC663C8279A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43BA4368-B4B8-5840-840A-62BB86C8636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Y12:Y18</xm:sqref>
        </x14:conditionalFormatting>
        <x14:conditionalFormatting xmlns:xm="http://schemas.microsoft.com/office/excel/2006/main">
          <x14:cfRule type="dataBar" id="{3F8A952A-E8B5-5644-B306-E80AF9C36563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AA41:AA43 AA26:AA31 AA3:AA9 AA34:AA38 AA12:AA18 AA21:AA23</xm:sqref>
        </x14:conditionalFormatting>
        <x14:conditionalFormatting xmlns:xm="http://schemas.microsoft.com/office/excel/2006/main">
          <x14:cfRule type="dataBar" id="{C6169A7D-0708-1B4E-AC51-65C47DB95F9B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AA46:AA47</xm:sqref>
        </x14:conditionalFormatting>
        <x14:conditionalFormatting xmlns:xm="http://schemas.microsoft.com/office/excel/2006/main">
          <x14:cfRule type="dataBar" id="{8CA4B197-81C6-5343-ABC5-C34B15A1E02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Z2:Z47</xm:sqref>
        </x14:conditionalFormatting>
        <x14:conditionalFormatting xmlns:xm="http://schemas.microsoft.com/office/excel/2006/main">
          <x14:cfRule type="dataBar" id="{3BC27019-2841-9645-9D74-F0496459A55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AE3:AE50</xm:sqref>
        </x14:conditionalFormatting>
        <x14:conditionalFormatting xmlns:xm="http://schemas.microsoft.com/office/excel/2006/main">
          <x14:cfRule type="dataBar" id="{276E51D4-157B-5241-961C-97017CD63B5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AD3:AD50</xm:sqref>
        </x14:conditionalFormatting>
        <x14:conditionalFormatting xmlns:xm="http://schemas.microsoft.com/office/excel/2006/main">
          <x14:cfRule type="dataBar" id="{427C7138-9657-C447-8C0E-2C0CBBBCB57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Y3:Y9</xm:sqref>
        </x14:conditionalFormatting>
        <x14:conditionalFormatting xmlns:xm="http://schemas.microsoft.com/office/excel/2006/main">
          <x14:cfRule type="dataBar" id="{B8B2F6CB-9B67-1449-A175-21FC26359F0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Y21:Y47</xm:sqref>
        </x14:conditionalFormatting>
        <x14:conditionalFormatting xmlns:xm="http://schemas.microsoft.com/office/excel/2006/main">
          <x14:cfRule type="dataBar" id="{B5260526-A978-FD45-9014-E2D789AFFB05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AA50:AA58</xm:sqref>
        </x14:conditionalFormatting>
        <x14:conditionalFormatting xmlns:xm="http://schemas.microsoft.com/office/excel/2006/main">
          <x14:cfRule type="dataBar" id="{3AAF2116-9D04-534A-B0F2-AF680ADAA3C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Z49:Z58</xm:sqref>
        </x14:conditionalFormatting>
        <x14:conditionalFormatting xmlns:xm="http://schemas.microsoft.com/office/excel/2006/main">
          <x14:cfRule type="dataBar" id="{AC84E725-E7A2-B445-ADFE-389B3ED0D61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Y49:Y58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EE46C-C5F2-CC43-BC10-1B003A319499}">
  <sheetPr codeName="Sheet14"/>
  <dimension ref="A1:AL581"/>
  <sheetViews>
    <sheetView topLeftCell="D1" zoomScale="80" zoomScaleNormal="80" workbookViewId="0">
      <pane ySplit="1" topLeftCell="A3" activePane="bottomLeft" state="frozen"/>
      <selection pane="bottomLeft" activeCell="Q25" sqref="Q25"/>
    </sheetView>
  </sheetViews>
  <sheetFormatPr baseColWidth="10" defaultRowHeight="16" x14ac:dyDescent="0.2"/>
  <cols>
    <col min="1" max="1" width="11.5" style="18" bestFit="1" customWidth="1"/>
    <col min="4" max="4" width="11.5" bestFit="1" customWidth="1"/>
    <col min="6" max="6" width="14.83203125" bestFit="1" customWidth="1"/>
    <col min="8" max="8" width="12.5" bestFit="1" customWidth="1"/>
    <col min="11" max="11" width="10.83203125" style="7"/>
    <col min="14" max="14" width="13.5" bestFit="1" customWidth="1"/>
    <col min="15" max="15" width="21.1640625" bestFit="1" customWidth="1"/>
    <col min="16" max="16" width="31.33203125" customWidth="1"/>
    <col min="17" max="17" width="30.5" customWidth="1"/>
    <col min="18" max="18" width="11.5" customWidth="1"/>
    <col min="19" max="19" width="19.33203125" customWidth="1"/>
    <col min="20" max="20" width="11.6640625" bestFit="1" customWidth="1"/>
    <col min="22" max="22" width="12.6640625" bestFit="1" customWidth="1"/>
    <col min="24" max="24" width="14.83203125" style="32" bestFit="1" customWidth="1"/>
    <col min="26" max="26" width="10.83203125" hidden="1" customWidth="1"/>
    <col min="29" max="29" width="10.83203125" style="18"/>
    <col min="30" max="30" width="11" customWidth="1"/>
    <col min="31" max="31" width="10.1640625" bestFit="1" customWidth="1"/>
    <col min="38" max="38" width="0" hidden="1" customWidth="1"/>
  </cols>
  <sheetData>
    <row r="1" spans="1:38" ht="17" thickBot="1" x14ac:dyDescent="0.25">
      <c r="A1" s="56" t="s">
        <v>15</v>
      </c>
      <c r="B1" s="57" t="s">
        <v>10</v>
      </c>
      <c r="C1" s="57" t="s">
        <v>11</v>
      </c>
      <c r="D1" s="57" t="s">
        <v>50</v>
      </c>
      <c r="E1" s="57" t="s">
        <v>12</v>
      </c>
      <c r="F1" s="57" t="s">
        <v>3</v>
      </c>
      <c r="G1" s="57" t="s">
        <v>4</v>
      </c>
      <c r="H1" s="57" t="s">
        <v>60</v>
      </c>
      <c r="I1" s="57" t="s">
        <v>6</v>
      </c>
      <c r="J1" s="57" t="s">
        <v>69</v>
      </c>
      <c r="K1" s="57" t="s">
        <v>7</v>
      </c>
      <c r="L1" s="57" t="s">
        <v>8</v>
      </c>
      <c r="M1" s="57" t="s">
        <v>21</v>
      </c>
      <c r="N1" s="57" t="s">
        <v>9</v>
      </c>
      <c r="O1" s="57" t="s">
        <v>51</v>
      </c>
      <c r="P1" s="57" t="s">
        <v>13</v>
      </c>
      <c r="Q1" s="57" t="s">
        <v>14</v>
      </c>
      <c r="R1" s="57" t="s">
        <v>89</v>
      </c>
      <c r="S1" s="57" t="s">
        <v>61</v>
      </c>
    </row>
    <row r="2" spans="1:38" ht="17" thickBot="1" x14ac:dyDescent="0.25">
      <c r="A2" s="55" t="s">
        <v>86</v>
      </c>
      <c r="F2" t="str">
        <f t="shared" ref="F2:F4" si="0">IF(OR(O2="", P2=""), "", SUM(IF((O2&lt;&gt;"None")*(O2&lt;&gt;""),LEN(O2)-LEN(SUBSTITUTE(O2,",",""))+1,0)) + SUM(IF((P2&lt;&gt;"None")*(P2&lt;&gt;""),LEN(P2)-LEN(SUBSTITUTE(P2,",",""))+1,0)))</f>
        <v/>
      </c>
      <c r="L2" s="7" t="str">
        <f t="shared" ref="L2:L4" si="1">IF(LEN(E2)=0, "", IFERROR(IF(E2&gt;=0, K2 * (1 + E2/100) - K2, K2 / (ABS(E2)/100))+K2, ""))</f>
        <v/>
      </c>
      <c r="N2" s="7" t="str">
        <f t="shared" ref="N2:N4" si="2">IF(M2="Yes",L2-K2,IF(M2="No",-K2,""))</f>
        <v/>
      </c>
      <c r="O2" t="str">
        <f t="shared" ref="O2:O4" si="3">IF(AND(G2="No",H2="No"), "None", "")</f>
        <v/>
      </c>
      <c r="P2" t="str">
        <f t="shared" ref="P2:P4" si="4">IF(I2="No", "None", "")</f>
        <v/>
      </c>
      <c r="Q2" t="str">
        <f t="shared" ref="Q2:Q4" si="5">IF(AND(D2="Straight", M2 = "No"),IF(O2="None",P2,IF(P2="None",O2) ),"")</f>
        <v/>
      </c>
      <c r="S2" t="str">
        <f>""</f>
        <v/>
      </c>
      <c r="T2" s="109" t="s">
        <v>0</v>
      </c>
      <c r="U2" s="110"/>
      <c r="V2" s="4">
        <f>'Nov 2025'!V3</f>
        <v>0</v>
      </c>
      <c r="X2" s="79" t="s">
        <v>10</v>
      </c>
      <c r="Y2" s="80" t="s">
        <v>9</v>
      </c>
      <c r="Z2" s="81" t="s">
        <v>84</v>
      </c>
      <c r="AA2" s="82" t="s">
        <v>39</v>
      </c>
      <c r="AC2" s="86" t="s">
        <v>70</v>
      </c>
      <c r="AD2" s="87" t="s">
        <v>9</v>
      </c>
      <c r="AE2" s="88" t="s">
        <v>71</v>
      </c>
    </row>
    <row r="3" spans="1:38" x14ac:dyDescent="0.2">
      <c r="F3" t="str">
        <f t="shared" si="0"/>
        <v/>
      </c>
      <c r="L3" s="7" t="str">
        <f t="shared" si="1"/>
        <v/>
      </c>
      <c r="N3" s="7" t="str">
        <f t="shared" si="2"/>
        <v/>
      </c>
      <c r="O3" t="str">
        <f t="shared" si="3"/>
        <v/>
      </c>
      <c r="P3" t="str">
        <f t="shared" si="4"/>
        <v/>
      </c>
      <c r="Q3" t="str">
        <f t="shared" si="5"/>
        <v/>
      </c>
      <c r="S3" t="str">
        <f>""</f>
        <v/>
      </c>
      <c r="T3" s="101" t="s">
        <v>1</v>
      </c>
      <c r="U3" s="102"/>
      <c r="V3" s="5">
        <f>V2+V4</f>
        <v>0</v>
      </c>
      <c r="X3" s="47" t="s">
        <v>16</v>
      </c>
      <c r="Y3" s="45">
        <f>SUMIF($B:B,X3,N:N)</f>
        <v>0</v>
      </c>
      <c r="Z3" s="40">
        <f t="shared" ref="Z3:Z9" si="6">COUNTIF(B:B,X3)</f>
        <v>0</v>
      </c>
      <c r="AA3" s="41">
        <f t="shared" ref="AA3:AA9" si="7">IFERROR(COUNTIFS(B:B, X3)/COUNTA($B$2:$B$994),0)</f>
        <v>0</v>
      </c>
      <c r="AC3" s="17" t="str" cm="1">
        <f t="array" ref="AC3">IFERROR(INDEX($AL$2:$AL$300, MATCH(0, COUNTIF($AC$2:AC2, $AL$2:$AL$300) + IF($AL$2:$AL$300="", 1, 0), 0)), "")</f>
        <v/>
      </c>
      <c r="AD3" s="9">
        <f t="shared" ref="AD3:AD25" si="8">IF(ISBLANK(AC3),"",SUMIF(A:A,AC3,N:N))</f>
        <v>0</v>
      </c>
      <c r="AE3" s="19">
        <f>SUM(AD$3:AD3)</f>
        <v>0</v>
      </c>
      <c r="AL3" s="18" t="str">
        <f>IF(COUNTIF($A$2:A2, A2) = 1, A2, "")</f>
        <v/>
      </c>
    </row>
    <row r="4" spans="1:38" ht="17" thickBot="1" x14ac:dyDescent="0.25">
      <c r="F4" t="str">
        <f t="shared" si="0"/>
        <v/>
      </c>
      <c r="L4" s="7" t="str">
        <f t="shared" si="1"/>
        <v/>
      </c>
      <c r="N4" s="7" t="str">
        <f t="shared" si="2"/>
        <v/>
      </c>
      <c r="O4" t="str">
        <f t="shared" si="3"/>
        <v/>
      </c>
      <c r="P4" t="str">
        <f t="shared" si="4"/>
        <v/>
      </c>
      <c r="Q4" t="str">
        <f t="shared" si="5"/>
        <v/>
      </c>
      <c r="S4" t="str">
        <f>""</f>
        <v/>
      </c>
      <c r="T4" s="96" t="s">
        <v>2</v>
      </c>
      <c r="U4" s="97"/>
      <c r="V4" s="10">
        <f>SUM(N2:N1048576)</f>
        <v>0</v>
      </c>
      <c r="X4" s="48" t="s">
        <v>23</v>
      </c>
      <c r="Y4" s="45">
        <f>SUMIF($B:B,X4,N:N)</f>
        <v>0</v>
      </c>
      <c r="Z4" s="34">
        <f t="shared" si="6"/>
        <v>0</v>
      </c>
      <c r="AA4" s="38">
        <f t="shared" si="7"/>
        <v>0</v>
      </c>
      <c r="AC4" s="17" t="str" cm="1">
        <f t="array" ref="AC4">IFERROR(INDEX($AL$2:$AL$300, MATCH(0, COUNTIF($AC$2:AC3, $AL$2:$AL$300) + IF($AL$2:$AL$300="", 1, 0), 0)), "")</f>
        <v/>
      </c>
      <c r="AD4" s="9">
        <f t="shared" si="8"/>
        <v>0</v>
      </c>
      <c r="AE4" s="19">
        <f>SUM(AD$3:AD4)</f>
        <v>0</v>
      </c>
      <c r="AL4" s="18" t="str">
        <f>IF(COUNTIF($A$2:A3, A3) = 1, A3, "")</f>
        <v/>
      </c>
    </row>
    <row r="5" spans="1:38" ht="17" thickBot="1" x14ac:dyDescent="0.25">
      <c r="F5" t="str">
        <f t="shared" ref="F5:F15" si="9">IF(OR(O5="", P5=""), "", SUM(IF((O5&lt;&gt;"None")*(O5&lt;&gt;""),LEN(O5)-LEN(SUBSTITUTE(O5,",",""))+1,0)) + SUM(IF((P5&lt;&gt;"None")*(P5&lt;&gt;""),LEN(P5)-LEN(SUBSTITUTE(P5,",",""))+1,0)))</f>
        <v/>
      </c>
      <c r="L5" s="7" t="str">
        <f t="shared" ref="L5:L15" si="10">IF(LEN(E5)=0, "", IFERROR(IF(E5&gt;=0, K5 * (1 + E5/100) - K5, K5 / (ABS(E5)/100))+K5, ""))</f>
        <v/>
      </c>
      <c r="N5" s="7" t="str">
        <f t="shared" ref="N5:N15" si="11">IF(M5="Yes",L5-K5,IF(M5="No",-K5,""))</f>
        <v/>
      </c>
      <c r="O5" t="str">
        <f t="shared" ref="O5:O15" si="12">IF(AND(G5="No",H5="No"), "None", "")</f>
        <v/>
      </c>
      <c r="P5" t="str">
        <f t="shared" ref="P5:P15" si="13">IF(I5="No", "None", "")</f>
        <v/>
      </c>
      <c r="Q5" t="str">
        <f t="shared" ref="Q5:Q15" si="14">IF(AND(D5="Straight", M5 = "No"),IF(O5="None",P5,IF(P5="None",O5) ),"")</f>
        <v/>
      </c>
      <c r="S5" t="str">
        <f>""</f>
        <v/>
      </c>
      <c r="X5" s="48" t="s">
        <v>24</v>
      </c>
      <c r="Y5" s="45">
        <f>SUMIF($B:B,X5,N:N)</f>
        <v>0</v>
      </c>
      <c r="Z5" s="34">
        <f t="shared" si="6"/>
        <v>0</v>
      </c>
      <c r="AA5" s="38">
        <f t="shared" si="7"/>
        <v>0</v>
      </c>
      <c r="AC5" s="17" t="str" cm="1">
        <f t="array" ref="AC5">IFERROR(INDEX($AL$2:$AL$300, MATCH(0, COUNTIF($AC$2:AC4, $AL$2:$AL$300) + IF($AL$2:$AL$300="", 1, 0), 0)), "")</f>
        <v/>
      </c>
      <c r="AD5" s="9">
        <f t="shared" si="8"/>
        <v>0</v>
      </c>
      <c r="AE5" s="19">
        <f>SUM(AD$3:AD5)</f>
        <v>0</v>
      </c>
      <c r="AL5" s="18" t="str">
        <f>IF(COUNTIF($A$2:A4, A4) = 1, A4, "")</f>
        <v/>
      </c>
    </row>
    <row r="6" spans="1:38" x14ac:dyDescent="0.2">
      <c r="F6" t="str">
        <f t="shared" si="9"/>
        <v/>
      </c>
      <c r="L6" s="7" t="str">
        <f t="shared" si="10"/>
        <v/>
      </c>
      <c r="N6" s="7" t="str">
        <f t="shared" si="11"/>
        <v/>
      </c>
      <c r="O6" t="str">
        <f t="shared" si="12"/>
        <v/>
      </c>
      <c r="P6" t="str">
        <f t="shared" si="13"/>
        <v/>
      </c>
      <c r="Q6" t="str">
        <f t="shared" si="14"/>
        <v/>
      </c>
      <c r="S6" t="str">
        <f>""</f>
        <v/>
      </c>
      <c r="T6" s="109" t="s">
        <v>27</v>
      </c>
      <c r="U6" s="110"/>
      <c r="V6" s="58" t="str">
        <f>Master!D6</f>
        <v>Lions</v>
      </c>
      <c r="X6" s="48" t="s">
        <v>52</v>
      </c>
      <c r="Y6" s="45">
        <f>SUMIF($B:B,X6,N:N)</f>
        <v>0</v>
      </c>
      <c r="Z6" s="34">
        <f t="shared" si="6"/>
        <v>0</v>
      </c>
      <c r="AA6" s="38">
        <f t="shared" si="7"/>
        <v>0</v>
      </c>
      <c r="AC6" s="17" t="str" cm="1">
        <f t="array" ref="AC6">IFERROR(INDEX($AL$2:$AL$300, MATCH(0, COUNTIF($AC$2:AC5, $AL$2:$AL$300) + IF($AL$2:$AL$300="", 1, 0), 0)), "")</f>
        <v/>
      </c>
      <c r="AD6" s="9">
        <f t="shared" si="8"/>
        <v>0</v>
      </c>
      <c r="AE6" s="19">
        <f>SUM(AD$3:AD6)</f>
        <v>0</v>
      </c>
      <c r="AL6" s="18" t="str">
        <f>IF(COUNTIF($A$2:A5, A5) = 1, A5, "")</f>
        <v/>
      </c>
    </row>
    <row r="7" spans="1:38" x14ac:dyDescent="0.2">
      <c r="F7" t="str">
        <f t="shared" si="9"/>
        <v/>
      </c>
      <c r="L7" s="7" t="str">
        <f t="shared" si="10"/>
        <v/>
      </c>
      <c r="N7" s="7" t="str">
        <f t="shared" si="11"/>
        <v/>
      </c>
      <c r="O7" t="str">
        <f t="shared" si="12"/>
        <v/>
      </c>
      <c r="P7" t="str">
        <f t="shared" si="13"/>
        <v/>
      </c>
      <c r="Q7" t="str">
        <f t="shared" si="14"/>
        <v/>
      </c>
      <c r="S7" t="str">
        <f>""</f>
        <v/>
      </c>
      <c r="T7" s="111" t="s">
        <v>99</v>
      </c>
      <c r="U7" s="112"/>
      <c r="V7" s="8" cm="1">
        <f t="array" ref="V7">SUM(IF(ISNUMBER(SEARCH(V6, SUBSTITUTE($O$2:$O$998, ",", ""))), 1, 0))</f>
        <v>0</v>
      </c>
      <c r="X7" s="48" t="s">
        <v>87</v>
      </c>
      <c r="Y7" s="45">
        <f>SUMIF($B:B,X7,N:N)</f>
        <v>0</v>
      </c>
      <c r="Z7" s="34">
        <f t="shared" si="6"/>
        <v>0</v>
      </c>
      <c r="AA7" s="38">
        <f t="shared" si="7"/>
        <v>0</v>
      </c>
      <c r="AC7" s="17" t="str" cm="1">
        <f t="array" ref="AC7">IFERROR(INDEX($AL$2:$AL$300, MATCH(0, COUNTIF($AC$2:AC6, $AL$2:$AL$300) + IF($AL$2:$AL$300="", 1, 0), 0)), "")</f>
        <v/>
      </c>
      <c r="AD7" s="9">
        <f t="shared" si="8"/>
        <v>0</v>
      </c>
      <c r="AE7" s="20">
        <f>SUM(AD$3:AD7)</f>
        <v>0</v>
      </c>
      <c r="AL7" s="18" t="str">
        <f>IF(COUNTIF($A$2:A6, A6) = 1, A6, "")</f>
        <v/>
      </c>
    </row>
    <row r="8" spans="1:38" x14ac:dyDescent="0.2">
      <c r="F8" t="str">
        <f t="shared" si="9"/>
        <v/>
      </c>
      <c r="L8" s="7" t="str">
        <f t="shared" si="10"/>
        <v/>
      </c>
      <c r="N8" s="7" t="str">
        <f t="shared" si="11"/>
        <v/>
      </c>
      <c r="O8" t="str">
        <f t="shared" si="12"/>
        <v/>
      </c>
      <c r="P8" t="str">
        <f t="shared" si="13"/>
        <v/>
      </c>
      <c r="Q8" t="str">
        <f t="shared" si="14"/>
        <v/>
      </c>
      <c r="S8" t="str">
        <f>""</f>
        <v/>
      </c>
      <c r="T8" s="111" t="s">
        <v>100</v>
      </c>
      <c r="U8" s="112"/>
      <c r="V8" s="8" cm="1">
        <f t="array" ref="V8">SUM(IF(ISNUMBER(SEARCH(V6, SUBSTITUTE($Q$2:$Q$998, ",", ""))), 1, 0))</f>
        <v>0</v>
      </c>
      <c r="X8" s="48" t="s">
        <v>85</v>
      </c>
      <c r="Y8" s="45">
        <f>SUMIF($B:B,X8,N:N)</f>
        <v>0</v>
      </c>
      <c r="Z8" s="34">
        <f t="shared" si="6"/>
        <v>0</v>
      </c>
      <c r="AA8" s="38">
        <f t="shared" si="7"/>
        <v>0</v>
      </c>
      <c r="AC8" s="17" t="str" cm="1">
        <f t="array" ref="AC8">IFERROR(INDEX($AL$2:$AL$300, MATCH(0, COUNTIF($AC$2:AC7, $AL$2:$AL$300) + IF($AL$2:$AL$300="", 1, 0), 0)), "")</f>
        <v/>
      </c>
      <c r="AD8" s="9">
        <f t="shared" si="8"/>
        <v>0</v>
      </c>
      <c r="AE8" s="19">
        <f>SUM(AD$3:AD8)</f>
        <v>0</v>
      </c>
      <c r="AL8" s="18" t="str">
        <f>IF(COUNTIF($A$2:A7, A7) = 1, A7, "")</f>
        <v/>
      </c>
    </row>
    <row r="9" spans="1:38" ht="17" thickBot="1" x14ac:dyDescent="0.25">
      <c r="F9" t="str">
        <f t="shared" si="9"/>
        <v/>
      </c>
      <c r="L9" s="7" t="str">
        <f t="shared" si="10"/>
        <v/>
      </c>
      <c r="N9" s="7" t="str">
        <f t="shared" si="11"/>
        <v/>
      </c>
      <c r="O9" t="str">
        <f t="shared" si="12"/>
        <v/>
      </c>
      <c r="P9" t="str">
        <f t="shared" si="13"/>
        <v/>
      </c>
      <c r="Q9" t="str">
        <f t="shared" si="14"/>
        <v/>
      </c>
      <c r="S9" t="str">
        <f>""</f>
        <v/>
      </c>
      <c r="T9" s="101" t="s">
        <v>28</v>
      </c>
      <c r="U9" s="102"/>
      <c r="V9" s="51" t="e">
        <f>1-(V8/V7)</f>
        <v>#DIV/0!</v>
      </c>
      <c r="X9" s="50" t="s">
        <v>53</v>
      </c>
      <c r="Y9" s="44">
        <f>SUMIF($B:B,X9,N:N)</f>
        <v>0</v>
      </c>
      <c r="Z9" s="35">
        <f t="shared" si="6"/>
        <v>0</v>
      </c>
      <c r="AA9" s="39">
        <f t="shared" si="7"/>
        <v>0</v>
      </c>
      <c r="AC9" s="17" t="str" cm="1">
        <f t="array" ref="AC9">IFERROR(INDEX($AL$2:$AL$300, MATCH(0, COUNTIF($AC$2:AC8, $AL$2:$AL$300) + IF($AL$2:$AL$300="", 1, 0), 0)), "")</f>
        <v/>
      </c>
      <c r="AD9" s="9">
        <f t="shared" si="8"/>
        <v>0</v>
      </c>
      <c r="AE9" s="19">
        <f>SUM(AD$3:AD9)</f>
        <v>0</v>
      </c>
      <c r="AL9" s="18" t="str">
        <f>IF(COUNTIF($A$2:A8, A8) = 1, A8, "")</f>
        <v/>
      </c>
    </row>
    <row r="10" spans="1:38" ht="17" thickBot="1" x14ac:dyDescent="0.25">
      <c r="F10" t="str">
        <f t="shared" si="9"/>
        <v/>
      </c>
      <c r="L10" s="7" t="str">
        <f t="shared" si="10"/>
        <v/>
      </c>
      <c r="N10" s="7" t="str">
        <f t="shared" si="11"/>
        <v/>
      </c>
      <c r="O10" t="str">
        <f t="shared" si="12"/>
        <v/>
      </c>
      <c r="P10" t="str">
        <f t="shared" si="13"/>
        <v/>
      </c>
      <c r="Q10" t="str">
        <f t="shared" si="14"/>
        <v/>
      </c>
      <c r="S10" t="str">
        <f>""</f>
        <v/>
      </c>
      <c r="T10" s="115" t="s">
        <v>9</v>
      </c>
      <c r="U10" s="116"/>
      <c r="V10" s="45" cm="1">
        <f t="array" ref="V10">SUMPRODUCT(--($D$2:$D$998="Straight"), --ISNUMBER(SEARCH(V6, SUBSTITUTE($O$2:$O$998, ",", ""))), $N$2:$N$998)</f>
        <v>0</v>
      </c>
      <c r="Y10" s="7"/>
      <c r="AC10" s="17" t="str" cm="1">
        <f t="array" ref="AC10">IFERROR(INDEX($AL$2:$AL$300, MATCH(0, COUNTIF($AC$2:AC9, $AL$2:$AL$300) + IF($AL$2:$AL$300="", 1, 0), 0)), "")</f>
        <v/>
      </c>
      <c r="AD10" s="9">
        <f t="shared" si="8"/>
        <v>0</v>
      </c>
      <c r="AE10" s="19">
        <f>SUM(AD$3:AD10)</f>
        <v>0</v>
      </c>
      <c r="AL10" s="18" t="str">
        <f>IF(COUNTIF($A$2:A9, A9) = 1, A9, "")</f>
        <v/>
      </c>
    </row>
    <row r="11" spans="1:38" ht="17" thickBot="1" x14ac:dyDescent="0.25">
      <c r="F11" t="str">
        <f t="shared" si="9"/>
        <v/>
      </c>
      <c r="L11" s="7" t="str">
        <f t="shared" si="10"/>
        <v/>
      </c>
      <c r="N11" s="7" t="str">
        <f t="shared" si="11"/>
        <v/>
      </c>
      <c r="O11" t="str">
        <f t="shared" si="12"/>
        <v/>
      </c>
      <c r="P11" t="str">
        <f t="shared" si="13"/>
        <v/>
      </c>
      <c r="Q11" t="str">
        <f t="shared" si="14"/>
        <v/>
      </c>
      <c r="S11" t="str">
        <f>""</f>
        <v/>
      </c>
      <c r="T11" s="117" t="s">
        <v>57</v>
      </c>
      <c r="U11" s="118"/>
      <c r="V11" s="119"/>
      <c r="X11" s="79" t="s">
        <v>11</v>
      </c>
      <c r="Y11" s="83" t="s">
        <v>9</v>
      </c>
      <c r="Z11" s="81" t="s">
        <v>84</v>
      </c>
      <c r="AA11" s="82" t="s">
        <v>39</v>
      </c>
      <c r="AC11" s="17" t="str" cm="1">
        <f t="array" ref="AC11">IFERROR(INDEX($AL$2:$AL$300, MATCH(0, COUNTIF($AC$2:AC10, $AL$2:$AL$300) + IF($AL$2:$AL$300="", 1, 0), 0)), "")</f>
        <v/>
      </c>
      <c r="AD11" s="9">
        <f t="shared" si="8"/>
        <v>0</v>
      </c>
      <c r="AE11" s="20">
        <f>SUM(AD$3:AD11)</f>
        <v>0</v>
      </c>
      <c r="AL11" s="18" t="str">
        <f>IF(COUNTIF($A$2:A10, A10) = 1, A10, "")</f>
        <v/>
      </c>
    </row>
    <row r="12" spans="1:38" x14ac:dyDescent="0.2">
      <c r="F12" t="str">
        <f t="shared" si="9"/>
        <v/>
      </c>
      <c r="L12" s="7" t="str">
        <f t="shared" si="10"/>
        <v/>
      </c>
      <c r="N12" s="7" t="str">
        <f t="shared" si="11"/>
        <v/>
      </c>
      <c r="O12" t="str">
        <f t="shared" si="12"/>
        <v/>
      </c>
      <c r="P12" t="str">
        <f t="shared" si="13"/>
        <v/>
      </c>
      <c r="Q12" t="str">
        <f t="shared" si="14"/>
        <v/>
      </c>
      <c r="S12" t="str">
        <f>""</f>
        <v/>
      </c>
      <c r="T12" s="109" t="s">
        <v>22</v>
      </c>
      <c r="U12" s="110"/>
      <c r="V12" s="58" t="str">
        <f>Master!D12</f>
        <v>Josh Allen</v>
      </c>
      <c r="X12" s="47" t="s">
        <v>17</v>
      </c>
      <c r="Y12" s="45">
        <f t="shared" ref="Y12:Y18" si="15">SUMIF(C:C,X12,N:N)</f>
        <v>0</v>
      </c>
      <c r="Z12" s="40">
        <f t="shared" ref="Z12:Z18" si="16">COUNTIF(C:C,X12)</f>
        <v>0</v>
      </c>
      <c r="AA12" s="41">
        <f t="shared" ref="AA12:AA18" si="17">IFERROR(COUNTIFS(C:C, X12)/COUNTA($C$2:$C$994),0)</f>
        <v>0</v>
      </c>
      <c r="AC12" s="17" t="str" cm="1">
        <f t="array" ref="AC12">IFERROR(INDEX($AL$2:$AL$300, MATCH(0, COUNTIF($AC$2:AC11, $AL$2:$AL$300) + IF($AL$2:$AL$300="", 1, 0), 0)), "")</f>
        <v/>
      </c>
      <c r="AD12" s="9">
        <f t="shared" si="8"/>
        <v>0</v>
      </c>
      <c r="AE12" s="19">
        <f>SUM(AD$3:AD12)</f>
        <v>0</v>
      </c>
      <c r="AL12" s="18" t="str">
        <f>IF(COUNTIF($A$2:A11, A11) = 1, A11, "")</f>
        <v/>
      </c>
    </row>
    <row r="13" spans="1:38" x14ac:dyDescent="0.2">
      <c r="F13" t="str">
        <f t="shared" si="9"/>
        <v/>
      </c>
      <c r="L13" s="7" t="str">
        <f t="shared" si="10"/>
        <v/>
      </c>
      <c r="N13" s="7" t="str">
        <f t="shared" si="11"/>
        <v/>
      </c>
      <c r="O13" t="str">
        <f t="shared" si="12"/>
        <v/>
      </c>
      <c r="P13" t="str">
        <f t="shared" si="13"/>
        <v/>
      </c>
      <c r="Q13" t="str">
        <f t="shared" si="14"/>
        <v/>
      </c>
      <c r="S13" t="str">
        <f>""</f>
        <v/>
      </c>
      <c r="T13" s="111" t="s">
        <v>99</v>
      </c>
      <c r="U13" s="112"/>
      <c r="V13" s="8" cm="1">
        <f t="array" ref="V13">SUM(IF(ISNUMBER(SEARCH(V12, SUBSTITUTE($P$2:$P$998, ",", ""))), 1, 0))</f>
        <v>0</v>
      </c>
      <c r="X13" s="48" t="s">
        <v>19</v>
      </c>
      <c r="Y13" s="43">
        <f t="shared" si="15"/>
        <v>0</v>
      </c>
      <c r="Z13" s="34">
        <f t="shared" si="16"/>
        <v>0</v>
      </c>
      <c r="AA13" s="41">
        <f t="shared" si="17"/>
        <v>0</v>
      </c>
      <c r="AC13" s="17" t="str" cm="1">
        <f t="array" ref="AC13">IFERROR(INDEX($AL$2:$AL$300, MATCH(0, COUNTIF($AC$2:AC12, $AL$2:$AL$300) + IF($AL$2:$AL$300="", 1, 0), 0)), "")</f>
        <v/>
      </c>
      <c r="AD13" s="9">
        <f t="shared" si="8"/>
        <v>0</v>
      </c>
      <c r="AE13" s="19">
        <f>SUM(AD$3:AD13)</f>
        <v>0</v>
      </c>
      <c r="AL13" s="18" t="str">
        <f>IF(COUNTIF($A$2:A12, A12) = 1, A12, "")</f>
        <v/>
      </c>
    </row>
    <row r="14" spans="1:38" x14ac:dyDescent="0.2">
      <c r="F14" t="str">
        <f t="shared" si="9"/>
        <v/>
      </c>
      <c r="L14" s="7" t="str">
        <f t="shared" si="10"/>
        <v/>
      </c>
      <c r="N14" s="7" t="str">
        <f t="shared" si="11"/>
        <v/>
      </c>
      <c r="O14" t="str">
        <f t="shared" si="12"/>
        <v/>
      </c>
      <c r="P14" t="str">
        <f t="shared" si="13"/>
        <v/>
      </c>
      <c r="Q14" t="str">
        <f t="shared" si="14"/>
        <v/>
      </c>
      <c r="S14" t="str">
        <f>""</f>
        <v/>
      </c>
      <c r="T14" s="111" t="s">
        <v>100</v>
      </c>
      <c r="U14" s="112"/>
      <c r="V14" s="8" cm="1">
        <f t="array" ref="V14">SUM(IF(ISNUMBER(SEARCH(V12, SUBSTITUTE($Q$2:$Q$998, ",", ""))), 1, 0))</f>
        <v>0</v>
      </c>
      <c r="X14" s="48" t="s">
        <v>25</v>
      </c>
      <c r="Y14" s="43">
        <f t="shared" si="15"/>
        <v>0</v>
      </c>
      <c r="Z14" s="34">
        <f t="shared" si="16"/>
        <v>0</v>
      </c>
      <c r="AA14" s="41">
        <f t="shared" si="17"/>
        <v>0</v>
      </c>
      <c r="AC14" s="17" t="str" cm="1">
        <f t="array" ref="AC14">IFERROR(INDEX($AL$2:$AL$300, MATCH(0, COUNTIF($AC$2:AC13, $AL$2:$AL$300) + IF($AL$2:$AL$300="", 1, 0), 0)), "")</f>
        <v/>
      </c>
      <c r="AD14" s="9">
        <f t="shared" si="8"/>
        <v>0</v>
      </c>
      <c r="AE14" s="19">
        <f>SUM(AD$3:AD14)</f>
        <v>0</v>
      </c>
      <c r="AL14" s="18" t="str">
        <f>IF(COUNTIF($A$2:A13, A13) = 1, A13, "")</f>
        <v/>
      </c>
    </row>
    <row r="15" spans="1:38" x14ac:dyDescent="0.2">
      <c r="F15" t="str">
        <f t="shared" si="9"/>
        <v/>
      </c>
      <c r="L15" s="7" t="str">
        <f t="shared" si="10"/>
        <v/>
      </c>
      <c r="N15" s="7" t="str">
        <f t="shared" si="11"/>
        <v/>
      </c>
      <c r="O15" t="str">
        <f t="shared" si="12"/>
        <v/>
      </c>
      <c r="P15" t="str">
        <f t="shared" si="13"/>
        <v/>
      </c>
      <c r="Q15" t="str">
        <f t="shared" si="14"/>
        <v/>
      </c>
      <c r="S15" t="str">
        <f>""</f>
        <v/>
      </c>
      <c r="T15" s="101" t="s">
        <v>28</v>
      </c>
      <c r="U15" s="102"/>
      <c r="V15" s="51" t="e">
        <f>1-(V14/V13)</f>
        <v>#DIV/0!</v>
      </c>
      <c r="X15" s="47" t="s">
        <v>26</v>
      </c>
      <c r="Y15" s="43">
        <f t="shared" si="15"/>
        <v>0</v>
      </c>
      <c r="Z15" s="34">
        <f t="shared" si="16"/>
        <v>0</v>
      </c>
      <c r="AA15" s="41">
        <f t="shared" si="17"/>
        <v>0</v>
      </c>
      <c r="AC15" s="17" t="str" cm="1">
        <f t="array" ref="AC15">IFERROR(INDEX($AL$2:$AL$300, MATCH(0, COUNTIF($AC$2:AC14, $AL$2:$AL$300) + IF($AL$2:$AL$300="", 1, 0), 0)), "")</f>
        <v/>
      </c>
      <c r="AD15" s="9">
        <f t="shared" si="8"/>
        <v>0</v>
      </c>
      <c r="AE15" s="20">
        <f>SUM(AD$3:AD15)</f>
        <v>0</v>
      </c>
      <c r="AL15" s="18" t="str">
        <f>IF(COUNTIF($A$2:A14, A14) = 1, A14, "")</f>
        <v/>
      </c>
    </row>
    <row r="16" spans="1:38" ht="17" thickBot="1" x14ac:dyDescent="0.25">
      <c r="F16" t="str">
        <f t="shared" ref="F16:F61" si="18">IF(OR(O16="", P16=""), "", SUM(IF((O16&lt;&gt;"None")*(O16&lt;&gt;""),LEN(O16)-LEN(SUBSTITUTE(O16,",",""))+1,0)) + SUM(IF((P16&lt;&gt;"None")*(P16&lt;&gt;""),LEN(P16)-LEN(SUBSTITUTE(P16,",",""))+1,0)))</f>
        <v/>
      </c>
      <c r="L16" s="7" t="str">
        <f t="shared" ref="L16:L60" si="19">IF(LEN(E16)=0, "", IFERROR(IF(E16&gt;=0, K16 * (1 + E16/100) - K16, K16 / (ABS(E16)/100))+K16, ""))</f>
        <v/>
      </c>
      <c r="N16" s="7" t="str">
        <f t="shared" ref="N16:N60" si="20">IF(M16="Yes",L16-K16,IF(M16="No",-K16,""))</f>
        <v/>
      </c>
      <c r="O16" t="str">
        <f t="shared" ref="O16:O60" si="21">IF(AND(G16="No",H16="No"), "None", "")</f>
        <v/>
      </c>
      <c r="P16" t="str">
        <f t="shared" ref="P16:P17" si="22">IF(I16="No", "None", "")</f>
        <v/>
      </c>
      <c r="Q16" t="str">
        <f t="shared" ref="Q16:Q61" si="23">IF(AND(D16="Straight", M16 = "No"),IF(O16="None",P16,IF(P16="None",O16) ),"")</f>
        <v/>
      </c>
      <c r="S16" t="str">
        <f>""</f>
        <v/>
      </c>
      <c r="T16" s="115" t="s">
        <v>9</v>
      </c>
      <c r="U16" s="116"/>
      <c r="V16" s="45" cm="1">
        <f t="array" ref="V16">SUMPRODUCT(--($D$2:$D$998="Straight"), --ISNUMBER(SEARCH(V12, SUBSTITUTE($P$2:$P$998, ",", ""))), $N$2:$N$998)</f>
        <v>0</v>
      </c>
      <c r="X16" s="48" t="s">
        <v>29</v>
      </c>
      <c r="Y16" s="43">
        <f t="shared" si="15"/>
        <v>0</v>
      </c>
      <c r="Z16" s="34">
        <f t="shared" si="16"/>
        <v>0</v>
      </c>
      <c r="AA16" s="41">
        <f t="shared" si="17"/>
        <v>0</v>
      </c>
      <c r="AC16" s="17" t="str" cm="1">
        <f t="array" ref="AC16">IFERROR(INDEX($AL$2:$AL$300, MATCH(0, COUNTIF($AC$2:AC15, $AL$2:$AL$300) + IF($AL$2:$AL$300="", 1, 0), 0)), "")</f>
        <v/>
      </c>
      <c r="AD16" s="9">
        <f t="shared" si="8"/>
        <v>0</v>
      </c>
      <c r="AE16" s="19">
        <f>SUM(AD$3:AD16)</f>
        <v>0</v>
      </c>
      <c r="AL16" s="18" t="str">
        <f>IF(COUNTIF($A$2:A15, A15) = 1, A15, "")</f>
        <v/>
      </c>
    </row>
    <row r="17" spans="6:38" ht="17" thickBot="1" x14ac:dyDescent="0.25">
      <c r="F17" t="str">
        <f t="shared" si="18"/>
        <v/>
      </c>
      <c r="L17" s="7" t="str">
        <f t="shared" si="19"/>
        <v/>
      </c>
      <c r="N17" s="7" t="str">
        <f t="shared" si="20"/>
        <v/>
      </c>
      <c r="O17" t="str">
        <f t="shared" si="21"/>
        <v/>
      </c>
      <c r="P17" t="str">
        <f t="shared" si="22"/>
        <v/>
      </c>
      <c r="Q17" t="str">
        <f t="shared" si="23"/>
        <v/>
      </c>
      <c r="S17" t="str">
        <f>""</f>
        <v/>
      </c>
      <c r="T17" s="117" t="s">
        <v>57</v>
      </c>
      <c r="U17" s="118"/>
      <c r="V17" s="119"/>
      <c r="X17" s="48" t="s">
        <v>30</v>
      </c>
      <c r="Y17" s="43">
        <f t="shared" si="15"/>
        <v>0</v>
      </c>
      <c r="Z17" s="34">
        <f t="shared" si="16"/>
        <v>0</v>
      </c>
      <c r="AA17" s="41">
        <f t="shared" si="17"/>
        <v>0</v>
      </c>
      <c r="AC17" s="17" t="str" cm="1">
        <f t="array" ref="AC17">IFERROR(INDEX($AL$2:$AL$300, MATCH(0, COUNTIF($AC$2:AC16, $AL$2:$AL$300) + IF($AL$2:$AL$300="", 1, 0), 0)), "")</f>
        <v/>
      </c>
      <c r="AD17" s="9">
        <f t="shared" si="8"/>
        <v>0</v>
      </c>
      <c r="AE17" s="19">
        <f>SUM(AD$3:AD17)</f>
        <v>0</v>
      </c>
      <c r="AL17" s="18" t="str">
        <f>IF(COUNTIF($A$2:A16, A16) = 1, A16, "")</f>
        <v/>
      </c>
    </row>
    <row r="18" spans="6:38" ht="17" thickBot="1" x14ac:dyDescent="0.25">
      <c r="F18" t="str">
        <f t="shared" si="18"/>
        <v/>
      </c>
      <c r="L18" s="7" t="str">
        <f t="shared" si="19"/>
        <v/>
      </c>
      <c r="N18" s="7" t="str">
        <f t="shared" si="20"/>
        <v/>
      </c>
      <c r="O18" t="str">
        <f t="shared" si="21"/>
        <v/>
      </c>
      <c r="P18" t="str">
        <f>IF(I18="No", "None", "")</f>
        <v/>
      </c>
      <c r="Q18" t="str">
        <f t="shared" si="23"/>
        <v/>
      </c>
      <c r="S18" t="str">
        <f>""</f>
        <v/>
      </c>
      <c r="X18" s="50" t="s">
        <v>82</v>
      </c>
      <c r="Y18" s="44">
        <f t="shared" si="15"/>
        <v>0</v>
      </c>
      <c r="Z18" s="35">
        <f t="shared" si="16"/>
        <v>0</v>
      </c>
      <c r="AA18" s="52">
        <f t="shared" si="17"/>
        <v>0</v>
      </c>
      <c r="AC18" s="17" t="str" cm="1">
        <f t="array" ref="AC18">IFERROR(INDEX($AL$2:$AL$300, MATCH(0, COUNTIF($AC$2:AC17, $AL$2:$AL$300) + IF($AL$2:$AL$300="", 1, 0), 0)), "")</f>
        <v/>
      </c>
      <c r="AD18" s="9">
        <f t="shared" si="8"/>
        <v>0</v>
      </c>
      <c r="AE18" s="19">
        <f>SUM(AD$3:AD18)</f>
        <v>0</v>
      </c>
      <c r="AL18" s="18" t="str">
        <f>IF(COUNTIF($A$2:A17, A17) = 1, A17, "")</f>
        <v/>
      </c>
    </row>
    <row r="19" spans="6:38" ht="17" thickBot="1" x14ac:dyDescent="0.25">
      <c r="F19" t="str">
        <f t="shared" si="18"/>
        <v/>
      </c>
      <c r="L19" s="7" t="str">
        <f t="shared" si="19"/>
        <v/>
      </c>
      <c r="N19" s="7" t="str">
        <f t="shared" si="20"/>
        <v/>
      </c>
      <c r="O19" t="str">
        <f t="shared" si="21"/>
        <v/>
      </c>
      <c r="P19" t="str">
        <f t="shared" ref="P19:P77" si="24">IF(I19="No", "None", "")</f>
        <v/>
      </c>
      <c r="Q19" t="str">
        <f t="shared" si="23"/>
        <v/>
      </c>
      <c r="S19" t="str">
        <f>""</f>
        <v/>
      </c>
      <c r="T19" s="103" t="s">
        <v>62</v>
      </c>
      <c r="U19" s="104"/>
      <c r="V19" s="13">
        <f>COUNTA(B:B) - 1</f>
        <v>0</v>
      </c>
      <c r="Y19" s="7"/>
      <c r="AC19" s="17" t="str" cm="1">
        <f t="array" ref="AC19">IFERROR(INDEX($AL$2:$AL$300, MATCH(0, COUNTIF($AC$2:AC18, $AL$2:$AL$300) + IF($AL$2:$AL$300="", 1, 0), 0)), "")</f>
        <v/>
      </c>
      <c r="AD19" s="9">
        <f t="shared" si="8"/>
        <v>0</v>
      </c>
      <c r="AE19" s="20">
        <f>SUM(AD$3:AD19)</f>
        <v>0</v>
      </c>
      <c r="AL19" s="18" t="str">
        <f>IF(COUNTIF($A$2:A18, A18) = 1, A18, "")</f>
        <v/>
      </c>
    </row>
    <row r="20" spans="6:38" ht="17" thickBot="1" x14ac:dyDescent="0.25">
      <c r="F20" t="str">
        <f t="shared" si="18"/>
        <v/>
      </c>
      <c r="L20" s="7" t="str">
        <f t="shared" si="19"/>
        <v/>
      </c>
      <c r="N20" s="7" t="str">
        <f t="shared" si="20"/>
        <v/>
      </c>
      <c r="O20" t="str">
        <f t="shared" si="21"/>
        <v/>
      </c>
      <c r="P20" t="str">
        <f t="shared" si="24"/>
        <v/>
      </c>
      <c r="Q20" t="str">
        <f t="shared" si="23"/>
        <v/>
      </c>
      <c r="S20" t="str">
        <f>""</f>
        <v/>
      </c>
      <c r="T20" s="111" t="s">
        <v>64</v>
      </c>
      <c r="U20" s="112"/>
      <c r="V20" s="24">
        <f>COUNTIF(M:M, "Yes")</f>
        <v>0</v>
      </c>
      <c r="X20" s="79" t="s">
        <v>50</v>
      </c>
      <c r="Y20" s="83" t="s">
        <v>9</v>
      </c>
      <c r="Z20" s="81" t="s">
        <v>84</v>
      </c>
      <c r="AA20" s="82" t="s">
        <v>39</v>
      </c>
      <c r="AC20" s="17" t="str" cm="1">
        <f t="array" ref="AC20">IFERROR(INDEX($AL$2:$AL$300, MATCH(0, COUNTIF($AC$2:AC19, $AL$2:$AL$300) + IF($AL$2:$AL$300="", 1, 0), 0)), "")</f>
        <v/>
      </c>
      <c r="AD20" s="9">
        <f t="shared" si="8"/>
        <v>0</v>
      </c>
      <c r="AE20" s="19">
        <f>SUM(AD$3:AD20)</f>
        <v>0</v>
      </c>
      <c r="AL20" s="18" t="str">
        <f>IF(COUNTIF($A$2:A19, A19) = 1, A19, "")</f>
        <v/>
      </c>
    </row>
    <row r="21" spans="6:38" x14ac:dyDescent="0.2">
      <c r="F21" t="str">
        <f t="shared" si="18"/>
        <v/>
      </c>
      <c r="L21" s="7" t="str">
        <f t="shared" si="19"/>
        <v/>
      </c>
      <c r="N21" s="7" t="str">
        <f t="shared" si="20"/>
        <v/>
      </c>
      <c r="O21" t="str">
        <f t="shared" si="21"/>
        <v/>
      </c>
      <c r="P21" t="str">
        <f t="shared" si="24"/>
        <v/>
      </c>
      <c r="Q21" t="str">
        <f t="shared" si="23"/>
        <v/>
      </c>
      <c r="S21" t="str">
        <f>""</f>
        <v/>
      </c>
      <c r="T21" s="111" t="s">
        <v>65</v>
      </c>
      <c r="U21" s="112"/>
      <c r="V21" s="25">
        <f>COUNTIF(M:M, "No")</f>
        <v>0</v>
      </c>
      <c r="X21" s="47" t="s">
        <v>20</v>
      </c>
      <c r="Y21" s="45">
        <f>SUMIF(D:D,X21,N:N)</f>
        <v>0</v>
      </c>
      <c r="Z21" s="40">
        <f>COUNTIF(D:D,X21)</f>
        <v>0</v>
      </c>
      <c r="AA21" s="41">
        <f>IFERROR(COUNTIFS(D:D, X21)/COUNTA($D$2:$D$994),0)</f>
        <v>0</v>
      </c>
      <c r="AC21" s="17" t="str" cm="1">
        <f t="array" ref="AC21">IFERROR(INDEX($AL$2:$AL$300, MATCH(0, COUNTIF($AC$2:AC20, $AL$2:$AL$300) + IF($AL$2:$AL$300="", 1, 0), 0)), "")</f>
        <v/>
      </c>
      <c r="AD21" s="9">
        <f t="shared" si="8"/>
        <v>0</v>
      </c>
      <c r="AE21" s="19">
        <f>SUM(AD$3:AD21)</f>
        <v>0</v>
      </c>
      <c r="AL21" s="18" t="str">
        <f>IF(COUNTIF($A$2:A20, A20) = 1, A20, "")</f>
        <v/>
      </c>
    </row>
    <row r="22" spans="6:38" ht="17" thickBot="1" x14ac:dyDescent="0.25">
      <c r="F22" t="str">
        <f t="shared" si="18"/>
        <v/>
      </c>
      <c r="L22" s="7" t="str">
        <f t="shared" si="19"/>
        <v/>
      </c>
      <c r="N22" s="7" t="str">
        <f t="shared" si="20"/>
        <v/>
      </c>
      <c r="O22" t="str">
        <f t="shared" si="21"/>
        <v/>
      </c>
      <c r="P22" t="str">
        <f t="shared" si="24"/>
        <v/>
      </c>
      <c r="Q22" t="str">
        <f t="shared" si="23"/>
        <v/>
      </c>
      <c r="S22" t="str">
        <f>""</f>
        <v/>
      </c>
      <c r="T22" s="107" t="s">
        <v>76</v>
      </c>
      <c r="U22" s="108"/>
      <c r="V22" s="14">
        <f>V19-V20-V21</f>
        <v>0</v>
      </c>
      <c r="X22" s="48" t="s">
        <v>18</v>
      </c>
      <c r="Y22" s="45">
        <f>SUMIF(D:D,X22,N:N)</f>
        <v>0</v>
      </c>
      <c r="Z22" s="34">
        <f>COUNTIF(D:D,X22)</f>
        <v>0</v>
      </c>
      <c r="AA22" s="41">
        <f>IFERROR(COUNTIFS(D:D, X22)/COUNTA($D$2:$D$994),0)</f>
        <v>0</v>
      </c>
      <c r="AC22" s="17" t="str" cm="1">
        <f t="array" ref="AC22">IFERROR(INDEX($AL$2:$AL$300, MATCH(0, COUNTIF($AC$2:AC21, $AL$2:$AL$300) + IF($AL$2:$AL$300="", 1, 0), 0)), "")</f>
        <v/>
      </c>
      <c r="AD22" s="9">
        <f t="shared" si="8"/>
        <v>0</v>
      </c>
      <c r="AE22" s="19">
        <f>SUM(AD$3:AD22)</f>
        <v>0</v>
      </c>
      <c r="AL22" s="18" t="str">
        <f>IF(COUNTIF($A$2:A21, A21) = 1, A21, "")</f>
        <v/>
      </c>
    </row>
    <row r="23" spans="6:38" ht="17" thickBot="1" x14ac:dyDescent="0.25">
      <c r="F23" t="str">
        <f t="shared" si="18"/>
        <v/>
      </c>
      <c r="L23" s="7" t="str">
        <f t="shared" si="19"/>
        <v/>
      </c>
      <c r="N23" s="7" t="str">
        <f t="shared" si="20"/>
        <v/>
      </c>
      <c r="O23" t="str">
        <f t="shared" si="21"/>
        <v/>
      </c>
      <c r="P23" t="str">
        <f t="shared" si="24"/>
        <v/>
      </c>
      <c r="Q23" t="str">
        <f t="shared" si="23"/>
        <v/>
      </c>
      <c r="S23" t="str">
        <f>""</f>
        <v/>
      </c>
      <c r="X23" s="50" t="s">
        <v>31</v>
      </c>
      <c r="Y23" s="44">
        <f>SUMIF(D:D,X23,N:N)</f>
        <v>0</v>
      </c>
      <c r="Z23" s="35">
        <f>COUNTIF(D:D,X23)</f>
        <v>0</v>
      </c>
      <c r="AA23" s="52">
        <f>IFERROR(COUNTIFS(D:D, X23)/COUNTA($D$2:$D$994),0)</f>
        <v>0</v>
      </c>
      <c r="AC23" s="17" t="str" cm="1">
        <f t="array" ref="AC23">IFERROR(INDEX($AL$2:$AL$300, MATCH(0, COUNTIF($AC$2:AC22, $AL$2:$AL$300) + IF($AL$2:$AL$300="", 1, 0), 0)), "")</f>
        <v/>
      </c>
      <c r="AD23" s="9">
        <f t="shared" si="8"/>
        <v>0</v>
      </c>
      <c r="AE23" s="20">
        <f>SUM(AD$3:AD23)</f>
        <v>0</v>
      </c>
      <c r="AL23" s="18" t="str">
        <f>IF(COUNTIF($A$2:A22, A22) = 1, A22, "")</f>
        <v/>
      </c>
    </row>
    <row r="24" spans="6:38" ht="17" thickBot="1" x14ac:dyDescent="0.25">
      <c r="F24" t="str">
        <f t="shared" si="18"/>
        <v/>
      </c>
      <c r="L24" s="7" t="str">
        <f t="shared" si="19"/>
        <v/>
      </c>
      <c r="N24" s="7" t="str">
        <f t="shared" si="20"/>
        <v/>
      </c>
      <c r="O24" t="str">
        <f t="shared" si="21"/>
        <v/>
      </c>
      <c r="P24" t="str">
        <f t="shared" si="24"/>
        <v/>
      </c>
      <c r="Q24" t="str">
        <f t="shared" si="23"/>
        <v/>
      </c>
      <c r="S24" t="str">
        <f>""</f>
        <v/>
      </c>
      <c r="Y24" s="60"/>
      <c r="AC24" s="17" t="str" cm="1">
        <f t="array" ref="AC24">IFERROR(INDEX($AL$2:$AL$300, MATCH(0, COUNTIF($AC$2:AC23, $AL$2:$AL$300) + IF($AL$2:$AL$300="", 1, 0), 0)), "")</f>
        <v/>
      </c>
      <c r="AD24" s="9">
        <f t="shared" si="8"/>
        <v>0</v>
      </c>
      <c r="AE24" s="19">
        <f>SUM(AD$3:AD24)</f>
        <v>0</v>
      </c>
      <c r="AL24" s="18" t="str">
        <f>IF(COUNTIF($A$2:A23, A23) = 1, A23, "")</f>
        <v/>
      </c>
    </row>
    <row r="25" spans="6:38" ht="17" thickBot="1" x14ac:dyDescent="0.25">
      <c r="F25" t="str">
        <f t="shared" si="18"/>
        <v/>
      </c>
      <c r="L25" s="7" t="str">
        <f t="shared" si="19"/>
        <v/>
      </c>
      <c r="N25" s="7" t="str">
        <f t="shared" si="20"/>
        <v/>
      </c>
      <c r="O25" t="str">
        <f t="shared" si="21"/>
        <v/>
      </c>
      <c r="P25" t="str">
        <f t="shared" si="24"/>
        <v/>
      </c>
      <c r="Q25" t="str">
        <f t="shared" si="23"/>
        <v/>
      </c>
      <c r="S25" t="str">
        <f>""</f>
        <v/>
      </c>
      <c r="X25" s="79" t="s">
        <v>12</v>
      </c>
      <c r="Y25" s="83" t="s">
        <v>9</v>
      </c>
      <c r="Z25" s="81" t="s">
        <v>84</v>
      </c>
      <c r="AA25" s="82" t="s">
        <v>39</v>
      </c>
      <c r="AC25" s="21" t="str" cm="1">
        <f t="array" ref="AC25">IFERROR(INDEX($AL$2:$AL$300, MATCH(0, COUNTIF($AC$2:AC24, $AL$2:$AL$300) + IF($AL$2:$AL$300="", 1, 0), 0)), "")</f>
        <v/>
      </c>
      <c r="AD25" s="22">
        <f t="shared" si="8"/>
        <v>0</v>
      </c>
      <c r="AE25" s="23">
        <f>SUM(AD$3:AD25)</f>
        <v>0</v>
      </c>
      <c r="AL25" s="18" t="str">
        <f>IF(COUNTIF($A$2:A24, A24) = 1, A24, "")</f>
        <v/>
      </c>
    </row>
    <row r="26" spans="6:38" x14ac:dyDescent="0.2">
      <c r="F26" t="str">
        <f t="shared" si="18"/>
        <v/>
      </c>
      <c r="L26" s="7" t="str">
        <f t="shared" si="19"/>
        <v/>
      </c>
      <c r="N26" s="7" t="str">
        <f t="shared" si="20"/>
        <v/>
      </c>
      <c r="O26" t="str">
        <f t="shared" si="21"/>
        <v/>
      </c>
      <c r="P26" t="str">
        <f t="shared" si="24"/>
        <v/>
      </c>
      <c r="Q26" t="str">
        <f t="shared" si="23"/>
        <v/>
      </c>
      <c r="S26" t="str">
        <f>""</f>
        <v/>
      </c>
      <c r="X26" s="47" t="s">
        <v>32</v>
      </c>
      <c r="Y26" s="45">
        <f>SUMIFS(N:N, E:E, "&lt;-150")</f>
        <v>0</v>
      </c>
      <c r="Z26" s="40">
        <f>COUNTIFS(E:E, "&lt; -150")</f>
        <v>0</v>
      </c>
      <c r="AA26" s="41">
        <f>IFERROR(COUNTIFS(E:E, "&lt; -150")/COUNTA($E$2:$E$993),0)</f>
        <v>0</v>
      </c>
      <c r="AC26" s="59"/>
      <c r="AD26" s="7"/>
      <c r="AE26" s="7"/>
      <c r="AL26" s="18" t="str">
        <f>IF(COUNTIF($A$2:A25, A25) = 1, A25, "")</f>
        <v/>
      </c>
    </row>
    <row r="27" spans="6:38" x14ac:dyDescent="0.2">
      <c r="F27" t="str">
        <f t="shared" si="18"/>
        <v/>
      </c>
      <c r="L27" s="7" t="str">
        <f t="shared" si="19"/>
        <v/>
      </c>
      <c r="N27" s="7" t="str">
        <f t="shared" si="20"/>
        <v/>
      </c>
      <c r="O27" t="str">
        <f t="shared" si="21"/>
        <v/>
      </c>
      <c r="P27" t="str">
        <f t="shared" si="24"/>
        <v/>
      </c>
      <c r="Q27" t="str">
        <f t="shared" si="23"/>
        <v/>
      </c>
      <c r="S27" t="str">
        <f>""</f>
        <v/>
      </c>
      <c r="X27" s="48" t="s">
        <v>33</v>
      </c>
      <c r="Y27" s="45">
        <f>SUMIFS(N:N, E:E, "&gt;=-150", E:E, "&lt;100")</f>
        <v>0</v>
      </c>
      <c r="Z27" s="34">
        <f>COUNTIFS(E:E, "&lt; 100", E:E, "&gt;=-150")</f>
        <v>0</v>
      </c>
      <c r="AA27" s="38">
        <f>IFERROR(COUNTIFS(E:E, "&lt; 100", E:E, "&gt;=-150")/COUNTA($E$2:$E$6993),0)</f>
        <v>0</v>
      </c>
      <c r="AC27" s="59"/>
      <c r="AD27" s="7"/>
      <c r="AE27" s="7"/>
      <c r="AL27" s="18" t="str">
        <f>IF(COUNTIF($A$2:A26, A26) = 1, A26, "")</f>
        <v/>
      </c>
    </row>
    <row r="28" spans="6:38" x14ac:dyDescent="0.2">
      <c r="F28" t="str">
        <f t="shared" si="18"/>
        <v/>
      </c>
      <c r="L28" s="7" t="str">
        <f t="shared" si="19"/>
        <v/>
      </c>
      <c r="N28" s="7" t="str">
        <f t="shared" si="20"/>
        <v/>
      </c>
      <c r="O28" t="str">
        <f t="shared" si="21"/>
        <v/>
      </c>
      <c r="P28" t="str">
        <f t="shared" si="24"/>
        <v/>
      </c>
      <c r="Q28" t="str">
        <f t="shared" si="23"/>
        <v/>
      </c>
      <c r="S28" t="str">
        <f>""</f>
        <v/>
      </c>
      <c r="X28" s="48" t="s">
        <v>34</v>
      </c>
      <c r="Y28" s="45">
        <f>SUMIFS(N:N, E:E, "&gt;=100", E:E, "&lt;125")</f>
        <v>0</v>
      </c>
      <c r="Z28" s="34">
        <f>COUNTIFS(E:E, "&lt; 125", E:E, "&gt;=100")</f>
        <v>0</v>
      </c>
      <c r="AA28" s="38">
        <f>IFERROR(COUNTIFS(E:E, "&lt; 125", E:E, "&gt;=100")/COUNTA($E$2:$E$6993),0)</f>
        <v>0</v>
      </c>
      <c r="AC28" s="59"/>
      <c r="AD28" s="7"/>
      <c r="AE28" s="7"/>
      <c r="AL28" s="18" t="str">
        <f>IF(COUNTIF($A$2:A27, A27) = 1, A27, "")</f>
        <v/>
      </c>
    </row>
    <row r="29" spans="6:38" x14ac:dyDescent="0.2">
      <c r="F29" t="str">
        <f t="shared" si="18"/>
        <v/>
      </c>
      <c r="L29" s="7" t="str">
        <f t="shared" si="19"/>
        <v/>
      </c>
      <c r="N29" s="7" t="str">
        <f t="shared" si="20"/>
        <v/>
      </c>
      <c r="O29" t="str">
        <f t="shared" si="21"/>
        <v/>
      </c>
      <c r="P29" t="str">
        <f t="shared" si="24"/>
        <v/>
      </c>
      <c r="Q29" t="str">
        <f t="shared" si="23"/>
        <v/>
      </c>
      <c r="S29" t="str">
        <f>""</f>
        <v/>
      </c>
      <c r="X29" s="47" t="s">
        <v>35</v>
      </c>
      <c r="Y29" s="45">
        <f>SUMIFS(N:N, E:E, "&gt;=125", E:E, "&lt;150")</f>
        <v>0</v>
      </c>
      <c r="Z29" s="40">
        <f>COUNTIFS(E:E, "&lt; 150", E:E, "&gt;=125")</f>
        <v>0</v>
      </c>
      <c r="AA29" s="41">
        <f>IFERROR(COUNTIFS(E:E, "&lt; 150", E:E, "&gt;=125")/COUNTA($E$2:$E$6993),0)</f>
        <v>0</v>
      </c>
      <c r="AC29" s="59"/>
      <c r="AD29" s="7"/>
      <c r="AE29" s="7"/>
      <c r="AL29" s="18" t="str">
        <f>IF(COUNTIF($A$2:A28, A28) = 1, A28, "")</f>
        <v/>
      </c>
    </row>
    <row r="30" spans="6:38" x14ac:dyDescent="0.2">
      <c r="F30" t="str">
        <f t="shared" si="18"/>
        <v/>
      </c>
      <c r="L30" s="7" t="str">
        <f t="shared" si="19"/>
        <v/>
      </c>
      <c r="N30" s="7" t="str">
        <f t="shared" si="20"/>
        <v/>
      </c>
      <c r="O30" t="str">
        <f t="shared" si="21"/>
        <v/>
      </c>
      <c r="P30" t="str">
        <f t="shared" si="24"/>
        <v/>
      </c>
      <c r="Q30" t="str">
        <f t="shared" si="23"/>
        <v/>
      </c>
      <c r="S30" t="str">
        <f>""</f>
        <v/>
      </c>
      <c r="X30" s="48" t="s">
        <v>36</v>
      </c>
      <c r="Y30" s="45">
        <f>SUMIFS(N:N, E:E, "&gt;=150", E:E, "&lt;200")</f>
        <v>0</v>
      </c>
      <c r="Z30" s="34">
        <f>COUNTIFS(E:E, "&lt; 200", E:E, "&gt;=150")</f>
        <v>0</v>
      </c>
      <c r="AA30" s="38">
        <f>IFERROR(COUNTIFS(E:E, "&lt; 200", E:E, "&gt;=150")/COUNTA($E$2:$E$6993),0)</f>
        <v>0</v>
      </c>
      <c r="AC30" s="59"/>
      <c r="AD30" s="7"/>
      <c r="AE30" s="7"/>
      <c r="AL30" s="18" t="str">
        <f>IF(COUNTIF($A$2:A29, A29) = 1, A29, "")</f>
        <v/>
      </c>
    </row>
    <row r="31" spans="6:38" ht="17" thickBot="1" x14ac:dyDescent="0.25">
      <c r="F31" t="str">
        <f t="shared" si="18"/>
        <v/>
      </c>
      <c r="L31" s="7" t="str">
        <f t="shared" si="19"/>
        <v/>
      </c>
      <c r="N31" s="7" t="str">
        <f t="shared" si="20"/>
        <v/>
      </c>
      <c r="O31" t="str">
        <f t="shared" si="21"/>
        <v/>
      </c>
      <c r="P31" t="str">
        <f t="shared" si="24"/>
        <v/>
      </c>
      <c r="Q31" t="str">
        <f t="shared" si="23"/>
        <v/>
      </c>
      <c r="S31" t="str">
        <f>""</f>
        <v/>
      </c>
      <c r="X31" s="49" t="s">
        <v>37</v>
      </c>
      <c r="Y31" s="44">
        <f>SUMIFS(N:N, E:E, "&gt;=200")</f>
        <v>0</v>
      </c>
      <c r="Z31" s="35">
        <f>COUNTIFS(E:E, "&gt;=200")</f>
        <v>0</v>
      </c>
      <c r="AA31" s="39">
        <f>IFERROR(COUNTIFS(E:E, "&gt;=200")/COUNTA($E$2:$E$69993),0)</f>
        <v>0</v>
      </c>
      <c r="AC31" s="59"/>
      <c r="AD31" s="7"/>
      <c r="AE31" s="7"/>
      <c r="AL31" s="18" t="str">
        <f>IF(COUNTIF($A$2:A30, A30) = 1, A30, "")</f>
        <v/>
      </c>
    </row>
    <row r="32" spans="6:38" ht="17" thickBot="1" x14ac:dyDescent="0.25">
      <c r="F32" t="str">
        <f t="shared" si="18"/>
        <v/>
      </c>
      <c r="L32" s="7" t="str">
        <f t="shared" si="19"/>
        <v/>
      </c>
      <c r="N32" s="7" t="str">
        <f t="shared" si="20"/>
        <v/>
      </c>
      <c r="O32" t="str">
        <f t="shared" si="21"/>
        <v/>
      </c>
      <c r="P32" t="str">
        <f t="shared" si="24"/>
        <v/>
      </c>
      <c r="Q32" t="str">
        <f t="shared" si="23"/>
        <v/>
      </c>
      <c r="S32" t="str">
        <f>""</f>
        <v/>
      </c>
      <c r="Y32" s="60"/>
      <c r="AC32" s="59"/>
      <c r="AD32" s="7"/>
      <c r="AE32" s="7"/>
      <c r="AL32" s="18" t="str">
        <f>IF(COUNTIF($A$2:A31, A31) = 1, A31, "")</f>
        <v/>
      </c>
    </row>
    <row r="33" spans="6:38" ht="17" thickBot="1" x14ac:dyDescent="0.25">
      <c r="F33" t="str">
        <f t="shared" si="18"/>
        <v/>
      </c>
      <c r="L33" s="7" t="str">
        <f t="shared" si="19"/>
        <v/>
      </c>
      <c r="N33" s="7" t="str">
        <f t="shared" si="20"/>
        <v/>
      </c>
      <c r="O33" t="str">
        <f t="shared" si="21"/>
        <v/>
      </c>
      <c r="P33" t="str">
        <f t="shared" si="24"/>
        <v/>
      </c>
      <c r="Q33" t="str">
        <f t="shared" si="23"/>
        <v/>
      </c>
      <c r="S33" t="str">
        <f>""</f>
        <v/>
      </c>
      <c r="X33" s="79" t="s">
        <v>3</v>
      </c>
      <c r="Y33" s="83" t="s">
        <v>9</v>
      </c>
      <c r="Z33" s="81" t="s">
        <v>84</v>
      </c>
      <c r="AA33" s="82" t="s">
        <v>39</v>
      </c>
      <c r="AC33" s="59"/>
      <c r="AD33" s="7"/>
      <c r="AE33" s="7"/>
      <c r="AL33" s="18" t="str">
        <f>IF(COUNTIF($A$2:A32, A32) = 1, A32, "")</f>
        <v/>
      </c>
    </row>
    <row r="34" spans="6:38" x14ac:dyDescent="0.2">
      <c r="F34" t="str">
        <f t="shared" si="18"/>
        <v/>
      </c>
      <c r="L34" s="7" t="str">
        <f t="shared" si="19"/>
        <v/>
      </c>
      <c r="N34" s="7" t="str">
        <f t="shared" si="20"/>
        <v/>
      </c>
      <c r="O34" t="str">
        <f t="shared" si="21"/>
        <v/>
      </c>
      <c r="P34" t="str">
        <f t="shared" si="24"/>
        <v/>
      </c>
      <c r="Q34" t="str">
        <f t="shared" si="23"/>
        <v/>
      </c>
      <c r="S34" t="str">
        <f>""</f>
        <v/>
      </c>
      <c r="X34" s="47">
        <v>1</v>
      </c>
      <c r="Y34" s="45">
        <f>SUMIFS(N:N, F:F, X34)</f>
        <v>0</v>
      </c>
      <c r="Z34" s="40">
        <f>COUNTIF(F:F,X34)</f>
        <v>0</v>
      </c>
      <c r="AA34" s="41">
        <f>IFERROR(COUNTIFS(F:F, X34)/COUNTA($E$2:$E$993),0)</f>
        <v>0</v>
      </c>
      <c r="AC34" s="59"/>
      <c r="AD34" s="7"/>
      <c r="AE34" s="7"/>
      <c r="AL34" s="18" t="str">
        <f>IF(COUNTIF($A$2:A33, A33) = 1, A33, "")</f>
        <v/>
      </c>
    </row>
    <row r="35" spans="6:38" x14ac:dyDescent="0.2">
      <c r="F35" t="str">
        <f t="shared" si="18"/>
        <v/>
      </c>
      <c r="L35" s="7" t="str">
        <f t="shared" si="19"/>
        <v/>
      </c>
      <c r="N35" s="7" t="str">
        <f t="shared" si="20"/>
        <v/>
      </c>
      <c r="O35" t="str">
        <f t="shared" si="21"/>
        <v/>
      </c>
      <c r="P35" t="str">
        <f t="shared" si="24"/>
        <v/>
      </c>
      <c r="Q35" t="str">
        <f t="shared" si="23"/>
        <v/>
      </c>
      <c r="S35" t="str">
        <f>""</f>
        <v/>
      </c>
      <c r="X35" s="48">
        <v>2</v>
      </c>
      <c r="Y35" s="45">
        <f>SUMIFS(N:N, F:F, X35)</f>
        <v>0</v>
      </c>
      <c r="Z35" s="34">
        <f>COUNTIF(F:F,X35)</f>
        <v>0</v>
      </c>
      <c r="AA35" s="41">
        <f>IFERROR(COUNTIFS(F:F, X35)/COUNTA($E$2:$E$993),0)</f>
        <v>0</v>
      </c>
      <c r="AC35" s="59"/>
      <c r="AD35" s="7"/>
      <c r="AE35" s="7"/>
      <c r="AL35" s="18" t="str">
        <f>IF(COUNTIF($A$2:A34, A34) = 1, A34, "")</f>
        <v/>
      </c>
    </row>
    <row r="36" spans="6:38" x14ac:dyDescent="0.2">
      <c r="F36" t="str">
        <f t="shared" si="18"/>
        <v/>
      </c>
      <c r="L36" s="7" t="str">
        <f t="shared" si="19"/>
        <v/>
      </c>
      <c r="N36" s="7" t="str">
        <f t="shared" si="20"/>
        <v/>
      </c>
      <c r="O36" t="str">
        <f t="shared" si="21"/>
        <v/>
      </c>
      <c r="P36" t="str">
        <f t="shared" si="24"/>
        <v/>
      </c>
      <c r="Q36" t="str">
        <f t="shared" si="23"/>
        <v/>
      </c>
      <c r="S36" t="str">
        <f>""</f>
        <v/>
      </c>
      <c r="X36" s="48">
        <v>3</v>
      </c>
      <c r="Y36" s="45">
        <f>SUMIFS(N:N, F:F, X36)</f>
        <v>0</v>
      </c>
      <c r="Z36" s="34">
        <f>COUNTIF(F:F,X36)</f>
        <v>0</v>
      </c>
      <c r="AA36" s="41">
        <f>IFERROR(COUNTIFS(F:F, X36)/COUNTA($E$2:$E$993),0)</f>
        <v>0</v>
      </c>
      <c r="AD36" s="7"/>
      <c r="AE36" s="7"/>
      <c r="AL36" s="18" t="str">
        <f>IF(COUNTIF($A$2:A35, A35) = 1, A35, "")</f>
        <v/>
      </c>
    </row>
    <row r="37" spans="6:38" x14ac:dyDescent="0.2">
      <c r="F37" t="str">
        <f t="shared" si="18"/>
        <v/>
      </c>
      <c r="L37" s="7" t="str">
        <f t="shared" si="19"/>
        <v/>
      </c>
      <c r="N37" s="7" t="str">
        <f t="shared" si="20"/>
        <v/>
      </c>
      <c r="O37" t="str">
        <f t="shared" si="21"/>
        <v/>
      </c>
      <c r="P37" t="str">
        <f t="shared" si="24"/>
        <v/>
      </c>
      <c r="Q37" t="str">
        <f t="shared" si="23"/>
        <v/>
      </c>
      <c r="S37" t="str">
        <f>""</f>
        <v/>
      </c>
      <c r="X37" s="47">
        <v>4</v>
      </c>
      <c r="Y37" s="45">
        <f>SUMIFS(N:N, F:F, X37)</f>
        <v>0</v>
      </c>
      <c r="Z37" s="34">
        <f>COUNTIF(F:F,X37)</f>
        <v>0</v>
      </c>
      <c r="AA37" s="41">
        <f>IFERROR(COUNTIFS(F:F, X37)/COUNTA($E$2:$E$993),0)</f>
        <v>0</v>
      </c>
      <c r="AD37" s="7"/>
      <c r="AE37" s="7"/>
      <c r="AL37" s="18" t="str">
        <f>IF(COUNTIF($A$2:A36, A36) = 1, A36, "")</f>
        <v/>
      </c>
    </row>
    <row r="38" spans="6:38" ht="17" thickBot="1" x14ac:dyDescent="0.25">
      <c r="F38" t="str">
        <f t="shared" si="18"/>
        <v/>
      </c>
      <c r="L38" s="7" t="str">
        <f t="shared" si="19"/>
        <v/>
      </c>
      <c r="N38" s="7" t="str">
        <f t="shared" si="20"/>
        <v/>
      </c>
      <c r="O38" t="str">
        <f t="shared" si="21"/>
        <v/>
      </c>
      <c r="P38" t="str">
        <f t="shared" si="24"/>
        <v/>
      </c>
      <c r="Q38" t="str">
        <f t="shared" si="23"/>
        <v/>
      </c>
      <c r="S38" t="str">
        <f>""</f>
        <v/>
      </c>
      <c r="X38" s="49" t="s">
        <v>88</v>
      </c>
      <c r="Y38" s="44">
        <f>SUMIFS(N:N, F:F, "&gt;4")</f>
        <v>0</v>
      </c>
      <c r="Z38" s="35">
        <f>COUNTIF(F:F,"&gt;4")</f>
        <v>0</v>
      </c>
      <c r="AA38" s="52">
        <f>IFERROR(COUNTIFS(F:F, X38)/COUNTA($E$2:$E$993),0)</f>
        <v>0</v>
      </c>
      <c r="AD38" s="7"/>
      <c r="AE38" s="7"/>
      <c r="AL38" s="18" t="str">
        <f>IF(COUNTIF($A$2:A37, A37) = 1, A37, "")</f>
        <v/>
      </c>
    </row>
    <row r="39" spans="6:38" ht="17" thickBot="1" x14ac:dyDescent="0.25">
      <c r="F39" t="str">
        <f t="shared" si="18"/>
        <v/>
      </c>
      <c r="L39" s="7" t="str">
        <f t="shared" si="19"/>
        <v/>
      </c>
      <c r="N39" s="7" t="str">
        <f t="shared" si="20"/>
        <v/>
      </c>
      <c r="O39" t="str">
        <f t="shared" si="21"/>
        <v/>
      </c>
      <c r="P39" t="str">
        <f t="shared" si="24"/>
        <v/>
      </c>
      <c r="Q39" t="str">
        <f t="shared" si="23"/>
        <v/>
      </c>
      <c r="S39" t="str">
        <f>""</f>
        <v/>
      </c>
      <c r="Y39" s="60"/>
      <c r="AD39" s="7"/>
      <c r="AE39" s="7"/>
      <c r="AL39" s="18" t="str">
        <f>IF(COUNTIF($A$2:A38, A38) = 1, A38, "")</f>
        <v/>
      </c>
    </row>
    <row r="40" spans="6:38" ht="17" thickBot="1" x14ac:dyDescent="0.25">
      <c r="F40" t="str">
        <f t="shared" si="18"/>
        <v/>
      </c>
      <c r="L40" s="7" t="str">
        <f t="shared" si="19"/>
        <v/>
      </c>
      <c r="N40" s="7" t="str">
        <f t="shared" si="20"/>
        <v/>
      </c>
      <c r="O40" t="str">
        <f t="shared" si="21"/>
        <v/>
      </c>
      <c r="P40" t="str">
        <f t="shared" si="24"/>
        <v/>
      </c>
      <c r="Q40" t="str">
        <f t="shared" si="23"/>
        <v/>
      </c>
      <c r="S40" t="str">
        <f>""</f>
        <v/>
      </c>
      <c r="X40" s="79" t="s">
        <v>38</v>
      </c>
      <c r="Y40" s="83" t="s">
        <v>9</v>
      </c>
      <c r="Z40" s="81" t="s">
        <v>84</v>
      </c>
      <c r="AA40" s="82" t="s">
        <v>39</v>
      </c>
      <c r="AD40" s="7"/>
      <c r="AE40" s="7"/>
      <c r="AL40" s="18" t="str">
        <f>IF(COUNTIF($A$2:A39, A39) = 1, A39, "")</f>
        <v/>
      </c>
    </row>
    <row r="41" spans="6:38" x14ac:dyDescent="0.2">
      <c r="F41" t="str">
        <f t="shared" si="18"/>
        <v/>
      </c>
      <c r="L41" s="7" t="str">
        <f t="shared" si="19"/>
        <v/>
      </c>
      <c r="N41" s="7" t="str">
        <f t="shared" si="20"/>
        <v/>
      </c>
      <c r="O41" t="str">
        <f t="shared" si="21"/>
        <v/>
      </c>
      <c r="P41" t="str">
        <f t="shared" si="24"/>
        <v/>
      </c>
      <c r="Q41" t="str">
        <f t="shared" si="23"/>
        <v/>
      </c>
      <c r="S41" t="str">
        <f>""</f>
        <v/>
      </c>
      <c r="X41" s="47" t="s">
        <v>4</v>
      </c>
      <c r="Y41" s="45">
        <f>SUMIFS(N:N,G:G, "Yes")</f>
        <v>0</v>
      </c>
      <c r="Z41" s="40">
        <f>COUNTIF(G:G,"Yes")</f>
        <v>0</v>
      </c>
      <c r="AA41" s="41">
        <f>IFERROR(COUNTIFS(G:G, "Yes")/COUNTA($G$2:$G$994),0)</f>
        <v>0</v>
      </c>
      <c r="AD41" s="7"/>
      <c r="AE41" s="7"/>
      <c r="AL41" s="18" t="str">
        <f>IF(COUNTIF($A$2:A40, A40) = 1, A40, "")</f>
        <v/>
      </c>
    </row>
    <row r="42" spans="6:38" x14ac:dyDescent="0.2">
      <c r="F42" t="str">
        <f t="shared" si="18"/>
        <v/>
      </c>
      <c r="L42" s="7" t="str">
        <f t="shared" si="19"/>
        <v/>
      </c>
      <c r="N42" s="7" t="str">
        <f t="shared" si="20"/>
        <v/>
      </c>
      <c r="O42" t="str">
        <f t="shared" si="21"/>
        <v/>
      </c>
      <c r="P42" t="str">
        <f t="shared" si="24"/>
        <v/>
      </c>
      <c r="Q42" t="str">
        <f t="shared" si="23"/>
        <v/>
      </c>
      <c r="S42" t="str">
        <f>""</f>
        <v/>
      </c>
      <c r="X42" s="48" t="s">
        <v>5</v>
      </c>
      <c r="Y42" s="45">
        <f>SUMIFS(N:N,H:H, "Yes")</f>
        <v>0</v>
      </c>
      <c r="Z42" s="34">
        <f>COUNTIF(H:H,"Yes")</f>
        <v>0</v>
      </c>
      <c r="AA42" s="38">
        <f>IFERROR(COUNTIFS(H:H, "Yes")/COUNTA($G$2:$G$994),0)</f>
        <v>0</v>
      </c>
      <c r="AD42" s="7"/>
      <c r="AE42" s="7"/>
      <c r="AL42" s="18" t="str">
        <f>IF(COUNTIF($A$2:A41, A41) = 1, A41, "")</f>
        <v/>
      </c>
    </row>
    <row r="43" spans="6:38" ht="17" thickBot="1" x14ac:dyDescent="0.25">
      <c r="F43" t="str">
        <f t="shared" si="18"/>
        <v/>
      </c>
      <c r="L43" s="7" t="str">
        <f t="shared" si="19"/>
        <v/>
      </c>
      <c r="N43" s="7" t="str">
        <f t="shared" si="20"/>
        <v/>
      </c>
      <c r="O43" t="str">
        <f t="shared" si="21"/>
        <v/>
      </c>
      <c r="P43" t="str">
        <f t="shared" si="24"/>
        <v/>
      </c>
      <c r="Q43" t="str">
        <f t="shared" si="23"/>
        <v/>
      </c>
      <c r="S43" t="str">
        <f>""</f>
        <v/>
      </c>
      <c r="X43" s="50" t="s">
        <v>6</v>
      </c>
      <c r="Y43" s="45">
        <f>SUMIFS(N:N,I:I, "Yes")</f>
        <v>0</v>
      </c>
      <c r="Z43" s="42">
        <f>COUNTIF(I:I,"Yes")</f>
        <v>0</v>
      </c>
      <c r="AA43" s="39">
        <f>IFERROR(COUNTIFS(I:I, "Yes")/COUNTA($G$2:$G$994),0)</f>
        <v>0</v>
      </c>
      <c r="AD43" s="7"/>
      <c r="AE43" s="7"/>
      <c r="AL43" s="18" t="str">
        <f>IF(COUNTIF($A$2:A42, A42) = 1, A42, "")</f>
        <v/>
      </c>
    </row>
    <row r="44" spans="6:38" ht="17" thickBot="1" x14ac:dyDescent="0.25">
      <c r="F44" t="str">
        <f t="shared" si="18"/>
        <v/>
      </c>
      <c r="L44" s="7" t="str">
        <f t="shared" si="19"/>
        <v/>
      </c>
      <c r="N44" s="7" t="str">
        <f t="shared" si="20"/>
        <v/>
      </c>
      <c r="O44" t="str">
        <f t="shared" si="21"/>
        <v/>
      </c>
      <c r="P44" t="str">
        <f t="shared" si="24"/>
        <v/>
      </c>
      <c r="Q44" t="str">
        <f t="shared" si="23"/>
        <v/>
      </c>
      <c r="S44" t="str">
        <f>""</f>
        <v/>
      </c>
      <c r="Y44" s="60"/>
      <c r="AD44" s="7"/>
      <c r="AE44" s="7"/>
      <c r="AL44" s="18" t="str">
        <f>IF(COUNTIF($A$2:A43, A43) = 1, A43, "")</f>
        <v/>
      </c>
    </row>
    <row r="45" spans="6:38" ht="17" thickBot="1" x14ac:dyDescent="0.25">
      <c r="F45" t="str">
        <f t="shared" si="18"/>
        <v/>
      </c>
      <c r="L45" s="7" t="str">
        <f t="shared" si="19"/>
        <v/>
      </c>
      <c r="N45" s="7" t="str">
        <f t="shared" si="20"/>
        <v/>
      </c>
      <c r="O45" t="str">
        <f t="shared" si="21"/>
        <v/>
      </c>
      <c r="P45" t="str">
        <f t="shared" si="24"/>
        <v/>
      </c>
      <c r="Q45" t="str">
        <f t="shared" si="23"/>
        <v/>
      </c>
      <c r="S45" t="str">
        <f>""</f>
        <v/>
      </c>
      <c r="X45" s="79" t="s">
        <v>74</v>
      </c>
      <c r="Y45" s="83" t="s">
        <v>9</v>
      </c>
      <c r="Z45" s="81" t="s">
        <v>84</v>
      </c>
      <c r="AA45" s="82" t="s">
        <v>39</v>
      </c>
      <c r="AD45" s="7"/>
      <c r="AE45" s="7"/>
      <c r="AL45" s="18" t="str">
        <f>IF(COUNTIF($A$2:A44, A44) = 1, A44, "")</f>
        <v/>
      </c>
    </row>
    <row r="46" spans="6:38" x14ac:dyDescent="0.2">
      <c r="F46" t="str">
        <f t="shared" si="18"/>
        <v/>
      </c>
      <c r="L46" s="7" t="str">
        <f t="shared" si="19"/>
        <v/>
      </c>
      <c r="N46" s="7" t="str">
        <f t="shared" si="20"/>
        <v/>
      </c>
      <c r="O46" t="str">
        <f t="shared" si="21"/>
        <v/>
      </c>
      <c r="P46" t="str">
        <f t="shared" si="24"/>
        <v/>
      </c>
      <c r="Q46" t="str">
        <f t="shared" si="23"/>
        <v/>
      </c>
      <c r="S46" t="str">
        <f>""</f>
        <v/>
      </c>
      <c r="X46" s="47" t="s">
        <v>75</v>
      </c>
      <c r="Y46" s="45">
        <f>SUMIFS(N:N,J:J,"No")</f>
        <v>0</v>
      </c>
      <c r="Z46" s="40">
        <f>COUNTIF(J:J,"No")</f>
        <v>0</v>
      </c>
      <c r="AA46" s="46">
        <f>IFERROR(COUNTIFS($J$2:$J$1048576, "No")/COUNTA($G$2:$G$994), 0)</f>
        <v>0</v>
      </c>
      <c r="AD46" s="7"/>
      <c r="AE46" s="7"/>
      <c r="AL46" s="18" t="str">
        <f>IF(COUNTIF($A$2:A45, A45) = 1, A45, "")</f>
        <v/>
      </c>
    </row>
    <row r="47" spans="6:38" ht="17" thickBot="1" x14ac:dyDescent="0.25">
      <c r="F47" t="str">
        <f t="shared" si="18"/>
        <v/>
      </c>
      <c r="L47" s="7" t="str">
        <f t="shared" si="19"/>
        <v/>
      </c>
      <c r="N47" s="7" t="str">
        <f t="shared" si="20"/>
        <v/>
      </c>
      <c r="O47" t="str">
        <f t="shared" si="21"/>
        <v/>
      </c>
      <c r="P47" t="str">
        <f t="shared" si="24"/>
        <v/>
      </c>
      <c r="Q47" t="str">
        <f t="shared" si="23"/>
        <v/>
      </c>
      <c r="S47" t="str">
        <f>""</f>
        <v/>
      </c>
      <c r="X47" s="49" t="s">
        <v>69</v>
      </c>
      <c r="Y47" s="44">
        <f>SUMIFS(N:N,J:J,"Yes")</f>
        <v>0</v>
      </c>
      <c r="Z47" s="35">
        <f>COUNTIF(J:J,"Yes")</f>
        <v>0</v>
      </c>
      <c r="AA47" s="53">
        <f>IFERROR(COUNTIFS($J$2:$J$1048576, "Yes")/COUNTA($G$2:$G$994), 0)</f>
        <v>0</v>
      </c>
      <c r="AD47" s="7"/>
      <c r="AE47" s="7"/>
      <c r="AL47" s="18" t="str">
        <f>IF(COUNTIF($A$2:A46, A46) = 1, A46, "")</f>
        <v/>
      </c>
    </row>
    <row r="48" spans="6:38" ht="17" thickBot="1" x14ac:dyDescent="0.25">
      <c r="F48" t="str">
        <f t="shared" si="18"/>
        <v/>
      </c>
      <c r="L48" s="7" t="str">
        <f t="shared" si="19"/>
        <v/>
      </c>
      <c r="N48" s="7" t="str">
        <f t="shared" si="20"/>
        <v/>
      </c>
      <c r="O48" t="str">
        <f t="shared" si="21"/>
        <v/>
      </c>
      <c r="P48" t="str">
        <f t="shared" si="24"/>
        <v/>
      </c>
      <c r="Q48" t="str">
        <f t="shared" si="23"/>
        <v/>
      </c>
      <c r="S48" t="str">
        <f>""</f>
        <v/>
      </c>
      <c r="AD48" s="7"/>
      <c r="AE48" s="7"/>
      <c r="AL48" s="18" t="str">
        <f>IF(COUNTIF($A$2:A47, A47) = 1, A47, "")</f>
        <v/>
      </c>
    </row>
    <row r="49" spans="6:38" ht="17" thickBot="1" x14ac:dyDescent="0.25">
      <c r="F49" t="str">
        <f t="shared" si="18"/>
        <v/>
      </c>
      <c r="L49" s="7" t="str">
        <f t="shared" si="19"/>
        <v/>
      </c>
      <c r="N49" s="7" t="str">
        <f t="shared" si="20"/>
        <v/>
      </c>
      <c r="O49" t="str">
        <f t="shared" si="21"/>
        <v/>
      </c>
      <c r="P49" t="str">
        <f t="shared" si="24"/>
        <v/>
      </c>
      <c r="Q49" t="str">
        <f t="shared" si="23"/>
        <v/>
      </c>
      <c r="S49" t="str">
        <f>""</f>
        <v/>
      </c>
      <c r="X49" s="92" t="s">
        <v>89</v>
      </c>
      <c r="Y49" s="83" t="s">
        <v>9</v>
      </c>
      <c r="Z49" s="81" t="s">
        <v>84</v>
      </c>
      <c r="AA49" s="82" t="s">
        <v>39</v>
      </c>
      <c r="AD49" s="7"/>
      <c r="AE49" s="7"/>
      <c r="AL49" s="18" t="str">
        <f>IF(COUNTIF($A$2:A48, A48) = 1, A48, "")</f>
        <v/>
      </c>
    </row>
    <row r="50" spans="6:38" x14ac:dyDescent="0.2">
      <c r="F50" t="str">
        <f t="shared" si="18"/>
        <v/>
      </c>
      <c r="L50" s="7" t="str">
        <f t="shared" si="19"/>
        <v/>
      </c>
      <c r="N50" s="7" t="str">
        <f t="shared" si="20"/>
        <v/>
      </c>
      <c r="O50" t="str">
        <f t="shared" si="21"/>
        <v/>
      </c>
      <c r="P50" t="str">
        <f t="shared" si="24"/>
        <v/>
      </c>
      <c r="Q50" t="str">
        <f t="shared" si="23"/>
        <v/>
      </c>
      <c r="S50" t="str">
        <f>""</f>
        <v/>
      </c>
      <c r="X50" s="48" t="str">
        <f>Master!F50</f>
        <v>Source 1</v>
      </c>
      <c r="Y50" s="62">
        <f>SUMIFS(N:N,R:R,X50)</f>
        <v>0</v>
      </c>
      <c r="Z50" s="63">
        <f t="shared" ref="Z50:Z58" si="25">COUNTIF(R:R,X50)</f>
        <v>0</v>
      </c>
      <c r="AA50" s="54">
        <f>IFERROR(COUNTIFS(R:R, X50)/COUNTA($R$2:$R$994), 0)</f>
        <v>0</v>
      </c>
      <c r="AD50" s="7"/>
      <c r="AE50" s="7"/>
      <c r="AL50" s="18" t="str">
        <f>IF(COUNTIF($A$2:A49, A49) = 1, A49, "")</f>
        <v/>
      </c>
    </row>
    <row r="51" spans="6:38" x14ac:dyDescent="0.2">
      <c r="F51" t="str">
        <f t="shared" si="18"/>
        <v/>
      </c>
      <c r="L51" s="7" t="str">
        <f t="shared" si="19"/>
        <v/>
      </c>
      <c r="N51" s="7" t="str">
        <f t="shared" si="20"/>
        <v/>
      </c>
      <c r="O51" t="str">
        <f t="shared" si="21"/>
        <v/>
      </c>
      <c r="P51" t="str">
        <f t="shared" si="24"/>
        <v/>
      </c>
      <c r="Q51" t="str">
        <f t="shared" si="23"/>
        <v/>
      </c>
      <c r="S51" t="str">
        <f>""</f>
        <v/>
      </c>
      <c r="X51" s="48" t="str">
        <f>Master!F51</f>
        <v>Source 2</v>
      </c>
      <c r="Y51" s="45">
        <f t="shared" ref="Y51:Y58" si="26">SUMIFS(N:N,R:R,X51)</f>
        <v>0</v>
      </c>
      <c r="Z51" s="64">
        <f t="shared" si="25"/>
        <v>0</v>
      </c>
      <c r="AA51" s="46">
        <f t="shared" ref="AA51:AA56" si="27">IFERROR(COUNTIFS(R:R, X51)/COUNTA($R$2:$R$994), 0)</f>
        <v>0</v>
      </c>
      <c r="AD51" s="7"/>
      <c r="AE51" s="7"/>
      <c r="AL51" s="18" t="str">
        <f>IF(COUNTIF($A$2:A50, A50) = 1, A50, "")</f>
        <v/>
      </c>
    </row>
    <row r="52" spans="6:38" x14ac:dyDescent="0.2">
      <c r="F52" t="str">
        <f t="shared" si="18"/>
        <v/>
      </c>
      <c r="L52" s="7" t="str">
        <f t="shared" si="19"/>
        <v/>
      </c>
      <c r="N52" s="7" t="str">
        <f t="shared" si="20"/>
        <v/>
      </c>
      <c r="O52" t="str">
        <f t="shared" si="21"/>
        <v/>
      </c>
      <c r="P52" t="str">
        <f t="shared" si="24"/>
        <v/>
      </c>
      <c r="Q52" t="str">
        <f t="shared" si="23"/>
        <v/>
      </c>
      <c r="S52" t="str">
        <f>""</f>
        <v/>
      </c>
      <c r="X52" s="48" t="str">
        <f>Master!F52</f>
        <v>Source 3</v>
      </c>
      <c r="Y52" s="45">
        <f t="shared" si="26"/>
        <v>0</v>
      </c>
      <c r="Z52" s="64">
        <f t="shared" si="25"/>
        <v>0</v>
      </c>
      <c r="AA52" s="46">
        <f t="shared" si="27"/>
        <v>0</v>
      </c>
      <c r="AD52" s="7"/>
      <c r="AE52" s="7"/>
      <c r="AL52" s="18" t="str">
        <f>IF(COUNTIF($A$2:A51, A51) = 1, A51, "")</f>
        <v/>
      </c>
    </row>
    <row r="53" spans="6:38" x14ac:dyDescent="0.2">
      <c r="F53" t="str">
        <f t="shared" si="18"/>
        <v/>
      </c>
      <c r="L53" s="7" t="str">
        <f t="shared" si="19"/>
        <v/>
      </c>
      <c r="N53" s="7" t="str">
        <f t="shared" si="20"/>
        <v/>
      </c>
      <c r="O53" t="str">
        <f t="shared" si="21"/>
        <v/>
      </c>
      <c r="P53" t="str">
        <f t="shared" si="24"/>
        <v/>
      </c>
      <c r="Q53" t="str">
        <f t="shared" si="23"/>
        <v/>
      </c>
      <c r="S53" t="str">
        <f>""</f>
        <v/>
      </c>
      <c r="X53" s="48" t="str">
        <f>Master!F53</f>
        <v>Source 4</v>
      </c>
      <c r="Y53" s="45">
        <f t="shared" si="26"/>
        <v>0</v>
      </c>
      <c r="Z53" s="64">
        <f t="shared" si="25"/>
        <v>0</v>
      </c>
      <c r="AA53" s="46">
        <f t="shared" si="27"/>
        <v>0</v>
      </c>
      <c r="AD53" s="7"/>
      <c r="AE53" s="7"/>
      <c r="AL53" s="18" t="str">
        <f>IF(COUNTIF($A$2:A52, A52) = 1, A52, "")</f>
        <v/>
      </c>
    </row>
    <row r="54" spans="6:38" x14ac:dyDescent="0.2">
      <c r="F54" t="str">
        <f t="shared" si="18"/>
        <v/>
      </c>
      <c r="L54" s="7" t="str">
        <f t="shared" si="19"/>
        <v/>
      </c>
      <c r="N54" s="7" t="str">
        <f t="shared" si="20"/>
        <v/>
      </c>
      <c r="O54" t="str">
        <f t="shared" si="21"/>
        <v/>
      </c>
      <c r="P54" t="str">
        <f t="shared" si="24"/>
        <v/>
      </c>
      <c r="Q54" t="str">
        <f t="shared" si="23"/>
        <v/>
      </c>
      <c r="S54" t="str">
        <f>""</f>
        <v/>
      </c>
      <c r="X54" s="48" t="str">
        <f>Master!F54</f>
        <v>Source 5</v>
      </c>
      <c r="Y54" s="45">
        <f t="shared" si="26"/>
        <v>0</v>
      </c>
      <c r="Z54" s="64">
        <f t="shared" si="25"/>
        <v>0</v>
      </c>
      <c r="AA54" s="46">
        <f t="shared" si="27"/>
        <v>0</v>
      </c>
      <c r="AD54" s="7"/>
      <c r="AE54" s="7"/>
      <c r="AL54" s="18" t="str">
        <f>IF(COUNTIF($A$2:A53, A53) = 1, A53, "")</f>
        <v/>
      </c>
    </row>
    <row r="55" spans="6:38" x14ac:dyDescent="0.2">
      <c r="F55" t="str">
        <f t="shared" si="18"/>
        <v/>
      </c>
      <c r="L55" s="7" t="str">
        <f t="shared" si="19"/>
        <v/>
      </c>
      <c r="N55" s="7" t="str">
        <f t="shared" si="20"/>
        <v/>
      </c>
      <c r="O55" t="str">
        <f t="shared" si="21"/>
        <v/>
      </c>
      <c r="P55" t="str">
        <f t="shared" si="24"/>
        <v/>
      </c>
      <c r="Q55" t="str">
        <f t="shared" si="23"/>
        <v/>
      </c>
      <c r="S55" t="str">
        <f>""</f>
        <v/>
      </c>
      <c r="X55" s="48" t="str">
        <f>Master!F55</f>
        <v>Source 6</v>
      </c>
      <c r="Y55" s="45">
        <f t="shared" si="26"/>
        <v>0</v>
      </c>
      <c r="Z55" s="64">
        <f t="shared" si="25"/>
        <v>0</v>
      </c>
      <c r="AA55" s="46">
        <f>IFERROR(COUNTIFS(R:R, X55)/COUNTA($R$2:$R$994), 0)</f>
        <v>0</v>
      </c>
      <c r="AD55" s="7"/>
      <c r="AE55" s="7"/>
      <c r="AL55" s="18" t="str">
        <f>IF(COUNTIF($A$2:A54, A54) = 1, A54, "")</f>
        <v/>
      </c>
    </row>
    <row r="56" spans="6:38" x14ac:dyDescent="0.2">
      <c r="F56" t="str">
        <f t="shared" si="18"/>
        <v/>
      </c>
      <c r="L56" s="7" t="str">
        <f t="shared" si="19"/>
        <v/>
      </c>
      <c r="N56" s="7" t="str">
        <f t="shared" si="20"/>
        <v/>
      </c>
      <c r="O56" t="str">
        <f t="shared" si="21"/>
        <v/>
      </c>
      <c r="P56" t="str">
        <f t="shared" si="24"/>
        <v/>
      </c>
      <c r="Q56" t="str">
        <f t="shared" si="23"/>
        <v/>
      </c>
      <c r="S56" t="str">
        <f>""</f>
        <v/>
      </c>
      <c r="X56" s="48" t="str">
        <f>Master!F56</f>
        <v>Source 7</v>
      </c>
      <c r="Y56" s="45">
        <f t="shared" si="26"/>
        <v>0</v>
      </c>
      <c r="Z56" s="64">
        <f t="shared" si="25"/>
        <v>0</v>
      </c>
      <c r="AA56" s="46">
        <f t="shared" si="27"/>
        <v>0</v>
      </c>
      <c r="AD56" s="7"/>
      <c r="AE56" s="7"/>
      <c r="AL56" s="18" t="str">
        <f>IF(COUNTIF($A$2:A55, A55) = 1, A55, "")</f>
        <v/>
      </c>
    </row>
    <row r="57" spans="6:38" x14ac:dyDescent="0.2">
      <c r="F57" t="str">
        <f t="shared" si="18"/>
        <v/>
      </c>
      <c r="L57" s="7" t="str">
        <f t="shared" si="19"/>
        <v/>
      </c>
      <c r="N57" s="7" t="str">
        <f t="shared" si="20"/>
        <v/>
      </c>
      <c r="O57" t="str">
        <f t="shared" si="21"/>
        <v/>
      </c>
      <c r="P57" t="str">
        <f t="shared" si="24"/>
        <v/>
      </c>
      <c r="Q57" t="str">
        <f t="shared" si="23"/>
        <v/>
      </c>
      <c r="S57" t="str">
        <f>""</f>
        <v/>
      </c>
      <c r="X57" s="48" t="str">
        <f>Master!F57</f>
        <v>Source 8</v>
      </c>
      <c r="Y57" s="45">
        <f t="shared" si="26"/>
        <v>0</v>
      </c>
      <c r="Z57" s="64">
        <f t="shared" si="25"/>
        <v>0</v>
      </c>
      <c r="AA57" s="46">
        <f>IFERROR(COUNTIFS(R:R, X57)/COUNTA($R$2:$R$994), 0)</f>
        <v>0</v>
      </c>
      <c r="AD57" s="7"/>
      <c r="AE57" s="7"/>
      <c r="AL57" s="18" t="str">
        <f>IF(COUNTIF($A$2:A56, A56) = 1, A56, "")</f>
        <v/>
      </c>
    </row>
    <row r="58" spans="6:38" ht="17" thickBot="1" x14ac:dyDescent="0.25">
      <c r="F58" t="str">
        <f t="shared" si="18"/>
        <v/>
      </c>
      <c r="L58" s="7" t="str">
        <f t="shared" si="19"/>
        <v/>
      </c>
      <c r="N58" s="7" t="str">
        <f t="shared" si="20"/>
        <v/>
      </c>
      <c r="O58" t="str">
        <f t="shared" si="21"/>
        <v/>
      </c>
      <c r="P58" t="str">
        <f t="shared" si="24"/>
        <v/>
      </c>
      <c r="Q58" t="str">
        <f t="shared" si="23"/>
        <v/>
      </c>
      <c r="S58" t="str">
        <f>""</f>
        <v/>
      </c>
      <c r="X58" s="49" t="s">
        <v>90</v>
      </c>
      <c r="Y58" s="44">
        <f t="shared" si="26"/>
        <v>0</v>
      </c>
      <c r="Z58" s="65">
        <f t="shared" si="25"/>
        <v>0</v>
      </c>
      <c r="AA58" s="53">
        <f>IFERROR(COUNTIFS(R:R, X58)/COUNTA($R$2:$R$994), 0)</f>
        <v>0</v>
      </c>
      <c r="AD58" s="7"/>
      <c r="AE58" s="7"/>
      <c r="AL58" s="18" t="str">
        <f>IF(COUNTIF($A$2:A57, A57) = 1, A57, "")</f>
        <v/>
      </c>
    </row>
    <row r="59" spans="6:38" x14ac:dyDescent="0.2">
      <c r="F59" t="str">
        <f t="shared" si="18"/>
        <v/>
      </c>
      <c r="L59" s="7" t="str">
        <f t="shared" si="19"/>
        <v/>
      </c>
      <c r="N59" s="7" t="str">
        <f t="shared" si="20"/>
        <v/>
      </c>
      <c r="O59" t="str">
        <f t="shared" si="21"/>
        <v/>
      </c>
      <c r="P59" t="str">
        <f t="shared" si="24"/>
        <v/>
      </c>
      <c r="Q59" t="str">
        <f t="shared" si="23"/>
        <v/>
      </c>
      <c r="S59" t="str">
        <f>""</f>
        <v/>
      </c>
      <c r="AL59" s="18" t="str">
        <f>IF(COUNTIF($A$2:A58, A58) = 1, A58, "")</f>
        <v/>
      </c>
    </row>
    <row r="60" spans="6:38" x14ac:dyDescent="0.2">
      <c r="F60" t="str">
        <f t="shared" si="18"/>
        <v/>
      </c>
      <c r="L60" s="7" t="str">
        <f t="shared" si="19"/>
        <v/>
      </c>
      <c r="N60" s="7" t="str">
        <f t="shared" si="20"/>
        <v/>
      </c>
      <c r="O60" t="str">
        <f t="shared" si="21"/>
        <v/>
      </c>
      <c r="P60" t="str">
        <f t="shared" si="24"/>
        <v/>
      </c>
      <c r="Q60" t="str">
        <f t="shared" si="23"/>
        <v/>
      </c>
      <c r="S60" t="str">
        <f>""</f>
        <v/>
      </c>
      <c r="AL60" s="18" t="str">
        <f>IF(COUNTIF($A$2:A59, A59) = 1, A59, "")</f>
        <v/>
      </c>
    </row>
    <row r="61" spans="6:38" x14ac:dyDescent="0.2">
      <c r="F61" t="str">
        <f t="shared" si="18"/>
        <v/>
      </c>
      <c r="L61" s="7" t="str">
        <f t="shared" ref="L61:L124" si="28">IF(LEN(E61)=0, "", IFERROR(IF(E61&gt;=0, K61 * (1 + E61/100) - K61, K61 / (ABS(E61)/100))+K61, ""))</f>
        <v/>
      </c>
      <c r="N61" s="7" t="str">
        <f t="shared" ref="N61:N124" si="29">IF(M61="Yes",L61-K61,IF(M61="No",-K61,""))</f>
        <v/>
      </c>
      <c r="O61" t="str">
        <f t="shared" ref="O61:O124" si="30">IF(AND(G61="No",H61="No"), "None", "")</f>
        <v/>
      </c>
      <c r="P61" t="str">
        <f t="shared" si="24"/>
        <v/>
      </c>
      <c r="Q61" t="str">
        <f t="shared" si="23"/>
        <v/>
      </c>
      <c r="S61" t="str">
        <f>""</f>
        <v/>
      </c>
      <c r="AL61" s="18" t="str">
        <f>IF(COUNTIF($A$2:A60, A60) = 1, A60, "")</f>
        <v/>
      </c>
    </row>
    <row r="62" spans="6:38" x14ac:dyDescent="0.2">
      <c r="F62" t="str">
        <f t="shared" ref="F62:F125" si="31">IF(OR(O62="", P62=""), "", SUM(IF((O62&lt;&gt;"None")*(O62&lt;&gt;""),LEN(O62)-LEN(SUBSTITUTE(O62,",",""))+1,0)) + SUM(IF((P62&lt;&gt;"None")*(P62&lt;&gt;""),LEN(P62)-LEN(SUBSTITUTE(P62,",",""))+1,0)))</f>
        <v/>
      </c>
      <c r="L62" s="7" t="str">
        <f t="shared" si="28"/>
        <v/>
      </c>
      <c r="N62" s="7" t="str">
        <f t="shared" si="29"/>
        <v/>
      </c>
      <c r="O62" t="str">
        <f t="shared" si="30"/>
        <v/>
      </c>
      <c r="P62" t="str">
        <f t="shared" si="24"/>
        <v/>
      </c>
      <c r="Q62" t="str">
        <f t="shared" ref="Q62:Q125" si="32">IF(AND(D62="Straight", M62 = "No"),IF(O62="None",P62,IF(P62="None",O62) ),"")</f>
        <v/>
      </c>
      <c r="S62" t="str">
        <f>""</f>
        <v/>
      </c>
      <c r="AL62" s="18" t="str">
        <f>IF(COUNTIF($A$2:A61, A61) = 1, A61, "")</f>
        <v/>
      </c>
    </row>
    <row r="63" spans="6:38" x14ac:dyDescent="0.2">
      <c r="F63" t="str">
        <f t="shared" si="31"/>
        <v/>
      </c>
      <c r="L63" s="7" t="str">
        <f t="shared" si="28"/>
        <v/>
      </c>
      <c r="N63" s="7" t="str">
        <f t="shared" si="29"/>
        <v/>
      </c>
      <c r="O63" t="str">
        <f t="shared" si="30"/>
        <v/>
      </c>
      <c r="P63" t="str">
        <f t="shared" si="24"/>
        <v/>
      </c>
      <c r="Q63" t="str">
        <f t="shared" si="32"/>
        <v/>
      </c>
      <c r="S63" t="str">
        <f>""</f>
        <v/>
      </c>
      <c r="AL63" s="18" t="str">
        <f>IF(COUNTIF($A$2:A62, A62) = 1, A62, "")</f>
        <v/>
      </c>
    </row>
    <row r="64" spans="6:38" x14ac:dyDescent="0.2">
      <c r="F64" t="str">
        <f t="shared" si="31"/>
        <v/>
      </c>
      <c r="L64" s="7" t="str">
        <f t="shared" si="28"/>
        <v/>
      </c>
      <c r="N64" s="7" t="str">
        <f t="shared" si="29"/>
        <v/>
      </c>
      <c r="O64" t="str">
        <f t="shared" si="30"/>
        <v/>
      </c>
      <c r="P64" t="str">
        <f t="shared" si="24"/>
        <v/>
      </c>
      <c r="Q64" t="str">
        <f t="shared" si="32"/>
        <v/>
      </c>
      <c r="S64" t="str">
        <f>""</f>
        <v/>
      </c>
      <c r="AL64" s="18" t="str">
        <f>IF(COUNTIF($A$2:A63, A63) = 1, A63, "")</f>
        <v/>
      </c>
    </row>
    <row r="65" spans="6:38" x14ac:dyDescent="0.2">
      <c r="F65" t="str">
        <f t="shared" si="31"/>
        <v/>
      </c>
      <c r="L65" s="7" t="str">
        <f t="shared" si="28"/>
        <v/>
      </c>
      <c r="N65" s="7" t="str">
        <f t="shared" si="29"/>
        <v/>
      </c>
      <c r="O65" t="str">
        <f t="shared" si="30"/>
        <v/>
      </c>
      <c r="P65" t="str">
        <f t="shared" si="24"/>
        <v/>
      </c>
      <c r="Q65" t="str">
        <f t="shared" si="32"/>
        <v/>
      </c>
      <c r="S65" t="str">
        <f>""</f>
        <v/>
      </c>
      <c r="AL65" s="18" t="str">
        <f>IF(COUNTIF($A$2:A64, A64) = 1, A64, "")</f>
        <v/>
      </c>
    </row>
    <row r="66" spans="6:38" x14ac:dyDescent="0.2">
      <c r="F66" t="str">
        <f t="shared" si="31"/>
        <v/>
      </c>
      <c r="L66" s="7" t="str">
        <f t="shared" si="28"/>
        <v/>
      </c>
      <c r="N66" s="7" t="str">
        <f t="shared" si="29"/>
        <v/>
      </c>
      <c r="O66" t="str">
        <f t="shared" si="30"/>
        <v/>
      </c>
      <c r="P66" t="str">
        <f t="shared" si="24"/>
        <v/>
      </c>
      <c r="Q66" t="str">
        <f t="shared" si="32"/>
        <v/>
      </c>
      <c r="S66" t="str">
        <f>""</f>
        <v/>
      </c>
      <c r="AL66" s="18" t="str">
        <f>IF(COUNTIF($A$2:A65, A65) = 1, A65, "")</f>
        <v/>
      </c>
    </row>
    <row r="67" spans="6:38" x14ac:dyDescent="0.2">
      <c r="F67" t="str">
        <f t="shared" si="31"/>
        <v/>
      </c>
      <c r="L67" s="7" t="str">
        <f t="shared" si="28"/>
        <v/>
      </c>
      <c r="N67" s="7" t="str">
        <f t="shared" si="29"/>
        <v/>
      </c>
      <c r="O67" t="str">
        <f t="shared" si="30"/>
        <v/>
      </c>
      <c r="P67" t="str">
        <f t="shared" si="24"/>
        <v/>
      </c>
      <c r="Q67" t="str">
        <f t="shared" si="32"/>
        <v/>
      </c>
      <c r="S67" t="str">
        <f>""</f>
        <v/>
      </c>
      <c r="AL67" s="18" t="str">
        <f>IF(COUNTIF($A$2:A66, A66) = 1, A66, "")</f>
        <v/>
      </c>
    </row>
    <row r="68" spans="6:38" x14ac:dyDescent="0.2">
      <c r="F68" t="str">
        <f t="shared" si="31"/>
        <v/>
      </c>
      <c r="L68" s="7" t="str">
        <f t="shared" si="28"/>
        <v/>
      </c>
      <c r="N68" s="7" t="str">
        <f t="shared" si="29"/>
        <v/>
      </c>
      <c r="O68" t="str">
        <f t="shared" si="30"/>
        <v/>
      </c>
      <c r="P68" t="str">
        <f t="shared" si="24"/>
        <v/>
      </c>
      <c r="Q68" t="str">
        <f t="shared" si="32"/>
        <v/>
      </c>
      <c r="S68" t="str">
        <f>""</f>
        <v/>
      </c>
      <c r="AL68" s="18" t="str">
        <f>IF(COUNTIF($A$2:A67, A67) = 1, A67, "")</f>
        <v/>
      </c>
    </row>
    <row r="69" spans="6:38" x14ac:dyDescent="0.2">
      <c r="F69" t="str">
        <f t="shared" si="31"/>
        <v/>
      </c>
      <c r="L69" s="7" t="str">
        <f t="shared" si="28"/>
        <v/>
      </c>
      <c r="N69" s="7" t="str">
        <f t="shared" si="29"/>
        <v/>
      </c>
      <c r="O69" t="str">
        <f t="shared" si="30"/>
        <v/>
      </c>
      <c r="P69" t="str">
        <f t="shared" si="24"/>
        <v/>
      </c>
      <c r="Q69" t="str">
        <f t="shared" si="32"/>
        <v/>
      </c>
      <c r="S69" t="str">
        <f>""</f>
        <v/>
      </c>
      <c r="AL69" s="18" t="str">
        <f>IF(COUNTIF($A$2:A68, A68) = 1, A68, "")</f>
        <v/>
      </c>
    </row>
    <row r="70" spans="6:38" x14ac:dyDescent="0.2">
      <c r="F70" t="str">
        <f t="shared" si="31"/>
        <v/>
      </c>
      <c r="L70" s="7" t="str">
        <f t="shared" si="28"/>
        <v/>
      </c>
      <c r="N70" s="7" t="str">
        <f t="shared" si="29"/>
        <v/>
      </c>
      <c r="O70" t="str">
        <f t="shared" si="30"/>
        <v/>
      </c>
      <c r="P70" t="str">
        <f t="shared" si="24"/>
        <v/>
      </c>
      <c r="Q70" t="str">
        <f t="shared" si="32"/>
        <v/>
      </c>
      <c r="S70" t="str">
        <f>""</f>
        <v/>
      </c>
      <c r="AL70" s="18" t="str">
        <f>IF(COUNTIF($A$2:A69, A69) = 1, A69, "")</f>
        <v/>
      </c>
    </row>
    <row r="71" spans="6:38" x14ac:dyDescent="0.2">
      <c r="F71" t="str">
        <f t="shared" si="31"/>
        <v/>
      </c>
      <c r="L71" s="7" t="str">
        <f t="shared" si="28"/>
        <v/>
      </c>
      <c r="N71" s="7" t="str">
        <f t="shared" si="29"/>
        <v/>
      </c>
      <c r="O71" t="str">
        <f t="shared" si="30"/>
        <v/>
      </c>
      <c r="P71" t="str">
        <f t="shared" si="24"/>
        <v/>
      </c>
      <c r="Q71" t="str">
        <f t="shared" si="32"/>
        <v/>
      </c>
      <c r="S71" t="str">
        <f>""</f>
        <v/>
      </c>
      <c r="AL71" s="18" t="str">
        <f>IF(COUNTIF($A$2:A70, A70) = 1, A70, "")</f>
        <v/>
      </c>
    </row>
    <row r="72" spans="6:38" x14ac:dyDescent="0.2">
      <c r="F72" t="str">
        <f t="shared" si="31"/>
        <v/>
      </c>
      <c r="L72" s="7" t="str">
        <f t="shared" si="28"/>
        <v/>
      </c>
      <c r="N72" s="7" t="str">
        <f t="shared" si="29"/>
        <v/>
      </c>
      <c r="O72" t="str">
        <f t="shared" si="30"/>
        <v/>
      </c>
      <c r="P72" t="str">
        <f t="shared" si="24"/>
        <v/>
      </c>
      <c r="Q72" t="str">
        <f t="shared" si="32"/>
        <v/>
      </c>
      <c r="S72" t="str">
        <f>""</f>
        <v/>
      </c>
      <c r="AL72" s="18" t="str">
        <f>IF(COUNTIF($A$2:A71, A71) = 1, A71, "")</f>
        <v/>
      </c>
    </row>
    <row r="73" spans="6:38" x14ac:dyDescent="0.2">
      <c r="F73" t="str">
        <f t="shared" si="31"/>
        <v/>
      </c>
      <c r="L73" s="7" t="str">
        <f t="shared" si="28"/>
        <v/>
      </c>
      <c r="N73" s="7" t="str">
        <f t="shared" si="29"/>
        <v/>
      </c>
      <c r="O73" t="str">
        <f t="shared" si="30"/>
        <v/>
      </c>
      <c r="P73" t="str">
        <f t="shared" si="24"/>
        <v/>
      </c>
      <c r="Q73" t="str">
        <f t="shared" si="32"/>
        <v/>
      </c>
      <c r="S73" t="str">
        <f>""</f>
        <v/>
      </c>
      <c r="AL73" s="18" t="str">
        <f>IF(COUNTIF($A$2:A72, A72) = 1, A72, "")</f>
        <v/>
      </c>
    </row>
    <row r="74" spans="6:38" x14ac:dyDescent="0.2">
      <c r="F74" t="str">
        <f t="shared" si="31"/>
        <v/>
      </c>
      <c r="L74" s="7" t="str">
        <f t="shared" si="28"/>
        <v/>
      </c>
      <c r="N74" s="7" t="str">
        <f t="shared" si="29"/>
        <v/>
      </c>
      <c r="O74" t="str">
        <f t="shared" si="30"/>
        <v/>
      </c>
      <c r="P74" t="str">
        <f t="shared" si="24"/>
        <v/>
      </c>
      <c r="Q74" t="str">
        <f t="shared" si="32"/>
        <v/>
      </c>
      <c r="S74" t="str">
        <f>""</f>
        <v/>
      </c>
      <c r="AL74" s="18" t="str">
        <f>IF(COUNTIF($A$2:A73, A73) = 1, A73, "")</f>
        <v/>
      </c>
    </row>
    <row r="75" spans="6:38" x14ac:dyDescent="0.2">
      <c r="F75" t="str">
        <f t="shared" si="31"/>
        <v/>
      </c>
      <c r="L75" s="7" t="str">
        <f t="shared" si="28"/>
        <v/>
      </c>
      <c r="N75" s="7" t="str">
        <f t="shared" si="29"/>
        <v/>
      </c>
      <c r="O75" t="str">
        <f t="shared" si="30"/>
        <v/>
      </c>
      <c r="P75" t="str">
        <f t="shared" si="24"/>
        <v/>
      </c>
      <c r="Q75" t="str">
        <f t="shared" si="32"/>
        <v/>
      </c>
      <c r="S75" t="str">
        <f>""</f>
        <v/>
      </c>
      <c r="AL75" s="18" t="str">
        <f>IF(COUNTIF($A$2:A74, A74) = 1, A74, "")</f>
        <v/>
      </c>
    </row>
    <row r="76" spans="6:38" x14ac:dyDescent="0.2">
      <c r="F76" t="str">
        <f t="shared" si="31"/>
        <v/>
      </c>
      <c r="L76" s="7" t="str">
        <f t="shared" si="28"/>
        <v/>
      </c>
      <c r="N76" s="7" t="str">
        <f t="shared" si="29"/>
        <v/>
      </c>
      <c r="O76" t="str">
        <f t="shared" si="30"/>
        <v/>
      </c>
      <c r="P76" t="str">
        <f t="shared" si="24"/>
        <v/>
      </c>
      <c r="Q76" t="str">
        <f t="shared" si="32"/>
        <v/>
      </c>
      <c r="S76" t="str">
        <f>""</f>
        <v/>
      </c>
      <c r="AL76" s="18" t="str">
        <f>IF(COUNTIF($A$2:A75, A75) = 1, A75, "")</f>
        <v/>
      </c>
    </row>
    <row r="77" spans="6:38" x14ac:dyDescent="0.2">
      <c r="F77" t="str">
        <f t="shared" si="31"/>
        <v/>
      </c>
      <c r="L77" s="7" t="str">
        <f t="shared" si="28"/>
        <v/>
      </c>
      <c r="N77" s="7" t="str">
        <f t="shared" si="29"/>
        <v/>
      </c>
      <c r="O77" t="str">
        <f t="shared" si="30"/>
        <v/>
      </c>
      <c r="P77" t="str">
        <f t="shared" si="24"/>
        <v/>
      </c>
      <c r="Q77" t="str">
        <f t="shared" si="32"/>
        <v/>
      </c>
      <c r="S77" t="str">
        <f>""</f>
        <v/>
      </c>
      <c r="AL77" s="18" t="str">
        <f>IF(COUNTIF($A$2:A76, A76) = 1, A76, "")</f>
        <v/>
      </c>
    </row>
    <row r="78" spans="6:38" x14ac:dyDescent="0.2">
      <c r="F78" t="str">
        <f t="shared" si="31"/>
        <v/>
      </c>
      <c r="L78" s="7" t="str">
        <f t="shared" si="28"/>
        <v/>
      </c>
      <c r="N78" s="7" t="str">
        <f t="shared" si="29"/>
        <v/>
      </c>
      <c r="O78" t="str">
        <f t="shared" si="30"/>
        <v/>
      </c>
      <c r="P78" t="str">
        <f t="shared" ref="P78:P141" si="33">IF(I78="No", "None", "")</f>
        <v/>
      </c>
      <c r="Q78" t="str">
        <f t="shared" si="32"/>
        <v/>
      </c>
      <c r="S78" t="str">
        <f>""</f>
        <v/>
      </c>
      <c r="AL78" s="18" t="str">
        <f>IF(COUNTIF($A$2:A77, A77) = 1, A77, "")</f>
        <v/>
      </c>
    </row>
    <row r="79" spans="6:38" x14ac:dyDescent="0.2">
      <c r="F79" t="str">
        <f t="shared" si="31"/>
        <v/>
      </c>
      <c r="L79" s="7" t="str">
        <f t="shared" si="28"/>
        <v/>
      </c>
      <c r="N79" s="7" t="str">
        <f t="shared" si="29"/>
        <v/>
      </c>
      <c r="O79" t="str">
        <f t="shared" si="30"/>
        <v/>
      </c>
      <c r="P79" t="str">
        <f t="shared" si="33"/>
        <v/>
      </c>
      <c r="Q79" t="str">
        <f t="shared" si="32"/>
        <v/>
      </c>
      <c r="S79" t="str">
        <f>""</f>
        <v/>
      </c>
      <c r="AL79" s="18" t="str">
        <f>IF(COUNTIF($A$2:A78, A78) = 1, A78, "")</f>
        <v/>
      </c>
    </row>
    <row r="80" spans="6:38" x14ac:dyDescent="0.2">
      <c r="F80" t="str">
        <f t="shared" si="31"/>
        <v/>
      </c>
      <c r="L80" s="7" t="str">
        <f t="shared" si="28"/>
        <v/>
      </c>
      <c r="N80" s="7" t="str">
        <f t="shared" si="29"/>
        <v/>
      </c>
      <c r="O80" t="str">
        <f t="shared" si="30"/>
        <v/>
      </c>
      <c r="P80" t="str">
        <f t="shared" si="33"/>
        <v/>
      </c>
      <c r="Q80" t="str">
        <f t="shared" si="32"/>
        <v/>
      </c>
      <c r="S80" t="str">
        <f>""</f>
        <v/>
      </c>
      <c r="AL80" s="18" t="str">
        <f>IF(COUNTIF($A$2:A79, A79) = 1, A79, "")</f>
        <v/>
      </c>
    </row>
    <row r="81" spans="6:38" x14ac:dyDescent="0.2">
      <c r="F81" t="str">
        <f t="shared" si="31"/>
        <v/>
      </c>
      <c r="L81" s="7" t="str">
        <f t="shared" si="28"/>
        <v/>
      </c>
      <c r="N81" s="7" t="str">
        <f t="shared" si="29"/>
        <v/>
      </c>
      <c r="O81" t="str">
        <f t="shared" si="30"/>
        <v/>
      </c>
      <c r="P81" t="str">
        <f t="shared" si="33"/>
        <v/>
      </c>
      <c r="Q81" t="str">
        <f t="shared" si="32"/>
        <v/>
      </c>
      <c r="S81" t="str">
        <f>""</f>
        <v/>
      </c>
      <c r="AL81" s="18" t="str">
        <f>IF(COUNTIF($A$2:A80, A80) = 1, A80, "")</f>
        <v/>
      </c>
    </row>
    <row r="82" spans="6:38" x14ac:dyDescent="0.2">
      <c r="F82" t="str">
        <f t="shared" si="31"/>
        <v/>
      </c>
      <c r="L82" s="7" t="str">
        <f t="shared" si="28"/>
        <v/>
      </c>
      <c r="N82" s="7" t="str">
        <f t="shared" si="29"/>
        <v/>
      </c>
      <c r="O82" t="str">
        <f t="shared" si="30"/>
        <v/>
      </c>
      <c r="P82" t="str">
        <f t="shared" si="33"/>
        <v/>
      </c>
      <c r="Q82" t="str">
        <f t="shared" si="32"/>
        <v/>
      </c>
      <c r="S82" t="str">
        <f>""</f>
        <v/>
      </c>
      <c r="AL82" s="18" t="str">
        <f>IF(COUNTIF($A$2:A81, A81) = 1, A81, "")</f>
        <v/>
      </c>
    </row>
    <row r="83" spans="6:38" x14ac:dyDescent="0.2">
      <c r="F83" t="str">
        <f t="shared" si="31"/>
        <v/>
      </c>
      <c r="L83" s="7" t="str">
        <f t="shared" si="28"/>
        <v/>
      </c>
      <c r="N83" s="7" t="str">
        <f t="shared" si="29"/>
        <v/>
      </c>
      <c r="O83" t="str">
        <f t="shared" si="30"/>
        <v/>
      </c>
      <c r="P83" t="str">
        <f t="shared" si="33"/>
        <v/>
      </c>
      <c r="Q83" t="str">
        <f t="shared" si="32"/>
        <v/>
      </c>
      <c r="S83" t="str">
        <f>""</f>
        <v/>
      </c>
      <c r="AL83" s="18" t="str">
        <f>IF(COUNTIF($A$2:A82, A82) = 1, A82, "")</f>
        <v/>
      </c>
    </row>
    <row r="84" spans="6:38" x14ac:dyDescent="0.2">
      <c r="F84" t="str">
        <f t="shared" si="31"/>
        <v/>
      </c>
      <c r="L84" s="7" t="str">
        <f t="shared" si="28"/>
        <v/>
      </c>
      <c r="N84" s="7" t="str">
        <f t="shared" si="29"/>
        <v/>
      </c>
      <c r="O84" t="str">
        <f t="shared" si="30"/>
        <v/>
      </c>
      <c r="P84" t="str">
        <f t="shared" si="33"/>
        <v/>
      </c>
      <c r="Q84" t="str">
        <f t="shared" si="32"/>
        <v/>
      </c>
      <c r="S84" t="str">
        <f>""</f>
        <v/>
      </c>
      <c r="AL84" s="18" t="str">
        <f>IF(COUNTIF($A$2:A83, A83) = 1, A83, "")</f>
        <v/>
      </c>
    </row>
    <row r="85" spans="6:38" x14ac:dyDescent="0.2">
      <c r="F85" t="str">
        <f t="shared" si="31"/>
        <v/>
      </c>
      <c r="L85" s="7" t="str">
        <f t="shared" si="28"/>
        <v/>
      </c>
      <c r="N85" s="7" t="str">
        <f t="shared" si="29"/>
        <v/>
      </c>
      <c r="O85" t="str">
        <f t="shared" si="30"/>
        <v/>
      </c>
      <c r="P85" t="str">
        <f t="shared" si="33"/>
        <v/>
      </c>
      <c r="Q85" t="str">
        <f t="shared" si="32"/>
        <v/>
      </c>
      <c r="S85" t="str">
        <f>""</f>
        <v/>
      </c>
      <c r="AL85" s="18" t="str">
        <f>IF(COUNTIF($A$2:A84, A84) = 1, A84, "")</f>
        <v/>
      </c>
    </row>
    <row r="86" spans="6:38" x14ac:dyDescent="0.2">
      <c r="F86" t="str">
        <f t="shared" si="31"/>
        <v/>
      </c>
      <c r="L86" s="7" t="str">
        <f t="shared" si="28"/>
        <v/>
      </c>
      <c r="N86" s="7" t="str">
        <f t="shared" si="29"/>
        <v/>
      </c>
      <c r="O86" t="str">
        <f t="shared" si="30"/>
        <v/>
      </c>
      <c r="P86" t="str">
        <f t="shared" si="33"/>
        <v/>
      </c>
      <c r="Q86" t="str">
        <f t="shared" si="32"/>
        <v/>
      </c>
      <c r="S86" t="str">
        <f>""</f>
        <v/>
      </c>
      <c r="AL86" s="18" t="str">
        <f>IF(COUNTIF($A$2:A85, A85) = 1, A85, "")</f>
        <v/>
      </c>
    </row>
    <row r="87" spans="6:38" x14ac:dyDescent="0.2">
      <c r="F87" t="str">
        <f t="shared" si="31"/>
        <v/>
      </c>
      <c r="L87" s="7" t="str">
        <f t="shared" si="28"/>
        <v/>
      </c>
      <c r="N87" s="7" t="str">
        <f t="shared" si="29"/>
        <v/>
      </c>
      <c r="O87" t="str">
        <f t="shared" si="30"/>
        <v/>
      </c>
      <c r="P87" t="str">
        <f t="shared" si="33"/>
        <v/>
      </c>
      <c r="Q87" t="str">
        <f t="shared" si="32"/>
        <v/>
      </c>
      <c r="S87" t="str">
        <f>""</f>
        <v/>
      </c>
      <c r="AL87" s="18" t="str">
        <f>IF(COUNTIF($A$2:A86, A86) = 1, A86, "")</f>
        <v/>
      </c>
    </row>
    <row r="88" spans="6:38" x14ac:dyDescent="0.2">
      <c r="F88" t="str">
        <f t="shared" si="31"/>
        <v/>
      </c>
      <c r="L88" s="7" t="str">
        <f t="shared" si="28"/>
        <v/>
      </c>
      <c r="N88" s="7" t="str">
        <f t="shared" si="29"/>
        <v/>
      </c>
      <c r="O88" t="str">
        <f t="shared" si="30"/>
        <v/>
      </c>
      <c r="P88" t="str">
        <f t="shared" si="33"/>
        <v/>
      </c>
      <c r="Q88" t="str">
        <f t="shared" si="32"/>
        <v/>
      </c>
      <c r="S88" t="str">
        <f>""</f>
        <v/>
      </c>
      <c r="AL88" s="18" t="str">
        <f>IF(COUNTIF($A$2:A87, A87) = 1, A87, "")</f>
        <v/>
      </c>
    </row>
    <row r="89" spans="6:38" x14ac:dyDescent="0.2">
      <c r="F89" t="str">
        <f t="shared" si="31"/>
        <v/>
      </c>
      <c r="L89" s="7" t="str">
        <f t="shared" si="28"/>
        <v/>
      </c>
      <c r="N89" s="7" t="str">
        <f t="shared" si="29"/>
        <v/>
      </c>
      <c r="O89" t="str">
        <f t="shared" si="30"/>
        <v/>
      </c>
      <c r="P89" t="str">
        <f t="shared" si="33"/>
        <v/>
      </c>
      <c r="Q89" t="str">
        <f t="shared" si="32"/>
        <v/>
      </c>
      <c r="S89" t="str">
        <f>""</f>
        <v/>
      </c>
      <c r="AL89" s="18" t="str">
        <f>IF(COUNTIF($A$2:A88, A88) = 1, A88, "")</f>
        <v/>
      </c>
    </row>
    <row r="90" spans="6:38" x14ac:dyDescent="0.2">
      <c r="F90" t="str">
        <f t="shared" si="31"/>
        <v/>
      </c>
      <c r="L90" s="7" t="str">
        <f t="shared" si="28"/>
        <v/>
      </c>
      <c r="N90" s="7" t="str">
        <f t="shared" si="29"/>
        <v/>
      </c>
      <c r="O90" t="str">
        <f t="shared" si="30"/>
        <v/>
      </c>
      <c r="P90" t="str">
        <f t="shared" si="33"/>
        <v/>
      </c>
      <c r="Q90" t="str">
        <f t="shared" si="32"/>
        <v/>
      </c>
      <c r="S90" t="str">
        <f>""</f>
        <v/>
      </c>
      <c r="AL90" s="18" t="str">
        <f>IF(COUNTIF($A$2:A89, A89) = 1, A89, "")</f>
        <v/>
      </c>
    </row>
    <row r="91" spans="6:38" x14ac:dyDescent="0.2">
      <c r="F91" t="str">
        <f t="shared" si="31"/>
        <v/>
      </c>
      <c r="L91" s="7" t="str">
        <f t="shared" si="28"/>
        <v/>
      </c>
      <c r="N91" s="7" t="str">
        <f t="shared" si="29"/>
        <v/>
      </c>
      <c r="O91" t="str">
        <f t="shared" si="30"/>
        <v/>
      </c>
      <c r="P91" t="str">
        <f t="shared" si="33"/>
        <v/>
      </c>
      <c r="Q91" t="str">
        <f t="shared" si="32"/>
        <v/>
      </c>
      <c r="S91" t="str">
        <f>""</f>
        <v/>
      </c>
      <c r="AL91" s="18" t="str">
        <f>IF(COUNTIF($A$2:A90, A90) = 1, A90, "")</f>
        <v/>
      </c>
    </row>
    <row r="92" spans="6:38" x14ac:dyDescent="0.2">
      <c r="F92" t="str">
        <f t="shared" si="31"/>
        <v/>
      </c>
      <c r="L92" s="7" t="str">
        <f t="shared" si="28"/>
        <v/>
      </c>
      <c r="N92" s="7" t="str">
        <f t="shared" si="29"/>
        <v/>
      </c>
      <c r="O92" t="str">
        <f t="shared" si="30"/>
        <v/>
      </c>
      <c r="P92" t="str">
        <f t="shared" si="33"/>
        <v/>
      </c>
      <c r="Q92" t="str">
        <f t="shared" si="32"/>
        <v/>
      </c>
      <c r="S92" t="str">
        <f>""</f>
        <v/>
      </c>
      <c r="AL92" s="18" t="str">
        <f>IF(COUNTIF($A$2:A91, A91) = 1, A91, "")</f>
        <v/>
      </c>
    </row>
    <row r="93" spans="6:38" x14ac:dyDescent="0.2">
      <c r="F93" t="str">
        <f t="shared" si="31"/>
        <v/>
      </c>
      <c r="L93" s="7" t="str">
        <f t="shared" si="28"/>
        <v/>
      </c>
      <c r="N93" s="7" t="str">
        <f t="shared" si="29"/>
        <v/>
      </c>
      <c r="O93" t="str">
        <f t="shared" si="30"/>
        <v/>
      </c>
      <c r="P93" t="str">
        <f t="shared" si="33"/>
        <v/>
      </c>
      <c r="Q93" t="str">
        <f t="shared" si="32"/>
        <v/>
      </c>
      <c r="S93" t="str">
        <f>""</f>
        <v/>
      </c>
      <c r="AL93" s="18" t="str">
        <f>IF(COUNTIF($A$2:A92, A92) = 1, A92, "")</f>
        <v/>
      </c>
    </row>
    <row r="94" spans="6:38" x14ac:dyDescent="0.2">
      <c r="F94" t="str">
        <f t="shared" si="31"/>
        <v/>
      </c>
      <c r="L94" s="7" t="str">
        <f t="shared" si="28"/>
        <v/>
      </c>
      <c r="N94" s="7" t="str">
        <f t="shared" si="29"/>
        <v/>
      </c>
      <c r="O94" t="str">
        <f t="shared" si="30"/>
        <v/>
      </c>
      <c r="P94" t="str">
        <f t="shared" si="33"/>
        <v/>
      </c>
      <c r="Q94" t="str">
        <f t="shared" si="32"/>
        <v/>
      </c>
      <c r="S94" t="str">
        <f>""</f>
        <v/>
      </c>
      <c r="AL94" s="18" t="str">
        <f>IF(COUNTIF($A$2:A93, A93) = 1, A93, "")</f>
        <v/>
      </c>
    </row>
    <row r="95" spans="6:38" x14ac:dyDescent="0.2">
      <c r="F95" t="str">
        <f t="shared" si="31"/>
        <v/>
      </c>
      <c r="L95" s="7" t="str">
        <f t="shared" si="28"/>
        <v/>
      </c>
      <c r="N95" s="7" t="str">
        <f t="shared" si="29"/>
        <v/>
      </c>
      <c r="O95" t="str">
        <f t="shared" si="30"/>
        <v/>
      </c>
      <c r="P95" t="str">
        <f t="shared" si="33"/>
        <v/>
      </c>
      <c r="Q95" t="str">
        <f t="shared" si="32"/>
        <v/>
      </c>
      <c r="S95" t="str">
        <f>""</f>
        <v/>
      </c>
      <c r="AL95" s="18" t="str">
        <f>IF(COUNTIF($A$2:A94, A94) = 1, A94, "")</f>
        <v/>
      </c>
    </row>
    <row r="96" spans="6:38" x14ac:dyDescent="0.2">
      <c r="F96" t="str">
        <f t="shared" si="31"/>
        <v/>
      </c>
      <c r="L96" s="7" t="str">
        <f t="shared" si="28"/>
        <v/>
      </c>
      <c r="N96" s="7" t="str">
        <f t="shared" si="29"/>
        <v/>
      </c>
      <c r="O96" t="str">
        <f t="shared" si="30"/>
        <v/>
      </c>
      <c r="P96" t="str">
        <f t="shared" si="33"/>
        <v/>
      </c>
      <c r="Q96" t="str">
        <f t="shared" si="32"/>
        <v/>
      </c>
      <c r="S96" t="str">
        <f>""</f>
        <v/>
      </c>
      <c r="AL96" s="18" t="str">
        <f>IF(COUNTIF($A$2:A95, A95) = 1, A95, "")</f>
        <v/>
      </c>
    </row>
    <row r="97" spans="6:38" x14ac:dyDescent="0.2">
      <c r="F97" t="str">
        <f t="shared" si="31"/>
        <v/>
      </c>
      <c r="L97" s="7" t="str">
        <f t="shared" si="28"/>
        <v/>
      </c>
      <c r="N97" s="7" t="str">
        <f t="shared" si="29"/>
        <v/>
      </c>
      <c r="O97" t="str">
        <f t="shared" si="30"/>
        <v/>
      </c>
      <c r="P97" t="str">
        <f t="shared" si="33"/>
        <v/>
      </c>
      <c r="Q97" t="str">
        <f t="shared" si="32"/>
        <v/>
      </c>
      <c r="S97" t="str">
        <f>""</f>
        <v/>
      </c>
      <c r="AL97" s="18" t="str">
        <f>IF(COUNTIF($A$2:A96, A96) = 1, A96, "")</f>
        <v/>
      </c>
    </row>
    <row r="98" spans="6:38" x14ac:dyDescent="0.2">
      <c r="F98" t="str">
        <f t="shared" si="31"/>
        <v/>
      </c>
      <c r="L98" s="7" t="str">
        <f t="shared" si="28"/>
        <v/>
      </c>
      <c r="N98" s="7" t="str">
        <f t="shared" si="29"/>
        <v/>
      </c>
      <c r="O98" t="str">
        <f t="shared" si="30"/>
        <v/>
      </c>
      <c r="P98" t="str">
        <f t="shared" si="33"/>
        <v/>
      </c>
      <c r="Q98" t="str">
        <f t="shared" si="32"/>
        <v/>
      </c>
      <c r="S98" t="str">
        <f>""</f>
        <v/>
      </c>
      <c r="AL98" s="18" t="str">
        <f>IF(COUNTIF($A$2:A97, A97) = 1, A97, "")</f>
        <v/>
      </c>
    </row>
    <row r="99" spans="6:38" x14ac:dyDescent="0.2">
      <c r="F99" t="str">
        <f t="shared" si="31"/>
        <v/>
      </c>
      <c r="L99" s="7" t="str">
        <f t="shared" si="28"/>
        <v/>
      </c>
      <c r="N99" s="7" t="str">
        <f t="shared" si="29"/>
        <v/>
      </c>
      <c r="O99" t="str">
        <f t="shared" si="30"/>
        <v/>
      </c>
      <c r="P99" t="str">
        <f t="shared" si="33"/>
        <v/>
      </c>
      <c r="Q99" t="str">
        <f t="shared" si="32"/>
        <v/>
      </c>
      <c r="S99" t="str">
        <f>""</f>
        <v/>
      </c>
      <c r="AL99" s="18" t="str">
        <f>IF(COUNTIF($A$2:A98, A98) = 1, A98, "")</f>
        <v/>
      </c>
    </row>
    <row r="100" spans="6:38" x14ac:dyDescent="0.2">
      <c r="F100" t="str">
        <f t="shared" si="31"/>
        <v/>
      </c>
      <c r="L100" s="7" t="str">
        <f t="shared" si="28"/>
        <v/>
      </c>
      <c r="N100" s="7" t="str">
        <f t="shared" si="29"/>
        <v/>
      </c>
      <c r="O100" t="str">
        <f t="shared" si="30"/>
        <v/>
      </c>
      <c r="P100" t="str">
        <f t="shared" si="33"/>
        <v/>
      </c>
      <c r="Q100" t="str">
        <f t="shared" si="32"/>
        <v/>
      </c>
      <c r="S100" t="str">
        <f>""</f>
        <v/>
      </c>
      <c r="AL100" s="18" t="str">
        <f>IF(COUNTIF($A$2:A99, A99) = 1, A99, "")</f>
        <v/>
      </c>
    </row>
    <row r="101" spans="6:38" x14ac:dyDescent="0.2">
      <c r="F101" t="str">
        <f t="shared" si="31"/>
        <v/>
      </c>
      <c r="L101" s="7" t="str">
        <f t="shared" si="28"/>
        <v/>
      </c>
      <c r="N101" s="7" t="str">
        <f t="shared" si="29"/>
        <v/>
      </c>
      <c r="O101" t="str">
        <f t="shared" si="30"/>
        <v/>
      </c>
      <c r="P101" t="str">
        <f t="shared" si="33"/>
        <v/>
      </c>
      <c r="Q101" t="str">
        <f t="shared" si="32"/>
        <v/>
      </c>
      <c r="S101" t="str">
        <f>""</f>
        <v/>
      </c>
      <c r="AL101" s="18" t="str">
        <f>IF(COUNTIF($A$2:A100, A100) = 1, A100, "")</f>
        <v/>
      </c>
    </row>
    <row r="102" spans="6:38" x14ac:dyDescent="0.2">
      <c r="F102" t="str">
        <f t="shared" si="31"/>
        <v/>
      </c>
      <c r="L102" s="7" t="str">
        <f t="shared" si="28"/>
        <v/>
      </c>
      <c r="N102" s="7" t="str">
        <f t="shared" si="29"/>
        <v/>
      </c>
      <c r="O102" t="str">
        <f t="shared" si="30"/>
        <v/>
      </c>
      <c r="P102" t="str">
        <f t="shared" si="33"/>
        <v/>
      </c>
      <c r="Q102" t="str">
        <f t="shared" si="32"/>
        <v/>
      </c>
      <c r="S102" t="str">
        <f>""</f>
        <v/>
      </c>
      <c r="AL102" s="18" t="str">
        <f>IF(COUNTIF($A$2:A101, A101) = 1, A101, "")</f>
        <v/>
      </c>
    </row>
    <row r="103" spans="6:38" x14ac:dyDescent="0.2">
      <c r="F103" t="str">
        <f t="shared" si="31"/>
        <v/>
      </c>
      <c r="L103" s="7" t="str">
        <f t="shared" si="28"/>
        <v/>
      </c>
      <c r="N103" s="7" t="str">
        <f t="shared" si="29"/>
        <v/>
      </c>
      <c r="O103" t="str">
        <f t="shared" si="30"/>
        <v/>
      </c>
      <c r="P103" t="str">
        <f t="shared" si="33"/>
        <v/>
      </c>
      <c r="Q103" t="str">
        <f t="shared" si="32"/>
        <v/>
      </c>
      <c r="S103" t="str">
        <f>""</f>
        <v/>
      </c>
      <c r="AL103" s="18" t="str">
        <f>IF(COUNTIF($A$2:A102, A102) = 1, A102, "")</f>
        <v/>
      </c>
    </row>
    <row r="104" spans="6:38" x14ac:dyDescent="0.2">
      <c r="F104" t="str">
        <f t="shared" si="31"/>
        <v/>
      </c>
      <c r="L104" s="7" t="str">
        <f t="shared" si="28"/>
        <v/>
      </c>
      <c r="N104" s="7" t="str">
        <f t="shared" si="29"/>
        <v/>
      </c>
      <c r="O104" t="str">
        <f t="shared" si="30"/>
        <v/>
      </c>
      <c r="P104" t="str">
        <f t="shared" si="33"/>
        <v/>
      </c>
      <c r="Q104" t="str">
        <f t="shared" si="32"/>
        <v/>
      </c>
      <c r="S104" t="str">
        <f>""</f>
        <v/>
      </c>
      <c r="AL104" s="18" t="str">
        <f>IF(COUNTIF($A$2:A103, A103) = 1, A103, "")</f>
        <v/>
      </c>
    </row>
    <row r="105" spans="6:38" x14ac:dyDescent="0.2">
      <c r="F105" t="str">
        <f t="shared" si="31"/>
        <v/>
      </c>
      <c r="L105" s="7" t="str">
        <f t="shared" si="28"/>
        <v/>
      </c>
      <c r="N105" s="7" t="str">
        <f t="shared" si="29"/>
        <v/>
      </c>
      <c r="O105" t="str">
        <f t="shared" si="30"/>
        <v/>
      </c>
      <c r="P105" t="str">
        <f t="shared" si="33"/>
        <v/>
      </c>
      <c r="Q105" t="str">
        <f t="shared" si="32"/>
        <v/>
      </c>
      <c r="S105" t="str">
        <f>""</f>
        <v/>
      </c>
      <c r="AL105" s="18" t="str">
        <f>IF(COUNTIF($A$2:A104, A104) = 1, A104, "")</f>
        <v/>
      </c>
    </row>
    <row r="106" spans="6:38" x14ac:dyDescent="0.2">
      <c r="F106" t="str">
        <f t="shared" si="31"/>
        <v/>
      </c>
      <c r="L106" s="7" t="str">
        <f t="shared" si="28"/>
        <v/>
      </c>
      <c r="N106" s="7" t="str">
        <f t="shared" si="29"/>
        <v/>
      </c>
      <c r="O106" t="str">
        <f t="shared" si="30"/>
        <v/>
      </c>
      <c r="P106" t="str">
        <f t="shared" si="33"/>
        <v/>
      </c>
      <c r="Q106" t="str">
        <f t="shared" si="32"/>
        <v/>
      </c>
      <c r="S106" t="str">
        <f>""</f>
        <v/>
      </c>
      <c r="AL106" s="18" t="str">
        <f>IF(COUNTIF($A$2:A105, A105) = 1, A105, "")</f>
        <v/>
      </c>
    </row>
    <row r="107" spans="6:38" x14ac:dyDescent="0.2">
      <c r="F107" t="str">
        <f t="shared" si="31"/>
        <v/>
      </c>
      <c r="L107" s="7" t="str">
        <f t="shared" si="28"/>
        <v/>
      </c>
      <c r="N107" s="7" t="str">
        <f t="shared" si="29"/>
        <v/>
      </c>
      <c r="O107" t="str">
        <f t="shared" si="30"/>
        <v/>
      </c>
      <c r="P107" t="str">
        <f t="shared" si="33"/>
        <v/>
      </c>
      <c r="Q107" t="str">
        <f t="shared" si="32"/>
        <v/>
      </c>
      <c r="S107" t="str">
        <f>""</f>
        <v/>
      </c>
      <c r="AL107" s="18" t="str">
        <f>IF(COUNTIF($A$2:A106, A106) = 1, A106, "")</f>
        <v/>
      </c>
    </row>
    <row r="108" spans="6:38" x14ac:dyDescent="0.2">
      <c r="F108" t="str">
        <f t="shared" si="31"/>
        <v/>
      </c>
      <c r="L108" s="7" t="str">
        <f t="shared" si="28"/>
        <v/>
      </c>
      <c r="N108" s="7" t="str">
        <f t="shared" si="29"/>
        <v/>
      </c>
      <c r="O108" t="str">
        <f t="shared" si="30"/>
        <v/>
      </c>
      <c r="P108" t="str">
        <f t="shared" si="33"/>
        <v/>
      </c>
      <c r="Q108" t="str">
        <f t="shared" si="32"/>
        <v/>
      </c>
      <c r="S108" t="str">
        <f>""</f>
        <v/>
      </c>
      <c r="AL108" s="18" t="str">
        <f>IF(COUNTIF($A$2:A107, A107) = 1, A107, "")</f>
        <v/>
      </c>
    </row>
    <row r="109" spans="6:38" x14ac:dyDescent="0.2">
      <c r="F109" t="str">
        <f t="shared" si="31"/>
        <v/>
      </c>
      <c r="L109" s="7" t="str">
        <f t="shared" si="28"/>
        <v/>
      </c>
      <c r="N109" s="7" t="str">
        <f t="shared" si="29"/>
        <v/>
      </c>
      <c r="O109" t="str">
        <f t="shared" si="30"/>
        <v/>
      </c>
      <c r="P109" t="str">
        <f t="shared" si="33"/>
        <v/>
      </c>
      <c r="Q109" t="str">
        <f t="shared" si="32"/>
        <v/>
      </c>
      <c r="S109" t="str">
        <f>""</f>
        <v/>
      </c>
      <c r="AL109" s="18" t="str">
        <f>IF(COUNTIF($A$2:A108, A108) = 1, A108, "")</f>
        <v/>
      </c>
    </row>
    <row r="110" spans="6:38" x14ac:dyDescent="0.2">
      <c r="F110" t="str">
        <f t="shared" si="31"/>
        <v/>
      </c>
      <c r="L110" s="7" t="str">
        <f t="shared" si="28"/>
        <v/>
      </c>
      <c r="N110" s="7" t="str">
        <f t="shared" si="29"/>
        <v/>
      </c>
      <c r="O110" t="str">
        <f t="shared" si="30"/>
        <v/>
      </c>
      <c r="P110" t="str">
        <f t="shared" si="33"/>
        <v/>
      </c>
      <c r="Q110" t="str">
        <f t="shared" si="32"/>
        <v/>
      </c>
      <c r="S110" t="str">
        <f>""</f>
        <v/>
      </c>
      <c r="AL110" s="18" t="str">
        <f>IF(COUNTIF($A$2:A109, A109) = 1, A109, "")</f>
        <v/>
      </c>
    </row>
    <row r="111" spans="6:38" x14ac:dyDescent="0.2">
      <c r="F111" t="str">
        <f t="shared" si="31"/>
        <v/>
      </c>
      <c r="L111" s="7" t="str">
        <f t="shared" si="28"/>
        <v/>
      </c>
      <c r="N111" s="7" t="str">
        <f t="shared" si="29"/>
        <v/>
      </c>
      <c r="O111" t="str">
        <f t="shared" si="30"/>
        <v/>
      </c>
      <c r="P111" t="str">
        <f t="shared" si="33"/>
        <v/>
      </c>
      <c r="Q111" t="str">
        <f t="shared" si="32"/>
        <v/>
      </c>
      <c r="S111" t="str">
        <f>""</f>
        <v/>
      </c>
      <c r="AL111" s="18" t="str">
        <f>IF(COUNTIF($A$2:A110, A110) = 1, A110, "")</f>
        <v/>
      </c>
    </row>
    <row r="112" spans="6:38" x14ac:dyDescent="0.2">
      <c r="F112" t="str">
        <f t="shared" si="31"/>
        <v/>
      </c>
      <c r="L112" s="7" t="str">
        <f t="shared" si="28"/>
        <v/>
      </c>
      <c r="N112" s="7" t="str">
        <f t="shared" si="29"/>
        <v/>
      </c>
      <c r="O112" t="str">
        <f t="shared" si="30"/>
        <v/>
      </c>
      <c r="P112" t="str">
        <f t="shared" si="33"/>
        <v/>
      </c>
      <c r="Q112" t="str">
        <f t="shared" si="32"/>
        <v/>
      </c>
      <c r="S112" t="str">
        <f>""</f>
        <v/>
      </c>
      <c r="AL112" s="18" t="str">
        <f>IF(COUNTIF($A$2:A111, A111) = 1, A111, "")</f>
        <v/>
      </c>
    </row>
    <row r="113" spans="6:38" x14ac:dyDescent="0.2">
      <c r="F113" t="str">
        <f t="shared" si="31"/>
        <v/>
      </c>
      <c r="L113" s="7" t="str">
        <f t="shared" si="28"/>
        <v/>
      </c>
      <c r="N113" s="7" t="str">
        <f t="shared" si="29"/>
        <v/>
      </c>
      <c r="O113" t="str">
        <f t="shared" si="30"/>
        <v/>
      </c>
      <c r="P113" t="str">
        <f t="shared" si="33"/>
        <v/>
      </c>
      <c r="Q113" t="str">
        <f t="shared" si="32"/>
        <v/>
      </c>
      <c r="S113" t="str">
        <f>""</f>
        <v/>
      </c>
      <c r="AL113" s="18" t="str">
        <f>IF(COUNTIF($A$2:A112, A112) = 1, A112, "")</f>
        <v/>
      </c>
    </row>
    <row r="114" spans="6:38" x14ac:dyDescent="0.2">
      <c r="F114" t="str">
        <f t="shared" si="31"/>
        <v/>
      </c>
      <c r="L114" s="7" t="str">
        <f t="shared" si="28"/>
        <v/>
      </c>
      <c r="N114" s="7" t="str">
        <f t="shared" si="29"/>
        <v/>
      </c>
      <c r="O114" t="str">
        <f t="shared" si="30"/>
        <v/>
      </c>
      <c r="P114" t="str">
        <f t="shared" si="33"/>
        <v/>
      </c>
      <c r="Q114" t="str">
        <f t="shared" si="32"/>
        <v/>
      </c>
      <c r="S114" t="str">
        <f>""</f>
        <v/>
      </c>
      <c r="AL114" s="18" t="str">
        <f>IF(COUNTIF($A$2:A113, A113) = 1, A113, "")</f>
        <v/>
      </c>
    </row>
    <row r="115" spans="6:38" x14ac:dyDescent="0.2">
      <c r="F115" t="str">
        <f t="shared" si="31"/>
        <v/>
      </c>
      <c r="L115" s="7" t="str">
        <f t="shared" si="28"/>
        <v/>
      </c>
      <c r="N115" s="7" t="str">
        <f t="shared" si="29"/>
        <v/>
      </c>
      <c r="O115" t="str">
        <f t="shared" si="30"/>
        <v/>
      </c>
      <c r="P115" t="str">
        <f t="shared" si="33"/>
        <v/>
      </c>
      <c r="Q115" t="str">
        <f t="shared" si="32"/>
        <v/>
      </c>
      <c r="S115" t="str">
        <f>""</f>
        <v/>
      </c>
      <c r="AL115" s="18" t="str">
        <f>IF(COUNTIF($A$2:A114, A114) = 1, A114, "")</f>
        <v/>
      </c>
    </row>
    <row r="116" spans="6:38" x14ac:dyDescent="0.2">
      <c r="F116" t="str">
        <f t="shared" si="31"/>
        <v/>
      </c>
      <c r="L116" s="7" t="str">
        <f t="shared" si="28"/>
        <v/>
      </c>
      <c r="N116" s="7" t="str">
        <f t="shared" si="29"/>
        <v/>
      </c>
      <c r="O116" t="str">
        <f t="shared" si="30"/>
        <v/>
      </c>
      <c r="P116" t="str">
        <f t="shared" si="33"/>
        <v/>
      </c>
      <c r="Q116" t="str">
        <f t="shared" si="32"/>
        <v/>
      </c>
      <c r="S116" t="str">
        <f>""</f>
        <v/>
      </c>
      <c r="AL116" s="18" t="str">
        <f>IF(COUNTIF($A$2:A115, A115) = 1, A115, "")</f>
        <v/>
      </c>
    </row>
    <row r="117" spans="6:38" x14ac:dyDescent="0.2">
      <c r="F117" t="str">
        <f t="shared" si="31"/>
        <v/>
      </c>
      <c r="L117" s="7" t="str">
        <f t="shared" si="28"/>
        <v/>
      </c>
      <c r="N117" s="7" t="str">
        <f t="shared" si="29"/>
        <v/>
      </c>
      <c r="O117" t="str">
        <f t="shared" si="30"/>
        <v/>
      </c>
      <c r="P117" t="str">
        <f t="shared" si="33"/>
        <v/>
      </c>
      <c r="Q117" t="str">
        <f t="shared" si="32"/>
        <v/>
      </c>
      <c r="S117" t="str">
        <f>""</f>
        <v/>
      </c>
      <c r="AL117" s="18" t="str">
        <f>IF(COUNTIF($A$2:A116, A116) = 1, A116, "")</f>
        <v/>
      </c>
    </row>
    <row r="118" spans="6:38" x14ac:dyDescent="0.2">
      <c r="F118" t="str">
        <f t="shared" si="31"/>
        <v/>
      </c>
      <c r="L118" s="7" t="str">
        <f t="shared" si="28"/>
        <v/>
      </c>
      <c r="N118" s="7" t="str">
        <f t="shared" si="29"/>
        <v/>
      </c>
      <c r="O118" t="str">
        <f t="shared" si="30"/>
        <v/>
      </c>
      <c r="P118" t="str">
        <f t="shared" si="33"/>
        <v/>
      </c>
      <c r="Q118" t="str">
        <f t="shared" si="32"/>
        <v/>
      </c>
      <c r="S118" t="str">
        <f>""</f>
        <v/>
      </c>
      <c r="AL118" s="18" t="str">
        <f>IF(COUNTIF($A$2:A117, A117) = 1, A117, "")</f>
        <v/>
      </c>
    </row>
    <row r="119" spans="6:38" x14ac:dyDescent="0.2">
      <c r="F119" t="str">
        <f t="shared" si="31"/>
        <v/>
      </c>
      <c r="L119" s="7" t="str">
        <f t="shared" si="28"/>
        <v/>
      </c>
      <c r="N119" s="7" t="str">
        <f t="shared" si="29"/>
        <v/>
      </c>
      <c r="O119" t="str">
        <f t="shared" si="30"/>
        <v/>
      </c>
      <c r="P119" t="str">
        <f t="shared" si="33"/>
        <v/>
      </c>
      <c r="Q119" t="str">
        <f t="shared" si="32"/>
        <v/>
      </c>
      <c r="S119" t="str">
        <f>""</f>
        <v/>
      </c>
      <c r="AL119" s="18" t="str">
        <f>IF(COUNTIF($A$2:A118, A118) = 1, A118, "")</f>
        <v/>
      </c>
    </row>
    <row r="120" spans="6:38" x14ac:dyDescent="0.2">
      <c r="F120" t="str">
        <f t="shared" si="31"/>
        <v/>
      </c>
      <c r="L120" s="7" t="str">
        <f t="shared" si="28"/>
        <v/>
      </c>
      <c r="N120" s="7" t="str">
        <f t="shared" si="29"/>
        <v/>
      </c>
      <c r="O120" t="str">
        <f t="shared" si="30"/>
        <v/>
      </c>
      <c r="P120" t="str">
        <f t="shared" si="33"/>
        <v/>
      </c>
      <c r="Q120" t="str">
        <f t="shared" si="32"/>
        <v/>
      </c>
      <c r="S120" t="str">
        <f>""</f>
        <v/>
      </c>
      <c r="AL120" s="18" t="str">
        <f>IF(COUNTIF($A$2:A119, A119) = 1, A119, "")</f>
        <v/>
      </c>
    </row>
    <row r="121" spans="6:38" x14ac:dyDescent="0.2">
      <c r="F121" t="str">
        <f t="shared" si="31"/>
        <v/>
      </c>
      <c r="L121" s="7" t="str">
        <f t="shared" si="28"/>
        <v/>
      </c>
      <c r="N121" s="7" t="str">
        <f t="shared" si="29"/>
        <v/>
      </c>
      <c r="O121" t="str">
        <f t="shared" si="30"/>
        <v/>
      </c>
      <c r="P121" t="str">
        <f t="shared" si="33"/>
        <v/>
      </c>
      <c r="Q121" t="str">
        <f t="shared" si="32"/>
        <v/>
      </c>
      <c r="S121" t="str">
        <f>""</f>
        <v/>
      </c>
      <c r="AL121" s="18" t="str">
        <f>IF(COUNTIF($A$2:A120, A120) = 1, A120, "")</f>
        <v/>
      </c>
    </row>
    <row r="122" spans="6:38" x14ac:dyDescent="0.2">
      <c r="F122" t="str">
        <f t="shared" si="31"/>
        <v/>
      </c>
      <c r="L122" s="7" t="str">
        <f t="shared" si="28"/>
        <v/>
      </c>
      <c r="N122" s="7" t="str">
        <f t="shared" si="29"/>
        <v/>
      </c>
      <c r="O122" t="str">
        <f t="shared" si="30"/>
        <v/>
      </c>
      <c r="P122" t="str">
        <f t="shared" si="33"/>
        <v/>
      </c>
      <c r="Q122" t="str">
        <f t="shared" si="32"/>
        <v/>
      </c>
      <c r="S122" t="str">
        <f>""</f>
        <v/>
      </c>
      <c r="AL122" s="18" t="str">
        <f>IF(COUNTIF($A$2:A121, A121) = 1, A121, "")</f>
        <v/>
      </c>
    </row>
    <row r="123" spans="6:38" x14ac:dyDescent="0.2">
      <c r="F123" t="str">
        <f t="shared" si="31"/>
        <v/>
      </c>
      <c r="L123" s="7" t="str">
        <f t="shared" si="28"/>
        <v/>
      </c>
      <c r="N123" s="7" t="str">
        <f t="shared" si="29"/>
        <v/>
      </c>
      <c r="O123" t="str">
        <f t="shared" si="30"/>
        <v/>
      </c>
      <c r="P123" t="str">
        <f t="shared" si="33"/>
        <v/>
      </c>
      <c r="Q123" t="str">
        <f t="shared" si="32"/>
        <v/>
      </c>
      <c r="S123" t="str">
        <f>""</f>
        <v/>
      </c>
      <c r="AL123" s="18" t="str">
        <f>IF(COUNTIF($A$2:A122, A122) = 1, A122, "")</f>
        <v/>
      </c>
    </row>
    <row r="124" spans="6:38" x14ac:dyDescent="0.2">
      <c r="F124" t="str">
        <f t="shared" si="31"/>
        <v/>
      </c>
      <c r="L124" s="7" t="str">
        <f t="shared" si="28"/>
        <v/>
      </c>
      <c r="N124" s="7" t="str">
        <f t="shared" si="29"/>
        <v/>
      </c>
      <c r="O124" t="str">
        <f t="shared" si="30"/>
        <v/>
      </c>
      <c r="P124" t="str">
        <f t="shared" si="33"/>
        <v/>
      </c>
      <c r="Q124" t="str">
        <f t="shared" si="32"/>
        <v/>
      </c>
      <c r="S124" t="str">
        <f>""</f>
        <v/>
      </c>
      <c r="AL124" s="18" t="str">
        <f>IF(COUNTIF($A$2:A123, A123) = 1, A123, "")</f>
        <v/>
      </c>
    </row>
    <row r="125" spans="6:38" x14ac:dyDescent="0.2">
      <c r="F125" t="str">
        <f t="shared" si="31"/>
        <v/>
      </c>
      <c r="L125" s="7" t="str">
        <f t="shared" ref="L125:L143" si="34">IF(LEN(E125)=0, "", IFERROR(IF(E125&gt;=0, K125 * (1 + E125/100) - K125, K125 / (ABS(E125)/100))+K125, ""))</f>
        <v/>
      </c>
      <c r="N125" s="7" t="str">
        <f t="shared" ref="N125:N143" si="35">IF(M125="Yes",L125-K125,IF(M125="No",-K125,""))</f>
        <v/>
      </c>
      <c r="O125" t="str">
        <f t="shared" ref="O125:O143" si="36">IF(AND(G125="No",H125="No"), "None", "")</f>
        <v/>
      </c>
      <c r="P125" t="str">
        <f t="shared" si="33"/>
        <v/>
      </c>
      <c r="Q125" t="str">
        <f t="shared" si="32"/>
        <v/>
      </c>
      <c r="S125" t="str">
        <f>""</f>
        <v/>
      </c>
      <c r="AL125" s="18" t="str">
        <f>IF(COUNTIF($A$2:A124, A124) = 1, A124, "")</f>
        <v/>
      </c>
    </row>
    <row r="126" spans="6:38" x14ac:dyDescent="0.2">
      <c r="F126" t="str">
        <f t="shared" ref="F126:F143" si="37">IF(OR(O126="", P126=""), "", SUM(IF((O126&lt;&gt;"None")*(O126&lt;&gt;""),LEN(O126)-LEN(SUBSTITUTE(O126,",",""))+1,0)) + SUM(IF((P126&lt;&gt;"None")*(P126&lt;&gt;""),LEN(P126)-LEN(SUBSTITUTE(P126,",",""))+1,0)))</f>
        <v/>
      </c>
      <c r="L126" s="7" t="str">
        <f t="shared" si="34"/>
        <v/>
      </c>
      <c r="N126" s="7" t="str">
        <f t="shared" si="35"/>
        <v/>
      </c>
      <c r="O126" t="str">
        <f t="shared" si="36"/>
        <v/>
      </c>
      <c r="P126" t="str">
        <f t="shared" si="33"/>
        <v/>
      </c>
      <c r="Q126" t="str">
        <f t="shared" ref="Q126:Q143" si="38">IF(AND(D126="Straight", M126 = "No"),IF(O126="None",P126,IF(P126="None",O126) ),"")</f>
        <v/>
      </c>
      <c r="S126" t="str">
        <f>""</f>
        <v/>
      </c>
      <c r="AL126" s="18" t="str">
        <f>IF(COUNTIF($A$2:A125, A125) = 1, A125, "")</f>
        <v/>
      </c>
    </row>
    <row r="127" spans="6:38" x14ac:dyDescent="0.2">
      <c r="F127" t="str">
        <f t="shared" si="37"/>
        <v/>
      </c>
      <c r="L127" s="7" t="str">
        <f t="shared" si="34"/>
        <v/>
      </c>
      <c r="N127" s="7" t="str">
        <f t="shared" si="35"/>
        <v/>
      </c>
      <c r="O127" t="str">
        <f t="shared" si="36"/>
        <v/>
      </c>
      <c r="P127" t="str">
        <f t="shared" si="33"/>
        <v/>
      </c>
      <c r="Q127" t="str">
        <f t="shared" si="38"/>
        <v/>
      </c>
      <c r="S127" t="str">
        <f>""</f>
        <v/>
      </c>
      <c r="AL127" s="18" t="str">
        <f>IF(COUNTIF($A$2:A126, A126) = 1, A126, "")</f>
        <v/>
      </c>
    </row>
    <row r="128" spans="6:38" x14ac:dyDescent="0.2">
      <c r="F128" t="str">
        <f t="shared" si="37"/>
        <v/>
      </c>
      <c r="L128" s="7" t="str">
        <f t="shared" si="34"/>
        <v/>
      </c>
      <c r="N128" s="7" t="str">
        <f t="shared" si="35"/>
        <v/>
      </c>
      <c r="O128" t="str">
        <f t="shared" si="36"/>
        <v/>
      </c>
      <c r="P128" t="str">
        <f t="shared" si="33"/>
        <v/>
      </c>
      <c r="Q128" t="str">
        <f t="shared" si="38"/>
        <v/>
      </c>
      <c r="S128" t="str">
        <f>""</f>
        <v/>
      </c>
      <c r="AL128" s="18" t="str">
        <f>IF(COUNTIF($A$2:A127, A127) = 1, A127, "")</f>
        <v/>
      </c>
    </row>
    <row r="129" spans="6:38" x14ac:dyDescent="0.2">
      <c r="F129" t="str">
        <f t="shared" si="37"/>
        <v/>
      </c>
      <c r="L129" s="7" t="str">
        <f t="shared" si="34"/>
        <v/>
      </c>
      <c r="N129" s="7" t="str">
        <f t="shared" si="35"/>
        <v/>
      </c>
      <c r="O129" t="str">
        <f t="shared" si="36"/>
        <v/>
      </c>
      <c r="P129" t="str">
        <f t="shared" si="33"/>
        <v/>
      </c>
      <c r="Q129" t="str">
        <f t="shared" si="38"/>
        <v/>
      </c>
      <c r="S129" t="str">
        <f>""</f>
        <v/>
      </c>
      <c r="AL129" s="18" t="str">
        <f>IF(COUNTIF($A$2:A128, A128) = 1, A128, "")</f>
        <v/>
      </c>
    </row>
    <row r="130" spans="6:38" x14ac:dyDescent="0.2">
      <c r="F130" t="str">
        <f t="shared" si="37"/>
        <v/>
      </c>
      <c r="L130" s="7" t="str">
        <f t="shared" si="34"/>
        <v/>
      </c>
      <c r="N130" s="7" t="str">
        <f t="shared" si="35"/>
        <v/>
      </c>
      <c r="O130" t="str">
        <f t="shared" si="36"/>
        <v/>
      </c>
      <c r="P130" t="str">
        <f t="shared" si="33"/>
        <v/>
      </c>
      <c r="Q130" t="str">
        <f t="shared" si="38"/>
        <v/>
      </c>
      <c r="S130" t="str">
        <f>""</f>
        <v/>
      </c>
      <c r="AL130" s="18" t="str">
        <f>IF(COUNTIF($A$2:A129, A129) = 1, A129, "")</f>
        <v/>
      </c>
    </row>
    <row r="131" spans="6:38" x14ac:dyDescent="0.2">
      <c r="F131" t="str">
        <f t="shared" si="37"/>
        <v/>
      </c>
      <c r="L131" s="7" t="str">
        <f t="shared" si="34"/>
        <v/>
      </c>
      <c r="N131" s="7" t="str">
        <f t="shared" si="35"/>
        <v/>
      </c>
      <c r="O131" t="str">
        <f t="shared" si="36"/>
        <v/>
      </c>
      <c r="P131" t="str">
        <f t="shared" si="33"/>
        <v/>
      </c>
      <c r="Q131" t="str">
        <f t="shared" si="38"/>
        <v/>
      </c>
      <c r="S131" t="str">
        <f>""</f>
        <v/>
      </c>
      <c r="AL131" s="18" t="str">
        <f>IF(COUNTIF($A$2:A130, A130) = 1, A130, "")</f>
        <v/>
      </c>
    </row>
    <row r="132" spans="6:38" x14ac:dyDescent="0.2">
      <c r="F132" t="str">
        <f t="shared" si="37"/>
        <v/>
      </c>
      <c r="L132" s="7" t="str">
        <f t="shared" si="34"/>
        <v/>
      </c>
      <c r="N132" s="7" t="str">
        <f t="shared" si="35"/>
        <v/>
      </c>
      <c r="O132" t="str">
        <f t="shared" si="36"/>
        <v/>
      </c>
      <c r="P132" t="str">
        <f t="shared" si="33"/>
        <v/>
      </c>
      <c r="Q132" t="str">
        <f t="shared" si="38"/>
        <v/>
      </c>
      <c r="S132" t="str">
        <f>""</f>
        <v/>
      </c>
      <c r="AL132" s="18" t="str">
        <f>IF(COUNTIF($A$2:A131, A131) = 1, A131, "")</f>
        <v/>
      </c>
    </row>
    <row r="133" spans="6:38" x14ac:dyDescent="0.2">
      <c r="F133" t="str">
        <f t="shared" si="37"/>
        <v/>
      </c>
      <c r="L133" s="7" t="str">
        <f t="shared" si="34"/>
        <v/>
      </c>
      <c r="N133" s="7" t="str">
        <f t="shared" si="35"/>
        <v/>
      </c>
      <c r="O133" t="str">
        <f t="shared" si="36"/>
        <v/>
      </c>
      <c r="P133" t="str">
        <f t="shared" si="33"/>
        <v/>
      </c>
      <c r="Q133" t="str">
        <f t="shared" si="38"/>
        <v/>
      </c>
      <c r="S133" t="str">
        <f>""</f>
        <v/>
      </c>
      <c r="AL133" s="18" t="str">
        <f>IF(COUNTIF($A$2:A132, A132) = 1, A132, "")</f>
        <v/>
      </c>
    </row>
    <row r="134" spans="6:38" x14ac:dyDescent="0.2">
      <c r="F134" t="str">
        <f t="shared" si="37"/>
        <v/>
      </c>
      <c r="L134" s="7" t="str">
        <f t="shared" si="34"/>
        <v/>
      </c>
      <c r="N134" s="7" t="str">
        <f t="shared" si="35"/>
        <v/>
      </c>
      <c r="O134" t="str">
        <f t="shared" si="36"/>
        <v/>
      </c>
      <c r="P134" t="str">
        <f t="shared" si="33"/>
        <v/>
      </c>
      <c r="Q134" t="str">
        <f t="shared" si="38"/>
        <v/>
      </c>
      <c r="S134" t="str">
        <f>""</f>
        <v/>
      </c>
      <c r="AL134" s="18" t="str">
        <f>IF(COUNTIF($A$2:A133, A133) = 1, A133, "")</f>
        <v/>
      </c>
    </row>
    <row r="135" spans="6:38" x14ac:dyDescent="0.2">
      <c r="F135" t="str">
        <f t="shared" si="37"/>
        <v/>
      </c>
      <c r="L135" s="7" t="str">
        <f t="shared" si="34"/>
        <v/>
      </c>
      <c r="N135" s="7" t="str">
        <f t="shared" si="35"/>
        <v/>
      </c>
      <c r="O135" t="str">
        <f t="shared" si="36"/>
        <v/>
      </c>
      <c r="P135" t="str">
        <f t="shared" si="33"/>
        <v/>
      </c>
      <c r="Q135" t="str">
        <f t="shared" si="38"/>
        <v/>
      </c>
      <c r="S135" t="str">
        <f>""</f>
        <v/>
      </c>
      <c r="AL135" s="18" t="str">
        <f>IF(COUNTIF($A$2:A134, A134) = 1, A134, "")</f>
        <v/>
      </c>
    </row>
    <row r="136" spans="6:38" x14ac:dyDescent="0.2">
      <c r="F136" t="str">
        <f t="shared" si="37"/>
        <v/>
      </c>
      <c r="L136" s="7" t="str">
        <f t="shared" si="34"/>
        <v/>
      </c>
      <c r="N136" s="7" t="str">
        <f t="shared" si="35"/>
        <v/>
      </c>
      <c r="O136" t="str">
        <f t="shared" si="36"/>
        <v/>
      </c>
      <c r="P136" t="str">
        <f t="shared" si="33"/>
        <v/>
      </c>
      <c r="Q136" t="str">
        <f t="shared" si="38"/>
        <v/>
      </c>
      <c r="S136" t="str">
        <f>""</f>
        <v/>
      </c>
      <c r="AL136" s="18" t="str">
        <f>IF(COUNTIF($A$2:A135, A135) = 1, A135, "")</f>
        <v/>
      </c>
    </row>
    <row r="137" spans="6:38" x14ac:dyDescent="0.2">
      <c r="F137" t="str">
        <f t="shared" si="37"/>
        <v/>
      </c>
      <c r="L137" s="7" t="str">
        <f t="shared" si="34"/>
        <v/>
      </c>
      <c r="N137" s="7" t="str">
        <f t="shared" si="35"/>
        <v/>
      </c>
      <c r="O137" t="str">
        <f t="shared" si="36"/>
        <v/>
      </c>
      <c r="P137" t="str">
        <f t="shared" si="33"/>
        <v/>
      </c>
      <c r="Q137" t="str">
        <f t="shared" si="38"/>
        <v/>
      </c>
      <c r="S137" t="str">
        <f>""</f>
        <v/>
      </c>
      <c r="AL137" s="18" t="str">
        <f>IF(COUNTIF($A$2:A136, A136) = 1, A136, "")</f>
        <v/>
      </c>
    </row>
    <row r="138" spans="6:38" x14ac:dyDescent="0.2">
      <c r="F138" t="str">
        <f t="shared" si="37"/>
        <v/>
      </c>
      <c r="L138" s="7" t="str">
        <f t="shared" si="34"/>
        <v/>
      </c>
      <c r="N138" s="7" t="str">
        <f t="shared" si="35"/>
        <v/>
      </c>
      <c r="O138" t="str">
        <f t="shared" si="36"/>
        <v/>
      </c>
      <c r="P138" t="str">
        <f t="shared" si="33"/>
        <v/>
      </c>
      <c r="Q138" t="str">
        <f t="shared" si="38"/>
        <v/>
      </c>
      <c r="S138" t="str">
        <f>""</f>
        <v/>
      </c>
      <c r="AL138" s="18" t="str">
        <f>IF(COUNTIF($A$2:A137, A137) = 1, A137, "")</f>
        <v/>
      </c>
    </row>
    <row r="139" spans="6:38" x14ac:dyDescent="0.2">
      <c r="F139" t="str">
        <f t="shared" si="37"/>
        <v/>
      </c>
      <c r="L139" s="7" t="str">
        <f t="shared" si="34"/>
        <v/>
      </c>
      <c r="N139" s="7" t="str">
        <f t="shared" si="35"/>
        <v/>
      </c>
      <c r="O139" t="str">
        <f t="shared" si="36"/>
        <v/>
      </c>
      <c r="P139" t="str">
        <f t="shared" si="33"/>
        <v/>
      </c>
      <c r="Q139" t="str">
        <f t="shared" si="38"/>
        <v/>
      </c>
      <c r="S139" t="str">
        <f>""</f>
        <v/>
      </c>
      <c r="AL139" s="18" t="str">
        <f>IF(COUNTIF($A$2:A138, A138) = 1, A138, "")</f>
        <v/>
      </c>
    </row>
    <row r="140" spans="6:38" x14ac:dyDescent="0.2">
      <c r="F140" t="str">
        <f t="shared" si="37"/>
        <v/>
      </c>
      <c r="L140" s="7" t="str">
        <f t="shared" si="34"/>
        <v/>
      </c>
      <c r="N140" s="7" t="str">
        <f t="shared" si="35"/>
        <v/>
      </c>
      <c r="O140" t="str">
        <f t="shared" si="36"/>
        <v/>
      </c>
      <c r="P140" t="str">
        <f t="shared" si="33"/>
        <v/>
      </c>
      <c r="Q140" t="str">
        <f t="shared" si="38"/>
        <v/>
      </c>
      <c r="S140" t="str">
        <f>""</f>
        <v/>
      </c>
      <c r="AL140" s="18" t="str">
        <f>IF(COUNTIF($A$2:A139, A139) = 1, A139, "")</f>
        <v/>
      </c>
    </row>
    <row r="141" spans="6:38" x14ac:dyDescent="0.2">
      <c r="F141" t="str">
        <f t="shared" si="37"/>
        <v/>
      </c>
      <c r="L141" s="7" t="str">
        <f t="shared" si="34"/>
        <v/>
      </c>
      <c r="N141" s="7" t="str">
        <f t="shared" si="35"/>
        <v/>
      </c>
      <c r="O141" t="str">
        <f t="shared" si="36"/>
        <v/>
      </c>
      <c r="P141" t="str">
        <f t="shared" si="33"/>
        <v/>
      </c>
      <c r="Q141" t="str">
        <f t="shared" si="38"/>
        <v/>
      </c>
      <c r="S141" t="str">
        <f>""</f>
        <v/>
      </c>
      <c r="AL141" s="18" t="str">
        <f>IF(COUNTIF($A$2:A140, A140) = 1, A140, "")</f>
        <v/>
      </c>
    </row>
    <row r="142" spans="6:38" x14ac:dyDescent="0.2">
      <c r="F142" t="str">
        <f t="shared" si="37"/>
        <v/>
      </c>
      <c r="L142" s="7" t="str">
        <f t="shared" si="34"/>
        <v/>
      </c>
      <c r="N142" s="7" t="str">
        <f t="shared" si="35"/>
        <v/>
      </c>
      <c r="O142" t="str">
        <f t="shared" si="36"/>
        <v/>
      </c>
      <c r="P142" t="str">
        <f t="shared" ref="P142:P143" si="39">IF(I142="No", "None", "")</f>
        <v/>
      </c>
      <c r="Q142" t="str">
        <f t="shared" si="38"/>
        <v/>
      </c>
      <c r="S142" t="str">
        <f>""</f>
        <v/>
      </c>
      <c r="AL142" s="18" t="str">
        <f>IF(COUNTIF($A$2:A141, A141) = 1, A141, "")</f>
        <v/>
      </c>
    </row>
    <row r="143" spans="6:38" x14ac:dyDescent="0.2">
      <c r="F143" t="str">
        <f t="shared" si="37"/>
        <v/>
      </c>
      <c r="L143" s="7" t="str">
        <f t="shared" si="34"/>
        <v/>
      </c>
      <c r="N143" s="7" t="str">
        <f t="shared" si="35"/>
        <v/>
      </c>
      <c r="O143" t="str">
        <f t="shared" si="36"/>
        <v/>
      </c>
      <c r="P143" t="str">
        <f t="shared" si="39"/>
        <v/>
      </c>
      <c r="Q143" t="str">
        <f t="shared" si="38"/>
        <v/>
      </c>
      <c r="S143" t="str">
        <f>""</f>
        <v/>
      </c>
      <c r="AL143" s="18" t="str">
        <f>IF(COUNTIF($A$2:A142, A142) = 1, A142, "")</f>
        <v/>
      </c>
    </row>
    <row r="144" spans="6:38" x14ac:dyDescent="0.2">
      <c r="F144" t="str">
        <f t="shared" ref="F144:F207" si="40">IF(OR(O144="", P144=""), "", SUM(IF((O144&lt;&gt;"None")*(O144&lt;&gt;""),LEN(O144)-LEN(SUBSTITUTE(O144,",",""))+1,0)) + SUM(IF((P144&lt;&gt;"None")*(P144&lt;&gt;""),LEN(P144)-LEN(SUBSTITUTE(P144,",",""))+1,0)))</f>
        <v/>
      </c>
      <c r="L144" s="7" t="str">
        <f t="shared" ref="L144:L207" si="41">IF(LEN(E144)=0, "", IFERROR(IF(E144&gt;=0, K144 * (1 + E144/100) - K144, K144 / (ABS(E144)/100))+K144, ""))</f>
        <v/>
      </c>
      <c r="N144" s="7" t="str">
        <f t="shared" ref="N144:N207" si="42">IF(M144="Yes",L144-K144,IF(M144="No",-K144,""))</f>
        <v/>
      </c>
      <c r="O144" t="str">
        <f t="shared" ref="O144:O207" si="43">IF(AND(G144="No",H144="No"), "None", "")</f>
        <v/>
      </c>
      <c r="P144" t="str">
        <f t="shared" ref="P144:P207" si="44">IF(I144="No", "None", "")</f>
        <v/>
      </c>
      <c r="Q144" t="str">
        <f t="shared" ref="Q144:Q207" si="45">IF(AND(D144="Straight", M144 = "No"),IF(O144="None",P144,IF(P144="None",O144) ),"")</f>
        <v/>
      </c>
      <c r="S144" t="str">
        <f>""</f>
        <v/>
      </c>
      <c r="AL144" s="18" t="str">
        <f>IF(COUNTIF($A$2:A143, A143) = 1, A143, "")</f>
        <v/>
      </c>
    </row>
    <row r="145" spans="6:38" x14ac:dyDescent="0.2">
      <c r="F145" t="str">
        <f t="shared" si="40"/>
        <v/>
      </c>
      <c r="L145" s="7" t="str">
        <f t="shared" si="41"/>
        <v/>
      </c>
      <c r="N145" s="7" t="str">
        <f t="shared" si="42"/>
        <v/>
      </c>
      <c r="O145" t="str">
        <f t="shared" si="43"/>
        <v/>
      </c>
      <c r="P145" t="str">
        <f t="shared" si="44"/>
        <v/>
      </c>
      <c r="Q145" t="str">
        <f t="shared" si="45"/>
        <v/>
      </c>
      <c r="S145" t="str">
        <f>""</f>
        <v/>
      </c>
      <c r="AL145" s="18" t="str">
        <f>IF(COUNTIF($A$2:A144, A144) = 1, A144, "")</f>
        <v/>
      </c>
    </row>
    <row r="146" spans="6:38" x14ac:dyDescent="0.2">
      <c r="F146" t="str">
        <f t="shared" si="40"/>
        <v/>
      </c>
      <c r="L146" s="7" t="str">
        <f t="shared" si="41"/>
        <v/>
      </c>
      <c r="N146" s="7" t="str">
        <f t="shared" si="42"/>
        <v/>
      </c>
      <c r="O146" t="str">
        <f t="shared" si="43"/>
        <v/>
      </c>
      <c r="P146" t="str">
        <f t="shared" si="44"/>
        <v/>
      </c>
      <c r="Q146" t="str">
        <f t="shared" si="45"/>
        <v/>
      </c>
      <c r="S146" t="str">
        <f>""</f>
        <v/>
      </c>
      <c r="AL146" s="18" t="str">
        <f>IF(COUNTIF($A$2:A145, A145) = 1, A145, "")</f>
        <v/>
      </c>
    </row>
    <row r="147" spans="6:38" x14ac:dyDescent="0.2">
      <c r="F147" t="str">
        <f t="shared" si="40"/>
        <v/>
      </c>
      <c r="L147" s="7" t="str">
        <f t="shared" si="41"/>
        <v/>
      </c>
      <c r="N147" s="7" t="str">
        <f t="shared" si="42"/>
        <v/>
      </c>
      <c r="O147" t="str">
        <f t="shared" si="43"/>
        <v/>
      </c>
      <c r="P147" t="str">
        <f t="shared" si="44"/>
        <v/>
      </c>
      <c r="Q147" t="str">
        <f t="shared" si="45"/>
        <v/>
      </c>
      <c r="S147" t="str">
        <f>""</f>
        <v/>
      </c>
      <c r="AL147" s="18" t="str">
        <f>IF(COUNTIF($A$2:A146, A146) = 1, A146, "")</f>
        <v/>
      </c>
    </row>
    <row r="148" spans="6:38" x14ac:dyDescent="0.2">
      <c r="F148" t="str">
        <f t="shared" si="40"/>
        <v/>
      </c>
      <c r="L148" s="7" t="str">
        <f t="shared" si="41"/>
        <v/>
      </c>
      <c r="N148" s="7" t="str">
        <f t="shared" si="42"/>
        <v/>
      </c>
      <c r="O148" t="str">
        <f t="shared" si="43"/>
        <v/>
      </c>
      <c r="P148" t="str">
        <f t="shared" si="44"/>
        <v/>
      </c>
      <c r="Q148" t="str">
        <f t="shared" si="45"/>
        <v/>
      </c>
      <c r="S148" t="str">
        <f>""</f>
        <v/>
      </c>
      <c r="AL148" s="18" t="str">
        <f>IF(COUNTIF($A$2:A147, A147) = 1, A147, "")</f>
        <v/>
      </c>
    </row>
    <row r="149" spans="6:38" x14ac:dyDescent="0.2">
      <c r="F149" t="str">
        <f t="shared" si="40"/>
        <v/>
      </c>
      <c r="L149" s="7" t="str">
        <f t="shared" si="41"/>
        <v/>
      </c>
      <c r="N149" s="7" t="str">
        <f t="shared" si="42"/>
        <v/>
      </c>
      <c r="O149" t="str">
        <f t="shared" si="43"/>
        <v/>
      </c>
      <c r="P149" t="str">
        <f t="shared" si="44"/>
        <v/>
      </c>
      <c r="Q149" t="str">
        <f t="shared" si="45"/>
        <v/>
      </c>
      <c r="S149" t="str">
        <f>""</f>
        <v/>
      </c>
      <c r="AL149" s="18" t="str">
        <f>IF(COUNTIF($A$2:A148, A148) = 1, A148, "")</f>
        <v/>
      </c>
    </row>
    <row r="150" spans="6:38" x14ac:dyDescent="0.2">
      <c r="F150" t="str">
        <f t="shared" si="40"/>
        <v/>
      </c>
      <c r="L150" s="7" t="str">
        <f t="shared" si="41"/>
        <v/>
      </c>
      <c r="N150" s="7" t="str">
        <f t="shared" si="42"/>
        <v/>
      </c>
      <c r="O150" t="str">
        <f t="shared" si="43"/>
        <v/>
      </c>
      <c r="P150" t="str">
        <f t="shared" si="44"/>
        <v/>
      </c>
      <c r="Q150" t="str">
        <f t="shared" si="45"/>
        <v/>
      </c>
      <c r="S150" t="str">
        <f>""</f>
        <v/>
      </c>
      <c r="AL150" s="18" t="str">
        <f>IF(COUNTIF($A$2:A149, A149) = 1, A149, "")</f>
        <v/>
      </c>
    </row>
    <row r="151" spans="6:38" x14ac:dyDescent="0.2">
      <c r="F151" t="str">
        <f t="shared" si="40"/>
        <v/>
      </c>
      <c r="L151" s="7" t="str">
        <f t="shared" si="41"/>
        <v/>
      </c>
      <c r="N151" s="7" t="str">
        <f t="shared" si="42"/>
        <v/>
      </c>
      <c r="O151" t="str">
        <f t="shared" si="43"/>
        <v/>
      </c>
      <c r="P151" t="str">
        <f t="shared" si="44"/>
        <v/>
      </c>
      <c r="Q151" t="str">
        <f t="shared" si="45"/>
        <v/>
      </c>
      <c r="S151" t="str">
        <f>""</f>
        <v/>
      </c>
      <c r="AL151" s="18" t="str">
        <f>IF(COUNTIF($A$2:A150, A150) = 1, A150, "")</f>
        <v/>
      </c>
    </row>
    <row r="152" spans="6:38" x14ac:dyDescent="0.2">
      <c r="F152" t="str">
        <f t="shared" si="40"/>
        <v/>
      </c>
      <c r="L152" s="7" t="str">
        <f t="shared" si="41"/>
        <v/>
      </c>
      <c r="N152" s="7" t="str">
        <f t="shared" si="42"/>
        <v/>
      </c>
      <c r="O152" t="str">
        <f t="shared" si="43"/>
        <v/>
      </c>
      <c r="P152" t="str">
        <f t="shared" si="44"/>
        <v/>
      </c>
      <c r="Q152" t="str">
        <f t="shared" si="45"/>
        <v/>
      </c>
      <c r="S152" t="str">
        <f>""</f>
        <v/>
      </c>
      <c r="AL152" s="18" t="str">
        <f>IF(COUNTIF($A$2:A151, A151) = 1, A151, "")</f>
        <v/>
      </c>
    </row>
    <row r="153" spans="6:38" x14ac:dyDescent="0.2">
      <c r="F153" t="str">
        <f t="shared" si="40"/>
        <v/>
      </c>
      <c r="L153" s="7" t="str">
        <f t="shared" si="41"/>
        <v/>
      </c>
      <c r="N153" s="7" t="str">
        <f t="shared" si="42"/>
        <v/>
      </c>
      <c r="O153" t="str">
        <f t="shared" si="43"/>
        <v/>
      </c>
      <c r="P153" t="str">
        <f t="shared" si="44"/>
        <v/>
      </c>
      <c r="Q153" t="str">
        <f t="shared" si="45"/>
        <v/>
      </c>
      <c r="S153" t="str">
        <f>""</f>
        <v/>
      </c>
      <c r="AL153" s="18" t="str">
        <f>IF(COUNTIF($A$2:A152, A152) = 1, A152, "")</f>
        <v/>
      </c>
    </row>
    <row r="154" spans="6:38" x14ac:dyDescent="0.2">
      <c r="F154" t="str">
        <f t="shared" si="40"/>
        <v/>
      </c>
      <c r="L154" s="7" t="str">
        <f t="shared" si="41"/>
        <v/>
      </c>
      <c r="N154" s="7" t="str">
        <f t="shared" si="42"/>
        <v/>
      </c>
      <c r="O154" t="str">
        <f t="shared" si="43"/>
        <v/>
      </c>
      <c r="P154" t="str">
        <f t="shared" si="44"/>
        <v/>
      </c>
      <c r="Q154" t="str">
        <f t="shared" si="45"/>
        <v/>
      </c>
      <c r="S154" t="str">
        <f>""</f>
        <v/>
      </c>
      <c r="AL154" s="18" t="str">
        <f>IF(COUNTIF($A$2:A153, A153) = 1, A153, "")</f>
        <v/>
      </c>
    </row>
    <row r="155" spans="6:38" x14ac:dyDescent="0.2">
      <c r="F155" t="str">
        <f t="shared" si="40"/>
        <v/>
      </c>
      <c r="L155" s="7" t="str">
        <f t="shared" si="41"/>
        <v/>
      </c>
      <c r="N155" s="7" t="str">
        <f t="shared" si="42"/>
        <v/>
      </c>
      <c r="O155" t="str">
        <f t="shared" si="43"/>
        <v/>
      </c>
      <c r="P155" t="str">
        <f t="shared" si="44"/>
        <v/>
      </c>
      <c r="Q155" t="str">
        <f t="shared" si="45"/>
        <v/>
      </c>
      <c r="S155" t="str">
        <f>""</f>
        <v/>
      </c>
      <c r="AL155" s="18" t="str">
        <f>IF(COUNTIF($A$2:A154, A154) = 1, A154, "")</f>
        <v/>
      </c>
    </row>
    <row r="156" spans="6:38" x14ac:dyDescent="0.2">
      <c r="F156" t="str">
        <f t="shared" si="40"/>
        <v/>
      </c>
      <c r="L156" s="7" t="str">
        <f t="shared" si="41"/>
        <v/>
      </c>
      <c r="N156" s="7" t="str">
        <f t="shared" si="42"/>
        <v/>
      </c>
      <c r="O156" t="str">
        <f t="shared" si="43"/>
        <v/>
      </c>
      <c r="P156" t="str">
        <f t="shared" si="44"/>
        <v/>
      </c>
      <c r="Q156" t="str">
        <f t="shared" si="45"/>
        <v/>
      </c>
      <c r="S156" t="str">
        <f>""</f>
        <v/>
      </c>
      <c r="AL156" s="18" t="str">
        <f>IF(COUNTIF($A$2:A155, A155) = 1, A155, "")</f>
        <v/>
      </c>
    </row>
    <row r="157" spans="6:38" x14ac:dyDescent="0.2">
      <c r="F157" t="str">
        <f t="shared" si="40"/>
        <v/>
      </c>
      <c r="L157" s="7" t="str">
        <f t="shared" si="41"/>
        <v/>
      </c>
      <c r="N157" s="7" t="str">
        <f t="shared" si="42"/>
        <v/>
      </c>
      <c r="O157" t="str">
        <f t="shared" si="43"/>
        <v/>
      </c>
      <c r="P157" t="str">
        <f t="shared" si="44"/>
        <v/>
      </c>
      <c r="Q157" t="str">
        <f t="shared" si="45"/>
        <v/>
      </c>
      <c r="S157" t="str">
        <f>""</f>
        <v/>
      </c>
      <c r="AL157" s="18" t="str">
        <f>IF(COUNTIF($A$2:A156, A156) = 1, A156, "")</f>
        <v/>
      </c>
    </row>
    <row r="158" spans="6:38" x14ac:dyDescent="0.2">
      <c r="F158" t="str">
        <f t="shared" si="40"/>
        <v/>
      </c>
      <c r="L158" s="7" t="str">
        <f t="shared" si="41"/>
        <v/>
      </c>
      <c r="N158" s="7" t="str">
        <f t="shared" si="42"/>
        <v/>
      </c>
      <c r="O158" t="str">
        <f t="shared" si="43"/>
        <v/>
      </c>
      <c r="P158" t="str">
        <f t="shared" si="44"/>
        <v/>
      </c>
      <c r="Q158" t="str">
        <f t="shared" si="45"/>
        <v/>
      </c>
      <c r="S158" t="str">
        <f>""</f>
        <v/>
      </c>
      <c r="AL158" s="18" t="str">
        <f>IF(COUNTIF($A$2:A157, A157) = 1, A157, "")</f>
        <v/>
      </c>
    </row>
    <row r="159" spans="6:38" x14ac:dyDescent="0.2">
      <c r="F159" t="str">
        <f t="shared" si="40"/>
        <v/>
      </c>
      <c r="L159" s="7" t="str">
        <f t="shared" si="41"/>
        <v/>
      </c>
      <c r="N159" s="7" t="str">
        <f t="shared" si="42"/>
        <v/>
      </c>
      <c r="O159" t="str">
        <f t="shared" si="43"/>
        <v/>
      </c>
      <c r="P159" t="str">
        <f t="shared" si="44"/>
        <v/>
      </c>
      <c r="Q159" t="str">
        <f t="shared" si="45"/>
        <v/>
      </c>
      <c r="S159" t="str">
        <f>""</f>
        <v/>
      </c>
      <c r="AL159" s="18" t="str">
        <f>IF(COUNTIF($A$2:A158, A158) = 1, A158, "")</f>
        <v/>
      </c>
    </row>
    <row r="160" spans="6:38" x14ac:dyDescent="0.2">
      <c r="F160" t="str">
        <f t="shared" si="40"/>
        <v/>
      </c>
      <c r="L160" s="7" t="str">
        <f t="shared" si="41"/>
        <v/>
      </c>
      <c r="N160" s="7" t="str">
        <f t="shared" si="42"/>
        <v/>
      </c>
      <c r="O160" t="str">
        <f t="shared" si="43"/>
        <v/>
      </c>
      <c r="P160" t="str">
        <f t="shared" si="44"/>
        <v/>
      </c>
      <c r="Q160" t="str">
        <f t="shared" si="45"/>
        <v/>
      </c>
      <c r="S160" t="str">
        <f>""</f>
        <v/>
      </c>
      <c r="AL160" s="18" t="str">
        <f>IF(COUNTIF($A$2:A159, A159) = 1, A159, "")</f>
        <v/>
      </c>
    </row>
    <row r="161" spans="6:38" x14ac:dyDescent="0.2">
      <c r="F161" t="str">
        <f t="shared" si="40"/>
        <v/>
      </c>
      <c r="L161" s="7" t="str">
        <f t="shared" si="41"/>
        <v/>
      </c>
      <c r="N161" s="7" t="str">
        <f t="shared" si="42"/>
        <v/>
      </c>
      <c r="O161" t="str">
        <f t="shared" si="43"/>
        <v/>
      </c>
      <c r="P161" t="str">
        <f t="shared" si="44"/>
        <v/>
      </c>
      <c r="Q161" t="str">
        <f t="shared" si="45"/>
        <v/>
      </c>
      <c r="S161" t="str">
        <f>""</f>
        <v/>
      </c>
      <c r="AL161" s="18" t="str">
        <f>IF(COUNTIF($A$2:A160, A160) = 1, A160, "")</f>
        <v/>
      </c>
    </row>
    <row r="162" spans="6:38" x14ac:dyDescent="0.2">
      <c r="F162" t="str">
        <f t="shared" si="40"/>
        <v/>
      </c>
      <c r="L162" s="7" t="str">
        <f t="shared" si="41"/>
        <v/>
      </c>
      <c r="N162" s="7" t="str">
        <f t="shared" si="42"/>
        <v/>
      </c>
      <c r="O162" t="str">
        <f t="shared" si="43"/>
        <v/>
      </c>
      <c r="P162" t="str">
        <f t="shared" si="44"/>
        <v/>
      </c>
      <c r="Q162" t="str">
        <f t="shared" si="45"/>
        <v/>
      </c>
      <c r="S162" t="str">
        <f>""</f>
        <v/>
      </c>
      <c r="AL162" s="18" t="str">
        <f>IF(COUNTIF($A$2:A161, A161) = 1, A161, "")</f>
        <v/>
      </c>
    </row>
    <row r="163" spans="6:38" x14ac:dyDescent="0.2">
      <c r="F163" t="str">
        <f t="shared" si="40"/>
        <v/>
      </c>
      <c r="L163" s="7" t="str">
        <f t="shared" si="41"/>
        <v/>
      </c>
      <c r="N163" s="7" t="str">
        <f t="shared" si="42"/>
        <v/>
      </c>
      <c r="O163" t="str">
        <f t="shared" si="43"/>
        <v/>
      </c>
      <c r="P163" t="str">
        <f t="shared" si="44"/>
        <v/>
      </c>
      <c r="Q163" t="str">
        <f t="shared" si="45"/>
        <v/>
      </c>
      <c r="S163" t="str">
        <f>""</f>
        <v/>
      </c>
      <c r="AL163" s="18" t="str">
        <f>IF(COUNTIF($A$2:A162, A162) = 1, A162, "")</f>
        <v/>
      </c>
    </row>
    <row r="164" spans="6:38" x14ac:dyDescent="0.2">
      <c r="F164" t="str">
        <f t="shared" si="40"/>
        <v/>
      </c>
      <c r="L164" s="7" t="str">
        <f t="shared" si="41"/>
        <v/>
      </c>
      <c r="N164" s="7" t="str">
        <f t="shared" si="42"/>
        <v/>
      </c>
      <c r="O164" t="str">
        <f t="shared" si="43"/>
        <v/>
      </c>
      <c r="P164" t="str">
        <f t="shared" si="44"/>
        <v/>
      </c>
      <c r="Q164" t="str">
        <f t="shared" si="45"/>
        <v/>
      </c>
      <c r="S164" t="str">
        <f>""</f>
        <v/>
      </c>
      <c r="AL164" s="18" t="str">
        <f>IF(COUNTIF($A$2:A163, A163) = 1, A163, "")</f>
        <v/>
      </c>
    </row>
    <row r="165" spans="6:38" x14ac:dyDescent="0.2">
      <c r="F165" t="str">
        <f t="shared" si="40"/>
        <v/>
      </c>
      <c r="L165" s="7" t="str">
        <f t="shared" si="41"/>
        <v/>
      </c>
      <c r="N165" s="7" t="str">
        <f t="shared" si="42"/>
        <v/>
      </c>
      <c r="O165" t="str">
        <f t="shared" si="43"/>
        <v/>
      </c>
      <c r="P165" t="str">
        <f t="shared" si="44"/>
        <v/>
      </c>
      <c r="Q165" t="str">
        <f t="shared" si="45"/>
        <v/>
      </c>
      <c r="S165" t="str">
        <f>""</f>
        <v/>
      </c>
      <c r="AL165" s="18" t="str">
        <f>IF(COUNTIF($A$2:A164, A164) = 1, A164, "")</f>
        <v/>
      </c>
    </row>
    <row r="166" spans="6:38" x14ac:dyDescent="0.2">
      <c r="F166" t="str">
        <f t="shared" si="40"/>
        <v/>
      </c>
      <c r="L166" s="7" t="str">
        <f t="shared" si="41"/>
        <v/>
      </c>
      <c r="N166" s="7" t="str">
        <f t="shared" si="42"/>
        <v/>
      </c>
      <c r="O166" t="str">
        <f t="shared" si="43"/>
        <v/>
      </c>
      <c r="P166" t="str">
        <f t="shared" si="44"/>
        <v/>
      </c>
      <c r="Q166" t="str">
        <f t="shared" si="45"/>
        <v/>
      </c>
      <c r="S166" t="str">
        <f>""</f>
        <v/>
      </c>
      <c r="AL166" s="18" t="str">
        <f>IF(COUNTIF($A$2:A165, A165) = 1, A165, "")</f>
        <v/>
      </c>
    </row>
    <row r="167" spans="6:38" x14ac:dyDescent="0.2">
      <c r="F167" t="str">
        <f t="shared" si="40"/>
        <v/>
      </c>
      <c r="L167" s="7" t="str">
        <f t="shared" si="41"/>
        <v/>
      </c>
      <c r="N167" s="7" t="str">
        <f t="shared" si="42"/>
        <v/>
      </c>
      <c r="O167" t="str">
        <f t="shared" si="43"/>
        <v/>
      </c>
      <c r="P167" t="str">
        <f t="shared" si="44"/>
        <v/>
      </c>
      <c r="Q167" t="str">
        <f t="shared" si="45"/>
        <v/>
      </c>
      <c r="S167" t="str">
        <f>""</f>
        <v/>
      </c>
      <c r="AL167" s="18" t="str">
        <f>IF(COUNTIF($A$2:A166, A166) = 1, A166, "")</f>
        <v/>
      </c>
    </row>
    <row r="168" spans="6:38" x14ac:dyDescent="0.2">
      <c r="F168" t="str">
        <f t="shared" si="40"/>
        <v/>
      </c>
      <c r="L168" s="7" t="str">
        <f t="shared" si="41"/>
        <v/>
      </c>
      <c r="N168" s="7" t="str">
        <f t="shared" si="42"/>
        <v/>
      </c>
      <c r="O168" t="str">
        <f t="shared" si="43"/>
        <v/>
      </c>
      <c r="P168" t="str">
        <f t="shared" si="44"/>
        <v/>
      </c>
      <c r="Q168" t="str">
        <f t="shared" si="45"/>
        <v/>
      </c>
      <c r="S168" t="str">
        <f>""</f>
        <v/>
      </c>
      <c r="AL168" s="18" t="str">
        <f>IF(COUNTIF($A$2:A167, A167) = 1, A167, "")</f>
        <v/>
      </c>
    </row>
    <row r="169" spans="6:38" x14ac:dyDescent="0.2">
      <c r="F169" t="str">
        <f t="shared" si="40"/>
        <v/>
      </c>
      <c r="L169" s="7" t="str">
        <f t="shared" si="41"/>
        <v/>
      </c>
      <c r="N169" s="7" t="str">
        <f t="shared" si="42"/>
        <v/>
      </c>
      <c r="O169" t="str">
        <f t="shared" si="43"/>
        <v/>
      </c>
      <c r="P169" t="str">
        <f t="shared" si="44"/>
        <v/>
      </c>
      <c r="Q169" t="str">
        <f t="shared" si="45"/>
        <v/>
      </c>
      <c r="S169" t="str">
        <f>""</f>
        <v/>
      </c>
      <c r="AL169" s="18" t="str">
        <f>IF(COUNTIF($A$2:A168, A168) = 1, A168, "")</f>
        <v/>
      </c>
    </row>
    <row r="170" spans="6:38" x14ac:dyDescent="0.2">
      <c r="F170" t="str">
        <f t="shared" si="40"/>
        <v/>
      </c>
      <c r="L170" s="7" t="str">
        <f t="shared" si="41"/>
        <v/>
      </c>
      <c r="N170" s="7" t="str">
        <f t="shared" si="42"/>
        <v/>
      </c>
      <c r="O170" t="str">
        <f t="shared" si="43"/>
        <v/>
      </c>
      <c r="P170" t="str">
        <f t="shared" si="44"/>
        <v/>
      </c>
      <c r="Q170" t="str">
        <f t="shared" si="45"/>
        <v/>
      </c>
      <c r="S170" t="str">
        <f>""</f>
        <v/>
      </c>
      <c r="AL170" s="18" t="str">
        <f>IF(COUNTIF($A$2:A169, A169) = 1, A169, "")</f>
        <v/>
      </c>
    </row>
    <row r="171" spans="6:38" x14ac:dyDescent="0.2">
      <c r="F171" t="str">
        <f t="shared" si="40"/>
        <v/>
      </c>
      <c r="L171" s="7" t="str">
        <f t="shared" si="41"/>
        <v/>
      </c>
      <c r="N171" s="7" t="str">
        <f t="shared" si="42"/>
        <v/>
      </c>
      <c r="O171" t="str">
        <f t="shared" si="43"/>
        <v/>
      </c>
      <c r="P171" t="str">
        <f t="shared" si="44"/>
        <v/>
      </c>
      <c r="Q171" t="str">
        <f t="shared" si="45"/>
        <v/>
      </c>
      <c r="S171" t="str">
        <f>""</f>
        <v/>
      </c>
      <c r="AL171" s="18" t="str">
        <f>IF(COUNTIF($A$2:A170, A170) = 1, A170, "")</f>
        <v/>
      </c>
    </row>
    <row r="172" spans="6:38" x14ac:dyDescent="0.2">
      <c r="F172" t="str">
        <f t="shared" si="40"/>
        <v/>
      </c>
      <c r="L172" s="7" t="str">
        <f t="shared" si="41"/>
        <v/>
      </c>
      <c r="N172" s="7" t="str">
        <f t="shared" si="42"/>
        <v/>
      </c>
      <c r="O172" t="str">
        <f t="shared" si="43"/>
        <v/>
      </c>
      <c r="P172" t="str">
        <f t="shared" si="44"/>
        <v/>
      </c>
      <c r="Q172" t="str">
        <f t="shared" si="45"/>
        <v/>
      </c>
      <c r="S172" t="str">
        <f>""</f>
        <v/>
      </c>
      <c r="AL172" s="18" t="str">
        <f>IF(COUNTIF($A$2:A171, A171) = 1, A171, "")</f>
        <v/>
      </c>
    </row>
    <row r="173" spans="6:38" x14ac:dyDescent="0.2">
      <c r="F173" t="str">
        <f t="shared" si="40"/>
        <v/>
      </c>
      <c r="L173" s="7" t="str">
        <f t="shared" si="41"/>
        <v/>
      </c>
      <c r="N173" s="7" t="str">
        <f t="shared" si="42"/>
        <v/>
      </c>
      <c r="O173" t="str">
        <f t="shared" si="43"/>
        <v/>
      </c>
      <c r="P173" t="str">
        <f t="shared" si="44"/>
        <v/>
      </c>
      <c r="Q173" t="str">
        <f t="shared" si="45"/>
        <v/>
      </c>
      <c r="S173" t="str">
        <f>""</f>
        <v/>
      </c>
      <c r="AL173" s="18" t="str">
        <f>IF(COUNTIF($A$2:A172, A172) = 1, A172, "")</f>
        <v/>
      </c>
    </row>
    <row r="174" spans="6:38" x14ac:dyDescent="0.2">
      <c r="F174" t="str">
        <f t="shared" si="40"/>
        <v/>
      </c>
      <c r="L174" s="7" t="str">
        <f t="shared" si="41"/>
        <v/>
      </c>
      <c r="N174" s="7" t="str">
        <f t="shared" si="42"/>
        <v/>
      </c>
      <c r="O174" t="str">
        <f t="shared" si="43"/>
        <v/>
      </c>
      <c r="P174" t="str">
        <f t="shared" si="44"/>
        <v/>
      </c>
      <c r="Q174" t="str">
        <f t="shared" si="45"/>
        <v/>
      </c>
      <c r="S174" t="str">
        <f>""</f>
        <v/>
      </c>
      <c r="AL174" s="18" t="str">
        <f>IF(COUNTIF($A$2:A173, A173) = 1, A173, "")</f>
        <v/>
      </c>
    </row>
    <row r="175" spans="6:38" x14ac:dyDescent="0.2">
      <c r="F175" t="str">
        <f t="shared" si="40"/>
        <v/>
      </c>
      <c r="L175" s="7" t="str">
        <f t="shared" si="41"/>
        <v/>
      </c>
      <c r="N175" s="7" t="str">
        <f t="shared" si="42"/>
        <v/>
      </c>
      <c r="O175" t="str">
        <f t="shared" si="43"/>
        <v/>
      </c>
      <c r="P175" t="str">
        <f t="shared" si="44"/>
        <v/>
      </c>
      <c r="Q175" t="str">
        <f t="shared" si="45"/>
        <v/>
      </c>
      <c r="S175" t="str">
        <f>""</f>
        <v/>
      </c>
      <c r="AL175" s="18" t="str">
        <f>IF(COUNTIF($A$2:A174, A174) = 1, A174, "")</f>
        <v/>
      </c>
    </row>
    <row r="176" spans="6:38" x14ac:dyDescent="0.2">
      <c r="F176" t="str">
        <f t="shared" si="40"/>
        <v/>
      </c>
      <c r="L176" s="7" t="str">
        <f t="shared" si="41"/>
        <v/>
      </c>
      <c r="N176" s="7" t="str">
        <f t="shared" si="42"/>
        <v/>
      </c>
      <c r="O176" t="str">
        <f t="shared" si="43"/>
        <v/>
      </c>
      <c r="P176" t="str">
        <f t="shared" si="44"/>
        <v/>
      </c>
      <c r="Q176" t="str">
        <f t="shared" si="45"/>
        <v/>
      </c>
      <c r="S176" t="str">
        <f>""</f>
        <v/>
      </c>
      <c r="AL176" s="18" t="str">
        <f>IF(COUNTIF($A$2:A175, A175) = 1, A175, "")</f>
        <v/>
      </c>
    </row>
    <row r="177" spans="6:38" x14ac:dyDescent="0.2">
      <c r="F177" t="str">
        <f t="shared" si="40"/>
        <v/>
      </c>
      <c r="L177" s="7" t="str">
        <f t="shared" si="41"/>
        <v/>
      </c>
      <c r="N177" s="7" t="str">
        <f t="shared" si="42"/>
        <v/>
      </c>
      <c r="O177" t="str">
        <f t="shared" si="43"/>
        <v/>
      </c>
      <c r="P177" t="str">
        <f t="shared" si="44"/>
        <v/>
      </c>
      <c r="Q177" t="str">
        <f t="shared" si="45"/>
        <v/>
      </c>
      <c r="S177" t="str">
        <f>""</f>
        <v/>
      </c>
      <c r="AL177" s="18" t="str">
        <f>IF(COUNTIF($A$2:A176, A176) = 1, A176, "")</f>
        <v/>
      </c>
    </row>
    <row r="178" spans="6:38" x14ac:dyDescent="0.2">
      <c r="F178" t="str">
        <f t="shared" si="40"/>
        <v/>
      </c>
      <c r="L178" s="7" t="str">
        <f t="shared" si="41"/>
        <v/>
      </c>
      <c r="N178" s="7" t="str">
        <f t="shared" si="42"/>
        <v/>
      </c>
      <c r="O178" t="str">
        <f t="shared" si="43"/>
        <v/>
      </c>
      <c r="P178" t="str">
        <f t="shared" si="44"/>
        <v/>
      </c>
      <c r="Q178" t="str">
        <f t="shared" si="45"/>
        <v/>
      </c>
      <c r="S178" t="str">
        <f>""</f>
        <v/>
      </c>
      <c r="AL178" s="18" t="str">
        <f>IF(COUNTIF($A$2:A177, A177) = 1, A177, "")</f>
        <v/>
      </c>
    </row>
    <row r="179" spans="6:38" x14ac:dyDescent="0.2">
      <c r="F179" t="str">
        <f t="shared" si="40"/>
        <v/>
      </c>
      <c r="L179" s="7" t="str">
        <f t="shared" si="41"/>
        <v/>
      </c>
      <c r="N179" s="7" t="str">
        <f t="shared" si="42"/>
        <v/>
      </c>
      <c r="O179" t="str">
        <f t="shared" si="43"/>
        <v/>
      </c>
      <c r="P179" t="str">
        <f t="shared" si="44"/>
        <v/>
      </c>
      <c r="Q179" t="str">
        <f t="shared" si="45"/>
        <v/>
      </c>
      <c r="S179" t="str">
        <f>""</f>
        <v/>
      </c>
      <c r="AL179" s="18" t="str">
        <f>IF(COUNTIF($A$2:A178, A178) = 1, A178, "")</f>
        <v/>
      </c>
    </row>
    <row r="180" spans="6:38" x14ac:dyDescent="0.2">
      <c r="F180" t="str">
        <f t="shared" si="40"/>
        <v/>
      </c>
      <c r="L180" s="7" t="str">
        <f t="shared" si="41"/>
        <v/>
      </c>
      <c r="N180" s="7" t="str">
        <f t="shared" si="42"/>
        <v/>
      </c>
      <c r="O180" t="str">
        <f t="shared" si="43"/>
        <v/>
      </c>
      <c r="P180" t="str">
        <f t="shared" si="44"/>
        <v/>
      </c>
      <c r="Q180" t="str">
        <f t="shared" si="45"/>
        <v/>
      </c>
      <c r="S180" t="str">
        <f>""</f>
        <v/>
      </c>
      <c r="AL180" s="18" t="str">
        <f>IF(COUNTIF($A$2:A179, A179) = 1, A179, "")</f>
        <v/>
      </c>
    </row>
    <row r="181" spans="6:38" x14ac:dyDescent="0.2">
      <c r="F181" t="str">
        <f t="shared" si="40"/>
        <v/>
      </c>
      <c r="L181" s="7" t="str">
        <f t="shared" si="41"/>
        <v/>
      </c>
      <c r="N181" s="7" t="str">
        <f t="shared" si="42"/>
        <v/>
      </c>
      <c r="O181" t="str">
        <f t="shared" si="43"/>
        <v/>
      </c>
      <c r="P181" t="str">
        <f t="shared" si="44"/>
        <v/>
      </c>
      <c r="Q181" t="str">
        <f t="shared" si="45"/>
        <v/>
      </c>
      <c r="S181" t="str">
        <f>""</f>
        <v/>
      </c>
      <c r="AL181" s="18" t="str">
        <f>IF(COUNTIF($A$2:A180, A180) = 1, A180, "")</f>
        <v/>
      </c>
    </row>
    <row r="182" spans="6:38" x14ac:dyDescent="0.2">
      <c r="F182" t="str">
        <f t="shared" si="40"/>
        <v/>
      </c>
      <c r="L182" s="7" t="str">
        <f t="shared" si="41"/>
        <v/>
      </c>
      <c r="N182" s="7" t="str">
        <f t="shared" si="42"/>
        <v/>
      </c>
      <c r="O182" t="str">
        <f t="shared" si="43"/>
        <v/>
      </c>
      <c r="P182" t="str">
        <f t="shared" si="44"/>
        <v/>
      </c>
      <c r="Q182" t="str">
        <f t="shared" si="45"/>
        <v/>
      </c>
      <c r="S182" t="str">
        <f>""</f>
        <v/>
      </c>
      <c r="AL182" s="18" t="str">
        <f>IF(COUNTIF($A$2:A181, A181) = 1, A181, "")</f>
        <v/>
      </c>
    </row>
    <row r="183" spans="6:38" x14ac:dyDescent="0.2">
      <c r="F183" t="str">
        <f t="shared" si="40"/>
        <v/>
      </c>
      <c r="L183" s="7" t="str">
        <f t="shared" si="41"/>
        <v/>
      </c>
      <c r="N183" s="7" t="str">
        <f t="shared" si="42"/>
        <v/>
      </c>
      <c r="O183" t="str">
        <f t="shared" si="43"/>
        <v/>
      </c>
      <c r="P183" t="str">
        <f t="shared" si="44"/>
        <v/>
      </c>
      <c r="Q183" t="str">
        <f t="shared" si="45"/>
        <v/>
      </c>
      <c r="S183" t="str">
        <f>""</f>
        <v/>
      </c>
      <c r="AL183" s="18" t="str">
        <f>IF(COUNTIF($A$2:A182, A182) = 1, A182, "")</f>
        <v/>
      </c>
    </row>
    <row r="184" spans="6:38" x14ac:dyDescent="0.2">
      <c r="F184" t="str">
        <f t="shared" si="40"/>
        <v/>
      </c>
      <c r="L184" s="7" t="str">
        <f t="shared" si="41"/>
        <v/>
      </c>
      <c r="N184" s="7" t="str">
        <f t="shared" si="42"/>
        <v/>
      </c>
      <c r="O184" t="str">
        <f t="shared" si="43"/>
        <v/>
      </c>
      <c r="P184" t="str">
        <f t="shared" si="44"/>
        <v/>
      </c>
      <c r="Q184" t="str">
        <f t="shared" si="45"/>
        <v/>
      </c>
      <c r="S184" t="str">
        <f>""</f>
        <v/>
      </c>
      <c r="AL184" s="18" t="str">
        <f>IF(COUNTIF($A$2:A183, A183) = 1, A183, "")</f>
        <v/>
      </c>
    </row>
    <row r="185" spans="6:38" x14ac:dyDescent="0.2">
      <c r="F185" t="str">
        <f t="shared" si="40"/>
        <v/>
      </c>
      <c r="L185" s="7" t="str">
        <f t="shared" si="41"/>
        <v/>
      </c>
      <c r="N185" s="7" t="str">
        <f t="shared" si="42"/>
        <v/>
      </c>
      <c r="O185" t="str">
        <f t="shared" si="43"/>
        <v/>
      </c>
      <c r="P185" t="str">
        <f t="shared" si="44"/>
        <v/>
      </c>
      <c r="Q185" t="str">
        <f t="shared" si="45"/>
        <v/>
      </c>
      <c r="S185" t="str">
        <f>""</f>
        <v/>
      </c>
      <c r="AL185" s="18" t="str">
        <f>IF(COUNTIF($A$2:A184, A184) = 1, A184, "")</f>
        <v/>
      </c>
    </row>
    <row r="186" spans="6:38" x14ac:dyDescent="0.2">
      <c r="F186" t="str">
        <f t="shared" si="40"/>
        <v/>
      </c>
      <c r="L186" s="7" t="str">
        <f t="shared" si="41"/>
        <v/>
      </c>
      <c r="N186" s="7" t="str">
        <f t="shared" si="42"/>
        <v/>
      </c>
      <c r="O186" t="str">
        <f t="shared" si="43"/>
        <v/>
      </c>
      <c r="P186" t="str">
        <f t="shared" si="44"/>
        <v/>
      </c>
      <c r="Q186" t="str">
        <f t="shared" si="45"/>
        <v/>
      </c>
      <c r="S186" t="str">
        <f>""</f>
        <v/>
      </c>
      <c r="AL186" s="18" t="str">
        <f>IF(COUNTIF($A$2:A185, A185) = 1, A185, "")</f>
        <v/>
      </c>
    </row>
    <row r="187" spans="6:38" x14ac:dyDescent="0.2">
      <c r="F187" t="str">
        <f t="shared" si="40"/>
        <v/>
      </c>
      <c r="L187" s="7" t="str">
        <f t="shared" si="41"/>
        <v/>
      </c>
      <c r="N187" s="7" t="str">
        <f t="shared" si="42"/>
        <v/>
      </c>
      <c r="O187" t="str">
        <f t="shared" si="43"/>
        <v/>
      </c>
      <c r="P187" t="str">
        <f t="shared" si="44"/>
        <v/>
      </c>
      <c r="Q187" t="str">
        <f t="shared" si="45"/>
        <v/>
      </c>
      <c r="S187" t="str">
        <f>""</f>
        <v/>
      </c>
      <c r="AL187" s="18" t="str">
        <f>IF(COUNTIF($A$2:A186, A186) = 1, A186, "")</f>
        <v/>
      </c>
    </row>
    <row r="188" spans="6:38" x14ac:dyDescent="0.2">
      <c r="F188" t="str">
        <f t="shared" si="40"/>
        <v/>
      </c>
      <c r="L188" s="7" t="str">
        <f t="shared" si="41"/>
        <v/>
      </c>
      <c r="N188" s="7" t="str">
        <f t="shared" si="42"/>
        <v/>
      </c>
      <c r="O188" t="str">
        <f t="shared" si="43"/>
        <v/>
      </c>
      <c r="P188" t="str">
        <f t="shared" si="44"/>
        <v/>
      </c>
      <c r="Q188" t="str">
        <f t="shared" si="45"/>
        <v/>
      </c>
      <c r="S188" t="str">
        <f>""</f>
        <v/>
      </c>
      <c r="AL188" s="18" t="str">
        <f>IF(COUNTIF($A$2:A187, A187) = 1, A187, "")</f>
        <v/>
      </c>
    </row>
    <row r="189" spans="6:38" x14ac:dyDescent="0.2">
      <c r="F189" t="str">
        <f t="shared" si="40"/>
        <v/>
      </c>
      <c r="L189" s="7" t="str">
        <f t="shared" si="41"/>
        <v/>
      </c>
      <c r="N189" s="7" t="str">
        <f t="shared" si="42"/>
        <v/>
      </c>
      <c r="O189" t="str">
        <f t="shared" si="43"/>
        <v/>
      </c>
      <c r="P189" t="str">
        <f t="shared" si="44"/>
        <v/>
      </c>
      <c r="Q189" t="str">
        <f t="shared" si="45"/>
        <v/>
      </c>
      <c r="S189" t="str">
        <f>""</f>
        <v/>
      </c>
      <c r="AL189" s="18" t="str">
        <f>IF(COUNTIF($A$2:A188, A188) = 1, A188, "")</f>
        <v/>
      </c>
    </row>
    <row r="190" spans="6:38" x14ac:dyDescent="0.2">
      <c r="F190" t="str">
        <f t="shared" si="40"/>
        <v/>
      </c>
      <c r="L190" s="7" t="str">
        <f t="shared" si="41"/>
        <v/>
      </c>
      <c r="N190" s="7" t="str">
        <f t="shared" si="42"/>
        <v/>
      </c>
      <c r="O190" t="str">
        <f t="shared" si="43"/>
        <v/>
      </c>
      <c r="P190" t="str">
        <f t="shared" si="44"/>
        <v/>
      </c>
      <c r="Q190" t="str">
        <f t="shared" si="45"/>
        <v/>
      </c>
      <c r="S190" t="str">
        <f>""</f>
        <v/>
      </c>
      <c r="AL190" s="18" t="str">
        <f>IF(COUNTIF($A$2:A189, A189) = 1, A189, "")</f>
        <v/>
      </c>
    </row>
    <row r="191" spans="6:38" x14ac:dyDescent="0.2">
      <c r="F191" t="str">
        <f t="shared" si="40"/>
        <v/>
      </c>
      <c r="L191" s="7" t="str">
        <f t="shared" si="41"/>
        <v/>
      </c>
      <c r="N191" s="7" t="str">
        <f t="shared" si="42"/>
        <v/>
      </c>
      <c r="O191" t="str">
        <f t="shared" si="43"/>
        <v/>
      </c>
      <c r="P191" t="str">
        <f t="shared" si="44"/>
        <v/>
      </c>
      <c r="Q191" t="str">
        <f t="shared" si="45"/>
        <v/>
      </c>
      <c r="S191" t="str">
        <f>""</f>
        <v/>
      </c>
      <c r="AL191" s="18" t="str">
        <f>IF(COUNTIF($A$2:A190, A190) = 1, A190, "")</f>
        <v/>
      </c>
    </row>
    <row r="192" spans="6:38" x14ac:dyDescent="0.2">
      <c r="F192" t="str">
        <f t="shared" si="40"/>
        <v/>
      </c>
      <c r="L192" s="7" t="str">
        <f t="shared" si="41"/>
        <v/>
      </c>
      <c r="N192" s="7" t="str">
        <f t="shared" si="42"/>
        <v/>
      </c>
      <c r="O192" t="str">
        <f t="shared" si="43"/>
        <v/>
      </c>
      <c r="P192" t="str">
        <f t="shared" si="44"/>
        <v/>
      </c>
      <c r="Q192" t="str">
        <f t="shared" si="45"/>
        <v/>
      </c>
      <c r="S192" t="str">
        <f>""</f>
        <v/>
      </c>
      <c r="AL192" s="18" t="str">
        <f>IF(COUNTIF($A$2:A191, A191) = 1, A191, "")</f>
        <v/>
      </c>
    </row>
    <row r="193" spans="6:38" x14ac:dyDescent="0.2">
      <c r="F193" t="str">
        <f t="shared" si="40"/>
        <v/>
      </c>
      <c r="L193" s="7" t="str">
        <f t="shared" si="41"/>
        <v/>
      </c>
      <c r="N193" s="7" t="str">
        <f t="shared" si="42"/>
        <v/>
      </c>
      <c r="O193" t="str">
        <f t="shared" si="43"/>
        <v/>
      </c>
      <c r="P193" t="str">
        <f t="shared" si="44"/>
        <v/>
      </c>
      <c r="Q193" t="str">
        <f t="shared" si="45"/>
        <v/>
      </c>
      <c r="S193" t="str">
        <f>""</f>
        <v/>
      </c>
      <c r="AL193" s="18" t="str">
        <f>IF(COUNTIF($A$2:A192, A192) = 1, A192, "")</f>
        <v/>
      </c>
    </row>
    <row r="194" spans="6:38" x14ac:dyDescent="0.2">
      <c r="F194" t="str">
        <f t="shared" si="40"/>
        <v/>
      </c>
      <c r="L194" s="7" t="str">
        <f t="shared" si="41"/>
        <v/>
      </c>
      <c r="N194" s="7" t="str">
        <f t="shared" si="42"/>
        <v/>
      </c>
      <c r="O194" t="str">
        <f t="shared" si="43"/>
        <v/>
      </c>
      <c r="P194" t="str">
        <f t="shared" si="44"/>
        <v/>
      </c>
      <c r="Q194" t="str">
        <f t="shared" si="45"/>
        <v/>
      </c>
      <c r="S194" t="str">
        <f>""</f>
        <v/>
      </c>
      <c r="AL194" s="18" t="str">
        <f>IF(COUNTIF($A$2:A193, A193) = 1, A193, "")</f>
        <v/>
      </c>
    </row>
    <row r="195" spans="6:38" x14ac:dyDescent="0.2">
      <c r="F195" t="str">
        <f t="shared" si="40"/>
        <v/>
      </c>
      <c r="L195" s="7" t="str">
        <f t="shared" si="41"/>
        <v/>
      </c>
      <c r="N195" s="7" t="str">
        <f t="shared" si="42"/>
        <v/>
      </c>
      <c r="O195" t="str">
        <f t="shared" si="43"/>
        <v/>
      </c>
      <c r="P195" t="str">
        <f t="shared" si="44"/>
        <v/>
      </c>
      <c r="Q195" t="str">
        <f t="shared" si="45"/>
        <v/>
      </c>
      <c r="S195" t="str">
        <f>""</f>
        <v/>
      </c>
      <c r="AL195" s="18" t="str">
        <f>IF(COUNTIF($A$2:A194, A194) = 1, A194, "")</f>
        <v/>
      </c>
    </row>
    <row r="196" spans="6:38" x14ac:dyDescent="0.2">
      <c r="F196" t="str">
        <f t="shared" si="40"/>
        <v/>
      </c>
      <c r="L196" s="7" t="str">
        <f t="shared" si="41"/>
        <v/>
      </c>
      <c r="N196" s="7" t="str">
        <f t="shared" si="42"/>
        <v/>
      </c>
      <c r="O196" t="str">
        <f t="shared" si="43"/>
        <v/>
      </c>
      <c r="P196" t="str">
        <f t="shared" si="44"/>
        <v/>
      </c>
      <c r="Q196" t="str">
        <f t="shared" si="45"/>
        <v/>
      </c>
      <c r="S196" t="str">
        <f>""</f>
        <v/>
      </c>
      <c r="AL196" s="18" t="str">
        <f>IF(COUNTIF($A$2:A195, A195) = 1, A195, "")</f>
        <v/>
      </c>
    </row>
    <row r="197" spans="6:38" x14ac:dyDescent="0.2">
      <c r="F197" t="str">
        <f t="shared" si="40"/>
        <v/>
      </c>
      <c r="L197" s="7" t="str">
        <f t="shared" si="41"/>
        <v/>
      </c>
      <c r="N197" s="7" t="str">
        <f t="shared" si="42"/>
        <v/>
      </c>
      <c r="O197" t="str">
        <f t="shared" si="43"/>
        <v/>
      </c>
      <c r="P197" t="str">
        <f t="shared" si="44"/>
        <v/>
      </c>
      <c r="Q197" t="str">
        <f t="shared" si="45"/>
        <v/>
      </c>
      <c r="S197" t="str">
        <f>""</f>
        <v/>
      </c>
      <c r="AL197" s="18" t="str">
        <f>IF(COUNTIF($A$2:A196, A196) = 1, A196, "")</f>
        <v/>
      </c>
    </row>
    <row r="198" spans="6:38" x14ac:dyDescent="0.2">
      <c r="F198" t="str">
        <f t="shared" si="40"/>
        <v/>
      </c>
      <c r="L198" s="7" t="str">
        <f t="shared" si="41"/>
        <v/>
      </c>
      <c r="N198" s="7" t="str">
        <f t="shared" si="42"/>
        <v/>
      </c>
      <c r="O198" t="str">
        <f t="shared" si="43"/>
        <v/>
      </c>
      <c r="P198" t="str">
        <f t="shared" si="44"/>
        <v/>
      </c>
      <c r="Q198" t="str">
        <f t="shared" si="45"/>
        <v/>
      </c>
      <c r="S198" t="str">
        <f>""</f>
        <v/>
      </c>
      <c r="AL198" s="18" t="str">
        <f>IF(COUNTIF($A$2:A197, A197) = 1, A197, "")</f>
        <v/>
      </c>
    </row>
    <row r="199" spans="6:38" x14ac:dyDescent="0.2">
      <c r="F199" t="str">
        <f t="shared" si="40"/>
        <v/>
      </c>
      <c r="L199" s="7" t="str">
        <f t="shared" si="41"/>
        <v/>
      </c>
      <c r="N199" s="7" t="str">
        <f t="shared" si="42"/>
        <v/>
      </c>
      <c r="O199" t="str">
        <f t="shared" si="43"/>
        <v/>
      </c>
      <c r="P199" t="str">
        <f t="shared" si="44"/>
        <v/>
      </c>
      <c r="Q199" t="str">
        <f t="shared" si="45"/>
        <v/>
      </c>
      <c r="S199" t="str">
        <f>""</f>
        <v/>
      </c>
      <c r="AL199" s="18" t="str">
        <f>IF(COUNTIF($A$2:A198, A198) = 1, A198, "")</f>
        <v/>
      </c>
    </row>
    <row r="200" spans="6:38" x14ac:dyDescent="0.2">
      <c r="F200" t="str">
        <f t="shared" si="40"/>
        <v/>
      </c>
      <c r="L200" s="7" t="str">
        <f t="shared" si="41"/>
        <v/>
      </c>
      <c r="N200" s="7" t="str">
        <f t="shared" si="42"/>
        <v/>
      </c>
      <c r="O200" t="str">
        <f t="shared" si="43"/>
        <v/>
      </c>
      <c r="P200" t="str">
        <f t="shared" si="44"/>
        <v/>
      </c>
      <c r="Q200" t="str">
        <f t="shared" si="45"/>
        <v/>
      </c>
      <c r="S200" t="str">
        <f>""</f>
        <v/>
      </c>
      <c r="AL200" s="18" t="str">
        <f>IF(COUNTIF($A$2:A199, A199) = 1, A199, "")</f>
        <v/>
      </c>
    </row>
    <row r="201" spans="6:38" x14ac:dyDescent="0.2">
      <c r="F201" t="str">
        <f t="shared" si="40"/>
        <v/>
      </c>
      <c r="L201" s="7" t="str">
        <f t="shared" si="41"/>
        <v/>
      </c>
      <c r="N201" s="7" t="str">
        <f t="shared" si="42"/>
        <v/>
      </c>
      <c r="O201" t="str">
        <f t="shared" si="43"/>
        <v/>
      </c>
      <c r="P201" t="str">
        <f t="shared" si="44"/>
        <v/>
      </c>
      <c r="Q201" t="str">
        <f t="shared" si="45"/>
        <v/>
      </c>
      <c r="S201" t="str">
        <f>""</f>
        <v/>
      </c>
      <c r="AL201" s="18" t="str">
        <f>IF(COUNTIF($A$2:A200, A200) = 1, A200, "")</f>
        <v/>
      </c>
    </row>
    <row r="202" spans="6:38" x14ac:dyDescent="0.2">
      <c r="F202" t="str">
        <f t="shared" si="40"/>
        <v/>
      </c>
      <c r="L202" s="7" t="str">
        <f t="shared" si="41"/>
        <v/>
      </c>
      <c r="N202" s="7" t="str">
        <f t="shared" si="42"/>
        <v/>
      </c>
      <c r="O202" t="str">
        <f t="shared" si="43"/>
        <v/>
      </c>
      <c r="P202" t="str">
        <f t="shared" si="44"/>
        <v/>
      </c>
      <c r="Q202" t="str">
        <f t="shared" si="45"/>
        <v/>
      </c>
      <c r="S202" t="str">
        <f>""</f>
        <v/>
      </c>
      <c r="AL202" s="18" t="str">
        <f>IF(COUNTIF($A$2:A201, A201) = 1, A201, "")</f>
        <v/>
      </c>
    </row>
    <row r="203" spans="6:38" x14ac:dyDescent="0.2">
      <c r="F203" t="str">
        <f t="shared" si="40"/>
        <v/>
      </c>
      <c r="L203" s="7" t="str">
        <f t="shared" si="41"/>
        <v/>
      </c>
      <c r="N203" s="7" t="str">
        <f t="shared" si="42"/>
        <v/>
      </c>
      <c r="O203" t="str">
        <f t="shared" si="43"/>
        <v/>
      </c>
      <c r="P203" t="str">
        <f t="shared" si="44"/>
        <v/>
      </c>
      <c r="Q203" t="str">
        <f t="shared" si="45"/>
        <v/>
      </c>
      <c r="S203" t="str">
        <f>""</f>
        <v/>
      </c>
      <c r="AL203" s="18" t="str">
        <f>IF(COUNTIF($A$2:A202, A202) = 1, A202, "")</f>
        <v/>
      </c>
    </row>
    <row r="204" spans="6:38" x14ac:dyDescent="0.2">
      <c r="F204" t="str">
        <f t="shared" si="40"/>
        <v/>
      </c>
      <c r="L204" s="7" t="str">
        <f t="shared" si="41"/>
        <v/>
      </c>
      <c r="N204" s="7" t="str">
        <f t="shared" si="42"/>
        <v/>
      </c>
      <c r="O204" t="str">
        <f t="shared" si="43"/>
        <v/>
      </c>
      <c r="P204" t="str">
        <f t="shared" si="44"/>
        <v/>
      </c>
      <c r="Q204" t="str">
        <f t="shared" si="45"/>
        <v/>
      </c>
      <c r="S204" t="str">
        <f>""</f>
        <v/>
      </c>
      <c r="AL204" s="18" t="str">
        <f>IF(COUNTIF($A$2:A203, A203) = 1, A203, "")</f>
        <v/>
      </c>
    </row>
    <row r="205" spans="6:38" x14ac:dyDescent="0.2">
      <c r="F205" t="str">
        <f t="shared" si="40"/>
        <v/>
      </c>
      <c r="L205" s="7" t="str">
        <f t="shared" si="41"/>
        <v/>
      </c>
      <c r="N205" s="7" t="str">
        <f t="shared" si="42"/>
        <v/>
      </c>
      <c r="O205" t="str">
        <f t="shared" si="43"/>
        <v/>
      </c>
      <c r="P205" t="str">
        <f t="shared" si="44"/>
        <v/>
      </c>
      <c r="Q205" t="str">
        <f t="shared" si="45"/>
        <v/>
      </c>
      <c r="S205" t="str">
        <f>""</f>
        <v/>
      </c>
      <c r="AL205" s="18" t="str">
        <f>IF(COUNTIF($A$2:A204, A204) = 1, A204, "")</f>
        <v/>
      </c>
    </row>
    <row r="206" spans="6:38" x14ac:dyDescent="0.2">
      <c r="F206" t="str">
        <f t="shared" si="40"/>
        <v/>
      </c>
      <c r="L206" s="7" t="str">
        <f t="shared" si="41"/>
        <v/>
      </c>
      <c r="N206" s="7" t="str">
        <f t="shared" si="42"/>
        <v/>
      </c>
      <c r="O206" t="str">
        <f t="shared" si="43"/>
        <v/>
      </c>
      <c r="P206" t="str">
        <f t="shared" si="44"/>
        <v/>
      </c>
      <c r="Q206" t="str">
        <f t="shared" si="45"/>
        <v/>
      </c>
      <c r="S206" t="str">
        <f>""</f>
        <v/>
      </c>
      <c r="AL206" s="18" t="str">
        <f>IF(COUNTIF($A$2:A205, A205) = 1, A205, "")</f>
        <v/>
      </c>
    </row>
    <row r="207" spans="6:38" x14ac:dyDescent="0.2">
      <c r="F207" t="str">
        <f t="shared" si="40"/>
        <v/>
      </c>
      <c r="L207" s="7" t="str">
        <f t="shared" si="41"/>
        <v/>
      </c>
      <c r="N207" s="7" t="str">
        <f t="shared" si="42"/>
        <v/>
      </c>
      <c r="O207" t="str">
        <f t="shared" si="43"/>
        <v/>
      </c>
      <c r="P207" t="str">
        <f t="shared" si="44"/>
        <v/>
      </c>
      <c r="Q207" t="str">
        <f t="shared" si="45"/>
        <v/>
      </c>
      <c r="S207" t="str">
        <f>""</f>
        <v/>
      </c>
      <c r="AL207" s="18" t="str">
        <f>IF(COUNTIF($A$2:A206, A206) = 1, A206, "")</f>
        <v/>
      </c>
    </row>
    <row r="208" spans="6:38" x14ac:dyDescent="0.2">
      <c r="F208" t="str">
        <f t="shared" ref="F208:F271" si="46">IF(OR(O208="", P208=""), "", SUM(IF((O208&lt;&gt;"None")*(O208&lt;&gt;""),LEN(O208)-LEN(SUBSTITUTE(O208,",",""))+1,0)) + SUM(IF((P208&lt;&gt;"None")*(P208&lt;&gt;""),LEN(P208)-LEN(SUBSTITUTE(P208,",",""))+1,0)))</f>
        <v/>
      </c>
      <c r="L208" s="7" t="str">
        <f t="shared" ref="L208:L271" si="47">IF(LEN(E208)=0, "", IFERROR(IF(E208&gt;=0, K208 * (1 + E208/100) - K208, K208 / (ABS(E208)/100))+K208, ""))</f>
        <v/>
      </c>
      <c r="N208" s="7" t="str">
        <f t="shared" ref="N208:N271" si="48">IF(M208="Yes",L208-K208,IF(M208="No",-K208,""))</f>
        <v/>
      </c>
      <c r="O208" t="str">
        <f t="shared" ref="O208:O271" si="49">IF(AND(G208="No",H208="No"), "None", "")</f>
        <v/>
      </c>
      <c r="P208" t="str">
        <f t="shared" ref="P208:P271" si="50">IF(I208="No", "None", "")</f>
        <v/>
      </c>
      <c r="Q208" t="str">
        <f t="shared" ref="Q208:Q271" si="51">IF(AND(D208="Straight", M208 = "No"),IF(O208="None",P208,IF(P208="None",O208) ),"")</f>
        <v/>
      </c>
      <c r="S208" t="str">
        <f>""</f>
        <v/>
      </c>
      <c r="AL208" s="18" t="str">
        <f>IF(COUNTIF($A$2:A207, A207) = 1, A207, "")</f>
        <v/>
      </c>
    </row>
    <row r="209" spans="6:38" x14ac:dyDescent="0.2">
      <c r="F209" t="str">
        <f t="shared" si="46"/>
        <v/>
      </c>
      <c r="L209" s="7" t="str">
        <f t="shared" si="47"/>
        <v/>
      </c>
      <c r="N209" s="7" t="str">
        <f t="shared" si="48"/>
        <v/>
      </c>
      <c r="O209" t="str">
        <f t="shared" si="49"/>
        <v/>
      </c>
      <c r="P209" t="str">
        <f t="shared" si="50"/>
        <v/>
      </c>
      <c r="Q209" t="str">
        <f t="shared" si="51"/>
        <v/>
      </c>
      <c r="S209" t="str">
        <f>""</f>
        <v/>
      </c>
      <c r="AL209" s="18" t="str">
        <f>IF(COUNTIF($A$2:A208, A208) = 1, A208, "")</f>
        <v/>
      </c>
    </row>
    <row r="210" spans="6:38" x14ac:dyDescent="0.2">
      <c r="F210" t="str">
        <f t="shared" si="46"/>
        <v/>
      </c>
      <c r="L210" s="7" t="str">
        <f t="shared" si="47"/>
        <v/>
      </c>
      <c r="N210" s="7" t="str">
        <f t="shared" si="48"/>
        <v/>
      </c>
      <c r="O210" t="str">
        <f t="shared" si="49"/>
        <v/>
      </c>
      <c r="P210" t="str">
        <f t="shared" si="50"/>
        <v/>
      </c>
      <c r="Q210" t="str">
        <f t="shared" si="51"/>
        <v/>
      </c>
      <c r="S210" t="str">
        <f>""</f>
        <v/>
      </c>
      <c r="AL210" s="18" t="str">
        <f>IF(COUNTIF($A$2:A209, A209) = 1, A209, "")</f>
        <v/>
      </c>
    </row>
    <row r="211" spans="6:38" x14ac:dyDescent="0.2">
      <c r="F211" t="str">
        <f t="shared" si="46"/>
        <v/>
      </c>
      <c r="L211" s="7" t="str">
        <f t="shared" si="47"/>
        <v/>
      </c>
      <c r="N211" s="7" t="str">
        <f t="shared" si="48"/>
        <v/>
      </c>
      <c r="O211" t="str">
        <f t="shared" si="49"/>
        <v/>
      </c>
      <c r="P211" t="str">
        <f t="shared" si="50"/>
        <v/>
      </c>
      <c r="Q211" t="str">
        <f t="shared" si="51"/>
        <v/>
      </c>
      <c r="S211" t="str">
        <f>""</f>
        <v/>
      </c>
      <c r="AL211" s="18" t="str">
        <f>IF(COUNTIF($A$2:A210, A210) = 1, A210, "")</f>
        <v/>
      </c>
    </row>
    <row r="212" spans="6:38" x14ac:dyDescent="0.2">
      <c r="F212" t="str">
        <f t="shared" si="46"/>
        <v/>
      </c>
      <c r="L212" s="7" t="str">
        <f t="shared" si="47"/>
        <v/>
      </c>
      <c r="N212" s="7" t="str">
        <f t="shared" si="48"/>
        <v/>
      </c>
      <c r="O212" t="str">
        <f t="shared" si="49"/>
        <v/>
      </c>
      <c r="P212" t="str">
        <f t="shared" si="50"/>
        <v/>
      </c>
      <c r="Q212" t="str">
        <f t="shared" si="51"/>
        <v/>
      </c>
      <c r="S212" t="str">
        <f>""</f>
        <v/>
      </c>
      <c r="AL212" s="18" t="str">
        <f>IF(COUNTIF($A$2:A211, A211) = 1, A211, "")</f>
        <v/>
      </c>
    </row>
    <row r="213" spans="6:38" x14ac:dyDescent="0.2">
      <c r="F213" t="str">
        <f t="shared" si="46"/>
        <v/>
      </c>
      <c r="L213" s="7" t="str">
        <f t="shared" si="47"/>
        <v/>
      </c>
      <c r="N213" s="7" t="str">
        <f t="shared" si="48"/>
        <v/>
      </c>
      <c r="O213" t="str">
        <f t="shared" si="49"/>
        <v/>
      </c>
      <c r="P213" t="str">
        <f t="shared" si="50"/>
        <v/>
      </c>
      <c r="Q213" t="str">
        <f t="shared" si="51"/>
        <v/>
      </c>
      <c r="S213" t="str">
        <f>""</f>
        <v/>
      </c>
      <c r="AL213" s="18" t="str">
        <f>IF(COUNTIF($A$2:A212, A212) = 1, A212, "")</f>
        <v/>
      </c>
    </row>
    <row r="214" spans="6:38" x14ac:dyDescent="0.2">
      <c r="F214" t="str">
        <f t="shared" si="46"/>
        <v/>
      </c>
      <c r="L214" s="7" t="str">
        <f t="shared" si="47"/>
        <v/>
      </c>
      <c r="N214" s="7" t="str">
        <f t="shared" si="48"/>
        <v/>
      </c>
      <c r="O214" t="str">
        <f t="shared" si="49"/>
        <v/>
      </c>
      <c r="P214" t="str">
        <f t="shared" si="50"/>
        <v/>
      </c>
      <c r="Q214" t="str">
        <f t="shared" si="51"/>
        <v/>
      </c>
      <c r="S214" t="str">
        <f>""</f>
        <v/>
      </c>
      <c r="AL214" s="18" t="str">
        <f>IF(COUNTIF($A$2:A213, A213) = 1, A213, "")</f>
        <v/>
      </c>
    </row>
    <row r="215" spans="6:38" x14ac:dyDescent="0.2">
      <c r="F215" t="str">
        <f t="shared" si="46"/>
        <v/>
      </c>
      <c r="L215" s="7" t="str">
        <f t="shared" si="47"/>
        <v/>
      </c>
      <c r="N215" s="7" t="str">
        <f t="shared" si="48"/>
        <v/>
      </c>
      <c r="O215" t="str">
        <f t="shared" si="49"/>
        <v/>
      </c>
      <c r="P215" t="str">
        <f t="shared" si="50"/>
        <v/>
      </c>
      <c r="Q215" t="str">
        <f t="shared" si="51"/>
        <v/>
      </c>
      <c r="S215" t="str">
        <f>""</f>
        <v/>
      </c>
      <c r="AL215" s="18" t="str">
        <f>IF(COUNTIF($A$2:A214, A214) = 1, A214, "")</f>
        <v/>
      </c>
    </row>
    <row r="216" spans="6:38" x14ac:dyDescent="0.2">
      <c r="F216" t="str">
        <f t="shared" si="46"/>
        <v/>
      </c>
      <c r="L216" s="7" t="str">
        <f t="shared" si="47"/>
        <v/>
      </c>
      <c r="N216" s="7" t="str">
        <f t="shared" si="48"/>
        <v/>
      </c>
      <c r="O216" t="str">
        <f t="shared" si="49"/>
        <v/>
      </c>
      <c r="P216" t="str">
        <f t="shared" si="50"/>
        <v/>
      </c>
      <c r="Q216" t="str">
        <f t="shared" si="51"/>
        <v/>
      </c>
      <c r="S216" t="str">
        <f>""</f>
        <v/>
      </c>
      <c r="AL216" s="18" t="str">
        <f>IF(COUNTIF($A$2:A215, A215) = 1, A215, "")</f>
        <v/>
      </c>
    </row>
    <row r="217" spans="6:38" x14ac:dyDescent="0.2">
      <c r="F217" t="str">
        <f t="shared" si="46"/>
        <v/>
      </c>
      <c r="L217" s="7" t="str">
        <f t="shared" si="47"/>
        <v/>
      </c>
      <c r="N217" s="7" t="str">
        <f t="shared" si="48"/>
        <v/>
      </c>
      <c r="O217" t="str">
        <f t="shared" si="49"/>
        <v/>
      </c>
      <c r="P217" t="str">
        <f t="shared" si="50"/>
        <v/>
      </c>
      <c r="Q217" t="str">
        <f t="shared" si="51"/>
        <v/>
      </c>
      <c r="S217" t="str">
        <f>""</f>
        <v/>
      </c>
      <c r="AL217" s="18" t="str">
        <f>IF(COUNTIF($A$2:A216, A216) = 1, A216, "")</f>
        <v/>
      </c>
    </row>
    <row r="218" spans="6:38" x14ac:dyDescent="0.2">
      <c r="F218" t="str">
        <f t="shared" si="46"/>
        <v/>
      </c>
      <c r="L218" s="7" t="str">
        <f t="shared" si="47"/>
        <v/>
      </c>
      <c r="N218" s="7" t="str">
        <f t="shared" si="48"/>
        <v/>
      </c>
      <c r="O218" t="str">
        <f t="shared" si="49"/>
        <v/>
      </c>
      <c r="P218" t="str">
        <f t="shared" si="50"/>
        <v/>
      </c>
      <c r="Q218" t="str">
        <f t="shared" si="51"/>
        <v/>
      </c>
      <c r="S218" t="str">
        <f>""</f>
        <v/>
      </c>
      <c r="AL218" s="18" t="str">
        <f>IF(COUNTIF($A$2:A217, A217) = 1, A217, "")</f>
        <v/>
      </c>
    </row>
    <row r="219" spans="6:38" x14ac:dyDescent="0.2">
      <c r="F219" t="str">
        <f t="shared" si="46"/>
        <v/>
      </c>
      <c r="L219" s="7" t="str">
        <f t="shared" si="47"/>
        <v/>
      </c>
      <c r="N219" s="7" t="str">
        <f t="shared" si="48"/>
        <v/>
      </c>
      <c r="O219" t="str">
        <f t="shared" si="49"/>
        <v/>
      </c>
      <c r="P219" t="str">
        <f t="shared" si="50"/>
        <v/>
      </c>
      <c r="Q219" t="str">
        <f t="shared" si="51"/>
        <v/>
      </c>
      <c r="S219" t="str">
        <f>""</f>
        <v/>
      </c>
      <c r="AL219" s="18" t="str">
        <f>IF(COUNTIF($A$2:A218, A218) = 1, A218, "")</f>
        <v/>
      </c>
    </row>
    <row r="220" spans="6:38" x14ac:dyDescent="0.2">
      <c r="F220" t="str">
        <f t="shared" si="46"/>
        <v/>
      </c>
      <c r="L220" s="7" t="str">
        <f t="shared" si="47"/>
        <v/>
      </c>
      <c r="N220" s="7" t="str">
        <f t="shared" si="48"/>
        <v/>
      </c>
      <c r="O220" t="str">
        <f t="shared" si="49"/>
        <v/>
      </c>
      <c r="P220" t="str">
        <f t="shared" si="50"/>
        <v/>
      </c>
      <c r="Q220" t="str">
        <f t="shared" si="51"/>
        <v/>
      </c>
      <c r="S220" t="str">
        <f>""</f>
        <v/>
      </c>
      <c r="AL220" s="18" t="str">
        <f>IF(COUNTIF($A$2:A219, A219) = 1, A219, "")</f>
        <v/>
      </c>
    </row>
    <row r="221" spans="6:38" x14ac:dyDescent="0.2">
      <c r="F221" t="str">
        <f t="shared" si="46"/>
        <v/>
      </c>
      <c r="L221" s="7" t="str">
        <f t="shared" si="47"/>
        <v/>
      </c>
      <c r="N221" s="7" t="str">
        <f t="shared" si="48"/>
        <v/>
      </c>
      <c r="O221" t="str">
        <f t="shared" si="49"/>
        <v/>
      </c>
      <c r="P221" t="str">
        <f t="shared" si="50"/>
        <v/>
      </c>
      <c r="Q221" t="str">
        <f t="shared" si="51"/>
        <v/>
      </c>
      <c r="S221" t="str">
        <f>""</f>
        <v/>
      </c>
      <c r="AL221" s="18" t="str">
        <f>IF(COUNTIF($A$2:A220, A220) = 1, A220, "")</f>
        <v/>
      </c>
    </row>
    <row r="222" spans="6:38" x14ac:dyDescent="0.2">
      <c r="F222" t="str">
        <f t="shared" si="46"/>
        <v/>
      </c>
      <c r="L222" s="7" t="str">
        <f t="shared" si="47"/>
        <v/>
      </c>
      <c r="N222" s="7" t="str">
        <f t="shared" si="48"/>
        <v/>
      </c>
      <c r="O222" t="str">
        <f t="shared" si="49"/>
        <v/>
      </c>
      <c r="P222" t="str">
        <f t="shared" si="50"/>
        <v/>
      </c>
      <c r="Q222" t="str">
        <f t="shared" si="51"/>
        <v/>
      </c>
      <c r="S222" t="str">
        <f>""</f>
        <v/>
      </c>
      <c r="AL222" s="18" t="str">
        <f>IF(COUNTIF($A$2:A221, A221) = 1, A221, "")</f>
        <v/>
      </c>
    </row>
    <row r="223" spans="6:38" x14ac:dyDescent="0.2">
      <c r="F223" t="str">
        <f t="shared" si="46"/>
        <v/>
      </c>
      <c r="L223" s="7" t="str">
        <f t="shared" si="47"/>
        <v/>
      </c>
      <c r="N223" s="7" t="str">
        <f t="shared" si="48"/>
        <v/>
      </c>
      <c r="O223" t="str">
        <f t="shared" si="49"/>
        <v/>
      </c>
      <c r="P223" t="str">
        <f t="shared" si="50"/>
        <v/>
      </c>
      <c r="Q223" t="str">
        <f t="shared" si="51"/>
        <v/>
      </c>
      <c r="S223" t="str">
        <f>""</f>
        <v/>
      </c>
      <c r="AL223" s="18" t="str">
        <f>IF(COUNTIF($A$2:A222, A222) = 1, A222, "")</f>
        <v/>
      </c>
    </row>
    <row r="224" spans="6:38" x14ac:dyDescent="0.2">
      <c r="F224" t="str">
        <f t="shared" si="46"/>
        <v/>
      </c>
      <c r="L224" s="7" t="str">
        <f t="shared" si="47"/>
        <v/>
      </c>
      <c r="N224" s="7" t="str">
        <f t="shared" si="48"/>
        <v/>
      </c>
      <c r="O224" t="str">
        <f t="shared" si="49"/>
        <v/>
      </c>
      <c r="P224" t="str">
        <f t="shared" si="50"/>
        <v/>
      </c>
      <c r="Q224" t="str">
        <f t="shared" si="51"/>
        <v/>
      </c>
      <c r="S224" t="str">
        <f>""</f>
        <v/>
      </c>
      <c r="AL224" s="18" t="str">
        <f>IF(COUNTIF($A$2:A223, A223) = 1, A223, "")</f>
        <v/>
      </c>
    </row>
    <row r="225" spans="6:38" x14ac:dyDescent="0.2">
      <c r="F225" t="str">
        <f t="shared" si="46"/>
        <v/>
      </c>
      <c r="L225" s="7" t="str">
        <f t="shared" si="47"/>
        <v/>
      </c>
      <c r="N225" s="7" t="str">
        <f t="shared" si="48"/>
        <v/>
      </c>
      <c r="O225" t="str">
        <f t="shared" si="49"/>
        <v/>
      </c>
      <c r="P225" t="str">
        <f t="shared" si="50"/>
        <v/>
      </c>
      <c r="Q225" t="str">
        <f t="shared" si="51"/>
        <v/>
      </c>
      <c r="S225" t="str">
        <f>""</f>
        <v/>
      </c>
      <c r="AL225" s="18" t="str">
        <f>IF(COUNTIF($A$2:A224, A224) = 1, A224, "")</f>
        <v/>
      </c>
    </row>
    <row r="226" spans="6:38" x14ac:dyDescent="0.2">
      <c r="F226" t="str">
        <f t="shared" si="46"/>
        <v/>
      </c>
      <c r="L226" s="7" t="str">
        <f t="shared" si="47"/>
        <v/>
      </c>
      <c r="N226" s="7" t="str">
        <f t="shared" si="48"/>
        <v/>
      </c>
      <c r="O226" t="str">
        <f t="shared" si="49"/>
        <v/>
      </c>
      <c r="P226" t="str">
        <f t="shared" si="50"/>
        <v/>
      </c>
      <c r="Q226" t="str">
        <f t="shared" si="51"/>
        <v/>
      </c>
      <c r="S226" t="str">
        <f>""</f>
        <v/>
      </c>
      <c r="AL226" s="18" t="str">
        <f>IF(COUNTIF($A$2:A225, A225) = 1, A225, "")</f>
        <v/>
      </c>
    </row>
    <row r="227" spans="6:38" x14ac:dyDescent="0.2">
      <c r="F227" t="str">
        <f t="shared" si="46"/>
        <v/>
      </c>
      <c r="L227" s="7" t="str">
        <f t="shared" si="47"/>
        <v/>
      </c>
      <c r="N227" s="7" t="str">
        <f t="shared" si="48"/>
        <v/>
      </c>
      <c r="O227" t="str">
        <f t="shared" si="49"/>
        <v/>
      </c>
      <c r="P227" t="str">
        <f t="shared" si="50"/>
        <v/>
      </c>
      <c r="Q227" t="str">
        <f t="shared" si="51"/>
        <v/>
      </c>
      <c r="S227" t="str">
        <f>""</f>
        <v/>
      </c>
      <c r="AL227" s="18" t="str">
        <f>IF(COUNTIF($A$2:A226, A226) = 1, A226, "")</f>
        <v/>
      </c>
    </row>
    <row r="228" spans="6:38" x14ac:dyDescent="0.2">
      <c r="F228" t="str">
        <f t="shared" si="46"/>
        <v/>
      </c>
      <c r="L228" s="7" t="str">
        <f t="shared" si="47"/>
        <v/>
      </c>
      <c r="N228" s="7" t="str">
        <f t="shared" si="48"/>
        <v/>
      </c>
      <c r="O228" t="str">
        <f t="shared" si="49"/>
        <v/>
      </c>
      <c r="P228" t="str">
        <f t="shared" si="50"/>
        <v/>
      </c>
      <c r="Q228" t="str">
        <f t="shared" si="51"/>
        <v/>
      </c>
      <c r="S228" t="str">
        <f>""</f>
        <v/>
      </c>
      <c r="AL228" s="18" t="str">
        <f>IF(COUNTIF($A$2:A227, A227) = 1, A227, "")</f>
        <v/>
      </c>
    </row>
    <row r="229" spans="6:38" x14ac:dyDescent="0.2">
      <c r="F229" t="str">
        <f t="shared" si="46"/>
        <v/>
      </c>
      <c r="L229" s="7" t="str">
        <f t="shared" si="47"/>
        <v/>
      </c>
      <c r="N229" s="7" t="str">
        <f t="shared" si="48"/>
        <v/>
      </c>
      <c r="O229" t="str">
        <f t="shared" si="49"/>
        <v/>
      </c>
      <c r="P229" t="str">
        <f t="shared" si="50"/>
        <v/>
      </c>
      <c r="Q229" t="str">
        <f t="shared" si="51"/>
        <v/>
      </c>
      <c r="S229" t="str">
        <f>""</f>
        <v/>
      </c>
      <c r="AL229" s="18" t="str">
        <f>IF(COUNTIF($A$2:A228, A228) = 1, A228, "")</f>
        <v/>
      </c>
    </row>
    <row r="230" spans="6:38" x14ac:dyDescent="0.2">
      <c r="F230" t="str">
        <f t="shared" si="46"/>
        <v/>
      </c>
      <c r="L230" s="7" t="str">
        <f t="shared" si="47"/>
        <v/>
      </c>
      <c r="N230" s="7" t="str">
        <f t="shared" si="48"/>
        <v/>
      </c>
      <c r="O230" t="str">
        <f t="shared" si="49"/>
        <v/>
      </c>
      <c r="P230" t="str">
        <f t="shared" si="50"/>
        <v/>
      </c>
      <c r="Q230" t="str">
        <f t="shared" si="51"/>
        <v/>
      </c>
      <c r="S230" t="str">
        <f>""</f>
        <v/>
      </c>
      <c r="AL230" s="18" t="str">
        <f>IF(COUNTIF($A$2:A229, A229) = 1, A229, "")</f>
        <v/>
      </c>
    </row>
    <row r="231" spans="6:38" x14ac:dyDescent="0.2">
      <c r="F231" t="str">
        <f t="shared" si="46"/>
        <v/>
      </c>
      <c r="L231" s="7" t="str">
        <f t="shared" si="47"/>
        <v/>
      </c>
      <c r="N231" s="7" t="str">
        <f t="shared" si="48"/>
        <v/>
      </c>
      <c r="O231" t="str">
        <f t="shared" si="49"/>
        <v/>
      </c>
      <c r="P231" t="str">
        <f t="shared" si="50"/>
        <v/>
      </c>
      <c r="Q231" t="str">
        <f t="shared" si="51"/>
        <v/>
      </c>
      <c r="S231" t="str">
        <f>""</f>
        <v/>
      </c>
      <c r="AL231" s="18" t="str">
        <f>IF(COUNTIF($A$2:A230, A230) = 1, A230, "")</f>
        <v/>
      </c>
    </row>
    <row r="232" spans="6:38" x14ac:dyDescent="0.2">
      <c r="F232" t="str">
        <f t="shared" si="46"/>
        <v/>
      </c>
      <c r="L232" s="7" t="str">
        <f t="shared" si="47"/>
        <v/>
      </c>
      <c r="N232" s="7" t="str">
        <f t="shared" si="48"/>
        <v/>
      </c>
      <c r="O232" t="str">
        <f t="shared" si="49"/>
        <v/>
      </c>
      <c r="P232" t="str">
        <f t="shared" si="50"/>
        <v/>
      </c>
      <c r="Q232" t="str">
        <f t="shared" si="51"/>
        <v/>
      </c>
      <c r="S232" t="str">
        <f>""</f>
        <v/>
      </c>
      <c r="AL232" s="18" t="str">
        <f>IF(COUNTIF($A$2:A231, A231) = 1, A231, "")</f>
        <v/>
      </c>
    </row>
    <row r="233" spans="6:38" x14ac:dyDescent="0.2">
      <c r="F233" t="str">
        <f t="shared" si="46"/>
        <v/>
      </c>
      <c r="L233" s="7" t="str">
        <f t="shared" si="47"/>
        <v/>
      </c>
      <c r="N233" s="7" t="str">
        <f t="shared" si="48"/>
        <v/>
      </c>
      <c r="O233" t="str">
        <f t="shared" si="49"/>
        <v/>
      </c>
      <c r="P233" t="str">
        <f t="shared" si="50"/>
        <v/>
      </c>
      <c r="Q233" t="str">
        <f t="shared" si="51"/>
        <v/>
      </c>
      <c r="S233" t="str">
        <f>""</f>
        <v/>
      </c>
      <c r="AL233" s="18" t="str">
        <f>IF(COUNTIF($A$2:A232, A232) = 1, A232, "")</f>
        <v/>
      </c>
    </row>
    <row r="234" spans="6:38" x14ac:dyDescent="0.2">
      <c r="F234" t="str">
        <f t="shared" si="46"/>
        <v/>
      </c>
      <c r="L234" s="7" t="str">
        <f t="shared" si="47"/>
        <v/>
      </c>
      <c r="N234" s="7" t="str">
        <f t="shared" si="48"/>
        <v/>
      </c>
      <c r="O234" t="str">
        <f t="shared" si="49"/>
        <v/>
      </c>
      <c r="P234" t="str">
        <f t="shared" si="50"/>
        <v/>
      </c>
      <c r="Q234" t="str">
        <f t="shared" si="51"/>
        <v/>
      </c>
      <c r="S234" t="str">
        <f>""</f>
        <v/>
      </c>
      <c r="AL234" s="18" t="str">
        <f>IF(COUNTIF($A$2:A233, A233) = 1, A233, "")</f>
        <v/>
      </c>
    </row>
    <row r="235" spans="6:38" x14ac:dyDescent="0.2">
      <c r="F235" t="str">
        <f t="shared" si="46"/>
        <v/>
      </c>
      <c r="L235" s="7" t="str">
        <f t="shared" si="47"/>
        <v/>
      </c>
      <c r="N235" s="7" t="str">
        <f t="shared" si="48"/>
        <v/>
      </c>
      <c r="O235" t="str">
        <f t="shared" si="49"/>
        <v/>
      </c>
      <c r="P235" t="str">
        <f t="shared" si="50"/>
        <v/>
      </c>
      <c r="Q235" t="str">
        <f t="shared" si="51"/>
        <v/>
      </c>
      <c r="S235" t="str">
        <f>""</f>
        <v/>
      </c>
      <c r="AL235" s="18" t="str">
        <f>IF(COUNTIF($A$2:A234, A234) = 1, A234, "")</f>
        <v/>
      </c>
    </row>
    <row r="236" spans="6:38" x14ac:dyDescent="0.2">
      <c r="F236" t="str">
        <f t="shared" si="46"/>
        <v/>
      </c>
      <c r="L236" s="7" t="str">
        <f t="shared" si="47"/>
        <v/>
      </c>
      <c r="N236" s="7" t="str">
        <f t="shared" si="48"/>
        <v/>
      </c>
      <c r="O236" t="str">
        <f t="shared" si="49"/>
        <v/>
      </c>
      <c r="P236" t="str">
        <f t="shared" si="50"/>
        <v/>
      </c>
      <c r="Q236" t="str">
        <f t="shared" si="51"/>
        <v/>
      </c>
      <c r="S236" t="str">
        <f>""</f>
        <v/>
      </c>
      <c r="AL236" s="18" t="str">
        <f>IF(COUNTIF($A$2:A235, A235) = 1, A235, "")</f>
        <v/>
      </c>
    </row>
    <row r="237" spans="6:38" x14ac:dyDescent="0.2">
      <c r="F237" t="str">
        <f t="shared" si="46"/>
        <v/>
      </c>
      <c r="L237" s="7" t="str">
        <f t="shared" si="47"/>
        <v/>
      </c>
      <c r="N237" s="7" t="str">
        <f t="shared" si="48"/>
        <v/>
      </c>
      <c r="O237" t="str">
        <f t="shared" si="49"/>
        <v/>
      </c>
      <c r="P237" t="str">
        <f t="shared" si="50"/>
        <v/>
      </c>
      <c r="Q237" t="str">
        <f t="shared" si="51"/>
        <v/>
      </c>
      <c r="S237" t="str">
        <f>""</f>
        <v/>
      </c>
      <c r="AL237" s="18" t="str">
        <f>IF(COUNTIF($A$2:A236, A236) = 1, A236, "")</f>
        <v/>
      </c>
    </row>
    <row r="238" spans="6:38" x14ac:dyDescent="0.2">
      <c r="F238" t="str">
        <f t="shared" si="46"/>
        <v/>
      </c>
      <c r="L238" s="7" t="str">
        <f t="shared" si="47"/>
        <v/>
      </c>
      <c r="N238" s="7" t="str">
        <f t="shared" si="48"/>
        <v/>
      </c>
      <c r="O238" t="str">
        <f t="shared" si="49"/>
        <v/>
      </c>
      <c r="P238" t="str">
        <f t="shared" si="50"/>
        <v/>
      </c>
      <c r="Q238" t="str">
        <f t="shared" si="51"/>
        <v/>
      </c>
      <c r="S238" t="str">
        <f>""</f>
        <v/>
      </c>
      <c r="AL238" s="18" t="str">
        <f>IF(COUNTIF($A$2:A237, A237) = 1, A237, "")</f>
        <v/>
      </c>
    </row>
    <row r="239" spans="6:38" x14ac:dyDescent="0.2">
      <c r="F239" t="str">
        <f t="shared" si="46"/>
        <v/>
      </c>
      <c r="L239" s="7" t="str">
        <f t="shared" si="47"/>
        <v/>
      </c>
      <c r="N239" s="7" t="str">
        <f t="shared" si="48"/>
        <v/>
      </c>
      <c r="O239" t="str">
        <f t="shared" si="49"/>
        <v/>
      </c>
      <c r="P239" t="str">
        <f t="shared" si="50"/>
        <v/>
      </c>
      <c r="Q239" t="str">
        <f t="shared" si="51"/>
        <v/>
      </c>
      <c r="S239" t="str">
        <f>""</f>
        <v/>
      </c>
      <c r="AL239" s="18" t="str">
        <f>IF(COUNTIF($A$2:A238, A238) = 1, A238, "")</f>
        <v/>
      </c>
    </row>
    <row r="240" spans="6:38" x14ac:dyDescent="0.2">
      <c r="F240" t="str">
        <f t="shared" si="46"/>
        <v/>
      </c>
      <c r="L240" s="7" t="str">
        <f t="shared" si="47"/>
        <v/>
      </c>
      <c r="N240" s="7" t="str">
        <f t="shared" si="48"/>
        <v/>
      </c>
      <c r="O240" t="str">
        <f t="shared" si="49"/>
        <v/>
      </c>
      <c r="P240" t="str">
        <f t="shared" si="50"/>
        <v/>
      </c>
      <c r="Q240" t="str">
        <f t="shared" si="51"/>
        <v/>
      </c>
      <c r="S240" t="str">
        <f>""</f>
        <v/>
      </c>
      <c r="AL240" s="18" t="str">
        <f>IF(COUNTIF($A$2:A239, A239) = 1, A239, "")</f>
        <v/>
      </c>
    </row>
    <row r="241" spans="6:38" x14ac:dyDescent="0.2">
      <c r="F241" t="str">
        <f t="shared" si="46"/>
        <v/>
      </c>
      <c r="L241" s="7" t="str">
        <f t="shared" si="47"/>
        <v/>
      </c>
      <c r="N241" s="7" t="str">
        <f t="shared" si="48"/>
        <v/>
      </c>
      <c r="O241" t="str">
        <f t="shared" si="49"/>
        <v/>
      </c>
      <c r="P241" t="str">
        <f t="shared" si="50"/>
        <v/>
      </c>
      <c r="Q241" t="str">
        <f t="shared" si="51"/>
        <v/>
      </c>
      <c r="S241" t="str">
        <f>""</f>
        <v/>
      </c>
      <c r="AL241" s="18" t="str">
        <f>IF(COUNTIF($A$2:A240, A240) = 1, A240, "")</f>
        <v/>
      </c>
    </row>
    <row r="242" spans="6:38" x14ac:dyDescent="0.2">
      <c r="F242" t="str">
        <f t="shared" si="46"/>
        <v/>
      </c>
      <c r="L242" s="7" t="str">
        <f t="shared" si="47"/>
        <v/>
      </c>
      <c r="N242" s="7" t="str">
        <f t="shared" si="48"/>
        <v/>
      </c>
      <c r="O242" t="str">
        <f t="shared" si="49"/>
        <v/>
      </c>
      <c r="P242" t="str">
        <f t="shared" si="50"/>
        <v/>
      </c>
      <c r="Q242" t="str">
        <f t="shared" si="51"/>
        <v/>
      </c>
      <c r="S242" t="str">
        <f>""</f>
        <v/>
      </c>
      <c r="AL242" s="18" t="str">
        <f>IF(COUNTIF($A$2:A241, A241) = 1, A241, "")</f>
        <v/>
      </c>
    </row>
    <row r="243" spans="6:38" x14ac:dyDescent="0.2">
      <c r="F243" t="str">
        <f t="shared" si="46"/>
        <v/>
      </c>
      <c r="L243" s="7" t="str">
        <f t="shared" si="47"/>
        <v/>
      </c>
      <c r="N243" s="7" t="str">
        <f t="shared" si="48"/>
        <v/>
      </c>
      <c r="O243" t="str">
        <f t="shared" si="49"/>
        <v/>
      </c>
      <c r="P243" t="str">
        <f t="shared" si="50"/>
        <v/>
      </c>
      <c r="Q243" t="str">
        <f t="shared" si="51"/>
        <v/>
      </c>
      <c r="S243" t="str">
        <f>""</f>
        <v/>
      </c>
      <c r="AL243" s="18" t="str">
        <f>IF(COUNTIF($A$2:A242, A242) = 1, A242, "")</f>
        <v/>
      </c>
    </row>
    <row r="244" spans="6:38" x14ac:dyDescent="0.2">
      <c r="F244" t="str">
        <f t="shared" si="46"/>
        <v/>
      </c>
      <c r="L244" s="7" t="str">
        <f t="shared" si="47"/>
        <v/>
      </c>
      <c r="N244" s="7" t="str">
        <f t="shared" si="48"/>
        <v/>
      </c>
      <c r="O244" t="str">
        <f t="shared" si="49"/>
        <v/>
      </c>
      <c r="P244" t="str">
        <f t="shared" si="50"/>
        <v/>
      </c>
      <c r="Q244" t="str">
        <f t="shared" si="51"/>
        <v/>
      </c>
      <c r="S244" t="str">
        <f>""</f>
        <v/>
      </c>
      <c r="AL244" s="18" t="str">
        <f>IF(COUNTIF($A$2:A243, A243) = 1, A243, "")</f>
        <v/>
      </c>
    </row>
    <row r="245" spans="6:38" x14ac:dyDescent="0.2">
      <c r="F245" t="str">
        <f t="shared" si="46"/>
        <v/>
      </c>
      <c r="L245" s="7" t="str">
        <f t="shared" si="47"/>
        <v/>
      </c>
      <c r="N245" s="7" t="str">
        <f t="shared" si="48"/>
        <v/>
      </c>
      <c r="O245" t="str">
        <f t="shared" si="49"/>
        <v/>
      </c>
      <c r="P245" t="str">
        <f t="shared" si="50"/>
        <v/>
      </c>
      <c r="Q245" t="str">
        <f t="shared" si="51"/>
        <v/>
      </c>
      <c r="S245" t="str">
        <f>""</f>
        <v/>
      </c>
      <c r="AL245" s="18" t="str">
        <f>IF(COUNTIF($A$2:A244, A244) = 1, A244, "")</f>
        <v/>
      </c>
    </row>
    <row r="246" spans="6:38" x14ac:dyDescent="0.2">
      <c r="F246" t="str">
        <f t="shared" si="46"/>
        <v/>
      </c>
      <c r="L246" s="7" t="str">
        <f t="shared" si="47"/>
        <v/>
      </c>
      <c r="N246" s="7" t="str">
        <f t="shared" si="48"/>
        <v/>
      </c>
      <c r="O246" t="str">
        <f t="shared" si="49"/>
        <v/>
      </c>
      <c r="P246" t="str">
        <f t="shared" si="50"/>
        <v/>
      </c>
      <c r="Q246" t="str">
        <f t="shared" si="51"/>
        <v/>
      </c>
      <c r="S246" t="str">
        <f>""</f>
        <v/>
      </c>
      <c r="AL246" s="18" t="str">
        <f>IF(COUNTIF($A$2:A245, A245) = 1, A245, "")</f>
        <v/>
      </c>
    </row>
    <row r="247" spans="6:38" x14ac:dyDescent="0.2">
      <c r="F247" t="str">
        <f t="shared" si="46"/>
        <v/>
      </c>
      <c r="L247" s="7" t="str">
        <f t="shared" si="47"/>
        <v/>
      </c>
      <c r="N247" s="7" t="str">
        <f t="shared" si="48"/>
        <v/>
      </c>
      <c r="O247" t="str">
        <f t="shared" si="49"/>
        <v/>
      </c>
      <c r="P247" t="str">
        <f t="shared" si="50"/>
        <v/>
      </c>
      <c r="Q247" t="str">
        <f t="shared" si="51"/>
        <v/>
      </c>
      <c r="S247" t="str">
        <f>""</f>
        <v/>
      </c>
      <c r="AL247" s="18" t="str">
        <f>IF(COUNTIF($A$2:A246, A246) = 1, A246, "")</f>
        <v/>
      </c>
    </row>
    <row r="248" spans="6:38" x14ac:dyDescent="0.2">
      <c r="F248" t="str">
        <f t="shared" si="46"/>
        <v/>
      </c>
      <c r="L248" s="7" t="str">
        <f t="shared" si="47"/>
        <v/>
      </c>
      <c r="N248" s="7" t="str">
        <f t="shared" si="48"/>
        <v/>
      </c>
      <c r="O248" t="str">
        <f t="shared" si="49"/>
        <v/>
      </c>
      <c r="P248" t="str">
        <f t="shared" si="50"/>
        <v/>
      </c>
      <c r="Q248" t="str">
        <f t="shared" si="51"/>
        <v/>
      </c>
      <c r="S248" t="str">
        <f>""</f>
        <v/>
      </c>
      <c r="AL248" s="18" t="str">
        <f>IF(COUNTIF($A$2:A247, A247) = 1, A247, "")</f>
        <v/>
      </c>
    </row>
    <row r="249" spans="6:38" x14ac:dyDescent="0.2">
      <c r="F249" t="str">
        <f t="shared" si="46"/>
        <v/>
      </c>
      <c r="L249" s="7" t="str">
        <f t="shared" si="47"/>
        <v/>
      </c>
      <c r="N249" s="7" t="str">
        <f t="shared" si="48"/>
        <v/>
      </c>
      <c r="O249" t="str">
        <f t="shared" si="49"/>
        <v/>
      </c>
      <c r="P249" t="str">
        <f t="shared" si="50"/>
        <v/>
      </c>
      <c r="Q249" t="str">
        <f t="shared" si="51"/>
        <v/>
      </c>
      <c r="S249" t="str">
        <f>""</f>
        <v/>
      </c>
      <c r="AL249" s="18" t="str">
        <f>IF(COUNTIF($A$2:A248, A248) = 1, A248, "")</f>
        <v/>
      </c>
    </row>
    <row r="250" spans="6:38" x14ac:dyDescent="0.2">
      <c r="F250" t="str">
        <f t="shared" si="46"/>
        <v/>
      </c>
      <c r="L250" s="7" t="str">
        <f t="shared" si="47"/>
        <v/>
      </c>
      <c r="N250" s="7" t="str">
        <f t="shared" si="48"/>
        <v/>
      </c>
      <c r="O250" t="str">
        <f t="shared" si="49"/>
        <v/>
      </c>
      <c r="P250" t="str">
        <f t="shared" si="50"/>
        <v/>
      </c>
      <c r="Q250" t="str">
        <f t="shared" si="51"/>
        <v/>
      </c>
      <c r="S250" t="str">
        <f>""</f>
        <v/>
      </c>
      <c r="AL250" s="18" t="str">
        <f>IF(COUNTIF($A$2:A249, A249) = 1, A249, "")</f>
        <v/>
      </c>
    </row>
    <row r="251" spans="6:38" x14ac:dyDescent="0.2">
      <c r="F251" t="str">
        <f t="shared" si="46"/>
        <v/>
      </c>
      <c r="L251" s="7" t="str">
        <f t="shared" si="47"/>
        <v/>
      </c>
      <c r="N251" s="7" t="str">
        <f t="shared" si="48"/>
        <v/>
      </c>
      <c r="O251" t="str">
        <f t="shared" si="49"/>
        <v/>
      </c>
      <c r="P251" t="str">
        <f t="shared" si="50"/>
        <v/>
      </c>
      <c r="Q251" t="str">
        <f t="shared" si="51"/>
        <v/>
      </c>
      <c r="S251" t="str">
        <f>""</f>
        <v/>
      </c>
      <c r="AL251" s="18" t="str">
        <f>IF(COUNTIF($A$2:A250, A250) = 1, A250, "")</f>
        <v/>
      </c>
    </row>
    <row r="252" spans="6:38" x14ac:dyDescent="0.2">
      <c r="F252" t="str">
        <f t="shared" si="46"/>
        <v/>
      </c>
      <c r="L252" s="7" t="str">
        <f t="shared" si="47"/>
        <v/>
      </c>
      <c r="N252" s="7" t="str">
        <f t="shared" si="48"/>
        <v/>
      </c>
      <c r="O252" t="str">
        <f t="shared" si="49"/>
        <v/>
      </c>
      <c r="P252" t="str">
        <f t="shared" si="50"/>
        <v/>
      </c>
      <c r="Q252" t="str">
        <f t="shared" si="51"/>
        <v/>
      </c>
      <c r="S252" t="str">
        <f>""</f>
        <v/>
      </c>
      <c r="AL252" s="18" t="str">
        <f>IF(COUNTIF($A$2:A251, A251) = 1, A251, "")</f>
        <v/>
      </c>
    </row>
    <row r="253" spans="6:38" x14ac:dyDescent="0.2">
      <c r="F253" t="str">
        <f t="shared" si="46"/>
        <v/>
      </c>
      <c r="L253" s="7" t="str">
        <f t="shared" si="47"/>
        <v/>
      </c>
      <c r="N253" s="7" t="str">
        <f t="shared" si="48"/>
        <v/>
      </c>
      <c r="O253" t="str">
        <f t="shared" si="49"/>
        <v/>
      </c>
      <c r="P253" t="str">
        <f t="shared" si="50"/>
        <v/>
      </c>
      <c r="Q253" t="str">
        <f t="shared" si="51"/>
        <v/>
      </c>
      <c r="S253" t="str">
        <f>""</f>
        <v/>
      </c>
      <c r="AL253" s="18" t="str">
        <f>IF(COUNTIF($A$2:A252, A252) = 1, A252, "")</f>
        <v/>
      </c>
    </row>
    <row r="254" spans="6:38" x14ac:dyDescent="0.2">
      <c r="F254" t="str">
        <f t="shared" si="46"/>
        <v/>
      </c>
      <c r="L254" s="7" t="str">
        <f t="shared" si="47"/>
        <v/>
      </c>
      <c r="N254" s="7" t="str">
        <f t="shared" si="48"/>
        <v/>
      </c>
      <c r="O254" t="str">
        <f t="shared" si="49"/>
        <v/>
      </c>
      <c r="P254" t="str">
        <f t="shared" si="50"/>
        <v/>
      </c>
      <c r="Q254" t="str">
        <f t="shared" si="51"/>
        <v/>
      </c>
      <c r="S254" t="str">
        <f>""</f>
        <v/>
      </c>
      <c r="AL254" s="18" t="str">
        <f>IF(COUNTIF($A$2:A253, A253) = 1, A253, "")</f>
        <v/>
      </c>
    </row>
    <row r="255" spans="6:38" x14ac:dyDescent="0.2">
      <c r="F255" t="str">
        <f t="shared" si="46"/>
        <v/>
      </c>
      <c r="L255" s="7" t="str">
        <f t="shared" si="47"/>
        <v/>
      </c>
      <c r="N255" s="7" t="str">
        <f t="shared" si="48"/>
        <v/>
      </c>
      <c r="O255" t="str">
        <f t="shared" si="49"/>
        <v/>
      </c>
      <c r="P255" t="str">
        <f t="shared" si="50"/>
        <v/>
      </c>
      <c r="Q255" t="str">
        <f t="shared" si="51"/>
        <v/>
      </c>
      <c r="S255" t="str">
        <f>""</f>
        <v/>
      </c>
      <c r="AL255" s="18" t="str">
        <f>IF(COUNTIF($A$2:A254, A254) = 1, A254, "")</f>
        <v/>
      </c>
    </row>
    <row r="256" spans="6:38" x14ac:dyDescent="0.2">
      <c r="F256" t="str">
        <f t="shared" si="46"/>
        <v/>
      </c>
      <c r="L256" s="7" t="str">
        <f t="shared" si="47"/>
        <v/>
      </c>
      <c r="N256" s="7" t="str">
        <f t="shared" si="48"/>
        <v/>
      </c>
      <c r="O256" t="str">
        <f t="shared" si="49"/>
        <v/>
      </c>
      <c r="P256" t="str">
        <f t="shared" si="50"/>
        <v/>
      </c>
      <c r="Q256" t="str">
        <f t="shared" si="51"/>
        <v/>
      </c>
      <c r="S256" t="str">
        <f>""</f>
        <v/>
      </c>
      <c r="AL256" s="18" t="str">
        <f>IF(COUNTIF($A$2:A255, A255) = 1, A255, "")</f>
        <v/>
      </c>
    </row>
    <row r="257" spans="6:38" x14ac:dyDescent="0.2">
      <c r="F257" t="str">
        <f t="shared" si="46"/>
        <v/>
      </c>
      <c r="L257" s="7" t="str">
        <f t="shared" si="47"/>
        <v/>
      </c>
      <c r="N257" s="7" t="str">
        <f t="shared" si="48"/>
        <v/>
      </c>
      <c r="O257" t="str">
        <f t="shared" si="49"/>
        <v/>
      </c>
      <c r="P257" t="str">
        <f t="shared" si="50"/>
        <v/>
      </c>
      <c r="Q257" t="str">
        <f t="shared" si="51"/>
        <v/>
      </c>
      <c r="S257" t="str">
        <f>""</f>
        <v/>
      </c>
      <c r="AL257" s="18" t="str">
        <f>IF(COUNTIF($A$2:A256, A256) = 1, A256, "")</f>
        <v/>
      </c>
    </row>
    <row r="258" spans="6:38" x14ac:dyDescent="0.2">
      <c r="F258" t="str">
        <f t="shared" si="46"/>
        <v/>
      </c>
      <c r="L258" s="7" t="str">
        <f t="shared" si="47"/>
        <v/>
      </c>
      <c r="N258" s="7" t="str">
        <f t="shared" si="48"/>
        <v/>
      </c>
      <c r="O258" t="str">
        <f t="shared" si="49"/>
        <v/>
      </c>
      <c r="P258" t="str">
        <f t="shared" si="50"/>
        <v/>
      </c>
      <c r="Q258" t="str">
        <f t="shared" si="51"/>
        <v/>
      </c>
      <c r="S258" t="str">
        <f>""</f>
        <v/>
      </c>
      <c r="AL258" s="18" t="str">
        <f>IF(COUNTIF($A$2:A257, A257) = 1, A257, "")</f>
        <v/>
      </c>
    </row>
    <row r="259" spans="6:38" x14ac:dyDescent="0.2">
      <c r="F259" t="str">
        <f t="shared" si="46"/>
        <v/>
      </c>
      <c r="L259" s="7" t="str">
        <f t="shared" si="47"/>
        <v/>
      </c>
      <c r="N259" s="7" t="str">
        <f t="shared" si="48"/>
        <v/>
      </c>
      <c r="O259" t="str">
        <f t="shared" si="49"/>
        <v/>
      </c>
      <c r="P259" t="str">
        <f t="shared" si="50"/>
        <v/>
      </c>
      <c r="Q259" t="str">
        <f t="shared" si="51"/>
        <v/>
      </c>
      <c r="S259" t="str">
        <f>""</f>
        <v/>
      </c>
      <c r="AL259" s="18" t="str">
        <f>IF(COUNTIF($A$2:A258, A258) = 1, A258, "")</f>
        <v/>
      </c>
    </row>
    <row r="260" spans="6:38" x14ac:dyDescent="0.2">
      <c r="F260" t="str">
        <f t="shared" si="46"/>
        <v/>
      </c>
      <c r="L260" s="7" t="str">
        <f t="shared" si="47"/>
        <v/>
      </c>
      <c r="N260" s="7" t="str">
        <f t="shared" si="48"/>
        <v/>
      </c>
      <c r="O260" t="str">
        <f t="shared" si="49"/>
        <v/>
      </c>
      <c r="P260" t="str">
        <f t="shared" si="50"/>
        <v/>
      </c>
      <c r="Q260" t="str">
        <f t="shared" si="51"/>
        <v/>
      </c>
      <c r="S260" t="str">
        <f>""</f>
        <v/>
      </c>
      <c r="AL260" s="18" t="str">
        <f>IF(COUNTIF($A$2:A259, A259) = 1, A259, "")</f>
        <v/>
      </c>
    </row>
    <row r="261" spans="6:38" x14ac:dyDescent="0.2">
      <c r="F261" t="str">
        <f t="shared" si="46"/>
        <v/>
      </c>
      <c r="L261" s="7" t="str">
        <f t="shared" si="47"/>
        <v/>
      </c>
      <c r="N261" s="7" t="str">
        <f t="shared" si="48"/>
        <v/>
      </c>
      <c r="O261" t="str">
        <f t="shared" si="49"/>
        <v/>
      </c>
      <c r="P261" t="str">
        <f t="shared" si="50"/>
        <v/>
      </c>
      <c r="Q261" t="str">
        <f t="shared" si="51"/>
        <v/>
      </c>
      <c r="S261" t="str">
        <f>""</f>
        <v/>
      </c>
      <c r="AL261" s="18" t="str">
        <f>IF(COUNTIF($A$2:A260, A260) = 1, A260, "")</f>
        <v/>
      </c>
    </row>
    <row r="262" spans="6:38" x14ac:dyDescent="0.2">
      <c r="F262" t="str">
        <f t="shared" si="46"/>
        <v/>
      </c>
      <c r="L262" s="7" t="str">
        <f t="shared" si="47"/>
        <v/>
      </c>
      <c r="N262" s="7" t="str">
        <f t="shared" si="48"/>
        <v/>
      </c>
      <c r="O262" t="str">
        <f t="shared" si="49"/>
        <v/>
      </c>
      <c r="P262" t="str">
        <f t="shared" si="50"/>
        <v/>
      </c>
      <c r="Q262" t="str">
        <f t="shared" si="51"/>
        <v/>
      </c>
      <c r="S262" t="str">
        <f>""</f>
        <v/>
      </c>
      <c r="AL262" s="18" t="str">
        <f>IF(COUNTIF($A$2:A261, A261) = 1, A261, "")</f>
        <v/>
      </c>
    </row>
    <row r="263" spans="6:38" x14ac:dyDescent="0.2">
      <c r="F263" t="str">
        <f t="shared" si="46"/>
        <v/>
      </c>
      <c r="L263" s="7" t="str">
        <f t="shared" si="47"/>
        <v/>
      </c>
      <c r="N263" s="7" t="str">
        <f t="shared" si="48"/>
        <v/>
      </c>
      <c r="O263" t="str">
        <f t="shared" si="49"/>
        <v/>
      </c>
      <c r="P263" t="str">
        <f t="shared" si="50"/>
        <v/>
      </c>
      <c r="Q263" t="str">
        <f t="shared" si="51"/>
        <v/>
      </c>
      <c r="S263" t="str">
        <f>""</f>
        <v/>
      </c>
      <c r="AL263" s="18" t="str">
        <f>IF(COUNTIF($A$2:A262, A262) = 1, A262, "")</f>
        <v/>
      </c>
    </row>
    <row r="264" spans="6:38" x14ac:dyDescent="0.2">
      <c r="F264" t="str">
        <f t="shared" si="46"/>
        <v/>
      </c>
      <c r="L264" s="7" t="str">
        <f t="shared" si="47"/>
        <v/>
      </c>
      <c r="N264" s="7" t="str">
        <f t="shared" si="48"/>
        <v/>
      </c>
      <c r="O264" t="str">
        <f t="shared" si="49"/>
        <v/>
      </c>
      <c r="P264" t="str">
        <f t="shared" si="50"/>
        <v/>
      </c>
      <c r="Q264" t="str">
        <f t="shared" si="51"/>
        <v/>
      </c>
      <c r="S264" t="str">
        <f>""</f>
        <v/>
      </c>
      <c r="AL264" s="18" t="str">
        <f>IF(COUNTIF($A$2:A263, A263) = 1, A263, "")</f>
        <v/>
      </c>
    </row>
    <row r="265" spans="6:38" x14ac:dyDescent="0.2">
      <c r="F265" t="str">
        <f t="shared" si="46"/>
        <v/>
      </c>
      <c r="L265" s="7" t="str">
        <f t="shared" si="47"/>
        <v/>
      </c>
      <c r="N265" s="7" t="str">
        <f t="shared" si="48"/>
        <v/>
      </c>
      <c r="O265" t="str">
        <f t="shared" si="49"/>
        <v/>
      </c>
      <c r="P265" t="str">
        <f t="shared" si="50"/>
        <v/>
      </c>
      <c r="Q265" t="str">
        <f t="shared" si="51"/>
        <v/>
      </c>
      <c r="S265" t="str">
        <f>""</f>
        <v/>
      </c>
      <c r="AL265" s="18" t="str">
        <f>IF(COUNTIF($A$2:A264, A264) = 1, A264, "")</f>
        <v/>
      </c>
    </row>
    <row r="266" spans="6:38" x14ac:dyDescent="0.2">
      <c r="F266" t="str">
        <f t="shared" si="46"/>
        <v/>
      </c>
      <c r="L266" s="7" t="str">
        <f t="shared" si="47"/>
        <v/>
      </c>
      <c r="N266" s="7" t="str">
        <f t="shared" si="48"/>
        <v/>
      </c>
      <c r="O266" t="str">
        <f t="shared" si="49"/>
        <v/>
      </c>
      <c r="P266" t="str">
        <f t="shared" si="50"/>
        <v/>
      </c>
      <c r="Q266" t="str">
        <f t="shared" si="51"/>
        <v/>
      </c>
      <c r="S266" t="str">
        <f>""</f>
        <v/>
      </c>
      <c r="AL266" s="18" t="str">
        <f>IF(COUNTIF($A$2:A265, A265) = 1, A265, "")</f>
        <v/>
      </c>
    </row>
    <row r="267" spans="6:38" x14ac:dyDescent="0.2">
      <c r="F267" t="str">
        <f t="shared" si="46"/>
        <v/>
      </c>
      <c r="L267" s="7" t="str">
        <f t="shared" si="47"/>
        <v/>
      </c>
      <c r="N267" s="7" t="str">
        <f t="shared" si="48"/>
        <v/>
      </c>
      <c r="O267" t="str">
        <f t="shared" si="49"/>
        <v/>
      </c>
      <c r="P267" t="str">
        <f t="shared" si="50"/>
        <v/>
      </c>
      <c r="Q267" t="str">
        <f t="shared" si="51"/>
        <v/>
      </c>
      <c r="S267" t="str">
        <f>""</f>
        <v/>
      </c>
      <c r="AL267" s="18" t="str">
        <f>IF(COUNTIF($A$2:A266, A266) = 1, A266, "")</f>
        <v/>
      </c>
    </row>
    <row r="268" spans="6:38" x14ac:dyDescent="0.2">
      <c r="F268" t="str">
        <f t="shared" si="46"/>
        <v/>
      </c>
      <c r="L268" s="7" t="str">
        <f t="shared" si="47"/>
        <v/>
      </c>
      <c r="N268" s="7" t="str">
        <f t="shared" si="48"/>
        <v/>
      </c>
      <c r="O268" t="str">
        <f t="shared" si="49"/>
        <v/>
      </c>
      <c r="P268" t="str">
        <f t="shared" si="50"/>
        <v/>
      </c>
      <c r="Q268" t="str">
        <f t="shared" si="51"/>
        <v/>
      </c>
      <c r="S268" t="str">
        <f>""</f>
        <v/>
      </c>
      <c r="AL268" s="18" t="str">
        <f>IF(COUNTIF($A$2:A267, A267) = 1, A267, "")</f>
        <v/>
      </c>
    </row>
    <row r="269" spans="6:38" x14ac:dyDescent="0.2">
      <c r="F269" t="str">
        <f t="shared" si="46"/>
        <v/>
      </c>
      <c r="L269" s="7" t="str">
        <f t="shared" si="47"/>
        <v/>
      </c>
      <c r="N269" s="7" t="str">
        <f t="shared" si="48"/>
        <v/>
      </c>
      <c r="O269" t="str">
        <f t="shared" si="49"/>
        <v/>
      </c>
      <c r="P269" t="str">
        <f t="shared" si="50"/>
        <v/>
      </c>
      <c r="Q269" t="str">
        <f t="shared" si="51"/>
        <v/>
      </c>
      <c r="S269" t="str">
        <f>""</f>
        <v/>
      </c>
      <c r="AL269" s="18" t="str">
        <f>IF(COUNTIF($A$2:A268, A268) = 1, A268, "")</f>
        <v/>
      </c>
    </row>
    <row r="270" spans="6:38" x14ac:dyDescent="0.2">
      <c r="F270" t="str">
        <f t="shared" si="46"/>
        <v/>
      </c>
      <c r="L270" s="7" t="str">
        <f t="shared" si="47"/>
        <v/>
      </c>
      <c r="N270" s="7" t="str">
        <f t="shared" si="48"/>
        <v/>
      </c>
      <c r="O270" t="str">
        <f t="shared" si="49"/>
        <v/>
      </c>
      <c r="P270" t="str">
        <f t="shared" si="50"/>
        <v/>
      </c>
      <c r="Q270" t="str">
        <f t="shared" si="51"/>
        <v/>
      </c>
      <c r="S270" t="str">
        <f>""</f>
        <v/>
      </c>
      <c r="AL270" s="18" t="str">
        <f>IF(COUNTIF($A$2:A269, A269) = 1, A269, "")</f>
        <v/>
      </c>
    </row>
    <row r="271" spans="6:38" x14ac:dyDescent="0.2">
      <c r="F271" t="str">
        <f t="shared" si="46"/>
        <v/>
      </c>
      <c r="L271" s="7" t="str">
        <f t="shared" si="47"/>
        <v/>
      </c>
      <c r="N271" s="7" t="str">
        <f t="shared" si="48"/>
        <v/>
      </c>
      <c r="O271" t="str">
        <f t="shared" si="49"/>
        <v/>
      </c>
      <c r="P271" t="str">
        <f t="shared" si="50"/>
        <v/>
      </c>
      <c r="Q271" t="str">
        <f t="shared" si="51"/>
        <v/>
      </c>
      <c r="S271" t="str">
        <f>""</f>
        <v/>
      </c>
      <c r="AL271" s="18" t="str">
        <f>IF(COUNTIF($A$2:A270, A270) = 1, A270, "")</f>
        <v/>
      </c>
    </row>
    <row r="272" spans="6:38" x14ac:dyDescent="0.2">
      <c r="F272" t="str">
        <f t="shared" ref="F272:F335" si="52">IF(OR(O272="", P272=""), "", SUM(IF((O272&lt;&gt;"None")*(O272&lt;&gt;""),LEN(O272)-LEN(SUBSTITUTE(O272,",",""))+1,0)) + SUM(IF((P272&lt;&gt;"None")*(P272&lt;&gt;""),LEN(P272)-LEN(SUBSTITUTE(P272,",",""))+1,0)))</f>
        <v/>
      </c>
      <c r="L272" s="7" t="str">
        <f t="shared" ref="L272:L335" si="53">IF(LEN(E272)=0, "", IFERROR(IF(E272&gt;=0, K272 * (1 + E272/100) - K272, K272 / (ABS(E272)/100))+K272, ""))</f>
        <v/>
      </c>
      <c r="N272" s="7" t="str">
        <f t="shared" ref="N272:N335" si="54">IF(M272="Yes",L272-K272,IF(M272="No",-K272,""))</f>
        <v/>
      </c>
      <c r="O272" t="str">
        <f t="shared" ref="O272:O335" si="55">IF(AND(G272="No",H272="No"), "None", "")</f>
        <v/>
      </c>
      <c r="P272" t="str">
        <f t="shared" ref="P272:P335" si="56">IF(I272="No", "None", "")</f>
        <v/>
      </c>
      <c r="Q272" t="str">
        <f t="shared" ref="Q272:Q335" si="57">IF(AND(D272="Straight", M272 = "No"),IF(O272="None",P272,IF(P272="None",O272) ),"")</f>
        <v/>
      </c>
      <c r="S272" t="str">
        <f>""</f>
        <v/>
      </c>
      <c r="AL272" s="18" t="str">
        <f>IF(COUNTIF($A$2:A271, A271) = 1, A271, "")</f>
        <v/>
      </c>
    </row>
    <row r="273" spans="6:38" x14ac:dyDescent="0.2">
      <c r="F273" t="str">
        <f t="shared" si="52"/>
        <v/>
      </c>
      <c r="L273" s="7" t="str">
        <f t="shared" si="53"/>
        <v/>
      </c>
      <c r="N273" s="7" t="str">
        <f t="shared" si="54"/>
        <v/>
      </c>
      <c r="O273" t="str">
        <f t="shared" si="55"/>
        <v/>
      </c>
      <c r="P273" t="str">
        <f t="shared" si="56"/>
        <v/>
      </c>
      <c r="Q273" t="str">
        <f t="shared" si="57"/>
        <v/>
      </c>
      <c r="S273" t="str">
        <f>""</f>
        <v/>
      </c>
      <c r="AL273" s="18" t="str">
        <f>IF(COUNTIF($A$2:A272, A272) = 1, A272, "")</f>
        <v/>
      </c>
    </row>
    <row r="274" spans="6:38" x14ac:dyDescent="0.2">
      <c r="F274" t="str">
        <f t="shared" si="52"/>
        <v/>
      </c>
      <c r="L274" s="7" t="str">
        <f t="shared" si="53"/>
        <v/>
      </c>
      <c r="N274" s="7" t="str">
        <f t="shared" si="54"/>
        <v/>
      </c>
      <c r="O274" t="str">
        <f t="shared" si="55"/>
        <v/>
      </c>
      <c r="P274" t="str">
        <f t="shared" si="56"/>
        <v/>
      </c>
      <c r="Q274" t="str">
        <f t="shared" si="57"/>
        <v/>
      </c>
      <c r="S274" t="str">
        <f>""</f>
        <v/>
      </c>
      <c r="AL274" s="18" t="str">
        <f>IF(COUNTIF($A$2:A273, A273) = 1, A273, "")</f>
        <v/>
      </c>
    </row>
    <row r="275" spans="6:38" x14ac:dyDescent="0.2">
      <c r="F275" t="str">
        <f t="shared" si="52"/>
        <v/>
      </c>
      <c r="L275" s="7" t="str">
        <f t="shared" si="53"/>
        <v/>
      </c>
      <c r="N275" s="7" t="str">
        <f t="shared" si="54"/>
        <v/>
      </c>
      <c r="O275" t="str">
        <f t="shared" si="55"/>
        <v/>
      </c>
      <c r="P275" t="str">
        <f t="shared" si="56"/>
        <v/>
      </c>
      <c r="Q275" t="str">
        <f t="shared" si="57"/>
        <v/>
      </c>
      <c r="S275" t="str">
        <f>""</f>
        <v/>
      </c>
      <c r="AL275" s="18" t="str">
        <f>IF(COUNTIF($A$2:A274, A274) = 1, A274, "")</f>
        <v/>
      </c>
    </row>
    <row r="276" spans="6:38" x14ac:dyDescent="0.2">
      <c r="F276" t="str">
        <f t="shared" si="52"/>
        <v/>
      </c>
      <c r="L276" s="7" t="str">
        <f t="shared" si="53"/>
        <v/>
      </c>
      <c r="N276" s="7" t="str">
        <f t="shared" si="54"/>
        <v/>
      </c>
      <c r="O276" t="str">
        <f t="shared" si="55"/>
        <v/>
      </c>
      <c r="P276" t="str">
        <f t="shared" si="56"/>
        <v/>
      </c>
      <c r="Q276" t="str">
        <f t="shared" si="57"/>
        <v/>
      </c>
      <c r="S276" t="str">
        <f>""</f>
        <v/>
      </c>
      <c r="AL276" s="18" t="str">
        <f>IF(COUNTIF($A$2:A275, A275) = 1, A275, "")</f>
        <v/>
      </c>
    </row>
    <row r="277" spans="6:38" x14ac:dyDescent="0.2">
      <c r="F277" t="str">
        <f t="shared" si="52"/>
        <v/>
      </c>
      <c r="L277" s="7" t="str">
        <f t="shared" si="53"/>
        <v/>
      </c>
      <c r="N277" s="7" t="str">
        <f t="shared" si="54"/>
        <v/>
      </c>
      <c r="O277" t="str">
        <f t="shared" si="55"/>
        <v/>
      </c>
      <c r="P277" t="str">
        <f t="shared" si="56"/>
        <v/>
      </c>
      <c r="Q277" t="str">
        <f t="shared" si="57"/>
        <v/>
      </c>
      <c r="S277" t="str">
        <f>""</f>
        <v/>
      </c>
      <c r="AL277" s="18" t="str">
        <f>IF(COUNTIF($A$2:A276, A276) = 1, A276, "")</f>
        <v/>
      </c>
    </row>
    <row r="278" spans="6:38" x14ac:dyDescent="0.2">
      <c r="F278" t="str">
        <f t="shared" si="52"/>
        <v/>
      </c>
      <c r="L278" s="7" t="str">
        <f t="shared" si="53"/>
        <v/>
      </c>
      <c r="N278" s="7" t="str">
        <f t="shared" si="54"/>
        <v/>
      </c>
      <c r="O278" t="str">
        <f t="shared" si="55"/>
        <v/>
      </c>
      <c r="P278" t="str">
        <f t="shared" si="56"/>
        <v/>
      </c>
      <c r="Q278" t="str">
        <f t="shared" si="57"/>
        <v/>
      </c>
      <c r="S278" t="str">
        <f>""</f>
        <v/>
      </c>
      <c r="AL278" s="18" t="str">
        <f>IF(COUNTIF($A$2:A277, A277) = 1, A277, "")</f>
        <v/>
      </c>
    </row>
    <row r="279" spans="6:38" x14ac:dyDescent="0.2">
      <c r="F279" t="str">
        <f t="shared" si="52"/>
        <v/>
      </c>
      <c r="L279" s="7" t="str">
        <f t="shared" si="53"/>
        <v/>
      </c>
      <c r="N279" s="7" t="str">
        <f t="shared" si="54"/>
        <v/>
      </c>
      <c r="O279" t="str">
        <f t="shared" si="55"/>
        <v/>
      </c>
      <c r="P279" t="str">
        <f t="shared" si="56"/>
        <v/>
      </c>
      <c r="Q279" t="str">
        <f t="shared" si="57"/>
        <v/>
      </c>
      <c r="S279" t="str">
        <f>""</f>
        <v/>
      </c>
      <c r="AL279" s="18" t="str">
        <f>IF(COUNTIF($A$2:A278, A278) = 1, A278, "")</f>
        <v/>
      </c>
    </row>
    <row r="280" spans="6:38" x14ac:dyDescent="0.2">
      <c r="F280" t="str">
        <f t="shared" si="52"/>
        <v/>
      </c>
      <c r="L280" s="7" t="str">
        <f t="shared" si="53"/>
        <v/>
      </c>
      <c r="N280" s="7" t="str">
        <f t="shared" si="54"/>
        <v/>
      </c>
      <c r="O280" t="str">
        <f t="shared" si="55"/>
        <v/>
      </c>
      <c r="P280" t="str">
        <f t="shared" si="56"/>
        <v/>
      </c>
      <c r="Q280" t="str">
        <f t="shared" si="57"/>
        <v/>
      </c>
      <c r="S280" t="str">
        <f>""</f>
        <v/>
      </c>
      <c r="AL280" s="18" t="str">
        <f>IF(COUNTIF($A$2:A279, A279) = 1, A279, "")</f>
        <v/>
      </c>
    </row>
    <row r="281" spans="6:38" x14ac:dyDescent="0.2">
      <c r="F281" t="str">
        <f t="shared" si="52"/>
        <v/>
      </c>
      <c r="L281" s="7" t="str">
        <f t="shared" si="53"/>
        <v/>
      </c>
      <c r="N281" s="7" t="str">
        <f t="shared" si="54"/>
        <v/>
      </c>
      <c r="O281" t="str">
        <f t="shared" si="55"/>
        <v/>
      </c>
      <c r="P281" t="str">
        <f t="shared" si="56"/>
        <v/>
      </c>
      <c r="Q281" t="str">
        <f t="shared" si="57"/>
        <v/>
      </c>
      <c r="S281" t="str">
        <f>""</f>
        <v/>
      </c>
      <c r="AL281" s="18" t="str">
        <f>IF(COUNTIF($A$2:A280, A280) = 1, A280, "")</f>
        <v/>
      </c>
    </row>
    <row r="282" spans="6:38" x14ac:dyDescent="0.2">
      <c r="F282" t="str">
        <f t="shared" si="52"/>
        <v/>
      </c>
      <c r="L282" s="7" t="str">
        <f t="shared" si="53"/>
        <v/>
      </c>
      <c r="N282" s="7" t="str">
        <f t="shared" si="54"/>
        <v/>
      </c>
      <c r="O282" t="str">
        <f t="shared" si="55"/>
        <v/>
      </c>
      <c r="P282" t="str">
        <f t="shared" si="56"/>
        <v/>
      </c>
      <c r="Q282" t="str">
        <f t="shared" si="57"/>
        <v/>
      </c>
      <c r="S282" t="str">
        <f>""</f>
        <v/>
      </c>
      <c r="AL282" s="18" t="str">
        <f>IF(COUNTIF($A$2:A281, A281) = 1, A281, "")</f>
        <v/>
      </c>
    </row>
    <row r="283" spans="6:38" x14ac:dyDescent="0.2">
      <c r="F283" t="str">
        <f t="shared" si="52"/>
        <v/>
      </c>
      <c r="L283" s="7" t="str">
        <f t="shared" si="53"/>
        <v/>
      </c>
      <c r="N283" s="7" t="str">
        <f t="shared" si="54"/>
        <v/>
      </c>
      <c r="O283" t="str">
        <f t="shared" si="55"/>
        <v/>
      </c>
      <c r="P283" t="str">
        <f t="shared" si="56"/>
        <v/>
      </c>
      <c r="Q283" t="str">
        <f t="shared" si="57"/>
        <v/>
      </c>
      <c r="S283" t="str">
        <f>""</f>
        <v/>
      </c>
      <c r="AL283" s="18" t="str">
        <f>IF(COUNTIF($A$2:A282, A282) = 1, A282, "")</f>
        <v/>
      </c>
    </row>
    <row r="284" spans="6:38" x14ac:dyDescent="0.2">
      <c r="F284" t="str">
        <f t="shared" si="52"/>
        <v/>
      </c>
      <c r="L284" s="7" t="str">
        <f t="shared" si="53"/>
        <v/>
      </c>
      <c r="N284" s="7" t="str">
        <f t="shared" si="54"/>
        <v/>
      </c>
      <c r="O284" t="str">
        <f t="shared" si="55"/>
        <v/>
      </c>
      <c r="P284" t="str">
        <f t="shared" si="56"/>
        <v/>
      </c>
      <c r="Q284" t="str">
        <f t="shared" si="57"/>
        <v/>
      </c>
      <c r="S284" t="str">
        <f>""</f>
        <v/>
      </c>
      <c r="AL284" s="18" t="str">
        <f>IF(COUNTIF($A$2:A283, A283) = 1, A283, "")</f>
        <v/>
      </c>
    </row>
    <row r="285" spans="6:38" x14ac:dyDescent="0.2">
      <c r="F285" t="str">
        <f t="shared" si="52"/>
        <v/>
      </c>
      <c r="L285" s="7" t="str">
        <f t="shared" si="53"/>
        <v/>
      </c>
      <c r="N285" s="7" t="str">
        <f t="shared" si="54"/>
        <v/>
      </c>
      <c r="O285" t="str">
        <f t="shared" si="55"/>
        <v/>
      </c>
      <c r="P285" t="str">
        <f t="shared" si="56"/>
        <v/>
      </c>
      <c r="Q285" t="str">
        <f t="shared" si="57"/>
        <v/>
      </c>
      <c r="S285" t="str">
        <f>""</f>
        <v/>
      </c>
      <c r="AL285" s="18" t="str">
        <f>IF(COUNTIF($A$2:A284, A284) = 1, A284, "")</f>
        <v/>
      </c>
    </row>
    <row r="286" spans="6:38" x14ac:dyDescent="0.2">
      <c r="F286" t="str">
        <f t="shared" si="52"/>
        <v/>
      </c>
      <c r="L286" s="7" t="str">
        <f t="shared" si="53"/>
        <v/>
      </c>
      <c r="N286" s="7" t="str">
        <f t="shared" si="54"/>
        <v/>
      </c>
      <c r="O286" t="str">
        <f t="shared" si="55"/>
        <v/>
      </c>
      <c r="P286" t="str">
        <f t="shared" si="56"/>
        <v/>
      </c>
      <c r="Q286" t="str">
        <f t="shared" si="57"/>
        <v/>
      </c>
      <c r="S286" t="str">
        <f>""</f>
        <v/>
      </c>
      <c r="AL286" s="18" t="str">
        <f>IF(COUNTIF($A$2:A285, A285) = 1, A285, "")</f>
        <v/>
      </c>
    </row>
    <row r="287" spans="6:38" x14ac:dyDescent="0.2">
      <c r="F287" t="str">
        <f t="shared" si="52"/>
        <v/>
      </c>
      <c r="L287" s="7" t="str">
        <f t="shared" si="53"/>
        <v/>
      </c>
      <c r="N287" s="7" t="str">
        <f t="shared" si="54"/>
        <v/>
      </c>
      <c r="O287" t="str">
        <f t="shared" si="55"/>
        <v/>
      </c>
      <c r="P287" t="str">
        <f t="shared" si="56"/>
        <v/>
      </c>
      <c r="Q287" t="str">
        <f t="shared" si="57"/>
        <v/>
      </c>
      <c r="S287" t="str">
        <f>""</f>
        <v/>
      </c>
      <c r="AL287" s="18" t="str">
        <f>IF(COUNTIF($A$2:A286, A286) = 1, A286, "")</f>
        <v/>
      </c>
    </row>
    <row r="288" spans="6:38" x14ac:dyDescent="0.2">
      <c r="F288" t="str">
        <f t="shared" si="52"/>
        <v/>
      </c>
      <c r="L288" s="7" t="str">
        <f t="shared" si="53"/>
        <v/>
      </c>
      <c r="N288" s="7" t="str">
        <f t="shared" si="54"/>
        <v/>
      </c>
      <c r="O288" t="str">
        <f t="shared" si="55"/>
        <v/>
      </c>
      <c r="P288" t="str">
        <f t="shared" si="56"/>
        <v/>
      </c>
      <c r="Q288" t="str">
        <f t="shared" si="57"/>
        <v/>
      </c>
      <c r="S288" t="str">
        <f>""</f>
        <v/>
      </c>
      <c r="AL288" s="18" t="str">
        <f>IF(COUNTIF($A$2:A287, A287) = 1, A287, "")</f>
        <v/>
      </c>
    </row>
    <row r="289" spans="6:38" x14ac:dyDescent="0.2">
      <c r="F289" t="str">
        <f t="shared" si="52"/>
        <v/>
      </c>
      <c r="L289" s="7" t="str">
        <f t="shared" si="53"/>
        <v/>
      </c>
      <c r="N289" s="7" t="str">
        <f t="shared" si="54"/>
        <v/>
      </c>
      <c r="O289" t="str">
        <f t="shared" si="55"/>
        <v/>
      </c>
      <c r="P289" t="str">
        <f t="shared" si="56"/>
        <v/>
      </c>
      <c r="Q289" t="str">
        <f t="shared" si="57"/>
        <v/>
      </c>
      <c r="S289" t="str">
        <f>""</f>
        <v/>
      </c>
      <c r="AL289" s="18" t="str">
        <f>IF(COUNTIF($A$2:A288, A288) = 1, A288, "")</f>
        <v/>
      </c>
    </row>
    <row r="290" spans="6:38" x14ac:dyDescent="0.2">
      <c r="F290" t="str">
        <f t="shared" si="52"/>
        <v/>
      </c>
      <c r="L290" s="7" t="str">
        <f t="shared" si="53"/>
        <v/>
      </c>
      <c r="N290" s="7" t="str">
        <f t="shared" si="54"/>
        <v/>
      </c>
      <c r="O290" t="str">
        <f t="shared" si="55"/>
        <v/>
      </c>
      <c r="P290" t="str">
        <f t="shared" si="56"/>
        <v/>
      </c>
      <c r="Q290" t="str">
        <f t="shared" si="57"/>
        <v/>
      </c>
      <c r="S290" t="str">
        <f>""</f>
        <v/>
      </c>
      <c r="AL290" s="18" t="str">
        <f>IF(COUNTIF($A$2:A289, A289) = 1, A289, "")</f>
        <v/>
      </c>
    </row>
    <row r="291" spans="6:38" x14ac:dyDescent="0.2">
      <c r="F291" t="str">
        <f t="shared" si="52"/>
        <v/>
      </c>
      <c r="L291" s="7" t="str">
        <f t="shared" si="53"/>
        <v/>
      </c>
      <c r="N291" s="7" t="str">
        <f t="shared" si="54"/>
        <v/>
      </c>
      <c r="O291" t="str">
        <f t="shared" si="55"/>
        <v/>
      </c>
      <c r="P291" t="str">
        <f t="shared" si="56"/>
        <v/>
      </c>
      <c r="Q291" t="str">
        <f t="shared" si="57"/>
        <v/>
      </c>
      <c r="S291" t="str">
        <f>""</f>
        <v/>
      </c>
      <c r="AL291" s="18" t="str">
        <f>IF(COUNTIF($A$2:A290, A290) = 1, A290, "")</f>
        <v/>
      </c>
    </row>
    <row r="292" spans="6:38" x14ac:dyDescent="0.2">
      <c r="F292" t="str">
        <f t="shared" si="52"/>
        <v/>
      </c>
      <c r="L292" s="7" t="str">
        <f t="shared" si="53"/>
        <v/>
      </c>
      <c r="N292" s="7" t="str">
        <f t="shared" si="54"/>
        <v/>
      </c>
      <c r="O292" t="str">
        <f t="shared" si="55"/>
        <v/>
      </c>
      <c r="P292" t="str">
        <f t="shared" si="56"/>
        <v/>
      </c>
      <c r="Q292" t="str">
        <f t="shared" si="57"/>
        <v/>
      </c>
      <c r="S292" t="str">
        <f>""</f>
        <v/>
      </c>
      <c r="AL292" s="18" t="str">
        <f>IF(COUNTIF($A$2:A291, A291) = 1, A291, "")</f>
        <v/>
      </c>
    </row>
    <row r="293" spans="6:38" x14ac:dyDescent="0.2">
      <c r="F293" t="str">
        <f t="shared" si="52"/>
        <v/>
      </c>
      <c r="L293" s="7" t="str">
        <f t="shared" si="53"/>
        <v/>
      </c>
      <c r="N293" s="7" t="str">
        <f t="shared" si="54"/>
        <v/>
      </c>
      <c r="O293" t="str">
        <f t="shared" si="55"/>
        <v/>
      </c>
      <c r="P293" t="str">
        <f t="shared" si="56"/>
        <v/>
      </c>
      <c r="Q293" t="str">
        <f t="shared" si="57"/>
        <v/>
      </c>
      <c r="S293" t="str">
        <f>""</f>
        <v/>
      </c>
      <c r="AL293" s="18" t="str">
        <f>IF(COUNTIF($A$2:A292, A292) = 1, A292, "")</f>
        <v/>
      </c>
    </row>
    <row r="294" spans="6:38" x14ac:dyDescent="0.2">
      <c r="F294" t="str">
        <f t="shared" si="52"/>
        <v/>
      </c>
      <c r="L294" s="7" t="str">
        <f t="shared" si="53"/>
        <v/>
      </c>
      <c r="N294" s="7" t="str">
        <f t="shared" si="54"/>
        <v/>
      </c>
      <c r="O294" t="str">
        <f t="shared" si="55"/>
        <v/>
      </c>
      <c r="P294" t="str">
        <f t="shared" si="56"/>
        <v/>
      </c>
      <c r="Q294" t="str">
        <f t="shared" si="57"/>
        <v/>
      </c>
      <c r="S294" t="str">
        <f>""</f>
        <v/>
      </c>
      <c r="AL294" s="18" t="str">
        <f>IF(COUNTIF($A$2:A293, A293) = 1, A293, "")</f>
        <v/>
      </c>
    </row>
    <row r="295" spans="6:38" x14ac:dyDescent="0.2">
      <c r="F295" t="str">
        <f t="shared" si="52"/>
        <v/>
      </c>
      <c r="L295" s="7" t="str">
        <f t="shared" si="53"/>
        <v/>
      </c>
      <c r="N295" s="7" t="str">
        <f t="shared" si="54"/>
        <v/>
      </c>
      <c r="O295" t="str">
        <f t="shared" si="55"/>
        <v/>
      </c>
      <c r="P295" t="str">
        <f t="shared" si="56"/>
        <v/>
      </c>
      <c r="Q295" t="str">
        <f t="shared" si="57"/>
        <v/>
      </c>
      <c r="S295" t="str">
        <f>""</f>
        <v/>
      </c>
      <c r="AL295" s="18" t="str">
        <f>IF(COUNTIF($A$2:A294, A294) = 1, A294, "")</f>
        <v/>
      </c>
    </row>
    <row r="296" spans="6:38" x14ac:dyDescent="0.2">
      <c r="F296" t="str">
        <f t="shared" si="52"/>
        <v/>
      </c>
      <c r="L296" s="7" t="str">
        <f t="shared" si="53"/>
        <v/>
      </c>
      <c r="N296" s="7" t="str">
        <f t="shared" si="54"/>
        <v/>
      </c>
      <c r="O296" t="str">
        <f t="shared" si="55"/>
        <v/>
      </c>
      <c r="P296" t="str">
        <f t="shared" si="56"/>
        <v/>
      </c>
      <c r="Q296" t="str">
        <f t="shared" si="57"/>
        <v/>
      </c>
      <c r="S296" t="str">
        <f>""</f>
        <v/>
      </c>
      <c r="AL296" s="18" t="str">
        <f>IF(COUNTIF($A$2:A295, A295) = 1, A295, "")</f>
        <v/>
      </c>
    </row>
    <row r="297" spans="6:38" x14ac:dyDescent="0.2">
      <c r="F297" t="str">
        <f t="shared" si="52"/>
        <v/>
      </c>
      <c r="L297" s="7" t="str">
        <f t="shared" si="53"/>
        <v/>
      </c>
      <c r="N297" s="7" t="str">
        <f t="shared" si="54"/>
        <v/>
      </c>
      <c r="O297" t="str">
        <f t="shared" si="55"/>
        <v/>
      </c>
      <c r="P297" t="str">
        <f t="shared" si="56"/>
        <v/>
      </c>
      <c r="Q297" t="str">
        <f t="shared" si="57"/>
        <v/>
      </c>
      <c r="S297" t="str">
        <f>""</f>
        <v/>
      </c>
      <c r="AL297" s="18" t="str">
        <f>IF(COUNTIF($A$2:A296, A296) = 1, A296, "")</f>
        <v/>
      </c>
    </row>
    <row r="298" spans="6:38" x14ac:dyDescent="0.2">
      <c r="F298" t="str">
        <f t="shared" si="52"/>
        <v/>
      </c>
      <c r="L298" s="7" t="str">
        <f t="shared" si="53"/>
        <v/>
      </c>
      <c r="N298" s="7" t="str">
        <f t="shared" si="54"/>
        <v/>
      </c>
      <c r="O298" t="str">
        <f t="shared" si="55"/>
        <v/>
      </c>
      <c r="P298" t="str">
        <f t="shared" si="56"/>
        <v/>
      </c>
      <c r="Q298" t="str">
        <f t="shared" si="57"/>
        <v/>
      </c>
      <c r="S298" t="str">
        <f>""</f>
        <v/>
      </c>
      <c r="AL298" s="18" t="str">
        <f>IF(COUNTIF($A$2:A297, A297) = 1, A297, "")</f>
        <v/>
      </c>
    </row>
    <row r="299" spans="6:38" x14ac:dyDescent="0.2">
      <c r="F299" t="str">
        <f t="shared" si="52"/>
        <v/>
      </c>
      <c r="L299" s="7" t="str">
        <f t="shared" si="53"/>
        <v/>
      </c>
      <c r="N299" s="7" t="str">
        <f t="shared" si="54"/>
        <v/>
      </c>
      <c r="O299" t="str">
        <f t="shared" si="55"/>
        <v/>
      </c>
      <c r="P299" t="str">
        <f t="shared" si="56"/>
        <v/>
      </c>
      <c r="Q299" t="str">
        <f t="shared" si="57"/>
        <v/>
      </c>
      <c r="S299" t="str">
        <f>""</f>
        <v/>
      </c>
      <c r="AL299" s="18" t="str">
        <f>IF(COUNTIF($A$2:A298, A298) = 1, A298, "")</f>
        <v/>
      </c>
    </row>
    <row r="300" spans="6:38" x14ac:dyDescent="0.2">
      <c r="F300" t="str">
        <f t="shared" si="52"/>
        <v/>
      </c>
      <c r="L300" s="7" t="str">
        <f t="shared" si="53"/>
        <v/>
      </c>
      <c r="N300" s="7" t="str">
        <f t="shared" si="54"/>
        <v/>
      </c>
      <c r="O300" t="str">
        <f t="shared" si="55"/>
        <v/>
      </c>
      <c r="P300" t="str">
        <f t="shared" si="56"/>
        <v/>
      </c>
      <c r="Q300" t="str">
        <f t="shared" si="57"/>
        <v/>
      </c>
      <c r="S300" t="str">
        <f>""</f>
        <v/>
      </c>
      <c r="AL300" s="18" t="str">
        <f>IF(COUNTIF($A$2:A299, A299) = 1, A299, "")</f>
        <v/>
      </c>
    </row>
    <row r="301" spans="6:38" x14ac:dyDescent="0.2">
      <c r="F301" t="str">
        <f t="shared" si="52"/>
        <v/>
      </c>
      <c r="L301" s="7" t="str">
        <f t="shared" si="53"/>
        <v/>
      </c>
      <c r="N301" s="7" t="str">
        <f t="shared" si="54"/>
        <v/>
      </c>
      <c r="O301" t="str">
        <f t="shared" si="55"/>
        <v/>
      </c>
      <c r="P301" t="str">
        <f t="shared" si="56"/>
        <v/>
      </c>
      <c r="Q301" t="str">
        <f t="shared" si="57"/>
        <v/>
      </c>
      <c r="S301" t="str">
        <f>""</f>
        <v/>
      </c>
      <c r="AL301" s="18" t="str">
        <f>IF(COUNTIF($A$2:A300, A300) = 1, A300, "")</f>
        <v/>
      </c>
    </row>
    <row r="302" spans="6:38" x14ac:dyDescent="0.2">
      <c r="F302" t="str">
        <f t="shared" si="52"/>
        <v/>
      </c>
      <c r="L302" s="7" t="str">
        <f t="shared" si="53"/>
        <v/>
      </c>
      <c r="N302" s="7" t="str">
        <f t="shared" si="54"/>
        <v/>
      </c>
      <c r="O302" t="str">
        <f t="shared" si="55"/>
        <v/>
      </c>
      <c r="P302" t="str">
        <f t="shared" si="56"/>
        <v/>
      </c>
      <c r="Q302" t="str">
        <f t="shared" si="57"/>
        <v/>
      </c>
      <c r="S302" t="str">
        <f>""</f>
        <v/>
      </c>
      <c r="AL302" s="18" t="str">
        <f>IF(COUNTIF($A$2:A301, A301) = 1, A301, "")</f>
        <v/>
      </c>
    </row>
    <row r="303" spans="6:38" x14ac:dyDescent="0.2">
      <c r="F303" t="str">
        <f t="shared" si="52"/>
        <v/>
      </c>
      <c r="L303" s="7" t="str">
        <f t="shared" si="53"/>
        <v/>
      </c>
      <c r="N303" s="7" t="str">
        <f t="shared" si="54"/>
        <v/>
      </c>
      <c r="O303" t="str">
        <f t="shared" si="55"/>
        <v/>
      </c>
      <c r="P303" t="str">
        <f t="shared" si="56"/>
        <v/>
      </c>
      <c r="Q303" t="str">
        <f t="shared" si="57"/>
        <v/>
      </c>
      <c r="S303" t="str">
        <f>""</f>
        <v/>
      </c>
      <c r="AL303" s="18" t="str">
        <f>IF(COUNTIF($A$2:A302, A302) = 1, A302, "")</f>
        <v/>
      </c>
    </row>
    <row r="304" spans="6:38" x14ac:dyDescent="0.2">
      <c r="F304" t="str">
        <f t="shared" si="52"/>
        <v/>
      </c>
      <c r="L304" s="7" t="str">
        <f t="shared" si="53"/>
        <v/>
      </c>
      <c r="N304" s="7" t="str">
        <f t="shared" si="54"/>
        <v/>
      </c>
      <c r="O304" t="str">
        <f t="shared" si="55"/>
        <v/>
      </c>
      <c r="P304" t="str">
        <f t="shared" si="56"/>
        <v/>
      </c>
      <c r="Q304" t="str">
        <f t="shared" si="57"/>
        <v/>
      </c>
      <c r="S304" t="str">
        <f>""</f>
        <v/>
      </c>
      <c r="AL304" s="18" t="str">
        <f>IF(COUNTIF($A$2:A303, A303) = 1, A303, "")</f>
        <v/>
      </c>
    </row>
    <row r="305" spans="6:38" x14ac:dyDescent="0.2">
      <c r="F305" t="str">
        <f t="shared" si="52"/>
        <v/>
      </c>
      <c r="L305" s="7" t="str">
        <f t="shared" si="53"/>
        <v/>
      </c>
      <c r="N305" s="7" t="str">
        <f t="shared" si="54"/>
        <v/>
      </c>
      <c r="O305" t="str">
        <f t="shared" si="55"/>
        <v/>
      </c>
      <c r="P305" t="str">
        <f t="shared" si="56"/>
        <v/>
      </c>
      <c r="Q305" t="str">
        <f t="shared" si="57"/>
        <v/>
      </c>
      <c r="S305" t="str">
        <f>""</f>
        <v/>
      </c>
      <c r="AL305" s="18" t="str">
        <f>IF(COUNTIF($A$2:A304, A304) = 1, A304, "")</f>
        <v/>
      </c>
    </row>
    <row r="306" spans="6:38" x14ac:dyDescent="0.2">
      <c r="F306" t="str">
        <f t="shared" si="52"/>
        <v/>
      </c>
      <c r="L306" s="7" t="str">
        <f t="shared" si="53"/>
        <v/>
      </c>
      <c r="N306" s="7" t="str">
        <f t="shared" si="54"/>
        <v/>
      </c>
      <c r="O306" t="str">
        <f t="shared" si="55"/>
        <v/>
      </c>
      <c r="P306" t="str">
        <f t="shared" si="56"/>
        <v/>
      </c>
      <c r="Q306" t="str">
        <f t="shared" si="57"/>
        <v/>
      </c>
      <c r="S306" t="str">
        <f>""</f>
        <v/>
      </c>
      <c r="AL306" s="18" t="str">
        <f>IF(COUNTIF($A$2:A305, A305) = 1, A305, "")</f>
        <v/>
      </c>
    </row>
    <row r="307" spans="6:38" x14ac:dyDescent="0.2">
      <c r="F307" t="str">
        <f t="shared" si="52"/>
        <v/>
      </c>
      <c r="L307" s="7" t="str">
        <f t="shared" si="53"/>
        <v/>
      </c>
      <c r="N307" s="7" t="str">
        <f t="shared" si="54"/>
        <v/>
      </c>
      <c r="O307" t="str">
        <f t="shared" si="55"/>
        <v/>
      </c>
      <c r="P307" t="str">
        <f t="shared" si="56"/>
        <v/>
      </c>
      <c r="Q307" t="str">
        <f t="shared" si="57"/>
        <v/>
      </c>
      <c r="S307" t="str">
        <f>""</f>
        <v/>
      </c>
      <c r="AL307" s="18" t="str">
        <f>IF(COUNTIF($A$2:A306, A306) = 1, A306, "")</f>
        <v/>
      </c>
    </row>
    <row r="308" spans="6:38" x14ac:dyDescent="0.2">
      <c r="F308" t="str">
        <f t="shared" si="52"/>
        <v/>
      </c>
      <c r="L308" s="7" t="str">
        <f t="shared" si="53"/>
        <v/>
      </c>
      <c r="N308" s="7" t="str">
        <f t="shared" si="54"/>
        <v/>
      </c>
      <c r="O308" t="str">
        <f t="shared" si="55"/>
        <v/>
      </c>
      <c r="P308" t="str">
        <f t="shared" si="56"/>
        <v/>
      </c>
      <c r="Q308" t="str">
        <f t="shared" si="57"/>
        <v/>
      </c>
      <c r="S308" t="str">
        <f>""</f>
        <v/>
      </c>
      <c r="AL308" s="18" t="str">
        <f>IF(COUNTIF($A$2:A307, A307) = 1, A307, "")</f>
        <v/>
      </c>
    </row>
    <row r="309" spans="6:38" x14ac:dyDescent="0.2">
      <c r="F309" t="str">
        <f t="shared" si="52"/>
        <v/>
      </c>
      <c r="L309" s="7" t="str">
        <f t="shared" si="53"/>
        <v/>
      </c>
      <c r="N309" s="7" t="str">
        <f t="shared" si="54"/>
        <v/>
      </c>
      <c r="O309" t="str">
        <f t="shared" si="55"/>
        <v/>
      </c>
      <c r="P309" t="str">
        <f t="shared" si="56"/>
        <v/>
      </c>
      <c r="Q309" t="str">
        <f t="shared" si="57"/>
        <v/>
      </c>
      <c r="S309" t="str">
        <f>""</f>
        <v/>
      </c>
      <c r="AL309" s="18" t="str">
        <f>IF(COUNTIF($A$2:A308, A308) = 1, A308, "")</f>
        <v/>
      </c>
    </row>
    <row r="310" spans="6:38" x14ac:dyDescent="0.2">
      <c r="F310" t="str">
        <f t="shared" si="52"/>
        <v/>
      </c>
      <c r="L310" s="7" t="str">
        <f t="shared" si="53"/>
        <v/>
      </c>
      <c r="N310" s="7" t="str">
        <f t="shared" si="54"/>
        <v/>
      </c>
      <c r="O310" t="str">
        <f t="shared" si="55"/>
        <v/>
      </c>
      <c r="P310" t="str">
        <f t="shared" si="56"/>
        <v/>
      </c>
      <c r="Q310" t="str">
        <f t="shared" si="57"/>
        <v/>
      </c>
      <c r="S310" t="str">
        <f>""</f>
        <v/>
      </c>
      <c r="AL310" s="18" t="str">
        <f>IF(COUNTIF($A$2:A309, A309) = 1, A309, "")</f>
        <v/>
      </c>
    </row>
    <row r="311" spans="6:38" x14ac:dyDescent="0.2">
      <c r="F311" t="str">
        <f t="shared" si="52"/>
        <v/>
      </c>
      <c r="L311" s="7" t="str">
        <f t="shared" si="53"/>
        <v/>
      </c>
      <c r="N311" s="7" t="str">
        <f t="shared" si="54"/>
        <v/>
      </c>
      <c r="O311" t="str">
        <f t="shared" si="55"/>
        <v/>
      </c>
      <c r="P311" t="str">
        <f t="shared" si="56"/>
        <v/>
      </c>
      <c r="Q311" t="str">
        <f t="shared" si="57"/>
        <v/>
      </c>
      <c r="S311" t="str">
        <f>""</f>
        <v/>
      </c>
      <c r="AL311" s="18" t="str">
        <f>IF(COUNTIF($A$2:A310, A310) = 1, A310, "")</f>
        <v/>
      </c>
    </row>
    <row r="312" spans="6:38" x14ac:dyDescent="0.2">
      <c r="F312" t="str">
        <f t="shared" si="52"/>
        <v/>
      </c>
      <c r="L312" s="7" t="str">
        <f t="shared" si="53"/>
        <v/>
      </c>
      <c r="N312" s="7" t="str">
        <f t="shared" si="54"/>
        <v/>
      </c>
      <c r="O312" t="str">
        <f t="shared" si="55"/>
        <v/>
      </c>
      <c r="P312" t="str">
        <f t="shared" si="56"/>
        <v/>
      </c>
      <c r="Q312" t="str">
        <f t="shared" si="57"/>
        <v/>
      </c>
      <c r="S312" t="str">
        <f>""</f>
        <v/>
      </c>
      <c r="AL312" s="18" t="str">
        <f>IF(COUNTIF($A$2:A311, A311) = 1, A311, "")</f>
        <v/>
      </c>
    </row>
    <row r="313" spans="6:38" x14ac:dyDescent="0.2">
      <c r="F313" t="str">
        <f t="shared" si="52"/>
        <v/>
      </c>
      <c r="L313" s="7" t="str">
        <f t="shared" si="53"/>
        <v/>
      </c>
      <c r="N313" s="7" t="str">
        <f t="shared" si="54"/>
        <v/>
      </c>
      <c r="O313" t="str">
        <f t="shared" si="55"/>
        <v/>
      </c>
      <c r="P313" t="str">
        <f t="shared" si="56"/>
        <v/>
      </c>
      <c r="Q313" t="str">
        <f t="shared" si="57"/>
        <v/>
      </c>
      <c r="S313" t="str">
        <f>""</f>
        <v/>
      </c>
      <c r="AL313" s="18" t="str">
        <f>IF(COUNTIF($A$2:A312, A312) = 1, A312, "")</f>
        <v/>
      </c>
    </row>
    <row r="314" spans="6:38" x14ac:dyDescent="0.2">
      <c r="F314" t="str">
        <f t="shared" si="52"/>
        <v/>
      </c>
      <c r="L314" s="7" t="str">
        <f t="shared" si="53"/>
        <v/>
      </c>
      <c r="N314" s="7" t="str">
        <f t="shared" si="54"/>
        <v/>
      </c>
      <c r="O314" t="str">
        <f t="shared" si="55"/>
        <v/>
      </c>
      <c r="P314" t="str">
        <f t="shared" si="56"/>
        <v/>
      </c>
      <c r="Q314" t="str">
        <f t="shared" si="57"/>
        <v/>
      </c>
      <c r="S314" t="str">
        <f>""</f>
        <v/>
      </c>
      <c r="AL314" s="18" t="str">
        <f>IF(COUNTIF($A$2:A313, A313) = 1, A313, "")</f>
        <v/>
      </c>
    </row>
    <row r="315" spans="6:38" x14ac:dyDescent="0.2">
      <c r="F315" t="str">
        <f t="shared" si="52"/>
        <v/>
      </c>
      <c r="L315" s="7" t="str">
        <f t="shared" si="53"/>
        <v/>
      </c>
      <c r="N315" s="7" t="str">
        <f t="shared" si="54"/>
        <v/>
      </c>
      <c r="O315" t="str">
        <f t="shared" si="55"/>
        <v/>
      </c>
      <c r="P315" t="str">
        <f t="shared" si="56"/>
        <v/>
      </c>
      <c r="Q315" t="str">
        <f t="shared" si="57"/>
        <v/>
      </c>
      <c r="S315" t="str">
        <f>""</f>
        <v/>
      </c>
      <c r="AL315" s="18" t="str">
        <f>IF(COUNTIF($A$2:A314, A314) = 1, A314, "")</f>
        <v/>
      </c>
    </row>
    <row r="316" spans="6:38" x14ac:dyDescent="0.2">
      <c r="F316" t="str">
        <f t="shared" si="52"/>
        <v/>
      </c>
      <c r="L316" s="7" t="str">
        <f t="shared" si="53"/>
        <v/>
      </c>
      <c r="N316" s="7" t="str">
        <f t="shared" si="54"/>
        <v/>
      </c>
      <c r="O316" t="str">
        <f t="shared" si="55"/>
        <v/>
      </c>
      <c r="P316" t="str">
        <f t="shared" si="56"/>
        <v/>
      </c>
      <c r="Q316" t="str">
        <f t="shared" si="57"/>
        <v/>
      </c>
      <c r="S316" t="str">
        <f>""</f>
        <v/>
      </c>
      <c r="AL316" s="18" t="str">
        <f>IF(COUNTIF($A$2:A315, A315) = 1, A315, "")</f>
        <v/>
      </c>
    </row>
    <row r="317" spans="6:38" x14ac:dyDescent="0.2">
      <c r="F317" t="str">
        <f t="shared" si="52"/>
        <v/>
      </c>
      <c r="L317" s="7" t="str">
        <f t="shared" si="53"/>
        <v/>
      </c>
      <c r="N317" s="7" t="str">
        <f t="shared" si="54"/>
        <v/>
      </c>
      <c r="O317" t="str">
        <f t="shared" si="55"/>
        <v/>
      </c>
      <c r="P317" t="str">
        <f t="shared" si="56"/>
        <v/>
      </c>
      <c r="Q317" t="str">
        <f t="shared" si="57"/>
        <v/>
      </c>
      <c r="S317" t="str">
        <f>""</f>
        <v/>
      </c>
      <c r="AL317" s="18" t="str">
        <f>IF(COUNTIF($A$2:A316, A316) = 1, A316, "")</f>
        <v/>
      </c>
    </row>
    <row r="318" spans="6:38" x14ac:dyDescent="0.2">
      <c r="F318" t="str">
        <f t="shared" si="52"/>
        <v/>
      </c>
      <c r="L318" s="7" t="str">
        <f t="shared" si="53"/>
        <v/>
      </c>
      <c r="N318" s="7" t="str">
        <f t="shared" si="54"/>
        <v/>
      </c>
      <c r="O318" t="str">
        <f t="shared" si="55"/>
        <v/>
      </c>
      <c r="P318" t="str">
        <f t="shared" si="56"/>
        <v/>
      </c>
      <c r="Q318" t="str">
        <f t="shared" si="57"/>
        <v/>
      </c>
      <c r="S318" t="str">
        <f>""</f>
        <v/>
      </c>
      <c r="AL318" s="18" t="str">
        <f>IF(COUNTIF($A$2:A317, A317) = 1, A317, "")</f>
        <v/>
      </c>
    </row>
    <row r="319" spans="6:38" x14ac:dyDescent="0.2">
      <c r="F319" t="str">
        <f t="shared" si="52"/>
        <v/>
      </c>
      <c r="L319" s="7" t="str">
        <f t="shared" si="53"/>
        <v/>
      </c>
      <c r="N319" s="7" t="str">
        <f t="shared" si="54"/>
        <v/>
      </c>
      <c r="O319" t="str">
        <f t="shared" si="55"/>
        <v/>
      </c>
      <c r="P319" t="str">
        <f t="shared" si="56"/>
        <v/>
      </c>
      <c r="Q319" t="str">
        <f t="shared" si="57"/>
        <v/>
      </c>
      <c r="S319" t="str">
        <f>""</f>
        <v/>
      </c>
      <c r="AL319" s="18" t="str">
        <f>IF(COUNTIF($A$2:A318, A318) = 1, A318, "")</f>
        <v/>
      </c>
    </row>
    <row r="320" spans="6:38" x14ac:dyDescent="0.2">
      <c r="F320" t="str">
        <f t="shared" si="52"/>
        <v/>
      </c>
      <c r="L320" s="7" t="str">
        <f t="shared" si="53"/>
        <v/>
      </c>
      <c r="N320" s="7" t="str">
        <f t="shared" si="54"/>
        <v/>
      </c>
      <c r="O320" t="str">
        <f t="shared" si="55"/>
        <v/>
      </c>
      <c r="P320" t="str">
        <f t="shared" si="56"/>
        <v/>
      </c>
      <c r="Q320" t="str">
        <f t="shared" si="57"/>
        <v/>
      </c>
      <c r="S320" t="str">
        <f>""</f>
        <v/>
      </c>
      <c r="AL320" s="18" t="str">
        <f>IF(COUNTIF($A$2:A319, A319) = 1, A319, "")</f>
        <v/>
      </c>
    </row>
    <row r="321" spans="6:38" x14ac:dyDescent="0.2">
      <c r="F321" t="str">
        <f t="shared" si="52"/>
        <v/>
      </c>
      <c r="L321" s="7" t="str">
        <f t="shared" si="53"/>
        <v/>
      </c>
      <c r="N321" s="7" t="str">
        <f t="shared" si="54"/>
        <v/>
      </c>
      <c r="O321" t="str">
        <f t="shared" si="55"/>
        <v/>
      </c>
      <c r="P321" t="str">
        <f t="shared" si="56"/>
        <v/>
      </c>
      <c r="Q321" t="str">
        <f t="shared" si="57"/>
        <v/>
      </c>
      <c r="S321" t="str">
        <f>""</f>
        <v/>
      </c>
      <c r="AL321" s="18" t="str">
        <f>IF(COUNTIF($A$2:A320, A320) = 1, A320, "")</f>
        <v/>
      </c>
    </row>
    <row r="322" spans="6:38" x14ac:dyDescent="0.2">
      <c r="F322" t="str">
        <f t="shared" si="52"/>
        <v/>
      </c>
      <c r="L322" s="7" t="str">
        <f t="shared" si="53"/>
        <v/>
      </c>
      <c r="N322" s="7" t="str">
        <f t="shared" si="54"/>
        <v/>
      </c>
      <c r="O322" t="str">
        <f t="shared" si="55"/>
        <v/>
      </c>
      <c r="P322" t="str">
        <f t="shared" si="56"/>
        <v/>
      </c>
      <c r="Q322" t="str">
        <f t="shared" si="57"/>
        <v/>
      </c>
      <c r="S322" t="str">
        <f>""</f>
        <v/>
      </c>
      <c r="AL322" s="18" t="str">
        <f>IF(COUNTIF($A$2:A321, A321) = 1, A321, "")</f>
        <v/>
      </c>
    </row>
    <row r="323" spans="6:38" x14ac:dyDescent="0.2">
      <c r="F323" t="str">
        <f t="shared" si="52"/>
        <v/>
      </c>
      <c r="L323" s="7" t="str">
        <f t="shared" si="53"/>
        <v/>
      </c>
      <c r="N323" s="7" t="str">
        <f t="shared" si="54"/>
        <v/>
      </c>
      <c r="O323" t="str">
        <f t="shared" si="55"/>
        <v/>
      </c>
      <c r="P323" t="str">
        <f t="shared" si="56"/>
        <v/>
      </c>
      <c r="Q323" t="str">
        <f t="shared" si="57"/>
        <v/>
      </c>
      <c r="S323" t="str">
        <f>""</f>
        <v/>
      </c>
      <c r="AL323" s="18" t="str">
        <f>IF(COUNTIF($A$2:A322, A322) = 1, A322, "")</f>
        <v/>
      </c>
    </row>
    <row r="324" spans="6:38" x14ac:dyDescent="0.2">
      <c r="F324" t="str">
        <f t="shared" si="52"/>
        <v/>
      </c>
      <c r="L324" s="7" t="str">
        <f t="shared" si="53"/>
        <v/>
      </c>
      <c r="N324" s="7" t="str">
        <f t="shared" si="54"/>
        <v/>
      </c>
      <c r="O324" t="str">
        <f t="shared" si="55"/>
        <v/>
      </c>
      <c r="P324" t="str">
        <f t="shared" si="56"/>
        <v/>
      </c>
      <c r="Q324" t="str">
        <f t="shared" si="57"/>
        <v/>
      </c>
      <c r="S324" t="str">
        <f>""</f>
        <v/>
      </c>
      <c r="AL324" s="18" t="str">
        <f>IF(COUNTIF($A$2:A323, A323) = 1, A323, "")</f>
        <v/>
      </c>
    </row>
    <row r="325" spans="6:38" x14ac:dyDescent="0.2">
      <c r="F325" t="str">
        <f t="shared" si="52"/>
        <v/>
      </c>
      <c r="L325" s="7" t="str">
        <f t="shared" si="53"/>
        <v/>
      </c>
      <c r="N325" s="7" t="str">
        <f t="shared" si="54"/>
        <v/>
      </c>
      <c r="O325" t="str">
        <f t="shared" si="55"/>
        <v/>
      </c>
      <c r="P325" t="str">
        <f t="shared" si="56"/>
        <v/>
      </c>
      <c r="Q325" t="str">
        <f t="shared" si="57"/>
        <v/>
      </c>
      <c r="S325" t="str">
        <f>""</f>
        <v/>
      </c>
      <c r="AL325" s="18" t="str">
        <f>IF(COUNTIF($A$2:A324, A324) = 1, A324, "")</f>
        <v/>
      </c>
    </row>
    <row r="326" spans="6:38" x14ac:dyDescent="0.2">
      <c r="F326" t="str">
        <f t="shared" si="52"/>
        <v/>
      </c>
      <c r="L326" s="7" t="str">
        <f t="shared" si="53"/>
        <v/>
      </c>
      <c r="N326" s="7" t="str">
        <f t="shared" si="54"/>
        <v/>
      </c>
      <c r="O326" t="str">
        <f t="shared" si="55"/>
        <v/>
      </c>
      <c r="P326" t="str">
        <f t="shared" si="56"/>
        <v/>
      </c>
      <c r="Q326" t="str">
        <f t="shared" si="57"/>
        <v/>
      </c>
      <c r="S326" t="str">
        <f>""</f>
        <v/>
      </c>
      <c r="AL326" s="18" t="str">
        <f>IF(COUNTIF($A$2:A325, A325) = 1, A325, "")</f>
        <v/>
      </c>
    </row>
    <row r="327" spans="6:38" x14ac:dyDescent="0.2">
      <c r="F327" t="str">
        <f t="shared" si="52"/>
        <v/>
      </c>
      <c r="L327" s="7" t="str">
        <f t="shared" si="53"/>
        <v/>
      </c>
      <c r="N327" s="7" t="str">
        <f t="shared" si="54"/>
        <v/>
      </c>
      <c r="O327" t="str">
        <f t="shared" si="55"/>
        <v/>
      </c>
      <c r="P327" t="str">
        <f t="shared" si="56"/>
        <v/>
      </c>
      <c r="Q327" t="str">
        <f t="shared" si="57"/>
        <v/>
      </c>
      <c r="S327" t="str">
        <f>""</f>
        <v/>
      </c>
      <c r="AL327" s="18" t="str">
        <f>IF(COUNTIF($A$2:A326, A326) = 1, A326, "")</f>
        <v/>
      </c>
    </row>
    <row r="328" spans="6:38" x14ac:dyDescent="0.2">
      <c r="F328" t="str">
        <f t="shared" si="52"/>
        <v/>
      </c>
      <c r="L328" s="7" t="str">
        <f t="shared" si="53"/>
        <v/>
      </c>
      <c r="N328" s="7" t="str">
        <f t="shared" si="54"/>
        <v/>
      </c>
      <c r="O328" t="str">
        <f t="shared" si="55"/>
        <v/>
      </c>
      <c r="P328" t="str">
        <f t="shared" si="56"/>
        <v/>
      </c>
      <c r="Q328" t="str">
        <f t="shared" si="57"/>
        <v/>
      </c>
      <c r="S328" t="str">
        <f>""</f>
        <v/>
      </c>
      <c r="AL328" s="18" t="str">
        <f>IF(COUNTIF($A$2:A327, A327) = 1, A327, "")</f>
        <v/>
      </c>
    </row>
    <row r="329" spans="6:38" x14ac:dyDescent="0.2">
      <c r="F329" t="str">
        <f t="shared" si="52"/>
        <v/>
      </c>
      <c r="L329" s="7" t="str">
        <f t="shared" si="53"/>
        <v/>
      </c>
      <c r="N329" s="7" t="str">
        <f t="shared" si="54"/>
        <v/>
      </c>
      <c r="O329" t="str">
        <f t="shared" si="55"/>
        <v/>
      </c>
      <c r="P329" t="str">
        <f t="shared" si="56"/>
        <v/>
      </c>
      <c r="Q329" t="str">
        <f t="shared" si="57"/>
        <v/>
      </c>
      <c r="S329" t="str">
        <f>""</f>
        <v/>
      </c>
      <c r="AL329" s="18" t="str">
        <f>IF(COUNTIF($A$2:A328, A328) = 1, A328, "")</f>
        <v/>
      </c>
    </row>
    <row r="330" spans="6:38" x14ac:dyDescent="0.2">
      <c r="F330" t="str">
        <f t="shared" si="52"/>
        <v/>
      </c>
      <c r="L330" s="7" t="str">
        <f t="shared" si="53"/>
        <v/>
      </c>
      <c r="N330" s="7" t="str">
        <f t="shared" si="54"/>
        <v/>
      </c>
      <c r="O330" t="str">
        <f t="shared" si="55"/>
        <v/>
      </c>
      <c r="P330" t="str">
        <f t="shared" si="56"/>
        <v/>
      </c>
      <c r="Q330" t="str">
        <f t="shared" si="57"/>
        <v/>
      </c>
      <c r="S330" t="str">
        <f>""</f>
        <v/>
      </c>
      <c r="AL330" s="18" t="str">
        <f>IF(COUNTIF($A$2:A329, A329) = 1, A329, "")</f>
        <v/>
      </c>
    </row>
    <row r="331" spans="6:38" x14ac:dyDescent="0.2">
      <c r="F331" t="str">
        <f t="shared" si="52"/>
        <v/>
      </c>
      <c r="L331" s="7" t="str">
        <f t="shared" si="53"/>
        <v/>
      </c>
      <c r="N331" s="7" t="str">
        <f t="shared" si="54"/>
        <v/>
      </c>
      <c r="O331" t="str">
        <f t="shared" si="55"/>
        <v/>
      </c>
      <c r="P331" t="str">
        <f t="shared" si="56"/>
        <v/>
      </c>
      <c r="Q331" t="str">
        <f t="shared" si="57"/>
        <v/>
      </c>
      <c r="S331" t="str">
        <f>""</f>
        <v/>
      </c>
      <c r="AL331" s="18" t="str">
        <f>IF(COUNTIF($A$2:A330, A330) = 1, A330, "")</f>
        <v/>
      </c>
    </row>
    <row r="332" spans="6:38" x14ac:dyDescent="0.2">
      <c r="F332" t="str">
        <f t="shared" si="52"/>
        <v/>
      </c>
      <c r="L332" s="7" t="str">
        <f t="shared" si="53"/>
        <v/>
      </c>
      <c r="N332" s="7" t="str">
        <f t="shared" si="54"/>
        <v/>
      </c>
      <c r="O332" t="str">
        <f t="shared" si="55"/>
        <v/>
      </c>
      <c r="P332" t="str">
        <f t="shared" si="56"/>
        <v/>
      </c>
      <c r="Q332" t="str">
        <f t="shared" si="57"/>
        <v/>
      </c>
      <c r="S332" t="str">
        <f>""</f>
        <v/>
      </c>
      <c r="AL332" s="18" t="str">
        <f>IF(COUNTIF($A$2:A331, A331) = 1, A331, "")</f>
        <v/>
      </c>
    </row>
    <row r="333" spans="6:38" x14ac:dyDescent="0.2">
      <c r="F333" t="str">
        <f t="shared" si="52"/>
        <v/>
      </c>
      <c r="L333" s="7" t="str">
        <f t="shared" si="53"/>
        <v/>
      </c>
      <c r="N333" s="7" t="str">
        <f t="shared" si="54"/>
        <v/>
      </c>
      <c r="O333" t="str">
        <f t="shared" si="55"/>
        <v/>
      </c>
      <c r="P333" t="str">
        <f t="shared" si="56"/>
        <v/>
      </c>
      <c r="Q333" t="str">
        <f t="shared" si="57"/>
        <v/>
      </c>
      <c r="S333" t="str">
        <f>""</f>
        <v/>
      </c>
      <c r="AL333" s="18" t="str">
        <f>IF(COUNTIF($A$2:A332, A332) = 1, A332, "")</f>
        <v/>
      </c>
    </row>
    <row r="334" spans="6:38" x14ac:dyDescent="0.2">
      <c r="F334" t="str">
        <f t="shared" si="52"/>
        <v/>
      </c>
      <c r="L334" s="7" t="str">
        <f t="shared" si="53"/>
        <v/>
      </c>
      <c r="N334" s="7" t="str">
        <f t="shared" si="54"/>
        <v/>
      </c>
      <c r="O334" t="str">
        <f t="shared" si="55"/>
        <v/>
      </c>
      <c r="P334" t="str">
        <f t="shared" si="56"/>
        <v/>
      </c>
      <c r="Q334" t="str">
        <f t="shared" si="57"/>
        <v/>
      </c>
      <c r="S334" t="str">
        <f>""</f>
        <v/>
      </c>
      <c r="AL334" s="18" t="str">
        <f>IF(COUNTIF($A$2:A333, A333) = 1, A333, "")</f>
        <v/>
      </c>
    </row>
    <row r="335" spans="6:38" x14ac:dyDescent="0.2">
      <c r="F335" t="str">
        <f t="shared" si="52"/>
        <v/>
      </c>
      <c r="L335" s="7" t="str">
        <f t="shared" si="53"/>
        <v/>
      </c>
      <c r="N335" s="7" t="str">
        <f t="shared" si="54"/>
        <v/>
      </c>
      <c r="O335" t="str">
        <f t="shared" si="55"/>
        <v/>
      </c>
      <c r="P335" t="str">
        <f t="shared" si="56"/>
        <v/>
      </c>
      <c r="Q335" t="str">
        <f t="shared" si="57"/>
        <v/>
      </c>
      <c r="S335" t="str">
        <f>""</f>
        <v/>
      </c>
      <c r="AL335" s="18" t="str">
        <f>IF(COUNTIF($A$2:A334, A334) = 1, A334, "")</f>
        <v/>
      </c>
    </row>
    <row r="336" spans="6:38" x14ac:dyDescent="0.2">
      <c r="F336" t="str">
        <f t="shared" ref="F336:F399" si="58">IF(OR(O336="", P336=""), "", SUM(IF((O336&lt;&gt;"None")*(O336&lt;&gt;""),LEN(O336)-LEN(SUBSTITUTE(O336,",",""))+1,0)) + SUM(IF((P336&lt;&gt;"None")*(P336&lt;&gt;""),LEN(P336)-LEN(SUBSTITUTE(P336,",",""))+1,0)))</f>
        <v/>
      </c>
      <c r="L336" s="7" t="str">
        <f t="shared" ref="L336:L399" si="59">IF(LEN(E336)=0, "", IFERROR(IF(E336&gt;=0, K336 * (1 + E336/100) - K336, K336 / (ABS(E336)/100))+K336, ""))</f>
        <v/>
      </c>
      <c r="N336" s="7" t="str">
        <f t="shared" ref="N336:N399" si="60">IF(M336="Yes",L336-K336,IF(M336="No",-K336,""))</f>
        <v/>
      </c>
      <c r="O336" t="str">
        <f t="shared" ref="O336:O399" si="61">IF(AND(G336="No",H336="No"), "None", "")</f>
        <v/>
      </c>
      <c r="P336" t="str">
        <f t="shared" ref="P336:P399" si="62">IF(I336="No", "None", "")</f>
        <v/>
      </c>
      <c r="Q336" t="str">
        <f t="shared" ref="Q336:Q399" si="63">IF(AND(D336="Straight", M336 = "No"),IF(O336="None",P336,IF(P336="None",O336) ),"")</f>
        <v/>
      </c>
      <c r="S336" t="str">
        <f>""</f>
        <v/>
      </c>
      <c r="AL336" s="18" t="str">
        <f>IF(COUNTIF($A$2:A335, A335) = 1, A335, "")</f>
        <v/>
      </c>
    </row>
    <row r="337" spans="6:38" x14ac:dyDescent="0.2">
      <c r="F337" t="str">
        <f t="shared" si="58"/>
        <v/>
      </c>
      <c r="L337" s="7" t="str">
        <f t="shared" si="59"/>
        <v/>
      </c>
      <c r="N337" s="7" t="str">
        <f t="shared" si="60"/>
        <v/>
      </c>
      <c r="O337" t="str">
        <f t="shared" si="61"/>
        <v/>
      </c>
      <c r="P337" t="str">
        <f t="shared" si="62"/>
        <v/>
      </c>
      <c r="Q337" t="str">
        <f t="shared" si="63"/>
        <v/>
      </c>
      <c r="S337" t="str">
        <f>""</f>
        <v/>
      </c>
      <c r="AL337" s="18" t="str">
        <f>IF(COUNTIF($A$2:A336, A336) = 1, A336, "")</f>
        <v/>
      </c>
    </row>
    <row r="338" spans="6:38" x14ac:dyDescent="0.2">
      <c r="F338" t="str">
        <f t="shared" si="58"/>
        <v/>
      </c>
      <c r="L338" s="7" t="str">
        <f t="shared" si="59"/>
        <v/>
      </c>
      <c r="N338" s="7" t="str">
        <f t="shared" si="60"/>
        <v/>
      </c>
      <c r="O338" t="str">
        <f t="shared" si="61"/>
        <v/>
      </c>
      <c r="P338" t="str">
        <f t="shared" si="62"/>
        <v/>
      </c>
      <c r="Q338" t="str">
        <f t="shared" si="63"/>
        <v/>
      </c>
      <c r="S338" t="str">
        <f>""</f>
        <v/>
      </c>
      <c r="AL338" s="18" t="str">
        <f>IF(COUNTIF($A$2:A337, A337) = 1, A337, "")</f>
        <v/>
      </c>
    </row>
    <row r="339" spans="6:38" x14ac:dyDescent="0.2">
      <c r="F339" t="str">
        <f t="shared" si="58"/>
        <v/>
      </c>
      <c r="L339" s="7" t="str">
        <f t="shared" si="59"/>
        <v/>
      </c>
      <c r="N339" s="7" t="str">
        <f t="shared" si="60"/>
        <v/>
      </c>
      <c r="O339" t="str">
        <f t="shared" si="61"/>
        <v/>
      </c>
      <c r="P339" t="str">
        <f t="shared" si="62"/>
        <v/>
      </c>
      <c r="Q339" t="str">
        <f t="shared" si="63"/>
        <v/>
      </c>
      <c r="S339" t="str">
        <f>""</f>
        <v/>
      </c>
      <c r="AL339" s="18" t="str">
        <f>IF(COUNTIF($A$2:A338, A338) = 1, A338, "")</f>
        <v/>
      </c>
    </row>
    <row r="340" spans="6:38" x14ac:dyDescent="0.2">
      <c r="F340" t="str">
        <f t="shared" si="58"/>
        <v/>
      </c>
      <c r="L340" s="7" t="str">
        <f t="shared" si="59"/>
        <v/>
      </c>
      <c r="N340" s="7" t="str">
        <f t="shared" si="60"/>
        <v/>
      </c>
      <c r="O340" t="str">
        <f t="shared" si="61"/>
        <v/>
      </c>
      <c r="P340" t="str">
        <f t="shared" si="62"/>
        <v/>
      </c>
      <c r="Q340" t="str">
        <f t="shared" si="63"/>
        <v/>
      </c>
      <c r="S340" t="str">
        <f>""</f>
        <v/>
      </c>
      <c r="AL340" s="18" t="str">
        <f>IF(COUNTIF($A$2:A339, A339) = 1, A339, "")</f>
        <v/>
      </c>
    </row>
    <row r="341" spans="6:38" x14ac:dyDescent="0.2">
      <c r="F341" t="str">
        <f t="shared" si="58"/>
        <v/>
      </c>
      <c r="L341" s="7" t="str">
        <f t="shared" si="59"/>
        <v/>
      </c>
      <c r="N341" s="7" t="str">
        <f t="shared" si="60"/>
        <v/>
      </c>
      <c r="O341" t="str">
        <f t="shared" si="61"/>
        <v/>
      </c>
      <c r="P341" t="str">
        <f t="shared" si="62"/>
        <v/>
      </c>
      <c r="Q341" t="str">
        <f t="shared" si="63"/>
        <v/>
      </c>
      <c r="S341" t="str">
        <f>""</f>
        <v/>
      </c>
      <c r="AL341" s="18" t="str">
        <f>IF(COUNTIF($A$2:A340, A340) = 1, A340, "")</f>
        <v/>
      </c>
    </row>
    <row r="342" spans="6:38" x14ac:dyDescent="0.2">
      <c r="F342" t="str">
        <f t="shared" si="58"/>
        <v/>
      </c>
      <c r="L342" s="7" t="str">
        <f t="shared" si="59"/>
        <v/>
      </c>
      <c r="N342" s="7" t="str">
        <f t="shared" si="60"/>
        <v/>
      </c>
      <c r="O342" t="str">
        <f t="shared" si="61"/>
        <v/>
      </c>
      <c r="P342" t="str">
        <f t="shared" si="62"/>
        <v/>
      </c>
      <c r="Q342" t="str">
        <f t="shared" si="63"/>
        <v/>
      </c>
      <c r="S342" t="str">
        <f>""</f>
        <v/>
      </c>
      <c r="AL342" s="18" t="str">
        <f>IF(COUNTIF($A$2:A341, A341) = 1, A341, "")</f>
        <v/>
      </c>
    </row>
    <row r="343" spans="6:38" x14ac:dyDescent="0.2">
      <c r="F343" t="str">
        <f t="shared" si="58"/>
        <v/>
      </c>
      <c r="L343" s="7" t="str">
        <f t="shared" si="59"/>
        <v/>
      </c>
      <c r="N343" s="7" t="str">
        <f t="shared" si="60"/>
        <v/>
      </c>
      <c r="O343" t="str">
        <f t="shared" si="61"/>
        <v/>
      </c>
      <c r="P343" t="str">
        <f t="shared" si="62"/>
        <v/>
      </c>
      <c r="Q343" t="str">
        <f t="shared" si="63"/>
        <v/>
      </c>
      <c r="S343" t="str">
        <f>""</f>
        <v/>
      </c>
      <c r="AL343" s="18" t="str">
        <f>IF(COUNTIF($A$2:A342, A342) = 1, A342, "")</f>
        <v/>
      </c>
    </row>
    <row r="344" spans="6:38" x14ac:dyDescent="0.2">
      <c r="F344" t="str">
        <f t="shared" si="58"/>
        <v/>
      </c>
      <c r="L344" s="7" t="str">
        <f t="shared" si="59"/>
        <v/>
      </c>
      <c r="N344" s="7" t="str">
        <f t="shared" si="60"/>
        <v/>
      </c>
      <c r="O344" t="str">
        <f t="shared" si="61"/>
        <v/>
      </c>
      <c r="P344" t="str">
        <f t="shared" si="62"/>
        <v/>
      </c>
      <c r="Q344" t="str">
        <f t="shared" si="63"/>
        <v/>
      </c>
      <c r="S344" t="str">
        <f>""</f>
        <v/>
      </c>
      <c r="AL344" s="18" t="str">
        <f>IF(COUNTIF($A$2:A343, A343) = 1, A343, "")</f>
        <v/>
      </c>
    </row>
    <row r="345" spans="6:38" x14ac:dyDescent="0.2">
      <c r="F345" t="str">
        <f t="shared" si="58"/>
        <v/>
      </c>
      <c r="L345" s="7" t="str">
        <f t="shared" si="59"/>
        <v/>
      </c>
      <c r="N345" s="7" t="str">
        <f t="shared" si="60"/>
        <v/>
      </c>
      <c r="O345" t="str">
        <f t="shared" si="61"/>
        <v/>
      </c>
      <c r="P345" t="str">
        <f t="shared" si="62"/>
        <v/>
      </c>
      <c r="Q345" t="str">
        <f t="shared" si="63"/>
        <v/>
      </c>
      <c r="S345" t="str">
        <f>""</f>
        <v/>
      </c>
      <c r="AL345" s="18" t="str">
        <f>IF(COUNTIF($A$2:A344, A344) = 1, A344, "")</f>
        <v/>
      </c>
    </row>
    <row r="346" spans="6:38" x14ac:dyDescent="0.2">
      <c r="F346" t="str">
        <f t="shared" si="58"/>
        <v/>
      </c>
      <c r="L346" s="7" t="str">
        <f t="shared" si="59"/>
        <v/>
      </c>
      <c r="N346" s="7" t="str">
        <f t="shared" si="60"/>
        <v/>
      </c>
      <c r="O346" t="str">
        <f t="shared" si="61"/>
        <v/>
      </c>
      <c r="P346" t="str">
        <f t="shared" si="62"/>
        <v/>
      </c>
      <c r="Q346" t="str">
        <f t="shared" si="63"/>
        <v/>
      </c>
      <c r="S346" t="str">
        <f>""</f>
        <v/>
      </c>
      <c r="AL346" s="18" t="str">
        <f>IF(COUNTIF($A$2:A345, A345) = 1, A345, "")</f>
        <v/>
      </c>
    </row>
    <row r="347" spans="6:38" x14ac:dyDescent="0.2">
      <c r="F347" t="str">
        <f t="shared" si="58"/>
        <v/>
      </c>
      <c r="L347" s="7" t="str">
        <f t="shared" si="59"/>
        <v/>
      </c>
      <c r="N347" s="7" t="str">
        <f t="shared" si="60"/>
        <v/>
      </c>
      <c r="O347" t="str">
        <f t="shared" si="61"/>
        <v/>
      </c>
      <c r="P347" t="str">
        <f t="shared" si="62"/>
        <v/>
      </c>
      <c r="Q347" t="str">
        <f t="shared" si="63"/>
        <v/>
      </c>
      <c r="S347" t="str">
        <f>""</f>
        <v/>
      </c>
      <c r="AL347" s="18" t="str">
        <f>IF(COUNTIF($A$2:A346, A346) = 1, A346, "")</f>
        <v/>
      </c>
    </row>
    <row r="348" spans="6:38" x14ac:dyDescent="0.2">
      <c r="F348" t="str">
        <f t="shared" si="58"/>
        <v/>
      </c>
      <c r="L348" s="7" t="str">
        <f t="shared" si="59"/>
        <v/>
      </c>
      <c r="N348" s="7" t="str">
        <f t="shared" si="60"/>
        <v/>
      </c>
      <c r="O348" t="str">
        <f t="shared" si="61"/>
        <v/>
      </c>
      <c r="P348" t="str">
        <f t="shared" si="62"/>
        <v/>
      </c>
      <c r="Q348" t="str">
        <f t="shared" si="63"/>
        <v/>
      </c>
      <c r="S348" t="str">
        <f>""</f>
        <v/>
      </c>
      <c r="AL348" s="18" t="str">
        <f>IF(COUNTIF($A$2:A347, A347) = 1, A347, "")</f>
        <v/>
      </c>
    </row>
    <row r="349" spans="6:38" x14ac:dyDescent="0.2">
      <c r="F349" t="str">
        <f t="shared" si="58"/>
        <v/>
      </c>
      <c r="L349" s="7" t="str">
        <f t="shared" si="59"/>
        <v/>
      </c>
      <c r="N349" s="7" t="str">
        <f t="shared" si="60"/>
        <v/>
      </c>
      <c r="O349" t="str">
        <f t="shared" si="61"/>
        <v/>
      </c>
      <c r="P349" t="str">
        <f t="shared" si="62"/>
        <v/>
      </c>
      <c r="Q349" t="str">
        <f t="shared" si="63"/>
        <v/>
      </c>
      <c r="S349" t="str">
        <f>""</f>
        <v/>
      </c>
      <c r="AL349" s="18" t="str">
        <f>IF(COUNTIF($A$2:A348, A348) = 1, A348, "")</f>
        <v/>
      </c>
    </row>
    <row r="350" spans="6:38" x14ac:dyDescent="0.2">
      <c r="F350" t="str">
        <f t="shared" si="58"/>
        <v/>
      </c>
      <c r="L350" s="7" t="str">
        <f t="shared" si="59"/>
        <v/>
      </c>
      <c r="N350" s="7" t="str">
        <f t="shared" si="60"/>
        <v/>
      </c>
      <c r="O350" t="str">
        <f t="shared" si="61"/>
        <v/>
      </c>
      <c r="P350" t="str">
        <f t="shared" si="62"/>
        <v/>
      </c>
      <c r="Q350" t="str">
        <f t="shared" si="63"/>
        <v/>
      </c>
      <c r="S350" t="str">
        <f>""</f>
        <v/>
      </c>
      <c r="AL350" s="18" t="str">
        <f>IF(COUNTIF($A$2:A349, A349) = 1, A349, "")</f>
        <v/>
      </c>
    </row>
    <row r="351" spans="6:38" x14ac:dyDescent="0.2">
      <c r="F351" t="str">
        <f t="shared" si="58"/>
        <v/>
      </c>
      <c r="L351" s="7" t="str">
        <f t="shared" si="59"/>
        <v/>
      </c>
      <c r="N351" s="7" t="str">
        <f t="shared" si="60"/>
        <v/>
      </c>
      <c r="O351" t="str">
        <f t="shared" si="61"/>
        <v/>
      </c>
      <c r="P351" t="str">
        <f t="shared" si="62"/>
        <v/>
      </c>
      <c r="Q351" t="str">
        <f t="shared" si="63"/>
        <v/>
      </c>
      <c r="S351" t="str">
        <f>""</f>
        <v/>
      </c>
      <c r="AL351" s="18" t="str">
        <f>IF(COUNTIF($A$2:A350, A350) = 1, A350, "")</f>
        <v/>
      </c>
    </row>
    <row r="352" spans="6:38" x14ac:dyDescent="0.2">
      <c r="F352" t="str">
        <f t="shared" si="58"/>
        <v/>
      </c>
      <c r="L352" s="7" t="str">
        <f t="shared" si="59"/>
        <v/>
      </c>
      <c r="N352" s="7" t="str">
        <f t="shared" si="60"/>
        <v/>
      </c>
      <c r="O352" t="str">
        <f t="shared" si="61"/>
        <v/>
      </c>
      <c r="P352" t="str">
        <f t="shared" si="62"/>
        <v/>
      </c>
      <c r="Q352" t="str">
        <f t="shared" si="63"/>
        <v/>
      </c>
      <c r="S352" t="str">
        <f>""</f>
        <v/>
      </c>
      <c r="AL352" s="18" t="str">
        <f>IF(COUNTIF($A$2:A351, A351) = 1, A351, "")</f>
        <v/>
      </c>
    </row>
    <row r="353" spans="6:38" x14ac:dyDescent="0.2">
      <c r="F353" t="str">
        <f t="shared" si="58"/>
        <v/>
      </c>
      <c r="L353" s="7" t="str">
        <f t="shared" si="59"/>
        <v/>
      </c>
      <c r="N353" s="7" t="str">
        <f t="shared" si="60"/>
        <v/>
      </c>
      <c r="O353" t="str">
        <f t="shared" si="61"/>
        <v/>
      </c>
      <c r="P353" t="str">
        <f t="shared" si="62"/>
        <v/>
      </c>
      <c r="Q353" t="str">
        <f t="shared" si="63"/>
        <v/>
      </c>
      <c r="S353" t="str">
        <f>""</f>
        <v/>
      </c>
      <c r="AL353" s="18" t="str">
        <f>IF(COUNTIF($A$2:A352, A352) = 1, A352, "")</f>
        <v/>
      </c>
    </row>
    <row r="354" spans="6:38" x14ac:dyDescent="0.2">
      <c r="F354" t="str">
        <f t="shared" si="58"/>
        <v/>
      </c>
      <c r="L354" s="7" t="str">
        <f t="shared" si="59"/>
        <v/>
      </c>
      <c r="N354" s="7" t="str">
        <f t="shared" si="60"/>
        <v/>
      </c>
      <c r="O354" t="str">
        <f t="shared" si="61"/>
        <v/>
      </c>
      <c r="P354" t="str">
        <f t="shared" si="62"/>
        <v/>
      </c>
      <c r="Q354" t="str">
        <f t="shared" si="63"/>
        <v/>
      </c>
      <c r="S354" t="str">
        <f>""</f>
        <v/>
      </c>
      <c r="AL354" s="18" t="str">
        <f>IF(COUNTIF($A$2:A353, A353) = 1, A353, "")</f>
        <v/>
      </c>
    </row>
    <row r="355" spans="6:38" x14ac:dyDescent="0.2">
      <c r="F355" t="str">
        <f t="shared" si="58"/>
        <v/>
      </c>
      <c r="L355" s="7" t="str">
        <f t="shared" si="59"/>
        <v/>
      </c>
      <c r="N355" s="7" t="str">
        <f t="shared" si="60"/>
        <v/>
      </c>
      <c r="O355" t="str">
        <f t="shared" si="61"/>
        <v/>
      </c>
      <c r="P355" t="str">
        <f t="shared" si="62"/>
        <v/>
      </c>
      <c r="Q355" t="str">
        <f t="shared" si="63"/>
        <v/>
      </c>
      <c r="S355" t="str">
        <f>""</f>
        <v/>
      </c>
      <c r="AL355" s="18" t="str">
        <f>IF(COUNTIF($A$2:A354, A354) = 1, A354, "")</f>
        <v/>
      </c>
    </row>
    <row r="356" spans="6:38" x14ac:dyDescent="0.2">
      <c r="F356" t="str">
        <f t="shared" si="58"/>
        <v/>
      </c>
      <c r="L356" s="7" t="str">
        <f t="shared" si="59"/>
        <v/>
      </c>
      <c r="N356" s="7" t="str">
        <f t="shared" si="60"/>
        <v/>
      </c>
      <c r="O356" t="str">
        <f t="shared" si="61"/>
        <v/>
      </c>
      <c r="P356" t="str">
        <f t="shared" si="62"/>
        <v/>
      </c>
      <c r="Q356" t="str">
        <f t="shared" si="63"/>
        <v/>
      </c>
      <c r="S356" t="str">
        <f>""</f>
        <v/>
      </c>
      <c r="AL356" s="18" t="str">
        <f>IF(COUNTIF($A$2:A355, A355) = 1, A355, "")</f>
        <v/>
      </c>
    </row>
    <row r="357" spans="6:38" x14ac:dyDescent="0.2">
      <c r="F357" t="str">
        <f t="shared" si="58"/>
        <v/>
      </c>
      <c r="L357" s="7" t="str">
        <f t="shared" si="59"/>
        <v/>
      </c>
      <c r="N357" s="7" t="str">
        <f t="shared" si="60"/>
        <v/>
      </c>
      <c r="O357" t="str">
        <f t="shared" si="61"/>
        <v/>
      </c>
      <c r="P357" t="str">
        <f t="shared" si="62"/>
        <v/>
      </c>
      <c r="Q357" t="str">
        <f t="shared" si="63"/>
        <v/>
      </c>
      <c r="S357" t="str">
        <f>""</f>
        <v/>
      </c>
      <c r="AL357" s="18" t="str">
        <f>IF(COUNTIF($A$2:A356, A356) = 1, A356, "")</f>
        <v/>
      </c>
    </row>
    <row r="358" spans="6:38" x14ac:dyDescent="0.2">
      <c r="F358" t="str">
        <f t="shared" si="58"/>
        <v/>
      </c>
      <c r="L358" s="7" t="str">
        <f t="shared" si="59"/>
        <v/>
      </c>
      <c r="N358" s="7" t="str">
        <f t="shared" si="60"/>
        <v/>
      </c>
      <c r="O358" t="str">
        <f t="shared" si="61"/>
        <v/>
      </c>
      <c r="P358" t="str">
        <f t="shared" si="62"/>
        <v/>
      </c>
      <c r="Q358" t="str">
        <f t="shared" si="63"/>
        <v/>
      </c>
      <c r="S358" t="str">
        <f>""</f>
        <v/>
      </c>
      <c r="AL358" s="18" t="str">
        <f>IF(COUNTIF($A$2:A357, A357) = 1, A357, "")</f>
        <v/>
      </c>
    </row>
    <row r="359" spans="6:38" x14ac:dyDescent="0.2">
      <c r="F359" t="str">
        <f t="shared" si="58"/>
        <v/>
      </c>
      <c r="L359" s="7" t="str">
        <f t="shared" si="59"/>
        <v/>
      </c>
      <c r="N359" s="7" t="str">
        <f t="shared" si="60"/>
        <v/>
      </c>
      <c r="O359" t="str">
        <f t="shared" si="61"/>
        <v/>
      </c>
      <c r="P359" t="str">
        <f t="shared" si="62"/>
        <v/>
      </c>
      <c r="Q359" t="str">
        <f t="shared" si="63"/>
        <v/>
      </c>
      <c r="S359" t="str">
        <f>""</f>
        <v/>
      </c>
      <c r="AL359" s="18" t="str">
        <f>IF(COUNTIF($A$2:A358, A358) = 1, A358, "")</f>
        <v/>
      </c>
    </row>
    <row r="360" spans="6:38" x14ac:dyDescent="0.2">
      <c r="F360" t="str">
        <f t="shared" si="58"/>
        <v/>
      </c>
      <c r="L360" s="7" t="str">
        <f t="shared" si="59"/>
        <v/>
      </c>
      <c r="N360" s="7" t="str">
        <f t="shared" si="60"/>
        <v/>
      </c>
      <c r="O360" t="str">
        <f t="shared" si="61"/>
        <v/>
      </c>
      <c r="P360" t="str">
        <f t="shared" si="62"/>
        <v/>
      </c>
      <c r="Q360" t="str">
        <f t="shared" si="63"/>
        <v/>
      </c>
      <c r="S360" t="str">
        <f>""</f>
        <v/>
      </c>
      <c r="AL360" s="18" t="str">
        <f>IF(COUNTIF($A$2:A359, A359) = 1, A359, "")</f>
        <v/>
      </c>
    </row>
    <row r="361" spans="6:38" x14ac:dyDescent="0.2">
      <c r="F361" t="str">
        <f t="shared" si="58"/>
        <v/>
      </c>
      <c r="L361" s="7" t="str">
        <f t="shared" si="59"/>
        <v/>
      </c>
      <c r="N361" s="7" t="str">
        <f t="shared" si="60"/>
        <v/>
      </c>
      <c r="O361" t="str">
        <f t="shared" si="61"/>
        <v/>
      </c>
      <c r="P361" t="str">
        <f t="shared" si="62"/>
        <v/>
      </c>
      <c r="Q361" t="str">
        <f t="shared" si="63"/>
        <v/>
      </c>
      <c r="S361" t="str">
        <f>""</f>
        <v/>
      </c>
      <c r="AL361" s="18" t="str">
        <f>IF(COUNTIF($A$2:A360, A360) = 1, A360, "")</f>
        <v/>
      </c>
    </row>
    <row r="362" spans="6:38" x14ac:dyDescent="0.2">
      <c r="F362" t="str">
        <f t="shared" si="58"/>
        <v/>
      </c>
      <c r="L362" s="7" t="str">
        <f t="shared" si="59"/>
        <v/>
      </c>
      <c r="N362" s="7" t="str">
        <f t="shared" si="60"/>
        <v/>
      </c>
      <c r="O362" t="str">
        <f t="shared" si="61"/>
        <v/>
      </c>
      <c r="P362" t="str">
        <f t="shared" si="62"/>
        <v/>
      </c>
      <c r="Q362" t="str">
        <f t="shared" si="63"/>
        <v/>
      </c>
      <c r="S362" t="str">
        <f>""</f>
        <v/>
      </c>
      <c r="AL362" s="18" t="str">
        <f>IF(COUNTIF($A$2:A361, A361) = 1, A361, "")</f>
        <v/>
      </c>
    </row>
    <row r="363" spans="6:38" x14ac:dyDescent="0.2">
      <c r="F363" t="str">
        <f t="shared" si="58"/>
        <v/>
      </c>
      <c r="L363" s="7" t="str">
        <f t="shared" si="59"/>
        <v/>
      </c>
      <c r="N363" s="7" t="str">
        <f t="shared" si="60"/>
        <v/>
      </c>
      <c r="O363" t="str">
        <f t="shared" si="61"/>
        <v/>
      </c>
      <c r="P363" t="str">
        <f t="shared" si="62"/>
        <v/>
      </c>
      <c r="Q363" t="str">
        <f t="shared" si="63"/>
        <v/>
      </c>
      <c r="S363" t="str">
        <f>""</f>
        <v/>
      </c>
      <c r="AL363" s="18" t="str">
        <f>IF(COUNTIF($A$2:A362, A362) = 1, A362, "")</f>
        <v/>
      </c>
    </row>
    <row r="364" spans="6:38" x14ac:dyDescent="0.2">
      <c r="F364" t="str">
        <f t="shared" si="58"/>
        <v/>
      </c>
      <c r="L364" s="7" t="str">
        <f t="shared" si="59"/>
        <v/>
      </c>
      <c r="N364" s="7" t="str">
        <f t="shared" si="60"/>
        <v/>
      </c>
      <c r="O364" t="str">
        <f t="shared" si="61"/>
        <v/>
      </c>
      <c r="P364" t="str">
        <f t="shared" si="62"/>
        <v/>
      </c>
      <c r="Q364" t="str">
        <f t="shared" si="63"/>
        <v/>
      </c>
      <c r="S364" t="str">
        <f>""</f>
        <v/>
      </c>
      <c r="AL364" s="18" t="str">
        <f>IF(COUNTIF($A$2:A363, A363) = 1, A363, "")</f>
        <v/>
      </c>
    </row>
    <row r="365" spans="6:38" x14ac:dyDescent="0.2">
      <c r="F365" t="str">
        <f t="shared" si="58"/>
        <v/>
      </c>
      <c r="L365" s="7" t="str">
        <f t="shared" si="59"/>
        <v/>
      </c>
      <c r="N365" s="7" t="str">
        <f t="shared" si="60"/>
        <v/>
      </c>
      <c r="O365" t="str">
        <f t="shared" si="61"/>
        <v/>
      </c>
      <c r="P365" t="str">
        <f t="shared" si="62"/>
        <v/>
      </c>
      <c r="Q365" t="str">
        <f t="shared" si="63"/>
        <v/>
      </c>
      <c r="S365" t="str">
        <f>""</f>
        <v/>
      </c>
      <c r="AL365" s="18" t="str">
        <f>IF(COUNTIF($A$2:A364, A364) = 1, A364, "")</f>
        <v/>
      </c>
    </row>
    <row r="366" spans="6:38" x14ac:dyDescent="0.2">
      <c r="F366" t="str">
        <f t="shared" si="58"/>
        <v/>
      </c>
      <c r="L366" s="7" t="str">
        <f t="shared" si="59"/>
        <v/>
      </c>
      <c r="N366" s="7" t="str">
        <f t="shared" si="60"/>
        <v/>
      </c>
      <c r="O366" t="str">
        <f t="shared" si="61"/>
        <v/>
      </c>
      <c r="P366" t="str">
        <f t="shared" si="62"/>
        <v/>
      </c>
      <c r="Q366" t="str">
        <f t="shared" si="63"/>
        <v/>
      </c>
      <c r="S366" t="str">
        <f>""</f>
        <v/>
      </c>
      <c r="AL366" s="18" t="str">
        <f>IF(COUNTIF($A$2:A365, A365) = 1, A365, "")</f>
        <v/>
      </c>
    </row>
    <row r="367" spans="6:38" x14ac:dyDescent="0.2">
      <c r="F367" t="str">
        <f t="shared" si="58"/>
        <v/>
      </c>
      <c r="L367" s="7" t="str">
        <f t="shared" si="59"/>
        <v/>
      </c>
      <c r="N367" s="7" t="str">
        <f t="shared" si="60"/>
        <v/>
      </c>
      <c r="O367" t="str">
        <f t="shared" si="61"/>
        <v/>
      </c>
      <c r="P367" t="str">
        <f t="shared" si="62"/>
        <v/>
      </c>
      <c r="Q367" t="str">
        <f t="shared" si="63"/>
        <v/>
      </c>
      <c r="S367" t="str">
        <f>""</f>
        <v/>
      </c>
      <c r="AL367" s="18" t="str">
        <f>IF(COUNTIF($A$2:A366, A366) = 1, A366, "")</f>
        <v/>
      </c>
    </row>
    <row r="368" spans="6:38" x14ac:dyDescent="0.2">
      <c r="F368" t="str">
        <f t="shared" si="58"/>
        <v/>
      </c>
      <c r="L368" s="7" t="str">
        <f t="shared" si="59"/>
        <v/>
      </c>
      <c r="N368" s="7" t="str">
        <f t="shared" si="60"/>
        <v/>
      </c>
      <c r="O368" t="str">
        <f t="shared" si="61"/>
        <v/>
      </c>
      <c r="P368" t="str">
        <f t="shared" si="62"/>
        <v/>
      </c>
      <c r="Q368" t="str">
        <f t="shared" si="63"/>
        <v/>
      </c>
      <c r="S368" t="str">
        <f>""</f>
        <v/>
      </c>
      <c r="AL368" s="18" t="str">
        <f>IF(COUNTIF($A$2:A367, A367) = 1, A367, "")</f>
        <v/>
      </c>
    </row>
    <row r="369" spans="6:38" x14ac:dyDescent="0.2">
      <c r="F369" t="str">
        <f t="shared" si="58"/>
        <v/>
      </c>
      <c r="L369" s="7" t="str">
        <f t="shared" si="59"/>
        <v/>
      </c>
      <c r="N369" s="7" t="str">
        <f t="shared" si="60"/>
        <v/>
      </c>
      <c r="O369" t="str">
        <f t="shared" si="61"/>
        <v/>
      </c>
      <c r="P369" t="str">
        <f t="shared" si="62"/>
        <v/>
      </c>
      <c r="Q369" t="str">
        <f t="shared" si="63"/>
        <v/>
      </c>
      <c r="S369" t="str">
        <f>""</f>
        <v/>
      </c>
      <c r="AL369" s="18" t="str">
        <f>IF(COUNTIF($A$2:A368, A368) = 1, A368, "")</f>
        <v/>
      </c>
    </row>
    <row r="370" spans="6:38" x14ac:dyDescent="0.2">
      <c r="F370" t="str">
        <f t="shared" si="58"/>
        <v/>
      </c>
      <c r="L370" s="7" t="str">
        <f t="shared" si="59"/>
        <v/>
      </c>
      <c r="N370" s="7" t="str">
        <f t="shared" si="60"/>
        <v/>
      </c>
      <c r="O370" t="str">
        <f t="shared" si="61"/>
        <v/>
      </c>
      <c r="P370" t="str">
        <f t="shared" si="62"/>
        <v/>
      </c>
      <c r="Q370" t="str">
        <f t="shared" si="63"/>
        <v/>
      </c>
      <c r="S370" t="str">
        <f>""</f>
        <v/>
      </c>
      <c r="AL370" s="18" t="str">
        <f>IF(COUNTIF($A$2:A369, A369) = 1, A369, "")</f>
        <v/>
      </c>
    </row>
    <row r="371" spans="6:38" x14ac:dyDescent="0.2">
      <c r="F371" t="str">
        <f t="shared" si="58"/>
        <v/>
      </c>
      <c r="L371" s="7" t="str">
        <f t="shared" si="59"/>
        <v/>
      </c>
      <c r="N371" s="7" t="str">
        <f t="shared" si="60"/>
        <v/>
      </c>
      <c r="O371" t="str">
        <f t="shared" si="61"/>
        <v/>
      </c>
      <c r="P371" t="str">
        <f t="shared" si="62"/>
        <v/>
      </c>
      <c r="Q371" t="str">
        <f t="shared" si="63"/>
        <v/>
      </c>
      <c r="S371" t="str">
        <f>""</f>
        <v/>
      </c>
      <c r="AL371" s="18" t="str">
        <f>IF(COUNTIF($A$2:A370, A370) = 1, A370, "")</f>
        <v/>
      </c>
    </row>
    <row r="372" spans="6:38" x14ac:dyDescent="0.2">
      <c r="F372" t="str">
        <f t="shared" si="58"/>
        <v/>
      </c>
      <c r="L372" s="7" t="str">
        <f t="shared" si="59"/>
        <v/>
      </c>
      <c r="N372" s="7" t="str">
        <f t="shared" si="60"/>
        <v/>
      </c>
      <c r="O372" t="str">
        <f t="shared" si="61"/>
        <v/>
      </c>
      <c r="P372" t="str">
        <f t="shared" si="62"/>
        <v/>
      </c>
      <c r="Q372" t="str">
        <f t="shared" si="63"/>
        <v/>
      </c>
      <c r="S372" t="str">
        <f>""</f>
        <v/>
      </c>
      <c r="AL372" s="18" t="str">
        <f>IF(COUNTIF($A$2:A371, A371) = 1, A371, "")</f>
        <v/>
      </c>
    </row>
    <row r="373" spans="6:38" x14ac:dyDescent="0.2">
      <c r="F373" t="str">
        <f t="shared" si="58"/>
        <v/>
      </c>
      <c r="L373" s="7" t="str">
        <f t="shared" si="59"/>
        <v/>
      </c>
      <c r="N373" s="7" t="str">
        <f t="shared" si="60"/>
        <v/>
      </c>
      <c r="O373" t="str">
        <f t="shared" si="61"/>
        <v/>
      </c>
      <c r="P373" t="str">
        <f t="shared" si="62"/>
        <v/>
      </c>
      <c r="Q373" t="str">
        <f t="shared" si="63"/>
        <v/>
      </c>
      <c r="S373" t="str">
        <f>""</f>
        <v/>
      </c>
      <c r="AL373" s="18" t="str">
        <f>IF(COUNTIF($A$2:A372, A372) = 1, A372, "")</f>
        <v/>
      </c>
    </row>
    <row r="374" spans="6:38" x14ac:dyDescent="0.2">
      <c r="F374" t="str">
        <f t="shared" si="58"/>
        <v/>
      </c>
      <c r="L374" s="7" t="str">
        <f t="shared" si="59"/>
        <v/>
      </c>
      <c r="N374" s="7" t="str">
        <f t="shared" si="60"/>
        <v/>
      </c>
      <c r="O374" t="str">
        <f t="shared" si="61"/>
        <v/>
      </c>
      <c r="P374" t="str">
        <f t="shared" si="62"/>
        <v/>
      </c>
      <c r="Q374" t="str">
        <f t="shared" si="63"/>
        <v/>
      </c>
      <c r="S374" t="str">
        <f>""</f>
        <v/>
      </c>
      <c r="AL374" s="18" t="str">
        <f>IF(COUNTIF($A$2:A373, A373) = 1, A373, "")</f>
        <v/>
      </c>
    </row>
    <row r="375" spans="6:38" x14ac:dyDescent="0.2">
      <c r="F375" t="str">
        <f t="shared" si="58"/>
        <v/>
      </c>
      <c r="L375" s="7" t="str">
        <f t="shared" si="59"/>
        <v/>
      </c>
      <c r="N375" s="7" t="str">
        <f t="shared" si="60"/>
        <v/>
      </c>
      <c r="O375" t="str">
        <f t="shared" si="61"/>
        <v/>
      </c>
      <c r="P375" t="str">
        <f t="shared" si="62"/>
        <v/>
      </c>
      <c r="Q375" t="str">
        <f t="shared" si="63"/>
        <v/>
      </c>
      <c r="S375" t="str">
        <f>""</f>
        <v/>
      </c>
      <c r="AL375" s="18" t="str">
        <f>IF(COUNTIF($A$2:A374, A374) = 1, A374, "")</f>
        <v/>
      </c>
    </row>
    <row r="376" spans="6:38" x14ac:dyDescent="0.2">
      <c r="F376" t="str">
        <f t="shared" si="58"/>
        <v/>
      </c>
      <c r="L376" s="7" t="str">
        <f t="shared" si="59"/>
        <v/>
      </c>
      <c r="N376" s="7" t="str">
        <f t="shared" si="60"/>
        <v/>
      </c>
      <c r="O376" t="str">
        <f t="shared" si="61"/>
        <v/>
      </c>
      <c r="P376" t="str">
        <f t="shared" si="62"/>
        <v/>
      </c>
      <c r="Q376" t="str">
        <f t="shared" si="63"/>
        <v/>
      </c>
      <c r="S376" t="str">
        <f>""</f>
        <v/>
      </c>
      <c r="AL376" s="18" t="str">
        <f>IF(COUNTIF($A$2:A375, A375) = 1, A375, "")</f>
        <v/>
      </c>
    </row>
    <row r="377" spans="6:38" x14ac:dyDescent="0.2">
      <c r="F377" t="str">
        <f t="shared" si="58"/>
        <v/>
      </c>
      <c r="L377" s="7" t="str">
        <f t="shared" si="59"/>
        <v/>
      </c>
      <c r="N377" s="7" t="str">
        <f t="shared" si="60"/>
        <v/>
      </c>
      <c r="O377" t="str">
        <f t="shared" si="61"/>
        <v/>
      </c>
      <c r="P377" t="str">
        <f t="shared" si="62"/>
        <v/>
      </c>
      <c r="Q377" t="str">
        <f t="shared" si="63"/>
        <v/>
      </c>
      <c r="S377" t="str">
        <f>""</f>
        <v/>
      </c>
      <c r="AL377" s="18" t="str">
        <f>IF(COUNTIF($A$2:A376, A376) = 1, A376, "")</f>
        <v/>
      </c>
    </row>
    <row r="378" spans="6:38" x14ac:dyDescent="0.2">
      <c r="F378" t="str">
        <f t="shared" si="58"/>
        <v/>
      </c>
      <c r="L378" s="7" t="str">
        <f t="shared" si="59"/>
        <v/>
      </c>
      <c r="N378" s="7" t="str">
        <f t="shared" si="60"/>
        <v/>
      </c>
      <c r="O378" t="str">
        <f t="shared" si="61"/>
        <v/>
      </c>
      <c r="P378" t="str">
        <f t="shared" si="62"/>
        <v/>
      </c>
      <c r="Q378" t="str">
        <f t="shared" si="63"/>
        <v/>
      </c>
      <c r="S378" t="str">
        <f>""</f>
        <v/>
      </c>
      <c r="AL378" s="18" t="str">
        <f>IF(COUNTIF($A$2:A377, A377) = 1, A377, "")</f>
        <v/>
      </c>
    </row>
    <row r="379" spans="6:38" x14ac:dyDescent="0.2">
      <c r="F379" t="str">
        <f t="shared" si="58"/>
        <v/>
      </c>
      <c r="L379" s="7" t="str">
        <f t="shared" si="59"/>
        <v/>
      </c>
      <c r="N379" s="7" t="str">
        <f t="shared" si="60"/>
        <v/>
      </c>
      <c r="O379" t="str">
        <f t="shared" si="61"/>
        <v/>
      </c>
      <c r="P379" t="str">
        <f t="shared" si="62"/>
        <v/>
      </c>
      <c r="Q379" t="str">
        <f t="shared" si="63"/>
        <v/>
      </c>
      <c r="S379" t="str">
        <f>""</f>
        <v/>
      </c>
      <c r="AL379" s="18" t="str">
        <f>IF(COUNTIF($A$2:A378, A378) = 1, A378, "")</f>
        <v/>
      </c>
    </row>
    <row r="380" spans="6:38" x14ac:dyDescent="0.2">
      <c r="F380" t="str">
        <f t="shared" si="58"/>
        <v/>
      </c>
      <c r="L380" s="7" t="str">
        <f t="shared" si="59"/>
        <v/>
      </c>
      <c r="N380" s="7" t="str">
        <f t="shared" si="60"/>
        <v/>
      </c>
      <c r="O380" t="str">
        <f t="shared" si="61"/>
        <v/>
      </c>
      <c r="P380" t="str">
        <f t="shared" si="62"/>
        <v/>
      </c>
      <c r="Q380" t="str">
        <f t="shared" si="63"/>
        <v/>
      </c>
      <c r="S380" t="str">
        <f>""</f>
        <v/>
      </c>
      <c r="AL380" s="18" t="str">
        <f>IF(COUNTIF($A$2:A379, A379) = 1, A379, "")</f>
        <v/>
      </c>
    </row>
    <row r="381" spans="6:38" x14ac:dyDescent="0.2">
      <c r="F381" t="str">
        <f t="shared" si="58"/>
        <v/>
      </c>
      <c r="L381" s="7" t="str">
        <f t="shared" si="59"/>
        <v/>
      </c>
      <c r="N381" s="7" t="str">
        <f t="shared" si="60"/>
        <v/>
      </c>
      <c r="O381" t="str">
        <f t="shared" si="61"/>
        <v/>
      </c>
      <c r="P381" t="str">
        <f t="shared" si="62"/>
        <v/>
      </c>
      <c r="Q381" t="str">
        <f t="shared" si="63"/>
        <v/>
      </c>
      <c r="S381" t="str">
        <f>""</f>
        <v/>
      </c>
      <c r="AL381" s="18" t="str">
        <f>IF(COUNTIF($A$2:A380, A380) = 1, A380, "")</f>
        <v/>
      </c>
    </row>
    <row r="382" spans="6:38" x14ac:dyDescent="0.2">
      <c r="F382" t="str">
        <f t="shared" si="58"/>
        <v/>
      </c>
      <c r="L382" s="7" t="str">
        <f t="shared" si="59"/>
        <v/>
      </c>
      <c r="N382" s="7" t="str">
        <f t="shared" si="60"/>
        <v/>
      </c>
      <c r="O382" t="str">
        <f t="shared" si="61"/>
        <v/>
      </c>
      <c r="P382" t="str">
        <f t="shared" si="62"/>
        <v/>
      </c>
      <c r="Q382" t="str">
        <f t="shared" si="63"/>
        <v/>
      </c>
      <c r="S382" t="str">
        <f>""</f>
        <v/>
      </c>
      <c r="AL382" s="18" t="str">
        <f>IF(COUNTIF($A$2:A381, A381) = 1, A381, "")</f>
        <v/>
      </c>
    </row>
    <row r="383" spans="6:38" x14ac:dyDescent="0.2">
      <c r="F383" t="str">
        <f t="shared" si="58"/>
        <v/>
      </c>
      <c r="L383" s="7" t="str">
        <f t="shared" si="59"/>
        <v/>
      </c>
      <c r="N383" s="7" t="str">
        <f t="shared" si="60"/>
        <v/>
      </c>
      <c r="O383" t="str">
        <f t="shared" si="61"/>
        <v/>
      </c>
      <c r="P383" t="str">
        <f t="shared" si="62"/>
        <v/>
      </c>
      <c r="Q383" t="str">
        <f t="shared" si="63"/>
        <v/>
      </c>
      <c r="S383" t="str">
        <f>""</f>
        <v/>
      </c>
      <c r="AL383" s="18" t="str">
        <f>IF(COUNTIF($A$2:A382, A382) = 1, A382, "")</f>
        <v/>
      </c>
    </row>
    <row r="384" spans="6:38" x14ac:dyDescent="0.2">
      <c r="F384" t="str">
        <f t="shared" si="58"/>
        <v/>
      </c>
      <c r="L384" s="7" t="str">
        <f t="shared" si="59"/>
        <v/>
      </c>
      <c r="N384" s="7" t="str">
        <f t="shared" si="60"/>
        <v/>
      </c>
      <c r="O384" t="str">
        <f t="shared" si="61"/>
        <v/>
      </c>
      <c r="P384" t="str">
        <f t="shared" si="62"/>
        <v/>
      </c>
      <c r="Q384" t="str">
        <f t="shared" si="63"/>
        <v/>
      </c>
      <c r="S384" t="str">
        <f>""</f>
        <v/>
      </c>
      <c r="AL384" s="18" t="str">
        <f>IF(COUNTIF($A$2:A383, A383) = 1, A383, "")</f>
        <v/>
      </c>
    </row>
    <row r="385" spans="6:38" x14ac:dyDescent="0.2">
      <c r="F385" t="str">
        <f t="shared" si="58"/>
        <v/>
      </c>
      <c r="L385" s="7" t="str">
        <f t="shared" si="59"/>
        <v/>
      </c>
      <c r="N385" s="7" t="str">
        <f t="shared" si="60"/>
        <v/>
      </c>
      <c r="O385" t="str">
        <f t="shared" si="61"/>
        <v/>
      </c>
      <c r="P385" t="str">
        <f t="shared" si="62"/>
        <v/>
      </c>
      <c r="Q385" t="str">
        <f t="shared" si="63"/>
        <v/>
      </c>
      <c r="S385" t="str">
        <f>""</f>
        <v/>
      </c>
      <c r="AL385" s="18" t="str">
        <f>IF(COUNTIF($A$2:A384, A384) = 1, A384, "")</f>
        <v/>
      </c>
    </row>
    <row r="386" spans="6:38" x14ac:dyDescent="0.2">
      <c r="F386" t="str">
        <f t="shared" si="58"/>
        <v/>
      </c>
      <c r="L386" s="7" t="str">
        <f t="shared" si="59"/>
        <v/>
      </c>
      <c r="N386" s="7" t="str">
        <f t="shared" si="60"/>
        <v/>
      </c>
      <c r="O386" t="str">
        <f t="shared" si="61"/>
        <v/>
      </c>
      <c r="P386" t="str">
        <f t="shared" si="62"/>
        <v/>
      </c>
      <c r="Q386" t="str">
        <f t="shared" si="63"/>
        <v/>
      </c>
      <c r="S386" t="str">
        <f>""</f>
        <v/>
      </c>
      <c r="AL386" s="18" t="str">
        <f>IF(COUNTIF($A$2:A385, A385) = 1, A385, "")</f>
        <v/>
      </c>
    </row>
    <row r="387" spans="6:38" x14ac:dyDescent="0.2">
      <c r="F387" t="str">
        <f t="shared" si="58"/>
        <v/>
      </c>
      <c r="L387" s="7" t="str">
        <f t="shared" si="59"/>
        <v/>
      </c>
      <c r="N387" s="7" t="str">
        <f t="shared" si="60"/>
        <v/>
      </c>
      <c r="O387" t="str">
        <f t="shared" si="61"/>
        <v/>
      </c>
      <c r="P387" t="str">
        <f t="shared" si="62"/>
        <v/>
      </c>
      <c r="Q387" t="str">
        <f t="shared" si="63"/>
        <v/>
      </c>
      <c r="S387" t="str">
        <f>""</f>
        <v/>
      </c>
      <c r="AL387" s="18" t="str">
        <f>IF(COUNTIF($A$2:A386, A386) = 1, A386, "")</f>
        <v/>
      </c>
    </row>
    <row r="388" spans="6:38" x14ac:dyDescent="0.2">
      <c r="F388" t="str">
        <f t="shared" si="58"/>
        <v/>
      </c>
      <c r="L388" s="7" t="str">
        <f t="shared" si="59"/>
        <v/>
      </c>
      <c r="N388" s="7" t="str">
        <f t="shared" si="60"/>
        <v/>
      </c>
      <c r="O388" t="str">
        <f t="shared" si="61"/>
        <v/>
      </c>
      <c r="P388" t="str">
        <f t="shared" si="62"/>
        <v/>
      </c>
      <c r="Q388" t="str">
        <f t="shared" si="63"/>
        <v/>
      </c>
      <c r="S388" t="str">
        <f>""</f>
        <v/>
      </c>
      <c r="AL388" s="18" t="str">
        <f>IF(COUNTIF($A$2:A387, A387) = 1, A387, "")</f>
        <v/>
      </c>
    </row>
    <row r="389" spans="6:38" x14ac:dyDescent="0.2">
      <c r="F389" t="str">
        <f t="shared" si="58"/>
        <v/>
      </c>
      <c r="L389" s="7" t="str">
        <f t="shared" si="59"/>
        <v/>
      </c>
      <c r="N389" s="7" t="str">
        <f t="shared" si="60"/>
        <v/>
      </c>
      <c r="O389" t="str">
        <f t="shared" si="61"/>
        <v/>
      </c>
      <c r="P389" t="str">
        <f t="shared" si="62"/>
        <v/>
      </c>
      <c r="Q389" t="str">
        <f t="shared" si="63"/>
        <v/>
      </c>
      <c r="S389" t="str">
        <f>""</f>
        <v/>
      </c>
      <c r="AL389" s="18" t="str">
        <f>IF(COUNTIF($A$2:A388, A388) = 1, A388, "")</f>
        <v/>
      </c>
    </row>
    <row r="390" spans="6:38" x14ac:dyDescent="0.2">
      <c r="F390" t="str">
        <f t="shared" si="58"/>
        <v/>
      </c>
      <c r="L390" s="7" t="str">
        <f t="shared" si="59"/>
        <v/>
      </c>
      <c r="N390" s="7" t="str">
        <f t="shared" si="60"/>
        <v/>
      </c>
      <c r="O390" t="str">
        <f t="shared" si="61"/>
        <v/>
      </c>
      <c r="P390" t="str">
        <f t="shared" si="62"/>
        <v/>
      </c>
      <c r="Q390" t="str">
        <f t="shared" si="63"/>
        <v/>
      </c>
      <c r="S390" t="str">
        <f>""</f>
        <v/>
      </c>
      <c r="AL390" s="18" t="str">
        <f>IF(COUNTIF($A$2:A389, A389) = 1, A389, "")</f>
        <v/>
      </c>
    </row>
    <row r="391" spans="6:38" x14ac:dyDescent="0.2">
      <c r="F391" t="str">
        <f t="shared" si="58"/>
        <v/>
      </c>
      <c r="L391" s="7" t="str">
        <f t="shared" si="59"/>
        <v/>
      </c>
      <c r="N391" s="7" t="str">
        <f t="shared" si="60"/>
        <v/>
      </c>
      <c r="O391" t="str">
        <f t="shared" si="61"/>
        <v/>
      </c>
      <c r="P391" t="str">
        <f t="shared" si="62"/>
        <v/>
      </c>
      <c r="Q391" t="str">
        <f t="shared" si="63"/>
        <v/>
      </c>
      <c r="S391" t="str">
        <f>""</f>
        <v/>
      </c>
      <c r="AL391" s="18" t="str">
        <f>IF(COUNTIF($A$2:A390, A390) = 1, A390, "")</f>
        <v/>
      </c>
    </row>
    <row r="392" spans="6:38" x14ac:dyDescent="0.2">
      <c r="F392" t="str">
        <f t="shared" si="58"/>
        <v/>
      </c>
      <c r="L392" s="7" t="str">
        <f t="shared" si="59"/>
        <v/>
      </c>
      <c r="N392" s="7" t="str">
        <f t="shared" si="60"/>
        <v/>
      </c>
      <c r="O392" t="str">
        <f t="shared" si="61"/>
        <v/>
      </c>
      <c r="P392" t="str">
        <f t="shared" si="62"/>
        <v/>
      </c>
      <c r="Q392" t="str">
        <f t="shared" si="63"/>
        <v/>
      </c>
      <c r="S392" t="str">
        <f>""</f>
        <v/>
      </c>
      <c r="AL392" s="18" t="str">
        <f>IF(COUNTIF($A$2:A391, A391) = 1, A391, "")</f>
        <v/>
      </c>
    </row>
    <row r="393" spans="6:38" x14ac:dyDescent="0.2">
      <c r="F393" t="str">
        <f t="shared" si="58"/>
        <v/>
      </c>
      <c r="L393" s="7" t="str">
        <f t="shared" si="59"/>
        <v/>
      </c>
      <c r="N393" s="7" t="str">
        <f t="shared" si="60"/>
        <v/>
      </c>
      <c r="O393" t="str">
        <f t="shared" si="61"/>
        <v/>
      </c>
      <c r="P393" t="str">
        <f t="shared" si="62"/>
        <v/>
      </c>
      <c r="Q393" t="str">
        <f t="shared" si="63"/>
        <v/>
      </c>
      <c r="S393" t="str">
        <f>""</f>
        <v/>
      </c>
      <c r="AL393" s="18" t="str">
        <f>IF(COUNTIF($A$2:A392, A392) = 1, A392, "")</f>
        <v/>
      </c>
    </row>
    <row r="394" spans="6:38" x14ac:dyDescent="0.2">
      <c r="F394" t="str">
        <f t="shared" si="58"/>
        <v/>
      </c>
      <c r="L394" s="7" t="str">
        <f t="shared" si="59"/>
        <v/>
      </c>
      <c r="N394" s="7" t="str">
        <f t="shared" si="60"/>
        <v/>
      </c>
      <c r="O394" t="str">
        <f t="shared" si="61"/>
        <v/>
      </c>
      <c r="P394" t="str">
        <f t="shared" si="62"/>
        <v/>
      </c>
      <c r="Q394" t="str">
        <f t="shared" si="63"/>
        <v/>
      </c>
      <c r="S394" t="str">
        <f>""</f>
        <v/>
      </c>
      <c r="AL394" s="18" t="str">
        <f>IF(COUNTIF($A$2:A393, A393) = 1, A393, "")</f>
        <v/>
      </c>
    </row>
    <row r="395" spans="6:38" x14ac:dyDescent="0.2">
      <c r="F395" t="str">
        <f t="shared" si="58"/>
        <v/>
      </c>
      <c r="L395" s="7" t="str">
        <f t="shared" si="59"/>
        <v/>
      </c>
      <c r="N395" s="7" t="str">
        <f t="shared" si="60"/>
        <v/>
      </c>
      <c r="O395" t="str">
        <f t="shared" si="61"/>
        <v/>
      </c>
      <c r="P395" t="str">
        <f t="shared" si="62"/>
        <v/>
      </c>
      <c r="Q395" t="str">
        <f t="shared" si="63"/>
        <v/>
      </c>
      <c r="S395" t="str">
        <f>""</f>
        <v/>
      </c>
      <c r="AL395" s="18" t="str">
        <f>IF(COUNTIF($A$2:A394, A394) = 1, A394, "")</f>
        <v/>
      </c>
    </row>
    <row r="396" spans="6:38" x14ac:dyDescent="0.2">
      <c r="F396" t="str">
        <f t="shared" si="58"/>
        <v/>
      </c>
      <c r="L396" s="7" t="str">
        <f t="shared" si="59"/>
        <v/>
      </c>
      <c r="N396" s="7" t="str">
        <f t="shared" si="60"/>
        <v/>
      </c>
      <c r="O396" t="str">
        <f t="shared" si="61"/>
        <v/>
      </c>
      <c r="P396" t="str">
        <f t="shared" si="62"/>
        <v/>
      </c>
      <c r="Q396" t="str">
        <f t="shared" si="63"/>
        <v/>
      </c>
      <c r="S396" t="str">
        <f>""</f>
        <v/>
      </c>
      <c r="AL396" s="18" t="str">
        <f>IF(COUNTIF($A$2:A395, A395) = 1, A395, "")</f>
        <v/>
      </c>
    </row>
    <row r="397" spans="6:38" x14ac:dyDescent="0.2">
      <c r="F397" t="str">
        <f t="shared" si="58"/>
        <v/>
      </c>
      <c r="L397" s="7" t="str">
        <f t="shared" si="59"/>
        <v/>
      </c>
      <c r="N397" s="7" t="str">
        <f t="shared" si="60"/>
        <v/>
      </c>
      <c r="O397" t="str">
        <f t="shared" si="61"/>
        <v/>
      </c>
      <c r="P397" t="str">
        <f t="shared" si="62"/>
        <v/>
      </c>
      <c r="Q397" t="str">
        <f t="shared" si="63"/>
        <v/>
      </c>
      <c r="S397" t="str">
        <f>""</f>
        <v/>
      </c>
      <c r="AL397" s="18" t="str">
        <f>IF(COUNTIF($A$2:A396, A396) = 1, A396, "")</f>
        <v/>
      </c>
    </row>
    <row r="398" spans="6:38" x14ac:dyDescent="0.2">
      <c r="F398" t="str">
        <f t="shared" si="58"/>
        <v/>
      </c>
      <c r="L398" s="7" t="str">
        <f t="shared" si="59"/>
        <v/>
      </c>
      <c r="N398" s="7" t="str">
        <f t="shared" si="60"/>
        <v/>
      </c>
      <c r="O398" t="str">
        <f t="shared" si="61"/>
        <v/>
      </c>
      <c r="P398" t="str">
        <f t="shared" si="62"/>
        <v/>
      </c>
      <c r="Q398" t="str">
        <f t="shared" si="63"/>
        <v/>
      </c>
      <c r="S398" t="str">
        <f>""</f>
        <v/>
      </c>
      <c r="AL398" s="18" t="str">
        <f>IF(COUNTIF($A$2:A397, A397) = 1, A397, "")</f>
        <v/>
      </c>
    </row>
    <row r="399" spans="6:38" x14ac:dyDescent="0.2">
      <c r="F399" t="str">
        <f t="shared" si="58"/>
        <v/>
      </c>
      <c r="L399" s="7" t="str">
        <f t="shared" si="59"/>
        <v/>
      </c>
      <c r="N399" s="7" t="str">
        <f t="shared" si="60"/>
        <v/>
      </c>
      <c r="O399" t="str">
        <f t="shared" si="61"/>
        <v/>
      </c>
      <c r="P399" t="str">
        <f t="shared" si="62"/>
        <v/>
      </c>
      <c r="Q399" t="str">
        <f t="shared" si="63"/>
        <v/>
      </c>
      <c r="S399" t="str">
        <f>""</f>
        <v/>
      </c>
      <c r="AL399" s="18" t="str">
        <f>IF(COUNTIF($A$2:A398, A398) = 1, A398, "")</f>
        <v/>
      </c>
    </row>
    <row r="400" spans="6:38" x14ac:dyDescent="0.2">
      <c r="F400" t="str">
        <f t="shared" ref="F400:F463" si="64">IF(OR(O400="", P400=""), "", SUM(IF((O400&lt;&gt;"None")*(O400&lt;&gt;""),LEN(O400)-LEN(SUBSTITUTE(O400,",",""))+1,0)) + SUM(IF((P400&lt;&gt;"None")*(P400&lt;&gt;""),LEN(P400)-LEN(SUBSTITUTE(P400,",",""))+1,0)))</f>
        <v/>
      </c>
      <c r="L400" s="7" t="str">
        <f t="shared" ref="L400:L463" si="65">IF(LEN(E400)=0, "", IFERROR(IF(E400&gt;=0, K400 * (1 + E400/100) - K400, K400 / (ABS(E400)/100))+K400, ""))</f>
        <v/>
      </c>
      <c r="N400" s="7" t="str">
        <f t="shared" ref="N400:N463" si="66">IF(M400="Yes",L400-K400,IF(M400="No",-K400,""))</f>
        <v/>
      </c>
      <c r="O400" t="str">
        <f t="shared" ref="O400:O463" si="67">IF(AND(G400="No",H400="No"), "None", "")</f>
        <v/>
      </c>
      <c r="P400" t="str">
        <f t="shared" ref="P400:P463" si="68">IF(I400="No", "None", "")</f>
        <v/>
      </c>
      <c r="Q400" t="str">
        <f t="shared" ref="Q400:Q463" si="69">IF(AND(D400="Straight", M400 = "No"),IF(O400="None",P400,IF(P400="None",O400) ),"")</f>
        <v/>
      </c>
      <c r="S400" t="str">
        <f>""</f>
        <v/>
      </c>
      <c r="AL400" s="18" t="str">
        <f>IF(COUNTIF($A$2:A399, A399) = 1, A399, "")</f>
        <v/>
      </c>
    </row>
    <row r="401" spans="6:38" x14ac:dyDescent="0.2">
      <c r="F401" t="str">
        <f t="shared" si="64"/>
        <v/>
      </c>
      <c r="L401" s="7" t="str">
        <f t="shared" si="65"/>
        <v/>
      </c>
      <c r="N401" s="7" t="str">
        <f t="shared" si="66"/>
        <v/>
      </c>
      <c r="O401" t="str">
        <f t="shared" si="67"/>
        <v/>
      </c>
      <c r="P401" t="str">
        <f t="shared" si="68"/>
        <v/>
      </c>
      <c r="Q401" t="str">
        <f t="shared" si="69"/>
        <v/>
      </c>
      <c r="S401" t="str">
        <f>""</f>
        <v/>
      </c>
      <c r="AL401" s="18" t="str">
        <f>IF(COUNTIF($A$2:A400, A400) = 1, A400, "")</f>
        <v/>
      </c>
    </row>
    <row r="402" spans="6:38" x14ac:dyDescent="0.2">
      <c r="F402" t="str">
        <f t="shared" si="64"/>
        <v/>
      </c>
      <c r="L402" s="7" t="str">
        <f t="shared" si="65"/>
        <v/>
      </c>
      <c r="N402" s="7" t="str">
        <f t="shared" si="66"/>
        <v/>
      </c>
      <c r="O402" t="str">
        <f t="shared" si="67"/>
        <v/>
      </c>
      <c r="P402" t="str">
        <f t="shared" si="68"/>
        <v/>
      </c>
      <c r="Q402" t="str">
        <f t="shared" si="69"/>
        <v/>
      </c>
      <c r="S402" t="str">
        <f>""</f>
        <v/>
      </c>
      <c r="AL402" s="18" t="str">
        <f>IF(COUNTIF($A$2:A401, A401) = 1, A401, "")</f>
        <v/>
      </c>
    </row>
    <row r="403" spans="6:38" x14ac:dyDescent="0.2">
      <c r="F403" t="str">
        <f t="shared" si="64"/>
        <v/>
      </c>
      <c r="L403" s="7" t="str">
        <f t="shared" si="65"/>
        <v/>
      </c>
      <c r="N403" s="7" t="str">
        <f t="shared" si="66"/>
        <v/>
      </c>
      <c r="O403" t="str">
        <f t="shared" si="67"/>
        <v/>
      </c>
      <c r="P403" t="str">
        <f t="shared" si="68"/>
        <v/>
      </c>
      <c r="Q403" t="str">
        <f t="shared" si="69"/>
        <v/>
      </c>
      <c r="S403" t="str">
        <f>""</f>
        <v/>
      </c>
      <c r="AL403" s="18" t="str">
        <f>IF(COUNTIF($A$2:A402, A402) = 1, A402, "")</f>
        <v/>
      </c>
    </row>
    <row r="404" spans="6:38" x14ac:dyDescent="0.2">
      <c r="F404" t="str">
        <f t="shared" si="64"/>
        <v/>
      </c>
      <c r="L404" s="7" t="str">
        <f t="shared" si="65"/>
        <v/>
      </c>
      <c r="N404" s="7" t="str">
        <f t="shared" si="66"/>
        <v/>
      </c>
      <c r="O404" t="str">
        <f t="shared" si="67"/>
        <v/>
      </c>
      <c r="P404" t="str">
        <f t="shared" si="68"/>
        <v/>
      </c>
      <c r="Q404" t="str">
        <f t="shared" si="69"/>
        <v/>
      </c>
      <c r="S404" t="str">
        <f>""</f>
        <v/>
      </c>
      <c r="AL404" s="18" t="str">
        <f>IF(COUNTIF($A$2:A403, A403) = 1, A403, "")</f>
        <v/>
      </c>
    </row>
    <row r="405" spans="6:38" x14ac:dyDescent="0.2">
      <c r="F405" t="str">
        <f t="shared" si="64"/>
        <v/>
      </c>
      <c r="L405" s="7" t="str">
        <f t="shared" si="65"/>
        <v/>
      </c>
      <c r="N405" s="7" t="str">
        <f t="shared" si="66"/>
        <v/>
      </c>
      <c r="O405" t="str">
        <f t="shared" si="67"/>
        <v/>
      </c>
      <c r="P405" t="str">
        <f t="shared" si="68"/>
        <v/>
      </c>
      <c r="Q405" t="str">
        <f t="shared" si="69"/>
        <v/>
      </c>
      <c r="S405" t="str">
        <f>""</f>
        <v/>
      </c>
      <c r="AL405" s="18" t="str">
        <f>IF(COUNTIF($A$2:A404, A404) = 1, A404, "")</f>
        <v/>
      </c>
    </row>
    <row r="406" spans="6:38" x14ac:dyDescent="0.2">
      <c r="F406" t="str">
        <f t="shared" si="64"/>
        <v/>
      </c>
      <c r="L406" s="7" t="str">
        <f t="shared" si="65"/>
        <v/>
      </c>
      <c r="N406" s="7" t="str">
        <f t="shared" si="66"/>
        <v/>
      </c>
      <c r="O406" t="str">
        <f t="shared" si="67"/>
        <v/>
      </c>
      <c r="P406" t="str">
        <f t="shared" si="68"/>
        <v/>
      </c>
      <c r="Q406" t="str">
        <f t="shared" si="69"/>
        <v/>
      </c>
      <c r="S406" t="str">
        <f>""</f>
        <v/>
      </c>
      <c r="AL406" s="18" t="str">
        <f>IF(COUNTIF($A$2:A405, A405) = 1, A405, "")</f>
        <v/>
      </c>
    </row>
    <row r="407" spans="6:38" x14ac:dyDescent="0.2">
      <c r="F407" t="str">
        <f t="shared" si="64"/>
        <v/>
      </c>
      <c r="L407" s="7" t="str">
        <f t="shared" si="65"/>
        <v/>
      </c>
      <c r="N407" s="7" t="str">
        <f t="shared" si="66"/>
        <v/>
      </c>
      <c r="O407" t="str">
        <f t="shared" si="67"/>
        <v/>
      </c>
      <c r="P407" t="str">
        <f t="shared" si="68"/>
        <v/>
      </c>
      <c r="Q407" t="str">
        <f t="shared" si="69"/>
        <v/>
      </c>
      <c r="S407" t="str">
        <f>""</f>
        <v/>
      </c>
      <c r="AL407" s="18" t="str">
        <f>IF(COUNTIF($A$2:A406, A406) = 1, A406, "")</f>
        <v/>
      </c>
    </row>
    <row r="408" spans="6:38" x14ac:dyDescent="0.2">
      <c r="F408" t="str">
        <f t="shared" si="64"/>
        <v/>
      </c>
      <c r="L408" s="7" t="str">
        <f t="shared" si="65"/>
        <v/>
      </c>
      <c r="N408" s="7" t="str">
        <f t="shared" si="66"/>
        <v/>
      </c>
      <c r="O408" t="str">
        <f t="shared" si="67"/>
        <v/>
      </c>
      <c r="P408" t="str">
        <f t="shared" si="68"/>
        <v/>
      </c>
      <c r="Q408" t="str">
        <f t="shared" si="69"/>
        <v/>
      </c>
      <c r="S408" t="str">
        <f>""</f>
        <v/>
      </c>
      <c r="AL408" s="18" t="str">
        <f>IF(COUNTIF($A$2:A407, A407) = 1, A407, "")</f>
        <v/>
      </c>
    </row>
    <row r="409" spans="6:38" x14ac:dyDescent="0.2">
      <c r="F409" t="str">
        <f t="shared" si="64"/>
        <v/>
      </c>
      <c r="L409" s="7" t="str">
        <f t="shared" si="65"/>
        <v/>
      </c>
      <c r="N409" s="7" t="str">
        <f t="shared" si="66"/>
        <v/>
      </c>
      <c r="O409" t="str">
        <f t="shared" si="67"/>
        <v/>
      </c>
      <c r="P409" t="str">
        <f t="shared" si="68"/>
        <v/>
      </c>
      <c r="Q409" t="str">
        <f t="shared" si="69"/>
        <v/>
      </c>
      <c r="S409" t="str">
        <f>""</f>
        <v/>
      </c>
      <c r="AL409" s="18" t="str">
        <f>IF(COUNTIF($A$2:A408, A408) = 1, A408, "")</f>
        <v/>
      </c>
    </row>
    <row r="410" spans="6:38" x14ac:dyDescent="0.2">
      <c r="F410" t="str">
        <f t="shared" si="64"/>
        <v/>
      </c>
      <c r="L410" s="7" t="str">
        <f t="shared" si="65"/>
        <v/>
      </c>
      <c r="N410" s="7" t="str">
        <f t="shared" si="66"/>
        <v/>
      </c>
      <c r="O410" t="str">
        <f t="shared" si="67"/>
        <v/>
      </c>
      <c r="P410" t="str">
        <f t="shared" si="68"/>
        <v/>
      </c>
      <c r="Q410" t="str">
        <f t="shared" si="69"/>
        <v/>
      </c>
      <c r="S410" t="str">
        <f>""</f>
        <v/>
      </c>
      <c r="AL410" s="18" t="str">
        <f>IF(COUNTIF($A$2:A409, A409) = 1, A409, "")</f>
        <v/>
      </c>
    </row>
    <row r="411" spans="6:38" x14ac:dyDescent="0.2">
      <c r="F411" t="str">
        <f t="shared" si="64"/>
        <v/>
      </c>
      <c r="L411" s="7" t="str">
        <f t="shared" si="65"/>
        <v/>
      </c>
      <c r="N411" s="7" t="str">
        <f t="shared" si="66"/>
        <v/>
      </c>
      <c r="O411" t="str">
        <f t="shared" si="67"/>
        <v/>
      </c>
      <c r="P411" t="str">
        <f t="shared" si="68"/>
        <v/>
      </c>
      <c r="Q411" t="str">
        <f t="shared" si="69"/>
        <v/>
      </c>
      <c r="S411" t="str">
        <f>""</f>
        <v/>
      </c>
      <c r="AL411" s="18" t="str">
        <f>IF(COUNTIF($A$2:A410, A410) = 1, A410, "")</f>
        <v/>
      </c>
    </row>
    <row r="412" spans="6:38" x14ac:dyDescent="0.2">
      <c r="F412" t="str">
        <f t="shared" si="64"/>
        <v/>
      </c>
      <c r="L412" s="7" t="str">
        <f t="shared" si="65"/>
        <v/>
      </c>
      <c r="N412" s="7" t="str">
        <f t="shared" si="66"/>
        <v/>
      </c>
      <c r="O412" t="str">
        <f t="shared" si="67"/>
        <v/>
      </c>
      <c r="P412" t="str">
        <f t="shared" si="68"/>
        <v/>
      </c>
      <c r="Q412" t="str">
        <f t="shared" si="69"/>
        <v/>
      </c>
      <c r="S412" t="str">
        <f>""</f>
        <v/>
      </c>
      <c r="AL412" s="18" t="str">
        <f>IF(COUNTIF($A$2:A411, A411) = 1, A411, "")</f>
        <v/>
      </c>
    </row>
    <row r="413" spans="6:38" x14ac:dyDescent="0.2">
      <c r="F413" t="str">
        <f t="shared" si="64"/>
        <v/>
      </c>
      <c r="L413" s="7" t="str">
        <f t="shared" si="65"/>
        <v/>
      </c>
      <c r="N413" s="7" t="str">
        <f t="shared" si="66"/>
        <v/>
      </c>
      <c r="O413" t="str">
        <f t="shared" si="67"/>
        <v/>
      </c>
      <c r="P413" t="str">
        <f t="shared" si="68"/>
        <v/>
      </c>
      <c r="Q413" t="str">
        <f t="shared" si="69"/>
        <v/>
      </c>
      <c r="S413" t="str">
        <f>""</f>
        <v/>
      </c>
      <c r="AL413" s="18" t="str">
        <f>IF(COUNTIF($A$2:A412, A412) = 1, A412, "")</f>
        <v/>
      </c>
    </row>
    <row r="414" spans="6:38" x14ac:dyDescent="0.2">
      <c r="F414" t="str">
        <f t="shared" si="64"/>
        <v/>
      </c>
      <c r="L414" s="7" t="str">
        <f t="shared" si="65"/>
        <v/>
      </c>
      <c r="N414" s="7" t="str">
        <f t="shared" si="66"/>
        <v/>
      </c>
      <c r="O414" t="str">
        <f t="shared" si="67"/>
        <v/>
      </c>
      <c r="P414" t="str">
        <f t="shared" si="68"/>
        <v/>
      </c>
      <c r="Q414" t="str">
        <f t="shared" si="69"/>
        <v/>
      </c>
      <c r="S414" t="str">
        <f>""</f>
        <v/>
      </c>
      <c r="AL414" s="18" t="str">
        <f>IF(COUNTIF($A$2:A413, A413) = 1, A413, "")</f>
        <v/>
      </c>
    </row>
    <row r="415" spans="6:38" x14ac:dyDescent="0.2">
      <c r="F415" t="str">
        <f t="shared" si="64"/>
        <v/>
      </c>
      <c r="L415" s="7" t="str">
        <f t="shared" si="65"/>
        <v/>
      </c>
      <c r="N415" s="7" t="str">
        <f t="shared" si="66"/>
        <v/>
      </c>
      <c r="O415" t="str">
        <f t="shared" si="67"/>
        <v/>
      </c>
      <c r="P415" t="str">
        <f t="shared" si="68"/>
        <v/>
      </c>
      <c r="Q415" t="str">
        <f t="shared" si="69"/>
        <v/>
      </c>
      <c r="S415" t="str">
        <f>""</f>
        <v/>
      </c>
      <c r="AL415" s="18" t="str">
        <f>IF(COUNTIF($A$2:A414, A414) = 1, A414, "")</f>
        <v/>
      </c>
    </row>
    <row r="416" spans="6:38" x14ac:dyDescent="0.2">
      <c r="F416" t="str">
        <f t="shared" si="64"/>
        <v/>
      </c>
      <c r="L416" s="7" t="str">
        <f t="shared" si="65"/>
        <v/>
      </c>
      <c r="N416" s="7" t="str">
        <f t="shared" si="66"/>
        <v/>
      </c>
      <c r="O416" t="str">
        <f t="shared" si="67"/>
        <v/>
      </c>
      <c r="P416" t="str">
        <f t="shared" si="68"/>
        <v/>
      </c>
      <c r="Q416" t="str">
        <f t="shared" si="69"/>
        <v/>
      </c>
      <c r="S416" t="str">
        <f>""</f>
        <v/>
      </c>
      <c r="AL416" s="18" t="str">
        <f>IF(COUNTIF($A$2:A415, A415) = 1, A415, "")</f>
        <v/>
      </c>
    </row>
    <row r="417" spans="6:38" x14ac:dyDescent="0.2">
      <c r="F417" t="str">
        <f t="shared" si="64"/>
        <v/>
      </c>
      <c r="L417" s="7" t="str">
        <f t="shared" si="65"/>
        <v/>
      </c>
      <c r="N417" s="7" t="str">
        <f t="shared" si="66"/>
        <v/>
      </c>
      <c r="O417" t="str">
        <f t="shared" si="67"/>
        <v/>
      </c>
      <c r="P417" t="str">
        <f t="shared" si="68"/>
        <v/>
      </c>
      <c r="Q417" t="str">
        <f t="shared" si="69"/>
        <v/>
      </c>
      <c r="S417" t="str">
        <f>""</f>
        <v/>
      </c>
      <c r="AL417" s="18" t="str">
        <f>IF(COUNTIF($A$2:A416, A416) = 1, A416, "")</f>
        <v/>
      </c>
    </row>
    <row r="418" spans="6:38" x14ac:dyDescent="0.2">
      <c r="F418" t="str">
        <f t="shared" si="64"/>
        <v/>
      </c>
      <c r="L418" s="7" t="str">
        <f t="shared" si="65"/>
        <v/>
      </c>
      <c r="N418" s="7" t="str">
        <f t="shared" si="66"/>
        <v/>
      </c>
      <c r="O418" t="str">
        <f t="shared" si="67"/>
        <v/>
      </c>
      <c r="P418" t="str">
        <f t="shared" si="68"/>
        <v/>
      </c>
      <c r="Q418" t="str">
        <f t="shared" si="69"/>
        <v/>
      </c>
      <c r="S418" t="str">
        <f>""</f>
        <v/>
      </c>
      <c r="AL418" s="18" t="str">
        <f>IF(COUNTIF($A$2:A417, A417) = 1, A417, "")</f>
        <v/>
      </c>
    </row>
    <row r="419" spans="6:38" x14ac:dyDescent="0.2">
      <c r="F419" t="str">
        <f t="shared" si="64"/>
        <v/>
      </c>
      <c r="L419" s="7" t="str">
        <f t="shared" si="65"/>
        <v/>
      </c>
      <c r="N419" s="7" t="str">
        <f t="shared" si="66"/>
        <v/>
      </c>
      <c r="O419" t="str">
        <f t="shared" si="67"/>
        <v/>
      </c>
      <c r="P419" t="str">
        <f t="shared" si="68"/>
        <v/>
      </c>
      <c r="Q419" t="str">
        <f t="shared" si="69"/>
        <v/>
      </c>
      <c r="S419" t="str">
        <f>""</f>
        <v/>
      </c>
      <c r="AL419" s="18" t="str">
        <f>IF(COUNTIF($A$2:A418, A418) = 1, A418, "")</f>
        <v/>
      </c>
    </row>
    <row r="420" spans="6:38" x14ac:dyDescent="0.2">
      <c r="F420" t="str">
        <f t="shared" si="64"/>
        <v/>
      </c>
      <c r="L420" s="7" t="str">
        <f t="shared" si="65"/>
        <v/>
      </c>
      <c r="N420" s="7" t="str">
        <f t="shared" si="66"/>
        <v/>
      </c>
      <c r="O420" t="str">
        <f t="shared" si="67"/>
        <v/>
      </c>
      <c r="P420" t="str">
        <f t="shared" si="68"/>
        <v/>
      </c>
      <c r="Q420" t="str">
        <f t="shared" si="69"/>
        <v/>
      </c>
      <c r="S420" t="str">
        <f>""</f>
        <v/>
      </c>
      <c r="AL420" s="18" t="str">
        <f>IF(COUNTIF($A$2:A419, A419) = 1, A419, "")</f>
        <v/>
      </c>
    </row>
    <row r="421" spans="6:38" x14ac:dyDescent="0.2">
      <c r="F421" t="str">
        <f t="shared" si="64"/>
        <v/>
      </c>
      <c r="L421" s="7" t="str">
        <f t="shared" si="65"/>
        <v/>
      </c>
      <c r="N421" s="7" t="str">
        <f t="shared" si="66"/>
        <v/>
      </c>
      <c r="O421" t="str">
        <f t="shared" si="67"/>
        <v/>
      </c>
      <c r="P421" t="str">
        <f t="shared" si="68"/>
        <v/>
      </c>
      <c r="Q421" t="str">
        <f t="shared" si="69"/>
        <v/>
      </c>
      <c r="S421" t="str">
        <f>""</f>
        <v/>
      </c>
      <c r="AL421" s="18" t="str">
        <f>IF(COUNTIF($A$2:A420, A420) = 1, A420, "")</f>
        <v/>
      </c>
    </row>
    <row r="422" spans="6:38" x14ac:dyDescent="0.2">
      <c r="F422" t="str">
        <f t="shared" si="64"/>
        <v/>
      </c>
      <c r="L422" s="7" t="str">
        <f t="shared" si="65"/>
        <v/>
      </c>
      <c r="N422" s="7" t="str">
        <f t="shared" si="66"/>
        <v/>
      </c>
      <c r="O422" t="str">
        <f t="shared" si="67"/>
        <v/>
      </c>
      <c r="P422" t="str">
        <f t="shared" si="68"/>
        <v/>
      </c>
      <c r="Q422" t="str">
        <f t="shared" si="69"/>
        <v/>
      </c>
      <c r="S422" t="str">
        <f>""</f>
        <v/>
      </c>
      <c r="AL422" s="18" t="str">
        <f>IF(COUNTIF($A$2:A421, A421) = 1, A421, "")</f>
        <v/>
      </c>
    </row>
    <row r="423" spans="6:38" x14ac:dyDescent="0.2">
      <c r="F423" t="str">
        <f t="shared" si="64"/>
        <v/>
      </c>
      <c r="L423" s="7" t="str">
        <f t="shared" si="65"/>
        <v/>
      </c>
      <c r="N423" s="7" t="str">
        <f t="shared" si="66"/>
        <v/>
      </c>
      <c r="O423" t="str">
        <f t="shared" si="67"/>
        <v/>
      </c>
      <c r="P423" t="str">
        <f t="shared" si="68"/>
        <v/>
      </c>
      <c r="Q423" t="str">
        <f t="shared" si="69"/>
        <v/>
      </c>
      <c r="S423" t="str">
        <f>""</f>
        <v/>
      </c>
      <c r="AL423" s="18" t="str">
        <f>IF(COUNTIF($A$2:A422, A422) = 1, A422, "")</f>
        <v/>
      </c>
    </row>
    <row r="424" spans="6:38" x14ac:dyDescent="0.2">
      <c r="F424" t="str">
        <f t="shared" si="64"/>
        <v/>
      </c>
      <c r="L424" s="7" t="str">
        <f t="shared" si="65"/>
        <v/>
      </c>
      <c r="N424" s="7" t="str">
        <f t="shared" si="66"/>
        <v/>
      </c>
      <c r="O424" t="str">
        <f t="shared" si="67"/>
        <v/>
      </c>
      <c r="P424" t="str">
        <f t="shared" si="68"/>
        <v/>
      </c>
      <c r="Q424" t="str">
        <f t="shared" si="69"/>
        <v/>
      </c>
      <c r="S424" t="str">
        <f>""</f>
        <v/>
      </c>
      <c r="AL424" s="18" t="str">
        <f>IF(COUNTIF($A$2:A423, A423) = 1, A423, "")</f>
        <v/>
      </c>
    </row>
    <row r="425" spans="6:38" x14ac:dyDescent="0.2">
      <c r="F425" t="str">
        <f t="shared" si="64"/>
        <v/>
      </c>
      <c r="L425" s="7" t="str">
        <f t="shared" si="65"/>
        <v/>
      </c>
      <c r="N425" s="7" t="str">
        <f t="shared" si="66"/>
        <v/>
      </c>
      <c r="O425" t="str">
        <f t="shared" si="67"/>
        <v/>
      </c>
      <c r="P425" t="str">
        <f t="shared" si="68"/>
        <v/>
      </c>
      <c r="Q425" t="str">
        <f t="shared" si="69"/>
        <v/>
      </c>
      <c r="S425" t="str">
        <f>""</f>
        <v/>
      </c>
      <c r="AL425" s="18" t="str">
        <f>IF(COUNTIF($A$2:A424, A424) = 1, A424, "")</f>
        <v/>
      </c>
    </row>
    <row r="426" spans="6:38" x14ac:dyDescent="0.2">
      <c r="F426" t="str">
        <f t="shared" si="64"/>
        <v/>
      </c>
      <c r="L426" s="7" t="str">
        <f t="shared" si="65"/>
        <v/>
      </c>
      <c r="N426" s="7" t="str">
        <f t="shared" si="66"/>
        <v/>
      </c>
      <c r="O426" t="str">
        <f t="shared" si="67"/>
        <v/>
      </c>
      <c r="P426" t="str">
        <f t="shared" si="68"/>
        <v/>
      </c>
      <c r="Q426" t="str">
        <f t="shared" si="69"/>
        <v/>
      </c>
      <c r="S426" t="str">
        <f>""</f>
        <v/>
      </c>
      <c r="AL426" s="18" t="str">
        <f>IF(COUNTIF($A$2:A425, A425) = 1, A425, "")</f>
        <v/>
      </c>
    </row>
    <row r="427" spans="6:38" x14ac:dyDescent="0.2">
      <c r="F427" t="str">
        <f t="shared" si="64"/>
        <v/>
      </c>
      <c r="L427" s="7" t="str">
        <f t="shared" si="65"/>
        <v/>
      </c>
      <c r="N427" s="7" t="str">
        <f t="shared" si="66"/>
        <v/>
      </c>
      <c r="O427" t="str">
        <f t="shared" si="67"/>
        <v/>
      </c>
      <c r="P427" t="str">
        <f t="shared" si="68"/>
        <v/>
      </c>
      <c r="Q427" t="str">
        <f t="shared" si="69"/>
        <v/>
      </c>
      <c r="S427" t="str">
        <f>""</f>
        <v/>
      </c>
      <c r="AL427" s="18" t="str">
        <f>IF(COUNTIF($A$2:A426, A426) = 1, A426, "")</f>
        <v/>
      </c>
    </row>
    <row r="428" spans="6:38" x14ac:dyDescent="0.2">
      <c r="F428" t="str">
        <f t="shared" si="64"/>
        <v/>
      </c>
      <c r="L428" s="7" t="str">
        <f t="shared" si="65"/>
        <v/>
      </c>
      <c r="N428" s="7" t="str">
        <f t="shared" si="66"/>
        <v/>
      </c>
      <c r="O428" t="str">
        <f t="shared" si="67"/>
        <v/>
      </c>
      <c r="P428" t="str">
        <f t="shared" si="68"/>
        <v/>
      </c>
      <c r="Q428" t="str">
        <f t="shared" si="69"/>
        <v/>
      </c>
      <c r="S428" t="str">
        <f>""</f>
        <v/>
      </c>
      <c r="AL428" s="18" t="str">
        <f>IF(COUNTIF($A$2:A427, A427) = 1, A427, "")</f>
        <v/>
      </c>
    </row>
    <row r="429" spans="6:38" x14ac:dyDescent="0.2">
      <c r="F429" t="str">
        <f t="shared" si="64"/>
        <v/>
      </c>
      <c r="L429" s="7" t="str">
        <f t="shared" si="65"/>
        <v/>
      </c>
      <c r="N429" s="7" t="str">
        <f t="shared" si="66"/>
        <v/>
      </c>
      <c r="O429" t="str">
        <f t="shared" si="67"/>
        <v/>
      </c>
      <c r="P429" t="str">
        <f t="shared" si="68"/>
        <v/>
      </c>
      <c r="Q429" t="str">
        <f t="shared" si="69"/>
        <v/>
      </c>
      <c r="S429" t="str">
        <f>""</f>
        <v/>
      </c>
      <c r="AL429" s="18" t="str">
        <f>IF(COUNTIF($A$2:A428, A428) = 1, A428, "")</f>
        <v/>
      </c>
    </row>
    <row r="430" spans="6:38" x14ac:dyDescent="0.2">
      <c r="F430" t="str">
        <f t="shared" si="64"/>
        <v/>
      </c>
      <c r="L430" s="7" t="str">
        <f t="shared" si="65"/>
        <v/>
      </c>
      <c r="N430" s="7" t="str">
        <f t="shared" si="66"/>
        <v/>
      </c>
      <c r="O430" t="str">
        <f t="shared" si="67"/>
        <v/>
      </c>
      <c r="P430" t="str">
        <f t="shared" si="68"/>
        <v/>
      </c>
      <c r="Q430" t="str">
        <f t="shared" si="69"/>
        <v/>
      </c>
      <c r="S430" t="str">
        <f>""</f>
        <v/>
      </c>
      <c r="AL430" s="18" t="str">
        <f>IF(COUNTIF($A$2:A429, A429) = 1, A429, "")</f>
        <v/>
      </c>
    </row>
    <row r="431" spans="6:38" x14ac:dyDescent="0.2">
      <c r="F431" t="str">
        <f t="shared" si="64"/>
        <v/>
      </c>
      <c r="L431" s="7" t="str">
        <f t="shared" si="65"/>
        <v/>
      </c>
      <c r="N431" s="7" t="str">
        <f t="shared" si="66"/>
        <v/>
      </c>
      <c r="O431" t="str">
        <f t="shared" si="67"/>
        <v/>
      </c>
      <c r="P431" t="str">
        <f t="shared" si="68"/>
        <v/>
      </c>
      <c r="Q431" t="str">
        <f t="shared" si="69"/>
        <v/>
      </c>
      <c r="S431" t="str">
        <f>""</f>
        <v/>
      </c>
      <c r="AL431" s="18" t="str">
        <f>IF(COUNTIF($A$2:A430, A430) = 1, A430, "")</f>
        <v/>
      </c>
    </row>
    <row r="432" spans="6:38" x14ac:dyDescent="0.2">
      <c r="F432" t="str">
        <f t="shared" si="64"/>
        <v/>
      </c>
      <c r="L432" s="7" t="str">
        <f t="shared" si="65"/>
        <v/>
      </c>
      <c r="N432" s="7" t="str">
        <f t="shared" si="66"/>
        <v/>
      </c>
      <c r="O432" t="str">
        <f t="shared" si="67"/>
        <v/>
      </c>
      <c r="P432" t="str">
        <f t="shared" si="68"/>
        <v/>
      </c>
      <c r="Q432" t="str">
        <f t="shared" si="69"/>
        <v/>
      </c>
      <c r="S432" t="str">
        <f>""</f>
        <v/>
      </c>
      <c r="AL432" s="18" t="str">
        <f>IF(COUNTIF($A$2:A431, A431) = 1, A431, "")</f>
        <v/>
      </c>
    </row>
    <row r="433" spans="6:38" x14ac:dyDescent="0.2">
      <c r="F433" t="str">
        <f t="shared" si="64"/>
        <v/>
      </c>
      <c r="L433" s="7" t="str">
        <f t="shared" si="65"/>
        <v/>
      </c>
      <c r="N433" s="7" t="str">
        <f t="shared" si="66"/>
        <v/>
      </c>
      <c r="O433" t="str">
        <f t="shared" si="67"/>
        <v/>
      </c>
      <c r="P433" t="str">
        <f t="shared" si="68"/>
        <v/>
      </c>
      <c r="Q433" t="str">
        <f t="shared" si="69"/>
        <v/>
      </c>
      <c r="S433" t="str">
        <f>""</f>
        <v/>
      </c>
      <c r="AL433" s="18" t="str">
        <f>IF(COUNTIF($A$2:A432, A432) = 1, A432, "")</f>
        <v/>
      </c>
    </row>
    <row r="434" spans="6:38" x14ac:dyDescent="0.2">
      <c r="F434" t="str">
        <f t="shared" si="64"/>
        <v/>
      </c>
      <c r="L434" s="7" t="str">
        <f t="shared" si="65"/>
        <v/>
      </c>
      <c r="N434" s="7" t="str">
        <f t="shared" si="66"/>
        <v/>
      </c>
      <c r="O434" t="str">
        <f t="shared" si="67"/>
        <v/>
      </c>
      <c r="P434" t="str">
        <f t="shared" si="68"/>
        <v/>
      </c>
      <c r="Q434" t="str">
        <f t="shared" si="69"/>
        <v/>
      </c>
      <c r="S434" t="str">
        <f>""</f>
        <v/>
      </c>
      <c r="AL434" s="18" t="str">
        <f>IF(COUNTIF($A$2:A433, A433) = 1, A433, "")</f>
        <v/>
      </c>
    </row>
    <row r="435" spans="6:38" x14ac:dyDescent="0.2">
      <c r="F435" t="str">
        <f t="shared" si="64"/>
        <v/>
      </c>
      <c r="L435" s="7" t="str">
        <f t="shared" si="65"/>
        <v/>
      </c>
      <c r="N435" s="7" t="str">
        <f t="shared" si="66"/>
        <v/>
      </c>
      <c r="O435" t="str">
        <f t="shared" si="67"/>
        <v/>
      </c>
      <c r="P435" t="str">
        <f t="shared" si="68"/>
        <v/>
      </c>
      <c r="Q435" t="str">
        <f t="shared" si="69"/>
        <v/>
      </c>
      <c r="S435" t="str">
        <f>""</f>
        <v/>
      </c>
      <c r="AL435" s="18" t="str">
        <f>IF(COUNTIF($A$2:A434, A434) = 1, A434, "")</f>
        <v/>
      </c>
    </row>
    <row r="436" spans="6:38" x14ac:dyDescent="0.2">
      <c r="F436" t="str">
        <f t="shared" si="64"/>
        <v/>
      </c>
      <c r="L436" s="7" t="str">
        <f t="shared" si="65"/>
        <v/>
      </c>
      <c r="N436" s="7" t="str">
        <f t="shared" si="66"/>
        <v/>
      </c>
      <c r="O436" t="str">
        <f t="shared" si="67"/>
        <v/>
      </c>
      <c r="P436" t="str">
        <f t="shared" si="68"/>
        <v/>
      </c>
      <c r="Q436" t="str">
        <f t="shared" si="69"/>
        <v/>
      </c>
      <c r="S436" t="str">
        <f>""</f>
        <v/>
      </c>
      <c r="AL436" s="18" t="str">
        <f>IF(COUNTIF($A$2:A435, A435) = 1, A435, "")</f>
        <v/>
      </c>
    </row>
    <row r="437" spans="6:38" x14ac:dyDescent="0.2">
      <c r="F437" t="str">
        <f t="shared" si="64"/>
        <v/>
      </c>
      <c r="L437" s="7" t="str">
        <f t="shared" si="65"/>
        <v/>
      </c>
      <c r="N437" s="7" t="str">
        <f t="shared" si="66"/>
        <v/>
      </c>
      <c r="O437" t="str">
        <f t="shared" si="67"/>
        <v/>
      </c>
      <c r="P437" t="str">
        <f t="shared" si="68"/>
        <v/>
      </c>
      <c r="Q437" t="str">
        <f t="shared" si="69"/>
        <v/>
      </c>
      <c r="S437" t="str">
        <f>""</f>
        <v/>
      </c>
      <c r="AL437" s="18" t="str">
        <f>IF(COUNTIF($A$2:A436, A436) = 1, A436, "")</f>
        <v/>
      </c>
    </row>
    <row r="438" spans="6:38" x14ac:dyDescent="0.2">
      <c r="F438" t="str">
        <f t="shared" si="64"/>
        <v/>
      </c>
      <c r="L438" s="7" t="str">
        <f t="shared" si="65"/>
        <v/>
      </c>
      <c r="N438" s="7" t="str">
        <f t="shared" si="66"/>
        <v/>
      </c>
      <c r="O438" t="str">
        <f t="shared" si="67"/>
        <v/>
      </c>
      <c r="P438" t="str">
        <f t="shared" si="68"/>
        <v/>
      </c>
      <c r="Q438" t="str">
        <f t="shared" si="69"/>
        <v/>
      </c>
      <c r="S438" t="str">
        <f>""</f>
        <v/>
      </c>
      <c r="AL438" s="18" t="str">
        <f>IF(COUNTIF($A$2:A437, A437) = 1, A437, "")</f>
        <v/>
      </c>
    </row>
    <row r="439" spans="6:38" x14ac:dyDescent="0.2">
      <c r="F439" t="str">
        <f t="shared" si="64"/>
        <v/>
      </c>
      <c r="L439" s="7" t="str">
        <f t="shared" si="65"/>
        <v/>
      </c>
      <c r="N439" s="7" t="str">
        <f t="shared" si="66"/>
        <v/>
      </c>
      <c r="O439" t="str">
        <f t="shared" si="67"/>
        <v/>
      </c>
      <c r="P439" t="str">
        <f t="shared" si="68"/>
        <v/>
      </c>
      <c r="Q439" t="str">
        <f t="shared" si="69"/>
        <v/>
      </c>
      <c r="S439" t="str">
        <f>""</f>
        <v/>
      </c>
      <c r="AL439" s="18" t="str">
        <f>IF(COUNTIF($A$2:A438, A438) = 1, A438, "")</f>
        <v/>
      </c>
    </row>
    <row r="440" spans="6:38" x14ac:dyDescent="0.2">
      <c r="F440" t="str">
        <f t="shared" si="64"/>
        <v/>
      </c>
      <c r="L440" s="7" t="str">
        <f t="shared" si="65"/>
        <v/>
      </c>
      <c r="N440" s="7" t="str">
        <f t="shared" si="66"/>
        <v/>
      </c>
      <c r="O440" t="str">
        <f t="shared" si="67"/>
        <v/>
      </c>
      <c r="P440" t="str">
        <f t="shared" si="68"/>
        <v/>
      </c>
      <c r="Q440" t="str">
        <f t="shared" si="69"/>
        <v/>
      </c>
      <c r="S440" t="str">
        <f>""</f>
        <v/>
      </c>
      <c r="AL440" s="18" t="str">
        <f>IF(COUNTIF($A$2:A439, A439) = 1, A439, "")</f>
        <v/>
      </c>
    </row>
    <row r="441" spans="6:38" x14ac:dyDescent="0.2">
      <c r="F441" t="str">
        <f t="shared" si="64"/>
        <v/>
      </c>
      <c r="L441" s="7" t="str">
        <f t="shared" si="65"/>
        <v/>
      </c>
      <c r="N441" s="7" t="str">
        <f t="shared" si="66"/>
        <v/>
      </c>
      <c r="O441" t="str">
        <f t="shared" si="67"/>
        <v/>
      </c>
      <c r="P441" t="str">
        <f t="shared" si="68"/>
        <v/>
      </c>
      <c r="Q441" t="str">
        <f t="shared" si="69"/>
        <v/>
      </c>
      <c r="S441" t="str">
        <f>""</f>
        <v/>
      </c>
      <c r="AL441" s="18" t="str">
        <f>IF(COUNTIF($A$2:A440, A440) = 1, A440, "")</f>
        <v/>
      </c>
    </row>
    <row r="442" spans="6:38" x14ac:dyDescent="0.2">
      <c r="F442" t="str">
        <f t="shared" si="64"/>
        <v/>
      </c>
      <c r="L442" s="7" t="str">
        <f t="shared" si="65"/>
        <v/>
      </c>
      <c r="N442" s="7" t="str">
        <f t="shared" si="66"/>
        <v/>
      </c>
      <c r="O442" t="str">
        <f t="shared" si="67"/>
        <v/>
      </c>
      <c r="P442" t="str">
        <f t="shared" si="68"/>
        <v/>
      </c>
      <c r="Q442" t="str">
        <f t="shared" si="69"/>
        <v/>
      </c>
      <c r="S442" t="str">
        <f>""</f>
        <v/>
      </c>
      <c r="AL442" s="18" t="str">
        <f>IF(COUNTIF($A$2:A441, A441) = 1, A441, "")</f>
        <v/>
      </c>
    </row>
    <row r="443" spans="6:38" x14ac:dyDescent="0.2">
      <c r="F443" t="str">
        <f t="shared" si="64"/>
        <v/>
      </c>
      <c r="L443" s="7" t="str">
        <f t="shared" si="65"/>
        <v/>
      </c>
      <c r="N443" s="7" t="str">
        <f t="shared" si="66"/>
        <v/>
      </c>
      <c r="O443" t="str">
        <f t="shared" si="67"/>
        <v/>
      </c>
      <c r="P443" t="str">
        <f t="shared" si="68"/>
        <v/>
      </c>
      <c r="Q443" t="str">
        <f t="shared" si="69"/>
        <v/>
      </c>
      <c r="S443" t="str">
        <f>""</f>
        <v/>
      </c>
      <c r="AL443" s="18" t="str">
        <f>IF(COUNTIF($A$2:A442, A442) = 1, A442, "")</f>
        <v/>
      </c>
    </row>
    <row r="444" spans="6:38" x14ac:dyDescent="0.2">
      <c r="F444" t="str">
        <f t="shared" si="64"/>
        <v/>
      </c>
      <c r="L444" s="7" t="str">
        <f t="shared" si="65"/>
        <v/>
      </c>
      <c r="N444" s="7" t="str">
        <f t="shared" si="66"/>
        <v/>
      </c>
      <c r="O444" t="str">
        <f t="shared" si="67"/>
        <v/>
      </c>
      <c r="P444" t="str">
        <f t="shared" si="68"/>
        <v/>
      </c>
      <c r="Q444" t="str">
        <f t="shared" si="69"/>
        <v/>
      </c>
      <c r="S444" t="str">
        <f>""</f>
        <v/>
      </c>
      <c r="AL444" s="18" t="str">
        <f>IF(COUNTIF($A$2:A443, A443) = 1, A443, "")</f>
        <v/>
      </c>
    </row>
    <row r="445" spans="6:38" x14ac:dyDescent="0.2">
      <c r="F445" t="str">
        <f t="shared" si="64"/>
        <v/>
      </c>
      <c r="L445" s="7" t="str">
        <f t="shared" si="65"/>
        <v/>
      </c>
      <c r="N445" s="7" t="str">
        <f t="shared" si="66"/>
        <v/>
      </c>
      <c r="O445" t="str">
        <f t="shared" si="67"/>
        <v/>
      </c>
      <c r="P445" t="str">
        <f t="shared" si="68"/>
        <v/>
      </c>
      <c r="Q445" t="str">
        <f t="shared" si="69"/>
        <v/>
      </c>
      <c r="S445" t="str">
        <f>""</f>
        <v/>
      </c>
      <c r="AL445" s="18" t="str">
        <f>IF(COUNTIF($A$2:A444, A444) = 1, A444, "")</f>
        <v/>
      </c>
    </row>
    <row r="446" spans="6:38" x14ac:dyDescent="0.2">
      <c r="F446" t="str">
        <f t="shared" si="64"/>
        <v/>
      </c>
      <c r="L446" s="7" t="str">
        <f t="shared" si="65"/>
        <v/>
      </c>
      <c r="N446" s="7" t="str">
        <f t="shared" si="66"/>
        <v/>
      </c>
      <c r="O446" t="str">
        <f t="shared" si="67"/>
        <v/>
      </c>
      <c r="P446" t="str">
        <f t="shared" si="68"/>
        <v/>
      </c>
      <c r="Q446" t="str">
        <f t="shared" si="69"/>
        <v/>
      </c>
      <c r="S446" t="str">
        <f>""</f>
        <v/>
      </c>
      <c r="AL446" s="18" t="str">
        <f>IF(COUNTIF($A$2:A445, A445) = 1, A445, "")</f>
        <v/>
      </c>
    </row>
    <row r="447" spans="6:38" x14ac:dyDescent="0.2">
      <c r="F447" t="str">
        <f t="shared" si="64"/>
        <v/>
      </c>
      <c r="L447" s="7" t="str">
        <f t="shared" si="65"/>
        <v/>
      </c>
      <c r="N447" s="7" t="str">
        <f t="shared" si="66"/>
        <v/>
      </c>
      <c r="O447" t="str">
        <f t="shared" si="67"/>
        <v/>
      </c>
      <c r="P447" t="str">
        <f t="shared" si="68"/>
        <v/>
      </c>
      <c r="Q447" t="str">
        <f t="shared" si="69"/>
        <v/>
      </c>
      <c r="S447" t="str">
        <f>""</f>
        <v/>
      </c>
      <c r="AL447" s="18" t="str">
        <f>IF(COUNTIF($A$2:A446, A446) = 1, A446, "")</f>
        <v/>
      </c>
    </row>
    <row r="448" spans="6:38" x14ac:dyDescent="0.2">
      <c r="F448" t="str">
        <f t="shared" si="64"/>
        <v/>
      </c>
      <c r="L448" s="7" t="str">
        <f t="shared" si="65"/>
        <v/>
      </c>
      <c r="N448" s="7" t="str">
        <f t="shared" si="66"/>
        <v/>
      </c>
      <c r="O448" t="str">
        <f t="shared" si="67"/>
        <v/>
      </c>
      <c r="P448" t="str">
        <f t="shared" si="68"/>
        <v/>
      </c>
      <c r="Q448" t="str">
        <f t="shared" si="69"/>
        <v/>
      </c>
      <c r="S448" t="str">
        <f>""</f>
        <v/>
      </c>
      <c r="AL448" s="18" t="str">
        <f>IF(COUNTIF($A$2:A447, A447) = 1, A447, "")</f>
        <v/>
      </c>
    </row>
    <row r="449" spans="6:38" x14ac:dyDescent="0.2">
      <c r="F449" t="str">
        <f t="shared" si="64"/>
        <v/>
      </c>
      <c r="L449" s="7" t="str">
        <f t="shared" si="65"/>
        <v/>
      </c>
      <c r="N449" s="7" t="str">
        <f t="shared" si="66"/>
        <v/>
      </c>
      <c r="O449" t="str">
        <f t="shared" si="67"/>
        <v/>
      </c>
      <c r="P449" t="str">
        <f t="shared" si="68"/>
        <v/>
      </c>
      <c r="Q449" t="str">
        <f t="shared" si="69"/>
        <v/>
      </c>
      <c r="S449" t="str">
        <f>""</f>
        <v/>
      </c>
      <c r="AL449" s="18" t="str">
        <f>IF(COUNTIF($A$2:A448, A448) = 1, A448, "")</f>
        <v/>
      </c>
    </row>
    <row r="450" spans="6:38" x14ac:dyDescent="0.2">
      <c r="F450" t="str">
        <f t="shared" si="64"/>
        <v/>
      </c>
      <c r="L450" s="7" t="str">
        <f t="shared" si="65"/>
        <v/>
      </c>
      <c r="N450" s="7" t="str">
        <f t="shared" si="66"/>
        <v/>
      </c>
      <c r="O450" t="str">
        <f t="shared" si="67"/>
        <v/>
      </c>
      <c r="P450" t="str">
        <f t="shared" si="68"/>
        <v/>
      </c>
      <c r="Q450" t="str">
        <f t="shared" si="69"/>
        <v/>
      </c>
      <c r="S450" t="str">
        <f>""</f>
        <v/>
      </c>
      <c r="AL450" s="18" t="str">
        <f>IF(COUNTIF($A$2:A449, A449) = 1, A449, "")</f>
        <v/>
      </c>
    </row>
    <row r="451" spans="6:38" x14ac:dyDescent="0.2">
      <c r="F451" t="str">
        <f t="shared" si="64"/>
        <v/>
      </c>
      <c r="L451" s="7" t="str">
        <f t="shared" si="65"/>
        <v/>
      </c>
      <c r="N451" s="7" t="str">
        <f t="shared" si="66"/>
        <v/>
      </c>
      <c r="O451" t="str">
        <f t="shared" si="67"/>
        <v/>
      </c>
      <c r="P451" t="str">
        <f t="shared" si="68"/>
        <v/>
      </c>
      <c r="Q451" t="str">
        <f t="shared" si="69"/>
        <v/>
      </c>
      <c r="S451" t="str">
        <f>""</f>
        <v/>
      </c>
      <c r="AL451" s="18" t="str">
        <f>IF(COUNTIF($A$2:A450, A450) = 1, A450, "")</f>
        <v/>
      </c>
    </row>
    <row r="452" spans="6:38" x14ac:dyDescent="0.2">
      <c r="F452" t="str">
        <f t="shared" si="64"/>
        <v/>
      </c>
      <c r="L452" s="7" t="str">
        <f t="shared" si="65"/>
        <v/>
      </c>
      <c r="N452" s="7" t="str">
        <f t="shared" si="66"/>
        <v/>
      </c>
      <c r="O452" t="str">
        <f t="shared" si="67"/>
        <v/>
      </c>
      <c r="P452" t="str">
        <f t="shared" si="68"/>
        <v/>
      </c>
      <c r="Q452" t="str">
        <f t="shared" si="69"/>
        <v/>
      </c>
      <c r="S452" t="str">
        <f>""</f>
        <v/>
      </c>
      <c r="AL452" s="18" t="str">
        <f>IF(COUNTIF($A$2:A451, A451) = 1, A451, "")</f>
        <v/>
      </c>
    </row>
    <row r="453" spans="6:38" x14ac:dyDescent="0.2">
      <c r="F453" t="str">
        <f t="shared" si="64"/>
        <v/>
      </c>
      <c r="L453" s="7" t="str">
        <f t="shared" si="65"/>
        <v/>
      </c>
      <c r="N453" s="7" t="str">
        <f t="shared" si="66"/>
        <v/>
      </c>
      <c r="O453" t="str">
        <f t="shared" si="67"/>
        <v/>
      </c>
      <c r="P453" t="str">
        <f t="shared" si="68"/>
        <v/>
      </c>
      <c r="Q453" t="str">
        <f t="shared" si="69"/>
        <v/>
      </c>
      <c r="S453" t="str">
        <f>""</f>
        <v/>
      </c>
      <c r="AL453" s="18" t="str">
        <f>IF(COUNTIF($A$2:A452, A452) = 1, A452, "")</f>
        <v/>
      </c>
    </row>
    <row r="454" spans="6:38" x14ac:dyDescent="0.2">
      <c r="F454" t="str">
        <f t="shared" si="64"/>
        <v/>
      </c>
      <c r="L454" s="7" t="str">
        <f t="shared" si="65"/>
        <v/>
      </c>
      <c r="N454" s="7" t="str">
        <f t="shared" si="66"/>
        <v/>
      </c>
      <c r="O454" t="str">
        <f t="shared" si="67"/>
        <v/>
      </c>
      <c r="P454" t="str">
        <f t="shared" si="68"/>
        <v/>
      </c>
      <c r="Q454" t="str">
        <f t="shared" si="69"/>
        <v/>
      </c>
      <c r="S454" t="str">
        <f>""</f>
        <v/>
      </c>
      <c r="AL454" s="18" t="str">
        <f>IF(COUNTIF($A$2:A453, A453) = 1, A453, "")</f>
        <v/>
      </c>
    </row>
    <row r="455" spans="6:38" x14ac:dyDescent="0.2">
      <c r="F455" t="str">
        <f t="shared" si="64"/>
        <v/>
      </c>
      <c r="L455" s="7" t="str">
        <f t="shared" si="65"/>
        <v/>
      </c>
      <c r="N455" s="7" t="str">
        <f t="shared" si="66"/>
        <v/>
      </c>
      <c r="O455" t="str">
        <f t="shared" si="67"/>
        <v/>
      </c>
      <c r="P455" t="str">
        <f t="shared" si="68"/>
        <v/>
      </c>
      <c r="Q455" t="str">
        <f t="shared" si="69"/>
        <v/>
      </c>
      <c r="S455" t="str">
        <f>""</f>
        <v/>
      </c>
      <c r="AL455" s="18" t="str">
        <f>IF(COUNTIF($A$2:A454, A454) = 1, A454, "")</f>
        <v/>
      </c>
    </row>
    <row r="456" spans="6:38" x14ac:dyDescent="0.2">
      <c r="F456" t="str">
        <f t="shared" si="64"/>
        <v/>
      </c>
      <c r="L456" s="7" t="str">
        <f t="shared" si="65"/>
        <v/>
      </c>
      <c r="N456" s="7" t="str">
        <f t="shared" si="66"/>
        <v/>
      </c>
      <c r="O456" t="str">
        <f t="shared" si="67"/>
        <v/>
      </c>
      <c r="P456" t="str">
        <f t="shared" si="68"/>
        <v/>
      </c>
      <c r="Q456" t="str">
        <f t="shared" si="69"/>
        <v/>
      </c>
      <c r="S456" t="str">
        <f>""</f>
        <v/>
      </c>
      <c r="AL456" s="18" t="str">
        <f>IF(COUNTIF($A$2:A455, A455) = 1, A455, "")</f>
        <v/>
      </c>
    </row>
    <row r="457" spans="6:38" x14ac:dyDescent="0.2">
      <c r="F457" t="str">
        <f t="shared" si="64"/>
        <v/>
      </c>
      <c r="L457" s="7" t="str">
        <f t="shared" si="65"/>
        <v/>
      </c>
      <c r="N457" s="7" t="str">
        <f t="shared" si="66"/>
        <v/>
      </c>
      <c r="O457" t="str">
        <f t="shared" si="67"/>
        <v/>
      </c>
      <c r="P457" t="str">
        <f t="shared" si="68"/>
        <v/>
      </c>
      <c r="Q457" t="str">
        <f t="shared" si="69"/>
        <v/>
      </c>
      <c r="S457" t="str">
        <f>""</f>
        <v/>
      </c>
      <c r="AL457" s="18" t="str">
        <f>IF(COUNTIF($A$2:A456, A456) = 1, A456, "")</f>
        <v/>
      </c>
    </row>
    <row r="458" spans="6:38" x14ac:dyDescent="0.2">
      <c r="F458" t="str">
        <f t="shared" si="64"/>
        <v/>
      </c>
      <c r="L458" s="7" t="str">
        <f t="shared" si="65"/>
        <v/>
      </c>
      <c r="N458" s="7" t="str">
        <f t="shared" si="66"/>
        <v/>
      </c>
      <c r="O458" t="str">
        <f t="shared" si="67"/>
        <v/>
      </c>
      <c r="P458" t="str">
        <f t="shared" si="68"/>
        <v/>
      </c>
      <c r="Q458" t="str">
        <f t="shared" si="69"/>
        <v/>
      </c>
      <c r="S458" t="str">
        <f>""</f>
        <v/>
      </c>
      <c r="AL458" s="18" t="str">
        <f>IF(COUNTIF($A$2:A457, A457) = 1, A457, "")</f>
        <v/>
      </c>
    </row>
    <row r="459" spans="6:38" x14ac:dyDescent="0.2">
      <c r="F459" t="str">
        <f t="shared" si="64"/>
        <v/>
      </c>
      <c r="L459" s="7" t="str">
        <f t="shared" si="65"/>
        <v/>
      </c>
      <c r="N459" s="7" t="str">
        <f t="shared" si="66"/>
        <v/>
      </c>
      <c r="O459" t="str">
        <f t="shared" si="67"/>
        <v/>
      </c>
      <c r="P459" t="str">
        <f t="shared" si="68"/>
        <v/>
      </c>
      <c r="Q459" t="str">
        <f t="shared" si="69"/>
        <v/>
      </c>
      <c r="S459" t="str">
        <f>""</f>
        <v/>
      </c>
      <c r="AL459" s="18" t="str">
        <f>IF(COUNTIF($A$2:A458, A458) = 1, A458, "")</f>
        <v/>
      </c>
    </row>
    <row r="460" spans="6:38" x14ac:dyDescent="0.2">
      <c r="F460" t="str">
        <f t="shared" si="64"/>
        <v/>
      </c>
      <c r="L460" s="7" t="str">
        <f t="shared" si="65"/>
        <v/>
      </c>
      <c r="N460" s="7" t="str">
        <f t="shared" si="66"/>
        <v/>
      </c>
      <c r="O460" t="str">
        <f t="shared" si="67"/>
        <v/>
      </c>
      <c r="P460" t="str">
        <f t="shared" si="68"/>
        <v/>
      </c>
      <c r="Q460" t="str">
        <f t="shared" si="69"/>
        <v/>
      </c>
      <c r="S460" t="str">
        <f>""</f>
        <v/>
      </c>
      <c r="AL460" s="18" t="str">
        <f>IF(COUNTIF($A$2:A459, A459) = 1, A459, "")</f>
        <v/>
      </c>
    </row>
    <row r="461" spans="6:38" x14ac:dyDescent="0.2">
      <c r="F461" t="str">
        <f t="shared" si="64"/>
        <v/>
      </c>
      <c r="L461" s="7" t="str">
        <f t="shared" si="65"/>
        <v/>
      </c>
      <c r="N461" s="7" t="str">
        <f t="shared" si="66"/>
        <v/>
      </c>
      <c r="O461" t="str">
        <f t="shared" si="67"/>
        <v/>
      </c>
      <c r="P461" t="str">
        <f t="shared" si="68"/>
        <v/>
      </c>
      <c r="Q461" t="str">
        <f t="shared" si="69"/>
        <v/>
      </c>
      <c r="S461" t="str">
        <f>""</f>
        <v/>
      </c>
      <c r="AL461" s="18" t="str">
        <f>IF(COUNTIF($A$2:A460, A460) = 1, A460, "")</f>
        <v/>
      </c>
    </row>
    <row r="462" spans="6:38" x14ac:dyDescent="0.2">
      <c r="F462" t="str">
        <f t="shared" si="64"/>
        <v/>
      </c>
      <c r="L462" s="7" t="str">
        <f t="shared" si="65"/>
        <v/>
      </c>
      <c r="N462" s="7" t="str">
        <f t="shared" si="66"/>
        <v/>
      </c>
      <c r="O462" t="str">
        <f t="shared" si="67"/>
        <v/>
      </c>
      <c r="P462" t="str">
        <f t="shared" si="68"/>
        <v/>
      </c>
      <c r="Q462" t="str">
        <f t="shared" si="69"/>
        <v/>
      </c>
      <c r="S462" t="str">
        <f>""</f>
        <v/>
      </c>
      <c r="AL462" s="18" t="str">
        <f>IF(COUNTIF($A$2:A461, A461) = 1, A461, "")</f>
        <v/>
      </c>
    </row>
    <row r="463" spans="6:38" x14ac:dyDescent="0.2">
      <c r="F463" t="str">
        <f t="shared" si="64"/>
        <v/>
      </c>
      <c r="L463" s="7" t="str">
        <f t="shared" si="65"/>
        <v/>
      </c>
      <c r="N463" s="7" t="str">
        <f t="shared" si="66"/>
        <v/>
      </c>
      <c r="O463" t="str">
        <f t="shared" si="67"/>
        <v/>
      </c>
      <c r="P463" t="str">
        <f t="shared" si="68"/>
        <v/>
      </c>
      <c r="Q463" t="str">
        <f t="shared" si="69"/>
        <v/>
      </c>
      <c r="S463" t="str">
        <f>""</f>
        <v/>
      </c>
      <c r="AL463" s="18" t="str">
        <f>IF(COUNTIF($A$2:A462, A462) = 1, A462, "")</f>
        <v/>
      </c>
    </row>
    <row r="464" spans="6:38" x14ac:dyDescent="0.2">
      <c r="F464" t="str">
        <f t="shared" ref="F464:F527" si="70">IF(OR(O464="", P464=""), "", SUM(IF((O464&lt;&gt;"None")*(O464&lt;&gt;""),LEN(O464)-LEN(SUBSTITUTE(O464,",",""))+1,0)) + SUM(IF((P464&lt;&gt;"None")*(P464&lt;&gt;""),LEN(P464)-LEN(SUBSTITUTE(P464,",",""))+1,0)))</f>
        <v/>
      </c>
      <c r="L464" s="7" t="str">
        <f t="shared" ref="L464:L527" si="71">IF(LEN(E464)=0, "", IFERROR(IF(E464&gt;=0, K464 * (1 + E464/100) - K464, K464 / (ABS(E464)/100))+K464, ""))</f>
        <v/>
      </c>
      <c r="N464" s="7" t="str">
        <f t="shared" ref="N464:N527" si="72">IF(M464="Yes",L464-K464,IF(M464="No",-K464,""))</f>
        <v/>
      </c>
      <c r="O464" t="str">
        <f t="shared" ref="O464:O527" si="73">IF(AND(G464="No",H464="No"), "None", "")</f>
        <v/>
      </c>
      <c r="P464" t="str">
        <f t="shared" ref="P464:P527" si="74">IF(I464="No", "None", "")</f>
        <v/>
      </c>
      <c r="Q464" t="str">
        <f t="shared" ref="Q464:Q527" si="75">IF(AND(D464="Straight", M464 = "No"),IF(O464="None",P464,IF(P464="None",O464) ),"")</f>
        <v/>
      </c>
      <c r="S464" t="str">
        <f>""</f>
        <v/>
      </c>
      <c r="AL464" s="18" t="str">
        <f>IF(COUNTIF($A$2:A463, A463) = 1, A463, "")</f>
        <v/>
      </c>
    </row>
    <row r="465" spans="6:38" x14ac:dyDescent="0.2">
      <c r="F465" t="str">
        <f t="shared" si="70"/>
        <v/>
      </c>
      <c r="L465" s="7" t="str">
        <f t="shared" si="71"/>
        <v/>
      </c>
      <c r="N465" s="7" t="str">
        <f t="shared" si="72"/>
        <v/>
      </c>
      <c r="O465" t="str">
        <f t="shared" si="73"/>
        <v/>
      </c>
      <c r="P465" t="str">
        <f t="shared" si="74"/>
        <v/>
      </c>
      <c r="Q465" t="str">
        <f t="shared" si="75"/>
        <v/>
      </c>
      <c r="S465" t="str">
        <f>""</f>
        <v/>
      </c>
      <c r="AL465" s="18" t="str">
        <f>IF(COUNTIF($A$2:A464, A464) = 1, A464, "")</f>
        <v/>
      </c>
    </row>
    <row r="466" spans="6:38" x14ac:dyDescent="0.2">
      <c r="F466" t="str">
        <f t="shared" si="70"/>
        <v/>
      </c>
      <c r="L466" s="7" t="str">
        <f t="shared" si="71"/>
        <v/>
      </c>
      <c r="N466" s="7" t="str">
        <f t="shared" si="72"/>
        <v/>
      </c>
      <c r="O466" t="str">
        <f t="shared" si="73"/>
        <v/>
      </c>
      <c r="P466" t="str">
        <f t="shared" si="74"/>
        <v/>
      </c>
      <c r="Q466" t="str">
        <f t="shared" si="75"/>
        <v/>
      </c>
      <c r="S466" t="str">
        <f>""</f>
        <v/>
      </c>
      <c r="AL466" s="18" t="str">
        <f>IF(COUNTIF($A$2:A465, A465) = 1, A465, "")</f>
        <v/>
      </c>
    </row>
    <row r="467" spans="6:38" x14ac:dyDescent="0.2">
      <c r="F467" t="str">
        <f t="shared" si="70"/>
        <v/>
      </c>
      <c r="L467" s="7" t="str">
        <f t="shared" si="71"/>
        <v/>
      </c>
      <c r="N467" s="7" t="str">
        <f t="shared" si="72"/>
        <v/>
      </c>
      <c r="O467" t="str">
        <f t="shared" si="73"/>
        <v/>
      </c>
      <c r="P467" t="str">
        <f t="shared" si="74"/>
        <v/>
      </c>
      <c r="Q467" t="str">
        <f t="shared" si="75"/>
        <v/>
      </c>
      <c r="S467" t="str">
        <f>""</f>
        <v/>
      </c>
      <c r="AL467" s="18" t="str">
        <f>IF(COUNTIF($A$2:A466, A466) = 1, A466, "")</f>
        <v/>
      </c>
    </row>
    <row r="468" spans="6:38" x14ac:dyDescent="0.2">
      <c r="F468" t="str">
        <f t="shared" si="70"/>
        <v/>
      </c>
      <c r="L468" s="7" t="str">
        <f t="shared" si="71"/>
        <v/>
      </c>
      <c r="N468" s="7" t="str">
        <f t="shared" si="72"/>
        <v/>
      </c>
      <c r="O468" t="str">
        <f t="shared" si="73"/>
        <v/>
      </c>
      <c r="P468" t="str">
        <f t="shared" si="74"/>
        <v/>
      </c>
      <c r="Q468" t="str">
        <f t="shared" si="75"/>
        <v/>
      </c>
      <c r="S468" t="str">
        <f>""</f>
        <v/>
      </c>
      <c r="AL468" s="18" t="str">
        <f>IF(COUNTIF($A$2:A467, A467) = 1, A467, "")</f>
        <v/>
      </c>
    </row>
    <row r="469" spans="6:38" x14ac:dyDescent="0.2">
      <c r="F469" t="str">
        <f t="shared" si="70"/>
        <v/>
      </c>
      <c r="L469" s="7" t="str">
        <f t="shared" si="71"/>
        <v/>
      </c>
      <c r="N469" s="7" t="str">
        <f t="shared" si="72"/>
        <v/>
      </c>
      <c r="O469" t="str">
        <f t="shared" si="73"/>
        <v/>
      </c>
      <c r="P469" t="str">
        <f t="shared" si="74"/>
        <v/>
      </c>
      <c r="Q469" t="str">
        <f t="shared" si="75"/>
        <v/>
      </c>
      <c r="S469" t="str">
        <f>""</f>
        <v/>
      </c>
      <c r="AL469" s="18" t="str">
        <f>IF(COUNTIF($A$2:A468, A468) = 1, A468, "")</f>
        <v/>
      </c>
    </row>
    <row r="470" spans="6:38" x14ac:dyDescent="0.2">
      <c r="F470" t="str">
        <f t="shared" si="70"/>
        <v/>
      </c>
      <c r="L470" s="7" t="str">
        <f t="shared" si="71"/>
        <v/>
      </c>
      <c r="N470" s="7" t="str">
        <f t="shared" si="72"/>
        <v/>
      </c>
      <c r="O470" t="str">
        <f t="shared" si="73"/>
        <v/>
      </c>
      <c r="P470" t="str">
        <f t="shared" si="74"/>
        <v/>
      </c>
      <c r="Q470" t="str">
        <f t="shared" si="75"/>
        <v/>
      </c>
      <c r="S470" t="str">
        <f>""</f>
        <v/>
      </c>
      <c r="AL470" s="18" t="str">
        <f>IF(COUNTIF($A$2:A469, A469) = 1, A469, "")</f>
        <v/>
      </c>
    </row>
    <row r="471" spans="6:38" x14ac:dyDescent="0.2">
      <c r="F471" t="str">
        <f t="shared" si="70"/>
        <v/>
      </c>
      <c r="L471" s="7" t="str">
        <f t="shared" si="71"/>
        <v/>
      </c>
      <c r="N471" s="7" t="str">
        <f t="shared" si="72"/>
        <v/>
      </c>
      <c r="O471" t="str">
        <f t="shared" si="73"/>
        <v/>
      </c>
      <c r="P471" t="str">
        <f t="shared" si="74"/>
        <v/>
      </c>
      <c r="Q471" t="str">
        <f t="shared" si="75"/>
        <v/>
      </c>
      <c r="S471" t="str">
        <f>""</f>
        <v/>
      </c>
      <c r="AL471" s="18" t="str">
        <f>IF(COUNTIF($A$2:A470, A470) = 1, A470, "")</f>
        <v/>
      </c>
    </row>
    <row r="472" spans="6:38" x14ac:dyDescent="0.2">
      <c r="F472" t="str">
        <f t="shared" si="70"/>
        <v/>
      </c>
      <c r="L472" s="7" t="str">
        <f t="shared" si="71"/>
        <v/>
      </c>
      <c r="N472" s="7" t="str">
        <f t="shared" si="72"/>
        <v/>
      </c>
      <c r="O472" t="str">
        <f t="shared" si="73"/>
        <v/>
      </c>
      <c r="P472" t="str">
        <f t="shared" si="74"/>
        <v/>
      </c>
      <c r="Q472" t="str">
        <f t="shared" si="75"/>
        <v/>
      </c>
      <c r="S472" t="str">
        <f>""</f>
        <v/>
      </c>
      <c r="AL472" s="18" t="str">
        <f>IF(COUNTIF($A$2:A471, A471) = 1, A471, "")</f>
        <v/>
      </c>
    </row>
    <row r="473" spans="6:38" x14ac:dyDescent="0.2">
      <c r="F473" t="str">
        <f t="shared" si="70"/>
        <v/>
      </c>
      <c r="L473" s="7" t="str">
        <f t="shared" si="71"/>
        <v/>
      </c>
      <c r="N473" s="7" t="str">
        <f t="shared" si="72"/>
        <v/>
      </c>
      <c r="O473" t="str">
        <f t="shared" si="73"/>
        <v/>
      </c>
      <c r="P473" t="str">
        <f t="shared" si="74"/>
        <v/>
      </c>
      <c r="Q473" t="str">
        <f t="shared" si="75"/>
        <v/>
      </c>
      <c r="S473" t="str">
        <f>""</f>
        <v/>
      </c>
      <c r="AL473" s="18" t="str">
        <f>IF(COUNTIF($A$2:A472, A472) = 1, A472, "")</f>
        <v/>
      </c>
    </row>
    <row r="474" spans="6:38" x14ac:dyDescent="0.2">
      <c r="F474" t="str">
        <f t="shared" si="70"/>
        <v/>
      </c>
      <c r="L474" s="7" t="str">
        <f t="shared" si="71"/>
        <v/>
      </c>
      <c r="N474" s="7" t="str">
        <f t="shared" si="72"/>
        <v/>
      </c>
      <c r="O474" t="str">
        <f t="shared" si="73"/>
        <v/>
      </c>
      <c r="P474" t="str">
        <f t="shared" si="74"/>
        <v/>
      </c>
      <c r="Q474" t="str">
        <f t="shared" si="75"/>
        <v/>
      </c>
      <c r="S474" t="str">
        <f>""</f>
        <v/>
      </c>
      <c r="AL474" s="18" t="str">
        <f>IF(COUNTIF($A$2:A473, A473) = 1, A473, "")</f>
        <v/>
      </c>
    </row>
    <row r="475" spans="6:38" x14ac:dyDescent="0.2">
      <c r="F475" t="str">
        <f t="shared" si="70"/>
        <v/>
      </c>
      <c r="L475" s="7" t="str">
        <f t="shared" si="71"/>
        <v/>
      </c>
      <c r="N475" s="7" t="str">
        <f t="shared" si="72"/>
        <v/>
      </c>
      <c r="O475" t="str">
        <f t="shared" si="73"/>
        <v/>
      </c>
      <c r="P475" t="str">
        <f t="shared" si="74"/>
        <v/>
      </c>
      <c r="Q475" t="str">
        <f t="shared" si="75"/>
        <v/>
      </c>
      <c r="S475" t="str">
        <f>""</f>
        <v/>
      </c>
      <c r="AL475" s="18" t="str">
        <f>IF(COUNTIF($A$2:A474, A474) = 1, A474, "")</f>
        <v/>
      </c>
    </row>
    <row r="476" spans="6:38" x14ac:dyDescent="0.2">
      <c r="F476" t="str">
        <f t="shared" si="70"/>
        <v/>
      </c>
      <c r="L476" s="7" t="str">
        <f t="shared" si="71"/>
        <v/>
      </c>
      <c r="N476" s="7" t="str">
        <f t="shared" si="72"/>
        <v/>
      </c>
      <c r="O476" t="str">
        <f t="shared" si="73"/>
        <v/>
      </c>
      <c r="P476" t="str">
        <f t="shared" si="74"/>
        <v/>
      </c>
      <c r="Q476" t="str">
        <f t="shared" si="75"/>
        <v/>
      </c>
      <c r="S476" t="str">
        <f>""</f>
        <v/>
      </c>
      <c r="AL476" s="18" t="str">
        <f>IF(COUNTIF($A$2:A475, A475) = 1, A475, "")</f>
        <v/>
      </c>
    </row>
    <row r="477" spans="6:38" x14ac:dyDescent="0.2">
      <c r="F477" t="str">
        <f t="shared" si="70"/>
        <v/>
      </c>
      <c r="L477" s="7" t="str">
        <f t="shared" si="71"/>
        <v/>
      </c>
      <c r="N477" s="7" t="str">
        <f t="shared" si="72"/>
        <v/>
      </c>
      <c r="O477" t="str">
        <f t="shared" si="73"/>
        <v/>
      </c>
      <c r="P477" t="str">
        <f t="shared" si="74"/>
        <v/>
      </c>
      <c r="Q477" t="str">
        <f t="shared" si="75"/>
        <v/>
      </c>
      <c r="S477" t="str">
        <f>""</f>
        <v/>
      </c>
      <c r="AL477" s="18" t="str">
        <f>IF(COUNTIF($A$2:A476, A476) = 1, A476, "")</f>
        <v/>
      </c>
    </row>
    <row r="478" spans="6:38" x14ac:dyDescent="0.2">
      <c r="F478" t="str">
        <f t="shared" si="70"/>
        <v/>
      </c>
      <c r="L478" s="7" t="str">
        <f t="shared" si="71"/>
        <v/>
      </c>
      <c r="N478" s="7" t="str">
        <f t="shared" si="72"/>
        <v/>
      </c>
      <c r="O478" t="str">
        <f t="shared" si="73"/>
        <v/>
      </c>
      <c r="P478" t="str">
        <f t="shared" si="74"/>
        <v/>
      </c>
      <c r="Q478" t="str">
        <f t="shared" si="75"/>
        <v/>
      </c>
      <c r="S478" t="str">
        <f>""</f>
        <v/>
      </c>
      <c r="AL478" s="18" t="str">
        <f>IF(COUNTIF($A$2:A477, A477) = 1, A477, "")</f>
        <v/>
      </c>
    </row>
    <row r="479" spans="6:38" x14ac:dyDescent="0.2">
      <c r="F479" t="str">
        <f t="shared" si="70"/>
        <v/>
      </c>
      <c r="L479" s="7" t="str">
        <f t="shared" si="71"/>
        <v/>
      </c>
      <c r="N479" s="7" t="str">
        <f t="shared" si="72"/>
        <v/>
      </c>
      <c r="O479" t="str">
        <f t="shared" si="73"/>
        <v/>
      </c>
      <c r="P479" t="str">
        <f t="shared" si="74"/>
        <v/>
      </c>
      <c r="Q479" t="str">
        <f t="shared" si="75"/>
        <v/>
      </c>
      <c r="S479" t="str">
        <f>""</f>
        <v/>
      </c>
      <c r="AL479" s="18" t="str">
        <f>IF(COUNTIF($A$2:A478, A478) = 1, A478, "")</f>
        <v/>
      </c>
    </row>
    <row r="480" spans="6:38" x14ac:dyDescent="0.2">
      <c r="F480" t="str">
        <f t="shared" si="70"/>
        <v/>
      </c>
      <c r="L480" s="7" t="str">
        <f t="shared" si="71"/>
        <v/>
      </c>
      <c r="N480" s="7" t="str">
        <f t="shared" si="72"/>
        <v/>
      </c>
      <c r="O480" t="str">
        <f t="shared" si="73"/>
        <v/>
      </c>
      <c r="P480" t="str">
        <f t="shared" si="74"/>
        <v/>
      </c>
      <c r="Q480" t="str">
        <f t="shared" si="75"/>
        <v/>
      </c>
      <c r="S480" t="str">
        <f>""</f>
        <v/>
      </c>
      <c r="AL480" s="18" t="str">
        <f>IF(COUNTIF($A$2:A479, A479) = 1, A479, "")</f>
        <v/>
      </c>
    </row>
    <row r="481" spans="6:38" x14ac:dyDescent="0.2">
      <c r="F481" t="str">
        <f t="shared" si="70"/>
        <v/>
      </c>
      <c r="L481" s="7" t="str">
        <f t="shared" si="71"/>
        <v/>
      </c>
      <c r="N481" s="7" t="str">
        <f t="shared" si="72"/>
        <v/>
      </c>
      <c r="O481" t="str">
        <f t="shared" si="73"/>
        <v/>
      </c>
      <c r="P481" t="str">
        <f t="shared" si="74"/>
        <v/>
      </c>
      <c r="Q481" t="str">
        <f t="shared" si="75"/>
        <v/>
      </c>
      <c r="S481" t="str">
        <f>""</f>
        <v/>
      </c>
      <c r="AL481" s="18" t="str">
        <f>IF(COUNTIF($A$2:A480, A480) = 1, A480, "")</f>
        <v/>
      </c>
    </row>
    <row r="482" spans="6:38" x14ac:dyDescent="0.2">
      <c r="F482" t="str">
        <f t="shared" si="70"/>
        <v/>
      </c>
      <c r="L482" s="7" t="str">
        <f t="shared" si="71"/>
        <v/>
      </c>
      <c r="N482" s="7" t="str">
        <f t="shared" si="72"/>
        <v/>
      </c>
      <c r="O482" t="str">
        <f t="shared" si="73"/>
        <v/>
      </c>
      <c r="P482" t="str">
        <f t="shared" si="74"/>
        <v/>
      </c>
      <c r="Q482" t="str">
        <f t="shared" si="75"/>
        <v/>
      </c>
      <c r="S482" t="str">
        <f>""</f>
        <v/>
      </c>
      <c r="AL482" s="18" t="str">
        <f>IF(COUNTIF($A$2:A481, A481) = 1, A481, "")</f>
        <v/>
      </c>
    </row>
    <row r="483" spans="6:38" x14ac:dyDescent="0.2">
      <c r="F483" t="str">
        <f t="shared" si="70"/>
        <v/>
      </c>
      <c r="L483" s="7" t="str">
        <f t="shared" si="71"/>
        <v/>
      </c>
      <c r="N483" s="7" t="str">
        <f t="shared" si="72"/>
        <v/>
      </c>
      <c r="O483" t="str">
        <f t="shared" si="73"/>
        <v/>
      </c>
      <c r="P483" t="str">
        <f t="shared" si="74"/>
        <v/>
      </c>
      <c r="Q483" t="str">
        <f t="shared" si="75"/>
        <v/>
      </c>
      <c r="S483" t="str">
        <f>""</f>
        <v/>
      </c>
      <c r="AL483" s="18" t="str">
        <f>IF(COUNTIF($A$2:A482, A482) = 1, A482, "")</f>
        <v/>
      </c>
    </row>
    <row r="484" spans="6:38" x14ac:dyDescent="0.2">
      <c r="F484" t="str">
        <f t="shared" si="70"/>
        <v/>
      </c>
      <c r="L484" s="7" t="str">
        <f t="shared" si="71"/>
        <v/>
      </c>
      <c r="N484" s="7" t="str">
        <f t="shared" si="72"/>
        <v/>
      </c>
      <c r="O484" t="str">
        <f t="shared" si="73"/>
        <v/>
      </c>
      <c r="P484" t="str">
        <f t="shared" si="74"/>
        <v/>
      </c>
      <c r="Q484" t="str">
        <f t="shared" si="75"/>
        <v/>
      </c>
      <c r="S484" t="str">
        <f>""</f>
        <v/>
      </c>
      <c r="AL484" s="18" t="str">
        <f>IF(COUNTIF($A$2:A483, A483) = 1, A483, "")</f>
        <v/>
      </c>
    </row>
    <row r="485" spans="6:38" x14ac:dyDescent="0.2">
      <c r="F485" t="str">
        <f t="shared" si="70"/>
        <v/>
      </c>
      <c r="L485" s="7" t="str">
        <f t="shared" si="71"/>
        <v/>
      </c>
      <c r="N485" s="7" t="str">
        <f t="shared" si="72"/>
        <v/>
      </c>
      <c r="O485" t="str">
        <f t="shared" si="73"/>
        <v/>
      </c>
      <c r="P485" t="str">
        <f t="shared" si="74"/>
        <v/>
      </c>
      <c r="Q485" t="str">
        <f t="shared" si="75"/>
        <v/>
      </c>
      <c r="S485" t="str">
        <f>""</f>
        <v/>
      </c>
      <c r="AL485" s="18" t="str">
        <f>IF(COUNTIF($A$2:A484, A484) = 1, A484, "")</f>
        <v/>
      </c>
    </row>
    <row r="486" spans="6:38" x14ac:dyDescent="0.2">
      <c r="F486" t="str">
        <f t="shared" si="70"/>
        <v/>
      </c>
      <c r="L486" s="7" t="str">
        <f t="shared" si="71"/>
        <v/>
      </c>
      <c r="N486" s="7" t="str">
        <f t="shared" si="72"/>
        <v/>
      </c>
      <c r="O486" t="str">
        <f t="shared" si="73"/>
        <v/>
      </c>
      <c r="P486" t="str">
        <f t="shared" si="74"/>
        <v/>
      </c>
      <c r="Q486" t="str">
        <f t="shared" si="75"/>
        <v/>
      </c>
      <c r="S486" t="str">
        <f>""</f>
        <v/>
      </c>
      <c r="AL486" s="18" t="str">
        <f>IF(COUNTIF($A$2:A485, A485) = 1, A485, "")</f>
        <v/>
      </c>
    </row>
    <row r="487" spans="6:38" x14ac:dyDescent="0.2">
      <c r="F487" t="str">
        <f t="shared" si="70"/>
        <v/>
      </c>
      <c r="L487" s="7" t="str">
        <f t="shared" si="71"/>
        <v/>
      </c>
      <c r="N487" s="7" t="str">
        <f t="shared" si="72"/>
        <v/>
      </c>
      <c r="O487" t="str">
        <f t="shared" si="73"/>
        <v/>
      </c>
      <c r="P487" t="str">
        <f t="shared" si="74"/>
        <v/>
      </c>
      <c r="Q487" t="str">
        <f t="shared" si="75"/>
        <v/>
      </c>
      <c r="S487" t="str">
        <f>""</f>
        <v/>
      </c>
      <c r="AL487" s="18" t="str">
        <f>IF(COUNTIF($A$2:A486, A486) = 1, A486, "")</f>
        <v/>
      </c>
    </row>
    <row r="488" spans="6:38" x14ac:dyDescent="0.2">
      <c r="F488" t="str">
        <f t="shared" si="70"/>
        <v/>
      </c>
      <c r="L488" s="7" t="str">
        <f t="shared" si="71"/>
        <v/>
      </c>
      <c r="N488" s="7" t="str">
        <f t="shared" si="72"/>
        <v/>
      </c>
      <c r="O488" t="str">
        <f t="shared" si="73"/>
        <v/>
      </c>
      <c r="P488" t="str">
        <f t="shared" si="74"/>
        <v/>
      </c>
      <c r="Q488" t="str">
        <f t="shared" si="75"/>
        <v/>
      </c>
      <c r="S488" t="str">
        <f>""</f>
        <v/>
      </c>
      <c r="AL488" s="18" t="str">
        <f>IF(COUNTIF($A$2:A487, A487) = 1, A487, "")</f>
        <v/>
      </c>
    </row>
    <row r="489" spans="6:38" x14ac:dyDescent="0.2">
      <c r="F489" t="str">
        <f t="shared" si="70"/>
        <v/>
      </c>
      <c r="L489" s="7" t="str">
        <f t="shared" si="71"/>
        <v/>
      </c>
      <c r="N489" s="7" t="str">
        <f t="shared" si="72"/>
        <v/>
      </c>
      <c r="O489" t="str">
        <f t="shared" si="73"/>
        <v/>
      </c>
      <c r="P489" t="str">
        <f t="shared" si="74"/>
        <v/>
      </c>
      <c r="Q489" t="str">
        <f t="shared" si="75"/>
        <v/>
      </c>
      <c r="S489" t="str">
        <f>""</f>
        <v/>
      </c>
      <c r="AL489" s="18" t="str">
        <f>IF(COUNTIF($A$2:A488, A488) = 1, A488, "")</f>
        <v/>
      </c>
    </row>
    <row r="490" spans="6:38" x14ac:dyDescent="0.2">
      <c r="F490" t="str">
        <f t="shared" si="70"/>
        <v/>
      </c>
      <c r="L490" s="7" t="str">
        <f t="shared" si="71"/>
        <v/>
      </c>
      <c r="N490" s="7" t="str">
        <f t="shared" si="72"/>
        <v/>
      </c>
      <c r="O490" t="str">
        <f t="shared" si="73"/>
        <v/>
      </c>
      <c r="P490" t="str">
        <f t="shared" si="74"/>
        <v/>
      </c>
      <c r="Q490" t="str">
        <f t="shared" si="75"/>
        <v/>
      </c>
      <c r="S490" t="str">
        <f>""</f>
        <v/>
      </c>
      <c r="AL490" s="18" t="str">
        <f>IF(COUNTIF($A$2:A489, A489) = 1, A489, "")</f>
        <v/>
      </c>
    </row>
    <row r="491" spans="6:38" x14ac:dyDescent="0.2">
      <c r="F491" t="str">
        <f t="shared" si="70"/>
        <v/>
      </c>
      <c r="L491" s="7" t="str">
        <f t="shared" si="71"/>
        <v/>
      </c>
      <c r="N491" s="7" t="str">
        <f t="shared" si="72"/>
        <v/>
      </c>
      <c r="O491" t="str">
        <f t="shared" si="73"/>
        <v/>
      </c>
      <c r="P491" t="str">
        <f t="shared" si="74"/>
        <v/>
      </c>
      <c r="Q491" t="str">
        <f t="shared" si="75"/>
        <v/>
      </c>
      <c r="S491" t="str">
        <f>""</f>
        <v/>
      </c>
      <c r="AL491" s="18" t="str">
        <f>IF(COUNTIF($A$2:A490, A490) = 1, A490, "")</f>
        <v/>
      </c>
    </row>
    <row r="492" spans="6:38" x14ac:dyDescent="0.2">
      <c r="F492" t="str">
        <f t="shared" si="70"/>
        <v/>
      </c>
      <c r="L492" s="7" t="str">
        <f t="shared" si="71"/>
        <v/>
      </c>
      <c r="N492" s="7" t="str">
        <f t="shared" si="72"/>
        <v/>
      </c>
      <c r="O492" t="str">
        <f t="shared" si="73"/>
        <v/>
      </c>
      <c r="P492" t="str">
        <f t="shared" si="74"/>
        <v/>
      </c>
      <c r="Q492" t="str">
        <f t="shared" si="75"/>
        <v/>
      </c>
      <c r="S492" t="str">
        <f>""</f>
        <v/>
      </c>
      <c r="AL492" s="18" t="str">
        <f>IF(COUNTIF($A$2:A491, A491) = 1, A491, "")</f>
        <v/>
      </c>
    </row>
    <row r="493" spans="6:38" x14ac:dyDescent="0.2">
      <c r="F493" t="str">
        <f t="shared" si="70"/>
        <v/>
      </c>
      <c r="L493" s="7" t="str">
        <f t="shared" si="71"/>
        <v/>
      </c>
      <c r="N493" s="7" t="str">
        <f t="shared" si="72"/>
        <v/>
      </c>
      <c r="O493" t="str">
        <f t="shared" si="73"/>
        <v/>
      </c>
      <c r="P493" t="str">
        <f t="shared" si="74"/>
        <v/>
      </c>
      <c r="Q493" t="str">
        <f t="shared" si="75"/>
        <v/>
      </c>
      <c r="S493" t="str">
        <f>""</f>
        <v/>
      </c>
      <c r="AL493" s="18" t="str">
        <f>IF(COUNTIF($A$2:A492, A492) = 1, A492, "")</f>
        <v/>
      </c>
    </row>
    <row r="494" spans="6:38" x14ac:dyDescent="0.2">
      <c r="F494" t="str">
        <f t="shared" si="70"/>
        <v/>
      </c>
      <c r="L494" s="7" t="str">
        <f t="shared" si="71"/>
        <v/>
      </c>
      <c r="N494" s="7" t="str">
        <f t="shared" si="72"/>
        <v/>
      </c>
      <c r="O494" t="str">
        <f t="shared" si="73"/>
        <v/>
      </c>
      <c r="P494" t="str">
        <f t="shared" si="74"/>
        <v/>
      </c>
      <c r="Q494" t="str">
        <f t="shared" si="75"/>
        <v/>
      </c>
      <c r="S494" t="str">
        <f>""</f>
        <v/>
      </c>
      <c r="AL494" s="18" t="str">
        <f>IF(COUNTIF($A$2:A493, A493) = 1, A493, "")</f>
        <v/>
      </c>
    </row>
    <row r="495" spans="6:38" x14ac:dyDescent="0.2">
      <c r="F495" t="str">
        <f t="shared" si="70"/>
        <v/>
      </c>
      <c r="L495" s="7" t="str">
        <f t="shared" si="71"/>
        <v/>
      </c>
      <c r="N495" s="7" t="str">
        <f t="shared" si="72"/>
        <v/>
      </c>
      <c r="O495" t="str">
        <f t="shared" si="73"/>
        <v/>
      </c>
      <c r="P495" t="str">
        <f t="shared" si="74"/>
        <v/>
      </c>
      <c r="Q495" t="str">
        <f t="shared" si="75"/>
        <v/>
      </c>
      <c r="S495" t="str">
        <f>""</f>
        <v/>
      </c>
      <c r="AL495" s="18" t="str">
        <f>IF(COUNTIF($A$2:A494, A494) = 1, A494, "")</f>
        <v/>
      </c>
    </row>
    <row r="496" spans="6:38" x14ac:dyDescent="0.2">
      <c r="F496" t="str">
        <f t="shared" si="70"/>
        <v/>
      </c>
      <c r="L496" s="7" t="str">
        <f t="shared" si="71"/>
        <v/>
      </c>
      <c r="N496" s="7" t="str">
        <f t="shared" si="72"/>
        <v/>
      </c>
      <c r="O496" t="str">
        <f t="shared" si="73"/>
        <v/>
      </c>
      <c r="P496" t="str">
        <f t="shared" si="74"/>
        <v/>
      </c>
      <c r="Q496" t="str">
        <f t="shared" si="75"/>
        <v/>
      </c>
      <c r="S496" t="str">
        <f>""</f>
        <v/>
      </c>
      <c r="AL496" s="18" t="str">
        <f>IF(COUNTIF($A$2:A495, A495) = 1, A495, "")</f>
        <v/>
      </c>
    </row>
    <row r="497" spans="6:38" x14ac:dyDescent="0.2">
      <c r="F497" t="str">
        <f t="shared" si="70"/>
        <v/>
      </c>
      <c r="L497" s="7" t="str">
        <f t="shared" si="71"/>
        <v/>
      </c>
      <c r="N497" s="7" t="str">
        <f t="shared" si="72"/>
        <v/>
      </c>
      <c r="O497" t="str">
        <f t="shared" si="73"/>
        <v/>
      </c>
      <c r="P497" t="str">
        <f t="shared" si="74"/>
        <v/>
      </c>
      <c r="Q497" t="str">
        <f t="shared" si="75"/>
        <v/>
      </c>
      <c r="S497" t="str">
        <f>""</f>
        <v/>
      </c>
      <c r="AL497" s="18" t="str">
        <f>IF(COUNTIF($A$2:A496, A496) = 1, A496, "")</f>
        <v/>
      </c>
    </row>
    <row r="498" spans="6:38" x14ac:dyDescent="0.2">
      <c r="F498" t="str">
        <f t="shared" si="70"/>
        <v/>
      </c>
      <c r="L498" s="7" t="str">
        <f t="shared" si="71"/>
        <v/>
      </c>
      <c r="N498" s="7" t="str">
        <f t="shared" si="72"/>
        <v/>
      </c>
      <c r="O498" t="str">
        <f t="shared" si="73"/>
        <v/>
      </c>
      <c r="P498" t="str">
        <f t="shared" si="74"/>
        <v/>
      </c>
      <c r="Q498" t="str">
        <f t="shared" si="75"/>
        <v/>
      </c>
      <c r="S498" t="str">
        <f>""</f>
        <v/>
      </c>
      <c r="AL498" s="18" t="str">
        <f>IF(COUNTIF($A$2:A497, A497) = 1, A497, "")</f>
        <v/>
      </c>
    </row>
    <row r="499" spans="6:38" x14ac:dyDescent="0.2">
      <c r="F499" t="str">
        <f t="shared" si="70"/>
        <v/>
      </c>
      <c r="L499" s="7" t="str">
        <f t="shared" si="71"/>
        <v/>
      </c>
      <c r="N499" s="7" t="str">
        <f t="shared" si="72"/>
        <v/>
      </c>
      <c r="O499" t="str">
        <f t="shared" si="73"/>
        <v/>
      </c>
      <c r="P499" t="str">
        <f t="shared" si="74"/>
        <v/>
      </c>
      <c r="Q499" t="str">
        <f t="shared" si="75"/>
        <v/>
      </c>
      <c r="S499" t="str">
        <f>""</f>
        <v/>
      </c>
      <c r="AL499" s="18" t="str">
        <f>IF(COUNTIF($A$2:A498, A498) = 1, A498, "")</f>
        <v/>
      </c>
    </row>
    <row r="500" spans="6:38" x14ac:dyDescent="0.2">
      <c r="F500" t="str">
        <f t="shared" si="70"/>
        <v/>
      </c>
      <c r="L500" s="7" t="str">
        <f t="shared" si="71"/>
        <v/>
      </c>
      <c r="N500" s="7" t="str">
        <f t="shared" si="72"/>
        <v/>
      </c>
      <c r="O500" t="str">
        <f t="shared" si="73"/>
        <v/>
      </c>
      <c r="P500" t="str">
        <f t="shared" si="74"/>
        <v/>
      </c>
      <c r="Q500" t="str">
        <f t="shared" si="75"/>
        <v/>
      </c>
      <c r="S500" t="str">
        <f>""</f>
        <v/>
      </c>
      <c r="AL500" s="18" t="str">
        <f>IF(COUNTIF($A$2:A499, A499) = 1, A499, "")</f>
        <v/>
      </c>
    </row>
    <row r="501" spans="6:38" x14ac:dyDescent="0.2">
      <c r="F501" t="str">
        <f t="shared" si="70"/>
        <v/>
      </c>
      <c r="L501" s="7" t="str">
        <f t="shared" si="71"/>
        <v/>
      </c>
      <c r="N501" s="7" t="str">
        <f t="shared" si="72"/>
        <v/>
      </c>
      <c r="O501" t="str">
        <f t="shared" si="73"/>
        <v/>
      </c>
      <c r="P501" t="str">
        <f t="shared" si="74"/>
        <v/>
      </c>
      <c r="Q501" t="str">
        <f t="shared" si="75"/>
        <v/>
      </c>
      <c r="S501" t="str">
        <f>""</f>
        <v/>
      </c>
      <c r="AL501" s="18" t="str">
        <f>IF(COUNTIF($A$2:A500, A500) = 1, A500, "")</f>
        <v/>
      </c>
    </row>
    <row r="502" spans="6:38" x14ac:dyDescent="0.2">
      <c r="F502" t="str">
        <f t="shared" si="70"/>
        <v/>
      </c>
      <c r="L502" s="7" t="str">
        <f t="shared" si="71"/>
        <v/>
      </c>
      <c r="N502" s="7" t="str">
        <f t="shared" si="72"/>
        <v/>
      </c>
      <c r="O502" t="str">
        <f t="shared" si="73"/>
        <v/>
      </c>
      <c r="P502" t="str">
        <f t="shared" si="74"/>
        <v/>
      </c>
      <c r="Q502" t="str">
        <f t="shared" si="75"/>
        <v/>
      </c>
      <c r="S502" t="str">
        <f>""</f>
        <v/>
      </c>
      <c r="AL502" s="18" t="str">
        <f>IF(COUNTIF($A$2:A501, A501) = 1, A501, "")</f>
        <v/>
      </c>
    </row>
    <row r="503" spans="6:38" x14ac:dyDescent="0.2">
      <c r="F503" t="str">
        <f t="shared" si="70"/>
        <v/>
      </c>
      <c r="L503" s="7" t="str">
        <f t="shared" si="71"/>
        <v/>
      </c>
      <c r="N503" s="7" t="str">
        <f t="shared" si="72"/>
        <v/>
      </c>
      <c r="O503" t="str">
        <f t="shared" si="73"/>
        <v/>
      </c>
      <c r="P503" t="str">
        <f t="shared" si="74"/>
        <v/>
      </c>
      <c r="Q503" t="str">
        <f t="shared" si="75"/>
        <v/>
      </c>
      <c r="S503" t="str">
        <f>""</f>
        <v/>
      </c>
      <c r="AL503" s="18" t="str">
        <f>IF(COUNTIF($A$2:A502, A502) = 1, A502, "")</f>
        <v/>
      </c>
    </row>
    <row r="504" spans="6:38" x14ac:dyDescent="0.2">
      <c r="F504" t="str">
        <f t="shared" si="70"/>
        <v/>
      </c>
      <c r="L504" s="7" t="str">
        <f t="shared" si="71"/>
        <v/>
      </c>
      <c r="N504" s="7" t="str">
        <f t="shared" si="72"/>
        <v/>
      </c>
      <c r="O504" t="str">
        <f t="shared" si="73"/>
        <v/>
      </c>
      <c r="P504" t="str">
        <f t="shared" si="74"/>
        <v/>
      </c>
      <c r="Q504" t="str">
        <f t="shared" si="75"/>
        <v/>
      </c>
      <c r="S504" t="str">
        <f>""</f>
        <v/>
      </c>
      <c r="AL504" s="18" t="str">
        <f>IF(COUNTIF($A$2:A503, A503) = 1, A503, "")</f>
        <v/>
      </c>
    </row>
    <row r="505" spans="6:38" x14ac:dyDescent="0.2">
      <c r="F505" t="str">
        <f t="shared" si="70"/>
        <v/>
      </c>
      <c r="L505" s="7" t="str">
        <f t="shared" si="71"/>
        <v/>
      </c>
      <c r="N505" s="7" t="str">
        <f t="shared" si="72"/>
        <v/>
      </c>
      <c r="O505" t="str">
        <f t="shared" si="73"/>
        <v/>
      </c>
      <c r="P505" t="str">
        <f t="shared" si="74"/>
        <v/>
      </c>
      <c r="Q505" t="str">
        <f t="shared" si="75"/>
        <v/>
      </c>
      <c r="S505" t="str">
        <f>""</f>
        <v/>
      </c>
      <c r="AL505" s="18" t="str">
        <f>IF(COUNTIF($A$2:A504, A504) = 1, A504, "")</f>
        <v/>
      </c>
    </row>
    <row r="506" spans="6:38" x14ac:dyDescent="0.2">
      <c r="F506" t="str">
        <f t="shared" si="70"/>
        <v/>
      </c>
      <c r="L506" s="7" t="str">
        <f t="shared" si="71"/>
        <v/>
      </c>
      <c r="N506" s="7" t="str">
        <f t="shared" si="72"/>
        <v/>
      </c>
      <c r="O506" t="str">
        <f t="shared" si="73"/>
        <v/>
      </c>
      <c r="P506" t="str">
        <f t="shared" si="74"/>
        <v/>
      </c>
      <c r="Q506" t="str">
        <f t="shared" si="75"/>
        <v/>
      </c>
      <c r="S506" t="str">
        <f>""</f>
        <v/>
      </c>
      <c r="AL506" s="18" t="str">
        <f>IF(COUNTIF($A$2:A505, A505) = 1, A505, "")</f>
        <v/>
      </c>
    </row>
    <row r="507" spans="6:38" x14ac:dyDescent="0.2">
      <c r="F507" t="str">
        <f t="shared" si="70"/>
        <v/>
      </c>
      <c r="L507" s="7" t="str">
        <f t="shared" si="71"/>
        <v/>
      </c>
      <c r="N507" s="7" t="str">
        <f t="shared" si="72"/>
        <v/>
      </c>
      <c r="O507" t="str">
        <f t="shared" si="73"/>
        <v/>
      </c>
      <c r="P507" t="str">
        <f t="shared" si="74"/>
        <v/>
      </c>
      <c r="Q507" t="str">
        <f t="shared" si="75"/>
        <v/>
      </c>
      <c r="S507" t="str">
        <f>""</f>
        <v/>
      </c>
      <c r="AL507" s="18" t="str">
        <f>IF(COUNTIF($A$2:A506, A506) = 1, A506, "")</f>
        <v/>
      </c>
    </row>
    <row r="508" spans="6:38" x14ac:dyDescent="0.2">
      <c r="F508" t="str">
        <f t="shared" si="70"/>
        <v/>
      </c>
      <c r="L508" s="7" t="str">
        <f t="shared" si="71"/>
        <v/>
      </c>
      <c r="N508" s="7" t="str">
        <f t="shared" si="72"/>
        <v/>
      </c>
      <c r="O508" t="str">
        <f t="shared" si="73"/>
        <v/>
      </c>
      <c r="P508" t="str">
        <f t="shared" si="74"/>
        <v/>
      </c>
      <c r="Q508" t="str">
        <f t="shared" si="75"/>
        <v/>
      </c>
      <c r="S508" t="str">
        <f>""</f>
        <v/>
      </c>
      <c r="AL508" s="18" t="str">
        <f>IF(COUNTIF($A$2:A507, A507) = 1, A507, "")</f>
        <v/>
      </c>
    </row>
    <row r="509" spans="6:38" x14ac:dyDescent="0.2">
      <c r="F509" t="str">
        <f t="shared" si="70"/>
        <v/>
      </c>
      <c r="L509" s="7" t="str">
        <f t="shared" si="71"/>
        <v/>
      </c>
      <c r="N509" s="7" t="str">
        <f t="shared" si="72"/>
        <v/>
      </c>
      <c r="O509" t="str">
        <f t="shared" si="73"/>
        <v/>
      </c>
      <c r="P509" t="str">
        <f t="shared" si="74"/>
        <v/>
      </c>
      <c r="Q509" t="str">
        <f t="shared" si="75"/>
        <v/>
      </c>
      <c r="S509" t="str">
        <f>""</f>
        <v/>
      </c>
      <c r="AL509" s="18" t="str">
        <f>IF(COUNTIF($A$2:A508, A508) = 1, A508, "")</f>
        <v/>
      </c>
    </row>
    <row r="510" spans="6:38" x14ac:dyDescent="0.2">
      <c r="F510" t="str">
        <f t="shared" si="70"/>
        <v/>
      </c>
      <c r="L510" s="7" t="str">
        <f t="shared" si="71"/>
        <v/>
      </c>
      <c r="N510" s="7" t="str">
        <f t="shared" si="72"/>
        <v/>
      </c>
      <c r="O510" t="str">
        <f t="shared" si="73"/>
        <v/>
      </c>
      <c r="P510" t="str">
        <f t="shared" si="74"/>
        <v/>
      </c>
      <c r="Q510" t="str">
        <f t="shared" si="75"/>
        <v/>
      </c>
      <c r="S510" t="str">
        <f>""</f>
        <v/>
      </c>
      <c r="AL510" s="18" t="str">
        <f>IF(COUNTIF($A$2:A509, A509) = 1, A509, "")</f>
        <v/>
      </c>
    </row>
    <row r="511" spans="6:38" x14ac:dyDescent="0.2">
      <c r="F511" t="str">
        <f t="shared" si="70"/>
        <v/>
      </c>
      <c r="L511" s="7" t="str">
        <f t="shared" si="71"/>
        <v/>
      </c>
      <c r="N511" s="7" t="str">
        <f t="shared" si="72"/>
        <v/>
      </c>
      <c r="O511" t="str">
        <f t="shared" si="73"/>
        <v/>
      </c>
      <c r="P511" t="str">
        <f t="shared" si="74"/>
        <v/>
      </c>
      <c r="Q511" t="str">
        <f t="shared" si="75"/>
        <v/>
      </c>
      <c r="S511" t="str">
        <f>""</f>
        <v/>
      </c>
      <c r="AL511" s="18" t="str">
        <f>IF(COUNTIF($A$2:A510, A510) = 1, A510, "")</f>
        <v/>
      </c>
    </row>
    <row r="512" spans="6:38" x14ac:dyDescent="0.2">
      <c r="F512" t="str">
        <f t="shared" si="70"/>
        <v/>
      </c>
      <c r="L512" s="7" t="str">
        <f t="shared" si="71"/>
        <v/>
      </c>
      <c r="N512" s="7" t="str">
        <f t="shared" si="72"/>
        <v/>
      </c>
      <c r="O512" t="str">
        <f t="shared" si="73"/>
        <v/>
      </c>
      <c r="P512" t="str">
        <f t="shared" si="74"/>
        <v/>
      </c>
      <c r="Q512" t="str">
        <f t="shared" si="75"/>
        <v/>
      </c>
      <c r="S512" t="str">
        <f>""</f>
        <v/>
      </c>
      <c r="AL512" s="18" t="str">
        <f>IF(COUNTIF($A$2:A511, A511) = 1, A511, "")</f>
        <v/>
      </c>
    </row>
    <row r="513" spans="6:38" x14ac:dyDescent="0.2">
      <c r="F513" t="str">
        <f t="shared" si="70"/>
        <v/>
      </c>
      <c r="L513" s="7" t="str">
        <f t="shared" si="71"/>
        <v/>
      </c>
      <c r="N513" s="7" t="str">
        <f t="shared" si="72"/>
        <v/>
      </c>
      <c r="O513" t="str">
        <f t="shared" si="73"/>
        <v/>
      </c>
      <c r="P513" t="str">
        <f t="shared" si="74"/>
        <v/>
      </c>
      <c r="Q513" t="str">
        <f t="shared" si="75"/>
        <v/>
      </c>
      <c r="S513" t="str">
        <f>""</f>
        <v/>
      </c>
      <c r="AL513" s="18" t="str">
        <f>IF(COUNTIF($A$2:A512, A512) = 1, A512, "")</f>
        <v/>
      </c>
    </row>
    <row r="514" spans="6:38" x14ac:dyDescent="0.2">
      <c r="F514" t="str">
        <f t="shared" si="70"/>
        <v/>
      </c>
      <c r="L514" s="7" t="str">
        <f t="shared" si="71"/>
        <v/>
      </c>
      <c r="N514" s="7" t="str">
        <f t="shared" si="72"/>
        <v/>
      </c>
      <c r="O514" t="str">
        <f t="shared" si="73"/>
        <v/>
      </c>
      <c r="P514" t="str">
        <f t="shared" si="74"/>
        <v/>
      </c>
      <c r="Q514" t="str">
        <f t="shared" si="75"/>
        <v/>
      </c>
      <c r="S514" t="str">
        <f>""</f>
        <v/>
      </c>
      <c r="AL514" s="18" t="str">
        <f>IF(COUNTIF($A$2:A513, A513) = 1, A513, "")</f>
        <v/>
      </c>
    </row>
    <row r="515" spans="6:38" x14ac:dyDescent="0.2">
      <c r="F515" t="str">
        <f t="shared" si="70"/>
        <v/>
      </c>
      <c r="L515" s="7" t="str">
        <f t="shared" si="71"/>
        <v/>
      </c>
      <c r="N515" s="7" t="str">
        <f t="shared" si="72"/>
        <v/>
      </c>
      <c r="O515" t="str">
        <f t="shared" si="73"/>
        <v/>
      </c>
      <c r="P515" t="str">
        <f t="shared" si="74"/>
        <v/>
      </c>
      <c r="Q515" t="str">
        <f t="shared" si="75"/>
        <v/>
      </c>
      <c r="S515" t="str">
        <f>""</f>
        <v/>
      </c>
      <c r="AL515" s="18" t="str">
        <f>IF(COUNTIF($A$2:A514, A514) = 1, A514, "")</f>
        <v/>
      </c>
    </row>
    <row r="516" spans="6:38" x14ac:dyDescent="0.2">
      <c r="F516" t="str">
        <f t="shared" si="70"/>
        <v/>
      </c>
      <c r="L516" s="7" t="str">
        <f t="shared" si="71"/>
        <v/>
      </c>
      <c r="N516" s="7" t="str">
        <f t="shared" si="72"/>
        <v/>
      </c>
      <c r="O516" t="str">
        <f t="shared" si="73"/>
        <v/>
      </c>
      <c r="P516" t="str">
        <f t="shared" si="74"/>
        <v/>
      </c>
      <c r="Q516" t="str">
        <f t="shared" si="75"/>
        <v/>
      </c>
      <c r="S516" t="str">
        <f>""</f>
        <v/>
      </c>
      <c r="AL516" s="18" t="str">
        <f>IF(COUNTIF($A$2:A515, A515) = 1, A515, "")</f>
        <v/>
      </c>
    </row>
    <row r="517" spans="6:38" x14ac:dyDescent="0.2">
      <c r="F517" t="str">
        <f t="shared" si="70"/>
        <v/>
      </c>
      <c r="L517" s="7" t="str">
        <f t="shared" si="71"/>
        <v/>
      </c>
      <c r="N517" s="7" t="str">
        <f t="shared" si="72"/>
        <v/>
      </c>
      <c r="O517" t="str">
        <f t="shared" si="73"/>
        <v/>
      </c>
      <c r="P517" t="str">
        <f t="shared" si="74"/>
        <v/>
      </c>
      <c r="Q517" t="str">
        <f t="shared" si="75"/>
        <v/>
      </c>
      <c r="S517" t="str">
        <f>""</f>
        <v/>
      </c>
      <c r="AL517" s="18" t="str">
        <f>IF(COUNTIF($A$2:A516, A516) = 1, A516, "")</f>
        <v/>
      </c>
    </row>
    <row r="518" spans="6:38" x14ac:dyDescent="0.2">
      <c r="F518" t="str">
        <f t="shared" si="70"/>
        <v/>
      </c>
      <c r="L518" s="7" t="str">
        <f t="shared" si="71"/>
        <v/>
      </c>
      <c r="N518" s="7" t="str">
        <f t="shared" si="72"/>
        <v/>
      </c>
      <c r="O518" t="str">
        <f t="shared" si="73"/>
        <v/>
      </c>
      <c r="P518" t="str">
        <f t="shared" si="74"/>
        <v/>
      </c>
      <c r="Q518" t="str">
        <f t="shared" si="75"/>
        <v/>
      </c>
      <c r="S518" t="str">
        <f>""</f>
        <v/>
      </c>
      <c r="AL518" s="18" t="str">
        <f>IF(COUNTIF($A$2:A517, A517) = 1, A517, "")</f>
        <v/>
      </c>
    </row>
    <row r="519" spans="6:38" x14ac:dyDescent="0.2">
      <c r="F519" t="str">
        <f t="shared" si="70"/>
        <v/>
      </c>
      <c r="L519" s="7" t="str">
        <f t="shared" si="71"/>
        <v/>
      </c>
      <c r="N519" s="7" t="str">
        <f t="shared" si="72"/>
        <v/>
      </c>
      <c r="O519" t="str">
        <f t="shared" si="73"/>
        <v/>
      </c>
      <c r="P519" t="str">
        <f t="shared" si="74"/>
        <v/>
      </c>
      <c r="Q519" t="str">
        <f t="shared" si="75"/>
        <v/>
      </c>
      <c r="S519" t="str">
        <f>""</f>
        <v/>
      </c>
      <c r="AL519" s="18" t="str">
        <f>IF(COUNTIF($A$2:A518, A518) = 1, A518, "")</f>
        <v/>
      </c>
    </row>
    <row r="520" spans="6:38" x14ac:dyDescent="0.2">
      <c r="F520" t="str">
        <f t="shared" si="70"/>
        <v/>
      </c>
      <c r="L520" s="7" t="str">
        <f t="shared" si="71"/>
        <v/>
      </c>
      <c r="N520" s="7" t="str">
        <f t="shared" si="72"/>
        <v/>
      </c>
      <c r="O520" t="str">
        <f t="shared" si="73"/>
        <v/>
      </c>
      <c r="P520" t="str">
        <f t="shared" si="74"/>
        <v/>
      </c>
      <c r="Q520" t="str">
        <f t="shared" si="75"/>
        <v/>
      </c>
      <c r="S520" t="str">
        <f>""</f>
        <v/>
      </c>
      <c r="AL520" s="18" t="str">
        <f>IF(COUNTIF($A$2:A519, A519) = 1, A519, "")</f>
        <v/>
      </c>
    </row>
    <row r="521" spans="6:38" x14ac:dyDescent="0.2">
      <c r="F521" t="str">
        <f t="shared" si="70"/>
        <v/>
      </c>
      <c r="L521" s="7" t="str">
        <f t="shared" si="71"/>
        <v/>
      </c>
      <c r="N521" s="7" t="str">
        <f t="shared" si="72"/>
        <v/>
      </c>
      <c r="O521" t="str">
        <f t="shared" si="73"/>
        <v/>
      </c>
      <c r="P521" t="str">
        <f t="shared" si="74"/>
        <v/>
      </c>
      <c r="Q521" t="str">
        <f t="shared" si="75"/>
        <v/>
      </c>
      <c r="S521" t="str">
        <f>""</f>
        <v/>
      </c>
      <c r="AL521" s="18" t="str">
        <f>IF(COUNTIF($A$2:A520, A520) = 1, A520, "")</f>
        <v/>
      </c>
    </row>
    <row r="522" spans="6:38" x14ac:dyDescent="0.2">
      <c r="F522" t="str">
        <f t="shared" si="70"/>
        <v/>
      </c>
      <c r="L522" s="7" t="str">
        <f t="shared" si="71"/>
        <v/>
      </c>
      <c r="N522" s="7" t="str">
        <f t="shared" si="72"/>
        <v/>
      </c>
      <c r="O522" t="str">
        <f t="shared" si="73"/>
        <v/>
      </c>
      <c r="P522" t="str">
        <f t="shared" si="74"/>
        <v/>
      </c>
      <c r="Q522" t="str">
        <f t="shared" si="75"/>
        <v/>
      </c>
      <c r="S522" t="str">
        <f>""</f>
        <v/>
      </c>
      <c r="AL522" s="18" t="str">
        <f>IF(COUNTIF($A$2:A521, A521) = 1, A521, "")</f>
        <v/>
      </c>
    </row>
    <row r="523" spans="6:38" x14ac:dyDescent="0.2">
      <c r="F523" t="str">
        <f t="shared" si="70"/>
        <v/>
      </c>
      <c r="L523" s="7" t="str">
        <f t="shared" si="71"/>
        <v/>
      </c>
      <c r="N523" s="7" t="str">
        <f t="shared" si="72"/>
        <v/>
      </c>
      <c r="O523" t="str">
        <f t="shared" si="73"/>
        <v/>
      </c>
      <c r="P523" t="str">
        <f t="shared" si="74"/>
        <v/>
      </c>
      <c r="Q523" t="str">
        <f t="shared" si="75"/>
        <v/>
      </c>
      <c r="S523" t="str">
        <f>""</f>
        <v/>
      </c>
      <c r="AL523" s="18" t="str">
        <f>IF(COUNTIF($A$2:A522, A522) = 1, A522, "")</f>
        <v/>
      </c>
    </row>
    <row r="524" spans="6:38" x14ac:dyDescent="0.2">
      <c r="F524" t="str">
        <f t="shared" si="70"/>
        <v/>
      </c>
      <c r="L524" s="7" t="str">
        <f t="shared" si="71"/>
        <v/>
      </c>
      <c r="N524" s="7" t="str">
        <f t="shared" si="72"/>
        <v/>
      </c>
      <c r="O524" t="str">
        <f t="shared" si="73"/>
        <v/>
      </c>
      <c r="P524" t="str">
        <f t="shared" si="74"/>
        <v/>
      </c>
      <c r="Q524" t="str">
        <f t="shared" si="75"/>
        <v/>
      </c>
      <c r="S524" t="str">
        <f>""</f>
        <v/>
      </c>
      <c r="AL524" s="18" t="str">
        <f>IF(COUNTIF($A$2:A523, A523) = 1, A523, "")</f>
        <v/>
      </c>
    </row>
    <row r="525" spans="6:38" x14ac:dyDescent="0.2">
      <c r="F525" t="str">
        <f t="shared" si="70"/>
        <v/>
      </c>
      <c r="L525" s="7" t="str">
        <f t="shared" si="71"/>
        <v/>
      </c>
      <c r="N525" s="7" t="str">
        <f t="shared" si="72"/>
        <v/>
      </c>
      <c r="O525" t="str">
        <f t="shared" si="73"/>
        <v/>
      </c>
      <c r="P525" t="str">
        <f t="shared" si="74"/>
        <v/>
      </c>
      <c r="Q525" t="str">
        <f t="shared" si="75"/>
        <v/>
      </c>
      <c r="S525" t="str">
        <f>""</f>
        <v/>
      </c>
      <c r="AL525" s="18" t="str">
        <f>IF(COUNTIF($A$2:A524, A524) = 1, A524, "")</f>
        <v/>
      </c>
    </row>
    <row r="526" spans="6:38" x14ac:dyDescent="0.2">
      <c r="F526" t="str">
        <f t="shared" si="70"/>
        <v/>
      </c>
      <c r="L526" s="7" t="str">
        <f t="shared" si="71"/>
        <v/>
      </c>
      <c r="N526" s="7" t="str">
        <f t="shared" si="72"/>
        <v/>
      </c>
      <c r="O526" t="str">
        <f t="shared" si="73"/>
        <v/>
      </c>
      <c r="P526" t="str">
        <f t="shared" si="74"/>
        <v/>
      </c>
      <c r="Q526" t="str">
        <f t="shared" si="75"/>
        <v/>
      </c>
      <c r="S526" t="str">
        <f>""</f>
        <v/>
      </c>
      <c r="AL526" s="18" t="str">
        <f>IF(COUNTIF($A$2:A525, A525) = 1, A525, "")</f>
        <v/>
      </c>
    </row>
    <row r="527" spans="6:38" x14ac:dyDescent="0.2">
      <c r="F527" t="str">
        <f t="shared" si="70"/>
        <v/>
      </c>
      <c r="L527" s="7" t="str">
        <f t="shared" si="71"/>
        <v/>
      </c>
      <c r="N527" s="7" t="str">
        <f t="shared" si="72"/>
        <v/>
      </c>
      <c r="O527" t="str">
        <f t="shared" si="73"/>
        <v/>
      </c>
      <c r="P527" t="str">
        <f t="shared" si="74"/>
        <v/>
      </c>
      <c r="Q527" t="str">
        <f t="shared" si="75"/>
        <v/>
      </c>
      <c r="S527" t="str">
        <f>""</f>
        <v/>
      </c>
      <c r="AL527" s="18" t="str">
        <f>IF(COUNTIF($A$2:A526, A526) = 1, A526, "")</f>
        <v/>
      </c>
    </row>
    <row r="528" spans="6:38" x14ac:dyDescent="0.2">
      <c r="F528" t="str">
        <f t="shared" ref="F528:F534" si="76">IF(OR(O528="", P528=""), "", SUM(IF((O528&lt;&gt;"None")*(O528&lt;&gt;""),LEN(O528)-LEN(SUBSTITUTE(O528,",",""))+1,0)) + SUM(IF((P528&lt;&gt;"None")*(P528&lt;&gt;""),LEN(P528)-LEN(SUBSTITUTE(P528,",",""))+1,0)))</f>
        <v/>
      </c>
      <c r="L528" s="7" t="str">
        <f t="shared" ref="L528:L534" si="77">IF(LEN(E528)=0, "", IFERROR(IF(E528&gt;=0, K528 * (1 + E528/100) - K528, K528 / (ABS(E528)/100))+K528, ""))</f>
        <v/>
      </c>
      <c r="N528" s="7" t="str">
        <f t="shared" ref="N528:N534" si="78">IF(M528="Yes",L528-K528,IF(M528="No",-K528,""))</f>
        <v/>
      </c>
      <c r="O528" t="str">
        <f t="shared" ref="O528:O534" si="79">IF(AND(G528="No",H528="No"), "None", "")</f>
        <v/>
      </c>
      <c r="P528" t="str">
        <f t="shared" ref="P528:P534" si="80">IF(I528="No", "None", "")</f>
        <v/>
      </c>
      <c r="Q528" t="str">
        <f t="shared" ref="Q528:Q534" si="81">IF(AND(D528="Straight", M528 = "No"),IF(O528="None",P528,IF(P528="None",O528) ),"")</f>
        <v/>
      </c>
      <c r="S528" t="str">
        <f>""</f>
        <v/>
      </c>
      <c r="AL528" s="18" t="str">
        <f>IF(COUNTIF($A$2:A527, A527) = 1, A527, "")</f>
        <v/>
      </c>
    </row>
    <row r="529" spans="6:38" x14ac:dyDescent="0.2">
      <c r="F529" t="str">
        <f t="shared" si="76"/>
        <v/>
      </c>
      <c r="L529" s="7" t="str">
        <f t="shared" si="77"/>
        <v/>
      </c>
      <c r="N529" s="7" t="str">
        <f t="shared" si="78"/>
        <v/>
      </c>
      <c r="O529" t="str">
        <f t="shared" si="79"/>
        <v/>
      </c>
      <c r="P529" t="str">
        <f t="shared" si="80"/>
        <v/>
      </c>
      <c r="Q529" t="str">
        <f t="shared" si="81"/>
        <v/>
      </c>
      <c r="S529" t="str">
        <f>""</f>
        <v/>
      </c>
      <c r="AL529" s="18" t="str">
        <f>IF(COUNTIF($A$2:A528, A528) = 1, A528, "")</f>
        <v/>
      </c>
    </row>
    <row r="530" spans="6:38" x14ac:dyDescent="0.2">
      <c r="F530" t="str">
        <f t="shared" si="76"/>
        <v/>
      </c>
      <c r="L530" s="7" t="str">
        <f t="shared" si="77"/>
        <v/>
      </c>
      <c r="N530" s="7" t="str">
        <f t="shared" si="78"/>
        <v/>
      </c>
      <c r="O530" t="str">
        <f t="shared" si="79"/>
        <v/>
      </c>
      <c r="P530" t="str">
        <f t="shared" si="80"/>
        <v/>
      </c>
      <c r="Q530" t="str">
        <f t="shared" si="81"/>
        <v/>
      </c>
      <c r="S530" t="str">
        <f>""</f>
        <v/>
      </c>
      <c r="AL530" s="18" t="str">
        <f>IF(COUNTIF($A$2:A529, A529) = 1, A529, "")</f>
        <v/>
      </c>
    </row>
    <row r="531" spans="6:38" x14ac:dyDescent="0.2">
      <c r="F531" t="str">
        <f t="shared" si="76"/>
        <v/>
      </c>
      <c r="L531" s="7" t="str">
        <f t="shared" si="77"/>
        <v/>
      </c>
      <c r="N531" s="7" t="str">
        <f t="shared" si="78"/>
        <v/>
      </c>
      <c r="O531" t="str">
        <f t="shared" si="79"/>
        <v/>
      </c>
      <c r="P531" t="str">
        <f t="shared" si="80"/>
        <v/>
      </c>
      <c r="Q531" t="str">
        <f t="shared" si="81"/>
        <v/>
      </c>
      <c r="S531" t="str">
        <f>""</f>
        <v/>
      </c>
      <c r="AL531" s="18" t="str">
        <f>IF(COUNTIF($A$2:A530, A530) = 1, A530, "")</f>
        <v/>
      </c>
    </row>
    <row r="532" spans="6:38" x14ac:dyDescent="0.2">
      <c r="F532" t="str">
        <f t="shared" si="76"/>
        <v/>
      </c>
      <c r="L532" s="7" t="str">
        <f t="shared" si="77"/>
        <v/>
      </c>
      <c r="N532" s="7" t="str">
        <f t="shared" si="78"/>
        <v/>
      </c>
      <c r="O532" t="str">
        <f t="shared" si="79"/>
        <v/>
      </c>
      <c r="P532" t="str">
        <f t="shared" si="80"/>
        <v/>
      </c>
      <c r="Q532" t="str">
        <f t="shared" si="81"/>
        <v/>
      </c>
      <c r="S532" t="str">
        <f>""</f>
        <v/>
      </c>
      <c r="AL532" s="18" t="str">
        <f>IF(COUNTIF($A$2:A531, A531) = 1, A531, "")</f>
        <v/>
      </c>
    </row>
    <row r="533" spans="6:38" x14ac:dyDescent="0.2">
      <c r="F533" t="str">
        <f t="shared" si="76"/>
        <v/>
      </c>
      <c r="L533" s="7" t="str">
        <f t="shared" si="77"/>
        <v/>
      </c>
      <c r="N533" s="7" t="str">
        <f t="shared" si="78"/>
        <v/>
      </c>
      <c r="O533" t="str">
        <f t="shared" si="79"/>
        <v/>
      </c>
      <c r="P533" t="str">
        <f t="shared" si="80"/>
        <v/>
      </c>
      <c r="Q533" t="str">
        <f t="shared" si="81"/>
        <v/>
      </c>
      <c r="S533" t="str">
        <f>""</f>
        <v/>
      </c>
      <c r="AL533" s="18" t="str">
        <f>IF(COUNTIF($A$2:A532, A532) = 1, A532, "")</f>
        <v/>
      </c>
    </row>
    <row r="534" spans="6:38" x14ac:dyDescent="0.2">
      <c r="F534" t="str">
        <f t="shared" si="76"/>
        <v/>
      </c>
      <c r="L534" s="7" t="str">
        <f t="shared" si="77"/>
        <v/>
      </c>
      <c r="N534" s="7" t="str">
        <f t="shared" si="78"/>
        <v/>
      </c>
      <c r="O534" t="str">
        <f t="shared" si="79"/>
        <v/>
      </c>
      <c r="P534" t="str">
        <f t="shared" si="80"/>
        <v/>
      </c>
      <c r="Q534" t="str">
        <f t="shared" si="81"/>
        <v/>
      </c>
      <c r="S534" t="str">
        <f>""</f>
        <v/>
      </c>
      <c r="AL534" s="18" t="str">
        <f>IF(COUNTIF($A$2:A533, A533) = 1, A533, "")</f>
        <v/>
      </c>
    </row>
    <row r="535" spans="6:38" x14ac:dyDescent="0.2">
      <c r="AL535" s="18" t="str">
        <f>IF(COUNTIF($A$2:A534, A534) = 1, A534, "")</f>
        <v/>
      </c>
    </row>
    <row r="536" spans="6:38" x14ac:dyDescent="0.2">
      <c r="AL536" s="18" t="str">
        <f>IF(COUNTIF($A$2:A535, A535) = 1, A535, "")</f>
        <v/>
      </c>
    </row>
    <row r="537" spans="6:38" x14ac:dyDescent="0.2">
      <c r="AL537" s="18" t="str">
        <f>IF(COUNTIF($A$2:A536, A536) = 1, A536, "")</f>
        <v/>
      </c>
    </row>
    <row r="538" spans="6:38" x14ac:dyDescent="0.2">
      <c r="AL538" s="18" t="str">
        <f>IF(COUNTIF($A$2:A537, A537) = 1, A537, "")</f>
        <v/>
      </c>
    </row>
    <row r="539" spans="6:38" x14ac:dyDescent="0.2">
      <c r="AL539" s="18" t="str">
        <f>IF(COUNTIF($A$2:A538, A538) = 1, A538, "")</f>
        <v/>
      </c>
    </row>
    <row r="540" spans="6:38" x14ac:dyDescent="0.2">
      <c r="AL540" s="18" t="str">
        <f>IF(COUNTIF($A$2:A539, A539) = 1, A539, "")</f>
        <v/>
      </c>
    </row>
    <row r="541" spans="6:38" x14ac:dyDescent="0.2">
      <c r="AL541" s="18" t="str">
        <f>IF(COUNTIF($A$2:A540, A540) = 1, A540, "")</f>
        <v/>
      </c>
    </row>
    <row r="542" spans="6:38" x14ac:dyDescent="0.2">
      <c r="AL542" s="18" t="str">
        <f>IF(COUNTIF($A$2:A541, A541) = 1, A541, "")</f>
        <v/>
      </c>
    </row>
    <row r="543" spans="6:38" x14ac:dyDescent="0.2">
      <c r="AL543" s="18" t="str">
        <f>IF(COUNTIF($A$2:A542, A542) = 1, A542, "")</f>
        <v/>
      </c>
    </row>
    <row r="544" spans="6:38" x14ac:dyDescent="0.2">
      <c r="AL544" s="18" t="str">
        <f>IF(COUNTIF($A$2:A543, A543) = 1, A543, "")</f>
        <v/>
      </c>
    </row>
    <row r="545" spans="38:38" x14ac:dyDescent="0.2">
      <c r="AL545" s="18" t="str">
        <f>IF(COUNTIF($A$2:A544, A544) = 1, A544, "")</f>
        <v/>
      </c>
    </row>
    <row r="546" spans="38:38" x14ac:dyDescent="0.2">
      <c r="AL546" s="18" t="str">
        <f>IF(COUNTIF($A$2:A545, A545) = 1, A545, "")</f>
        <v/>
      </c>
    </row>
    <row r="547" spans="38:38" x14ac:dyDescent="0.2">
      <c r="AL547" s="18" t="str">
        <f>IF(COUNTIF($A$2:A546, A546) = 1, A546, "")</f>
        <v/>
      </c>
    </row>
    <row r="548" spans="38:38" x14ac:dyDescent="0.2">
      <c r="AL548" s="18" t="str">
        <f>IF(COUNTIF($A$2:A547, A547) = 1, A547, "")</f>
        <v/>
      </c>
    </row>
    <row r="549" spans="38:38" x14ac:dyDescent="0.2">
      <c r="AL549" s="18" t="str">
        <f>IF(COUNTIF($A$2:A548, A548) = 1, A548, "")</f>
        <v/>
      </c>
    </row>
    <row r="550" spans="38:38" x14ac:dyDescent="0.2">
      <c r="AL550" s="18" t="str">
        <f>IF(COUNTIF($A$2:A549, A549) = 1, A549, "")</f>
        <v/>
      </c>
    </row>
    <row r="551" spans="38:38" x14ac:dyDescent="0.2">
      <c r="AL551" s="18" t="str">
        <f>IF(COUNTIF($A$2:A550, A550) = 1, A550, "")</f>
        <v/>
      </c>
    </row>
    <row r="552" spans="38:38" x14ac:dyDescent="0.2">
      <c r="AL552" s="18" t="str">
        <f>IF(COUNTIF($A$2:A551, A551) = 1, A551, "")</f>
        <v/>
      </c>
    </row>
    <row r="553" spans="38:38" x14ac:dyDescent="0.2">
      <c r="AL553" s="18" t="str">
        <f>IF(COUNTIF($A$2:A552, A552) = 1, A552, "")</f>
        <v/>
      </c>
    </row>
    <row r="554" spans="38:38" x14ac:dyDescent="0.2">
      <c r="AL554" s="18" t="str">
        <f>IF(COUNTIF($A$2:A553, A553) = 1, A553, "")</f>
        <v/>
      </c>
    </row>
    <row r="555" spans="38:38" x14ac:dyDescent="0.2">
      <c r="AL555" s="18" t="str">
        <f>IF(COUNTIF($A$2:A554, A554) = 1, A554, "")</f>
        <v/>
      </c>
    </row>
    <row r="556" spans="38:38" x14ac:dyDescent="0.2">
      <c r="AL556" s="18" t="str">
        <f>IF(COUNTIF($A$2:A555, A555) = 1, A555, "")</f>
        <v/>
      </c>
    </row>
    <row r="557" spans="38:38" x14ac:dyDescent="0.2">
      <c r="AL557" s="18" t="str">
        <f>IF(COUNTIF($A$2:A556, A556) = 1, A556, "")</f>
        <v/>
      </c>
    </row>
    <row r="558" spans="38:38" x14ac:dyDescent="0.2">
      <c r="AL558" s="18" t="str">
        <f>IF(COUNTIF($A$2:A557, A557) = 1, A557, "")</f>
        <v/>
      </c>
    </row>
    <row r="559" spans="38:38" x14ac:dyDescent="0.2">
      <c r="AL559" s="18" t="str">
        <f>IF(COUNTIF($A$2:A558, A558) = 1, A558, "")</f>
        <v/>
      </c>
    </row>
    <row r="560" spans="38:38" x14ac:dyDescent="0.2">
      <c r="AL560" s="18" t="str">
        <f>IF(COUNTIF($A$2:A559, A559) = 1, A559, "")</f>
        <v/>
      </c>
    </row>
    <row r="561" spans="38:38" x14ac:dyDescent="0.2">
      <c r="AL561" s="18" t="str">
        <f>IF(COUNTIF($A$2:A560, A560) = 1, A560, "")</f>
        <v/>
      </c>
    </row>
    <row r="562" spans="38:38" x14ac:dyDescent="0.2">
      <c r="AL562" s="18" t="str">
        <f>IF(COUNTIF($A$2:A561, A561) = 1, A561, "")</f>
        <v/>
      </c>
    </row>
    <row r="563" spans="38:38" x14ac:dyDescent="0.2">
      <c r="AL563" s="18" t="str">
        <f>IF(COUNTIF($A$2:A562, A562) = 1, A562, "")</f>
        <v/>
      </c>
    </row>
    <row r="564" spans="38:38" x14ac:dyDescent="0.2">
      <c r="AL564" s="18" t="str">
        <f>IF(COUNTIF($A$2:A563, A563) = 1, A563, "")</f>
        <v/>
      </c>
    </row>
    <row r="565" spans="38:38" x14ac:dyDescent="0.2">
      <c r="AL565" s="18" t="str">
        <f>IF(COUNTIF($A$2:A564, A564) = 1, A564, "")</f>
        <v/>
      </c>
    </row>
    <row r="566" spans="38:38" x14ac:dyDescent="0.2">
      <c r="AL566" s="18" t="str">
        <f>IF(COUNTIF($A$2:A565, A565) = 1, A565, "")</f>
        <v/>
      </c>
    </row>
    <row r="567" spans="38:38" x14ac:dyDescent="0.2">
      <c r="AL567" s="18" t="str">
        <f>IF(COUNTIF($A$2:A566, A566) = 1, A566, "")</f>
        <v/>
      </c>
    </row>
    <row r="568" spans="38:38" x14ac:dyDescent="0.2">
      <c r="AL568" s="18" t="str">
        <f>IF(COUNTIF($A$2:A567, A567) = 1, A567, "")</f>
        <v/>
      </c>
    </row>
    <row r="569" spans="38:38" x14ac:dyDescent="0.2">
      <c r="AL569" s="18" t="str">
        <f>IF(COUNTIF($A$2:A568, A568) = 1, A568, "")</f>
        <v/>
      </c>
    </row>
    <row r="570" spans="38:38" x14ac:dyDescent="0.2">
      <c r="AL570" s="18" t="str">
        <f>IF(COUNTIF($A$2:A569, A569) = 1, A569, "")</f>
        <v/>
      </c>
    </row>
    <row r="571" spans="38:38" x14ac:dyDescent="0.2">
      <c r="AL571" s="18" t="str">
        <f>IF(COUNTIF($A$2:A570, A570) = 1, A570, "")</f>
        <v/>
      </c>
    </row>
    <row r="572" spans="38:38" x14ac:dyDescent="0.2">
      <c r="AL572" s="18" t="str">
        <f>IF(COUNTIF($A$2:A571, A571) = 1, A571, "")</f>
        <v/>
      </c>
    </row>
    <row r="573" spans="38:38" x14ac:dyDescent="0.2">
      <c r="AL573" s="18" t="str">
        <f>IF(COUNTIF($A$2:A572, A572) = 1, A572, "")</f>
        <v/>
      </c>
    </row>
    <row r="574" spans="38:38" x14ac:dyDescent="0.2">
      <c r="AL574" s="18" t="str">
        <f>IF(COUNTIF($A$2:A573, A573) = 1, A573, "")</f>
        <v/>
      </c>
    </row>
    <row r="575" spans="38:38" x14ac:dyDescent="0.2">
      <c r="AL575" s="18" t="str">
        <f>IF(COUNTIF($A$2:A574, A574) = 1, A574, "")</f>
        <v/>
      </c>
    </row>
    <row r="576" spans="38:38" x14ac:dyDescent="0.2">
      <c r="AL576" s="18" t="str">
        <f>IF(COUNTIF($A$2:A575, A575) = 1, A575, "")</f>
        <v/>
      </c>
    </row>
    <row r="577" spans="38:38" x14ac:dyDescent="0.2">
      <c r="AL577" s="18" t="str">
        <f>IF(COUNTIF($A$2:A576, A576) = 1, A576, "")</f>
        <v/>
      </c>
    </row>
    <row r="578" spans="38:38" x14ac:dyDescent="0.2">
      <c r="AL578" s="18" t="str">
        <f>IF(COUNTIF($A$2:A577, A577) = 1, A577, "")</f>
        <v/>
      </c>
    </row>
    <row r="579" spans="38:38" x14ac:dyDescent="0.2">
      <c r="AL579" s="18" t="str">
        <f>IF(COUNTIF($A$2:A578, A578) = 1, A578, "")</f>
        <v/>
      </c>
    </row>
    <row r="580" spans="38:38" x14ac:dyDescent="0.2">
      <c r="AL580" s="18" t="str">
        <f>IF(COUNTIF($A$2:A579, A579) = 1, A579, "")</f>
        <v/>
      </c>
    </row>
    <row r="581" spans="38:38" x14ac:dyDescent="0.2">
      <c r="AL581" s="18" t="str">
        <f>IF(COUNTIF($A$2:A580, A580) = 1, A580, "")</f>
        <v/>
      </c>
    </row>
  </sheetData>
  <mergeCells count="19">
    <mergeCell ref="T14:U14"/>
    <mergeCell ref="T10:U10"/>
    <mergeCell ref="T2:U2"/>
    <mergeCell ref="T3:U3"/>
    <mergeCell ref="T4:U4"/>
    <mergeCell ref="T6:U6"/>
    <mergeCell ref="T7:U7"/>
    <mergeCell ref="T8:U8"/>
    <mergeCell ref="T9:U9"/>
    <mergeCell ref="T11:V11"/>
    <mergeCell ref="T12:U12"/>
    <mergeCell ref="T13:U13"/>
    <mergeCell ref="T19:U19"/>
    <mergeCell ref="T20:U20"/>
    <mergeCell ref="T21:U21"/>
    <mergeCell ref="T22:U22"/>
    <mergeCell ref="T15:U15"/>
    <mergeCell ref="T17:V17"/>
    <mergeCell ref="T16:U16"/>
  </mergeCells>
  <conditionalFormatting sqref="N1:N1048576">
    <cfRule type="dataBar" priority="97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{9F521B3B-DE96-E34A-95EB-4F951E615482}</x14:id>
        </ext>
      </extLst>
    </cfRule>
  </conditionalFormatting>
  <conditionalFormatting sqref="V4">
    <cfRule type="colorScale" priority="61">
      <colorScale>
        <cfvo type="num" val="-50"/>
        <cfvo type="num" val="0"/>
        <cfvo type="num" val="50"/>
        <color rgb="FFC00000"/>
        <color theme="0"/>
        <color rgb="FF00B050"/>
      </colorScale>
    </cfRule>
  </conditionalFormatting>
  <conditionalFormatting sqref="V9">
    <cfRule type="dataBar" priority="60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{EC7A1354-4D91-164D-A927-4B7C28BB2AC9}</x14:id>
        </ext>
      </extLst>
    </cfRule>
  </conditionalFormatting>
  <conditionalFormatting sqref="V15">
    <cfRule type="dataBar" priority="59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{701AF221-6314-424E-8958-6EB3A2846B4D}</x14:id>
        </ext>
      </extLst>
    </cfRule>
  </conditionalFormatting>
  <conditionalFormatting sqref="V10">
    <cfRule type="dataBar" priority="38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{1CB6C195-AAEE-BB4E-8958-CA579D231250}</x14:id>
        </ext>
      </extLst>
    </cfRule>
    <cfRule type="colorScale" priority="39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V16">
    <cfRule type="dataBar" priority="36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{1EBE8D4D-EC92-564D-9E50-0A028D59B47C}</x14:id>
        </ext>
      </extLst>
    </cfRule>
    <cfRule type="colorScale" priority="37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12:Y18">
    <cfRule type="dataBar" priority="16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{15474777-816F-774B-9E09-E86DEAB0F20E}</x14:id>
        </ext>
      </extLst>
    </cfRule>
    <cfRule type="colorScale" priority="17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A41:AA43 AA26:AA31 AA3:AA9 AA34:AA38 AA12:AA18 AA21:AA23">
    <cfRule type="dataBar" priority="11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{739C2E55-9AAA-A141-A671-FABC8637CB13}</x14:id>
        </ext>
      </extLst>
    </cfRule>
  </conditionalFormatting>
  <conditionalFormatting sqref="AA46:AA47">
    <cfRule type="dataBar" priority="10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{3D6DCDA0-733E-E145-AAC6-91671BEDB75A}</x14:id>
        </ext>
      </extLst>
    </cfRule>
  </conditionalFormatting>
  <conditionalFormatting sqref="Z2:Z47">
    <cfRule type="dataBar" priority="9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{059D2EF4-C0A8-094A-ACB1-FB37C0C1AA05}</x14:id>
        </ext>
      </extLst>
    </cfRule>
  </conditionalFormatting>
  <conditionalFormatting sqref="AE3:AE50">
    <cfRule type="dataBar" priority="12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{A80BB3C2-5A4F-AB42-B692-70F6326F12C0}</x14:id>
        </ext>
      </extLst>
    </cfRule>
    <cfRule type="colorScale" priority="13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D3:AD50">
    <cfRule type="dataBar" priority="14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{66764AC2-28C7-824E-A9FD-2B4C2B7B3DA8}</x14:id>
        </ext>
      </extLst>
    </cfRule>
    <cfRule type="colorScale" priority="15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3:Y9">
    <cfRule type="dataBar" priority="7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{688FA7F7-C0C8-3241-80C6-7FEF35534E29}</x14:id>
        </ext>
      </extLst>
    </cfRule>
    <cfRule type="colorScale" priority="8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21:Y47">
    <cfRule type="dataBar" priority="5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{14EDFD3A-B0AF-B145-8AFE-5C3830837483}</x14:id>
        </ext>
      </extLst>
    </cfRule>
    <cfRule type="colorScale" priority="6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A50:AA58">
    <cfRule type="dataBar" priority="4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{C28D1A1A-69B3-AC49-8642-4A48A7626099}</x14:id>
        </ext>
      </extLst>
    </cfRule>
  </conditionalFormatting>
  <conditionalFormatting sqref="Z49:Z58">
    <cfRule type="dataBar" priority="3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{792EA821-2886-FA41-B0FB-8D46BFD2FD8A}</x14:id>
        </ext>
      </extLst>
    </cfRule>
  </conditionalFormatting>
  <conditionalFormatting sqref="Y49:Y58">
    <cfRule type="dataBar" priority="1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{15C12F05-0D61-B144-91D1-842F795B1792}</x14:id>
        </ext>
      </extLst>
    </cfRule>
    <cfRule type="colorScale" priority="2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dataValidations count="3">
    <dataValidation type="list" allowBlank="1" showInputMessage="1" showErrorMessage="1" sqref="G2:J534 M2:M534" xr:uid="{CA783EDC-3F2C-1648-8DAF-9A8D8907BDAF}">
      <formula1>"Yes, No"</formula1>
    </dataValidation>
    <dataValidation type="list" allowBlank="1" showInputMessage="1" showErrorMessage="1" sqref="D2:D534" xr:uid="{016FFFE0-21E7-F349-BBEF-631579B1161C}">
      <formula1>"Straight, Parlay, Boost"</formula1>
    </dataValidation>
    <dataValidation type="list" allowBlank="1" showInputMessage="1" showErrorMessage="1" sqref="R2:R1048576" xr:uid="{D64F8520-947C-E449-93BC-0E0E42F282E4}">
      <formula1>$X$50:$X$58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F521B3B-DE96-E34A-95EB-4F951E6154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N1:N1048576</xm:sqref>
        </x14:conditionalFormatting>
        <x14:conditionalFormatting xmlns:xm="http://schemas.microsoft.com/office/excel/2006/main">
          <x14:cfRule type="dataBar" id="{EC7A1354-4D91-164D-A927-4B7C28BB2AC9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701AF221-6314-424E-8958-6EB3A2846B4D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1CB6C195-AAEE-BB4E-8958-CA579D2312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1EBE8D4D-EC92-564D-9E50-0A028D59B47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15474777-816F-774B-9E09-E86DEAB0F20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Y12:Y18</xm:sqref>
        </x14:conditionalFormatting>
        <x14:conditionalFormatting xmlns:xm="http://schemas.microsoft.com/office/excel/2006/main">
          <x14:cfRule type="dataBar" id="{739C2E55-9AAA-A141-A671-FABC8637CB13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AA41:AA43 AA26:AA31 AA3:AA9 AA34:AA38 AA12:AA18 AA21:AA23</xm:sqref>
        </x14:conditionalFormatting>
        <x14:conditionalFormatting xmlns:xm="http://schemas.microsoft.com/office/excel/2006/main">
          <x14:cfRule type="dataBar" id="{3D6DCDA0-733E-E145-AAC6-91671BEDB75A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AA46:AA47</xm:sqref>
        </x14:conditionalFormatting>
        <x14:conditionalFormatting xmlns:xm="http://schemas.microsoft.com/office/excel/2006/main">
          <x14:cfRule type="dataBar" id="{059D2EF4-C0A8-094A-ACB1-FB37C0C1AA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Z2:Z47</xm:sqref>
        </x14:conditionalFormatting>
        <x14:conditionalFormatting xmlns:xm="http://schemas.microsoft.com/office/excel/2006/main">
          <x14:cfRule type="dataBar" id="{A80BB3C2-5A4F-AB42-B692-70F6326F12C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AE3:AE50</xm:sqref>
        </x14:conditionalFormatting>
        <x14:conditionalFormatting xmlns:xm="http://schemas.microsoft.com/office/excel/2006/main">
          <x14:cfRule type="dataBar" id="{66764AC2-28C7-824E-A9FD-2B4C2B7B3DA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AD3:AD50</xm:sqref>
        </x14:conditionalFormatting>
        <x14:conditionalFormatting xmlns:xm="http://schemas.microsoft.com/office/excel/2006/main">
          <x14:cfRule type="dataBar" id="{688FA7F7-C0C8-3241-80C6-7FEF35534E2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Y3:Y9</xm:sqref>
        </x14:conditionalFormatting>
        <x14:conditionalFormatting xmlns:xm="http://schemas.microsoft.com/office/excel/2006/main">
          <x14:cfRule type="dataBar" id="{14EDFD3A-B0AF-B145-8AFE-5C383083748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Y21:Y47</xm:sqref>
        </x14:conditionalFormatting>
        <x14:conditionalFormatting xmlns:xm="http://schemas.microsoft.com/office/excel/2006/main">
          <x14:cfRule type="dataBar" id="{C28D1A1A-69B3-AC49-8642-4A48A7626099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AA50:AA58</xm:sqref>
        </x14:conditionalFormatting>
        <x14:conditionalFormatting xmlns:xm="http://schemas.microsoft.com/office/excel/2006/main">
          <x14:cfRule type="dataBar" id="{792EA821-2886-FA41-B0FB-8D46BFD2FD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Z49:Z58</xm:sqref>
        </x14:conditionalFormatting>
        <x14:conditionalFormatting xmlns:xm="http://schemas.microsoft.com/office/excel/2006/main">
          <x14:cfRule type="dataBar" id="{15C12F05-0D61-B144-91D1-842F795B179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Y49:Y58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54BA-6FBC-C142-8F47-C7756CEFD73D}">
  <sheetPr codeName="Sheet15"/>
  <dimension ref="A1:AA237"/>
  <sheetViews>
    <sheetView zoomScale="80" zoomScaleNormal="80" workbookViewId="0">
      <selection activeCell="C3" sqref="C3"/>
    </sheetView>
  </sheetViews>
  <sheetFormatPr baseColWidth="10" defaultRowHeight="16" x14ac:dyDescent="0.2"/>
  <cols>
    <col min="1" max="1" width="11.83203125" customWidth="1"/>
    <col min="2" max="2" width="11.6640625" customWidth="1"/>
    <col min="3" max="3" width="10.83203125" customWidth="1"/>
    <col min="4" max="4" width="11.33203125" bestFit="1" customWidth="1"/>
    <col min="6" max="6" width="15.33203125" customWidth="1"/>
    <col min="7" max="7" width="12.6640625" bestFit="1" customWidth="1"/>
    <col min="8" max="8" width="12.83203125" bestFit="1" customWidth="1"/>
    <col min="9" max="9" width="12.1640625" customWidth="1"/>
    <col min="14" max="14" width="17.5" customWidth="1"/>
    <col min="15" max="15" width="25.33203125" bestFit="1" customWidth="1"/>
    <col min="16" max="16" width="15.83203125" customWidth="1"/>
    <col min="17" max="17" width="11.5" customWidth="1"/>
    <col min="18" max="18" width="19.33203125" customWidth="1"/>
    <col min="21" max="22" width="12.6640625" bestFit="1" customWidth="1"/>
    <col min="24" max="24" width="14.83203125" style="32" bestFit="1" customWidth="1"/>
    <col min="26" max="26" width="0" hidden="1" customWidth="1"/>
  </cols>
  <sheetData>
    <row r="1" spans="1:27" ht="17" thickBot="1" x14ac:dyDescent="0.25">
      <c r="A1" s="57" t="s">
        <v>15</v>
      </c>
      <c r="B1" s="57" t="s">
        <v>10</v>
      </c>
      <c r="C1" s="57" t="s">
        <v>11</v>
      </c>
      <c r="D1" s="57" t="s">
        <v>50</v>
      </c>
      <c r="E1" s="57" t="s">
        <v>12</v>
      </c>
      <c r="F1" s="57" t="s">
        <v>3</v>
      </c>
      <c r="G1" s="57" t="s">
        <v>72</v>
      </c>
      <c r="H1" s="57" t="s">
        <v>73</v>
      </c>
      <c r="I1" s="57" t="s">
        <v>77</v>
      </c>
      <c r="J1" s="57" t="s">
        <v>7</v>
      </c>
      <c r="K1" s="57" t="s">
        <v>8</v>
      </c>
      <c r="L1" s="57" t="s">
        <v>21</v>
      </c>
      <c r="M1" s="57" t="s">
        <v>9</v>
      </c>
      <c r="N1" s="57" t="s">
        <v>51</v>
      </c>
      <c r="O1" s="57" t="s">
        <v>13</v>
      </c>
      <c r="P1" s="57" t="s">
        <v>14</v>
      </c>
      <c r="Q1" s="57" t="s">
        <v>89</v>
      </c>
      <c r="R1" s="57" t="s">
        <v>61</v>
      </c>
    </row>
    <row r="2" spans="1:27" ht="17" thickBot="1" x14ac:dyDescent="0.25">
      <c r="A2" s="2"/>
      <c r="F2" t="str">
        <f t="shared" ref="F2:F4" si="0">IF(OR(N2="", O2=""), "", SUM(IF((N2&lt;&gt;"None")*(N2&lt;&gt;""),LEN(N2)-LEN(SUBSTITUTE(N2,",",""))+1,0)) + SUM(IF((O2&lt;&gt;"None")*(O2&lt;&gt;""),LEN(O2)-LEN(SUBSTITUTE(O2,",",""))+1,0)))</f>
        <v/>
      </c>
      <c r="J2" s="7"/>
      <c r="K2" s="7" t="str">
        <f t="shared" ref="K2:K4" si="1">IF(LEN(E2)=0, "", IFERROR(IF(E2&gt;=0, J2 * (1 + E2/100) - J2, J2 / (ABS(E2)/100))+J2, ""))</f>
        <v/>
      </c>
      <c r="M2" s="7" t="str">
        <f t="shared" ref="M2:M4" si="2">IF(L2="Yes",K2-J2,IF(L2="No",-J2,""))</f>
        <v/>
      </c>
      <c r="N2" t="str">
        <f t="shared" ref="N2:N4" si="3">IF(G2 = "No", "None", "")</f>
        <v/>
      </c>
      <c r="O2" t="str">
        <f t="shared" ref="O2:O4" si="4">IF(H2="No", "None", "")</f>
        <v/>
      </c>
      <c r="P2" t="str">
        <f t="shared" ref="P2:P4" si="5">IF(AND(D2="Straight", L2 = "No"),IF(N2="None",O2,IF(O2="None",N2) ),"")</f>
        <v/>
      </c>
      <c r="R2" t="str">
        <f>""</f>
        <v/>
      </c>
      <c r="X2" s="79" t="s">
        <v>10</v>
      </c>
      <c r="Y2" s="80" t="s">
        <v>9</v>
      </c>
      <c r="Z2" s="81" t="s">
        <v>84</v>
      </c>
      <c r="AA2" s="82" t="s">
        <v>39</v>
      </c>
    </row>
    <row r="3" spans="1:27" ht="17" thickBot="1" x14ac:dyDescent="0.25">
      <c r="A3" s="2"/>
      <c r="F3" t="str">
        <f t="shared" si="0"/>
        <v/>
      </c>
      <c r="J3" s="7"/>
      <c r="K3" s="7" t="str">
        <f t="shared" si="1"/>
        <v/>
      </c>
      <c r="M3" s="7" t="str">
        <f t="shared" si="2"/>
        <v/>
      </c>
      <c r="N3" t="str">
        <f t="shared" si="3"/>
        <v/>
      </c>
      <c r="O3" t="str">
        <f t="shared" si="4"/>
        <v/>
      </c>
      <c r="P3" t="str">
        <f t="shared" si="5"/>
        <v/>
      </c>
      <c r="R3" t="str">
        <f>""</f>
        <v/>
      </c>
      <c r="X3" s="47" t="s">
        <v>16</v>
      </c>
      <c r="Y3" s="45">
        <f>SUMIF($B:B,X3,M:M)</f>
        <v>0</v>
      </c>
      <c r="Z3" s="40">
        <f t="shared" ref="Z3:Z9" si="6">COUNTIF(B:B,X3)</f>
        <v>0</v>
      </c>
      <c r="AA3" s="41">
        <f t="shared" ref="AA3:AA9" si="7">IFERROR(COUNTIFS(B:B, X3)/COUNTA($B$2:$B$994),0)</f>
        <v>0</v>
      </c>
    </row>
    <row r="4" spans="1:27" ht="17" thickBot="1" x14ac:dyDescent="0.25">
      <c r="A4" s="2"/>
      <c r="F4" t="str">
        <f t="shared" si="0"/>
        <v/>
      </c>
      <c r="J4" s="7"/>
      <c r="K4" s="7" t="str">
        <f t="shared" si="1"/>
        <v/>
      </c>
      <c r="M4" s="7" t="str">
        <f t="shared" si="2"/>
        <v/>
      </c>
      <c r="N4" t="str">
        <f t="shared" si="3"/>
        <v/>
      </c>
      <c r="O4" t="str">
        <f t="shared" si="4"/>
        <v/>
      </c>
      <c r="P4" t="str">
        <f t="shared" si="5"/>
        <v/>
      </c>
      <c r="R4" t="str">
        <f>""</f>
        <v/>
      </c>
      <c r="T4" s="120" t="s">
        <v>2</v>
      </c>
      <c r="U4" s="121"/>
      <c r="V4" s="61">
        <f>SUM(M2:M1048576)</f>
        <v>0</v>
      </c>
      <c r="X4" s="48" t="s">
        <v>23</v>
      </c>
      <c r="Y4" s="45">
        <f>SUMIF($B:B,X4,M:M)</f>
        <v>0</v>
      </c>
      <c r="Z4" s="34">
        <f t="shared" si="6"/>
        <v>0</v>
      </c>
      <c r="AA4" s="38">
        <f t="shared" si="7"/>
        <v>0</v>
      </c>
    </row>
    <row r="5" spans="1:27" ht="17" thickBot="1" x14ac:dyDescent="0.25">
      <c r="A5" s="2"/>
      <c r="F5" t="str">
        <f t="shared" ref="F5:F28" si="8">IF(OR(N5="", O5=""), "", SUM(IF((N5&lt;&gt;"None")*(N5&lt;&gt;""),LEN(N5)-LEN(SUBSTITUTE(N5,",",""))+1,0)) + SUM(IF((O5&lt;&gt;"None")*(O5&lt;&gt;""),LEN(O5)-LEN(SUBSTITUTE(O5,",",""))+1,0)))</f>
        <v/>
      </c>
      <c r="J5" s="7"/>
      <c r="K5" s="7" t="str">
        <f t="shared" ref="K5:K27" si="9">IF(LEN(E5)=0, "", IFERROR(IF(E5&gt;=0, J5 * (1 + E5/100) - J5, J5 / (ABS(E5)/100))+J5, ""))</f>
        <v/>
      </c>
      <c r="M5" s="7" t="str">
        <f t="shared" ref="M5:M28" si="10">IF(L5="Yes",K5-J5,IF(L5="No",-J5,""))</f>
        <v/>
      </c>
      <c r="N5" t="str">
        <f t="shared" ref="N5:N23" si="11">IF(G5 = "No", "None", "")</f>
        <v/>
      </c>
      <c r="O5" t="str">
        <f t="shared" ref="O5:O23" si="12">IF(H5="No", "None", "")</f>
        <v/>
      </c>
      <c r="P5" t="str">
        <f t="shared" ref="P5:P23" si="13">IF(AND(D5="Straight", L5 = "No"),IF(N5="None",O5,IF(O5="None",N5) ),"")</f>
        <v/>
      </c>
      <c r="R5" t="str">
        <f>""</f>
        <v/>
      </c>
      <c r="X5" s="48" t="s">
        <v>24</v>
      </c>
      <c r="Y5" s="45">
        <f>SUMIF($B:B,X5,M:M)</f>
        <v>0</v>
      </c>
      <c r="Z5" s="34">
        <f t="shared" si="6"/>
        <v>0</v>
      </c>
      <c r="AA5" s="38">
        <f t="shared" si="7"/>
        <v>0</v>
      </c>
    </row>
    <row r="6" spans="1:27" x14ac:dyDescent="0.2">
      <c r="A6" s="2"/>
      <c r="F6" t="str">
        <f t="shared" si="8"/>
        <v/>
      </c>
      <c r="J6" s="7"/>
      <c r="K6" s="7" t="str">
        <f t="shared" si="9"/>
        <v/>
      </c>
      <c r="M6" s="7" t="str">
        <f t="shared" si="10"/>
        <v/>
      </c>
      <c r="N6" t="str">
        <f t="shared" si="11"/>
        <v/>
      </c>
      <c r="O6" t="str">
        <f t="shared" si="12"/>
        <v/>
      </c>
      <c r="P6" t="str">
        <f t="shared" si="13"/>
        <v/>
      </c>
      <c r="R6" t="str">
        <f>""</f>
        <v/>
      </c>
      <c r="T6" s="109" t="s">
        <v>27</v>
      </c>
      <c r="U6" s="110"/>
      <c r="V6" s="58" t="str">
        <f>Master!D6</f>
        <v>Lions</v>
      </c>
      <c r="X6" s="48" t="s">
        <v>52</v>
      </c>
      <c r="Y6" s="45">
        <f>SUMIF($B:B,X6,M:M)</f>
        <v>0</v>
      </c>
      <c r="Z6" s="34">
        <f t="shared" si="6"/>
        <v>0</v>
      </c>
      <c r="AA6" s="38">
        <f t="shared" si="7"/>
        <v>0</v>
      </c>
    </row>
    <row r="7" spans="1:27" x14ac:dyDescent="0.2">
      <c r="A7" s="2"/>
      <c r="F7" t="str">
        <f t="shared" si="8"/>
        <v/>
      </c>
      <c r="J7" s="7"/>
      <c r="K7" s="7" t="str">
        <f t="shared" si="9"/>
        <v/>
      </c>
      <c r="M7" s="7" t="str">
        <f t="shared" si="10"/>
        <v/>
      </c>
      <c r="N7" t="str">
        <f t="shared" si="11"/>
        <v/>
      </c>
      <c r="O7" t="str">
        <f t="shared" si="12"/>
        <v/>
      </c>
      <c r="P7" t="str">
        <f t="shared" si="13"/>
        <v/>
      </c>
      <c r="R7" t="str">
        <f>""</f>
        <v/>
      </c>
      <c r="T7" s="111" t="s">
        <v>99</v>
      </c>
      <c r="U7" s="112"/>
      <c r="V7" s="8" cm="1">
        <f t="array" ref="V7">SUM(IF(ISNUMBER(SEARCH(V6, SUBSTITUTE($N$2:$N$998, ",", ""))), 1, 0))</f>
        <v>0</v>
      </c>
      <c r="X7" s="48" t="s">
        <v>87</v>
      </c>
      <c r="Y7" s="45">
        <f>SUMIF($B:B,X7,M:M)</f>
        <v>0</v>
      </c>
      <c r="Z7" s="34">
        <f t="shared" si="6"/>
        <v>0</v>
      </c>
      <c r="AA7" s="38">
        <f t="shared" si="7"/>
        <v>0</v>
      </c>
    </row>
    <row r="8" spans="1:27" x14ac:dyDescent="0.2">
      <c r="A8" s="2"/>
      <c r="F8" t="str">
        <f t="shared" si="8"/>
        <v/>
      </c>
      <c r="J8" s="7"/>
      <c r="K8" s="7" t="str">
        <f t="shared" si="9"/>
        <v/>
      </c>
      <c r="M8" s="7" t="str">
        <f t="shared" si="10"/>
        <v/>
      </c>
      <c r="N8" t="str">
        <f t="shared" si="11"/>
        <v/>
      </c>
      <c r="O8" t="str">
        <f t="shared" si="12"/>
        <v/>
      </c>
      <c r="P8" t="str">
        <f t="shared" si="13"/>
        <v/>
      </c>
      <c r="R8" t="str">
        <f>""</f>
        <v/>
      </c>
      <c r="T8" s="111" t="s">
        <v>100</v>
      </c>
      <c r="U8" s="112"/>
      <c r="V8" s="8" cm="1">
        <f t="array" ref="V8">SUM(IF(ISNUMBER(SEARCH(V6, SUBSTITUTE($P$2:$P$998, ",", ""))), 1, 0))</f>
        <v>0</v>
      </c>
      <c r="X8" s="48" t="s">
        <v>85</v>
      </c>
      <c r="Y8" s="45">
        <f>SUMIF($B:B,X8,M:M)</f>
        <v>0</v>
      </c>
      <c r="Z8" s="34">
        <f t="shared" si="6"/>
        <v>0</v>
      </c>
      <c r="AA8" s="38">
        <f t="shared" si="7"/>
        <v>0</v>
      </c>
    </row>
    <row r="9" spans="1:27" ht="17" thickBot="1" x14ac:dyDescent="0.25">
      <c r="A9" s="2"/>
      <c r="F9" t="str">
        <f t="shared" si="8"/>
        <v/>
      </c>
      <c r="J9" s="7"/>
      <c r="K9" s="7" t="str">
        <f>IF(LEN(E9)=0, "", IFERROR(IF(E9&gt;=0, J9 * (1 + E9/100) - J9, J9 / (ABS(E9)/100))+J9, ""))</f>
        <v/>
      </c>
      <c r="M9" s="7" t="str">
        <f>IF(L9="Yes",K9-J9,IF(L9="No",-J9,""))</f>
        <v/>
      </c>
      <c r="N9" t="str">
        <f t="shared" si="11"/>
        <v/>
      </c>
      <c r="O9" t="str">
        <f t="shared" si="12"/>
        <v/>
      </c>
      <c r="P9" t="str">
        <f t="shared" si="13"/>
        <v/>
      </c>
      <c r="R9" t="str">
        <f>""</f>
        <v/>
      </c>
      <c r="T9" s="101" t="s">
        <v>28</v>
      </c>
      <c r="U9" s="102"/>
      <c r="V9" s="51" t="e">
        <f>1-(V8/V7)</f>
        <v>#DIV/0!</v>
      </c>
      <c r="X9" s="50" t="s">
        <v>53</v>
      </c>
      <c r="Y9" s="44">
        <f>SUMIF($B:B,X9,M:M)</f>
        <v>0</v>
      </c>
      <c r="Z9" s="35">
        <f t="shared" si="6"/>
        <v>0</v>
      </c>
      <c r="AA9" s="39">
        <f t="shared" si="7"/>
        <v>0</v>
      </c>
    </row>
    <row r="10" spans="1:27" ht="17" thickBot="1" x14ac:dyDescent="0.25">
      <c r="A10" s="2"/>
      <c r="F10" t="str">
        <f t="shared" si="8"/>
        <v/>
      </c>
      <c r="J10" s="7"/>
      <c r="K10" s="7" t="str">
        <f t="shared" ref="K10" si="14">IF(LEN(E10)=0, "", IFERROR(IF(E10&gt;=0, J10 * (1 + E10/100) - J10, J10 / (ABS(E10)/100))+J10, ""))</f>
        <v/>
      </c>
      <c r="M10" s="7" t="str">
        <f t="shared" ref="M10" si="15">IF(L10="Yes",K10-J10,IF(L10="No",-J10,""))</f>
        <v/>
      </c>
      <c r="N10" t="str">
        <f t="shared" si="11"/>
        <v/>
      </c>
      <c r="O10" t="str">
        <f t="shared" si="12"/>
        <v/>
      </c>
      <c r="P10" t="str">
        <f t="shared" si="13"/>
        <v/>
      </c>
      <c r="R10" t="str">
        <f>""</f>
        <v/>
      </c>
      <c r="T10" s="115" t="s">
        <v>9</v>
      </c>
      <c r="U10" s="116"/>
      <c r="V10" s="45" cm="1">
        <f t="array" ref="V10">SUMPRODUCT(--($D$2:$D$998="Straight"), --ISNUMBER(SEARCH(V6, SUBSTITUTE($N$2:$N$998, ",", ""))), $M$2:$M$998)</f>
        <v>0</v>
      </c>
      <c r="Y10" s="7"/>
    </row>
    <row r="11" spans="1:27" ht="17" thickBot="1" x14ac:dyDescent="0.25">
      <c r="A11" s="2"/>
      <c r="F11" t="str">
        <f t="shared" si="8"/>
        <v/>
      </c>
      <c r="J11" s="7"/>
      <c r="K11" s="7" t="str">
        <f t="shared" ref="K11:K16" si="16">IF(LEN(E11)=0, "", IFERROR(IF(E11&gt;=0, J11 * (1 + E11/100) - J11, J11 / (ABS(E11)/100))+J11, ""))</f>
        <v/>
      </c>
      <c r="M11" s="7" t="str">
        <f t="shared" ref="M11:M16" si="17">IF(L11="Yes",K11-J11,IF(L11="No",-J11,""))</f>
        <v/>
      </c>
      <c r="N11" t="str">
        <f t="shared" si="11"/>
        <v/>
      </c>
      <c r="O11" t="str">
        <f t="shared" si="12"/>
        <v/>
      </c>
      <c r="P11" t="str">
        <f t="shared" si="13"/>
        <v/>
      </c>
      <c r="R11" t="str">
        <f>""</f>
        <v/>
      </c>
      <c r="T11" s="117" t="s">
        <v>57</v>
      </c>
      <c r="U11" s="118"/>
      <c r="V11" s="119"/>
      <c r="X11" s="79" t="s">
        <v>11</v>
      </c>
      <c r="Y11" s="83" t="s">
        <v>9</v>
      </c>
      <c r="Z11" s="81" t="s">
        <v>84</v>
      </c>
      <c r="AA11" s="82" t="s">
        <v>39</v>
      </c>
    </row>
    <row r="12" spans="1:27" x14ac:dyDescent="0.2">
      <c r="A12" s="2"/>
      <c r="F12" t="str">
        <f t="shared" si="8"/>
        <v/>
      </c>
      <c r="J12" s="7"/>
      <c r="K12" s="7" t="str">
        <f t="shared" si="16"/>
        <v/>
      </c>
      <c r="M12" s="7" t="str">
        <f t="shared" si="17"/>
        <v/>
      </c>
      <c r="N12" t="str">
        <f t="shared" si="11"/>
        <v/>
      </c>
      <c r="O12" t="str">
        <f t="shared" si="12"/>
        <v/>
      </c>
      <c r="P12" t="str">
        <f t="shared" si="13"/>
        <v/>
      </c>
      <c r="R12" t="str">
        <f>""</f>
        <v/>
      </c>
      <c r="T12" s="109" t="s">
        <v>22</v>
      </c>
      <c r="U12" s="110"/>
      <c r="V12" s="58" t="str">
        <f>Master!D12</f>
        <v>Josh Allen</v>
      </c>
      <c r="X12" s="47" t="s">
        <v>17</v>
      </c>
      <c r="Y12" s="45">
        <f>SUMIF(C:C,X12,M:M)</f>
        <v>0</v>
      </c>
      <c r="Z12" s="40">
        <f>COUNTIF(C:C,X12)</f>
        <v>0</v>
      </c>
      <c r="AA12" s="41">
        <f>IFERROR(COUNTIFS(C:C, X12)/COUNTA($C$2:$C$994),0)</f>
        <v>0</v>
      </c>
    </row>
    <row r="13" spans="1:27" x14ac:dyDescent="0.2">
      <c r="A13" s="2"/>
      <c r="F13" t="str">
        <f t="shared" si="8"/>
        <v/>
      </c>
      <c r="J13" s="7"/>
      <c r="K13" s="7" t="str">
        <f t="shared" si="16"/>
        <v/>
      </c>
      <c r="M13" s="7" t="str">
        <f t="shared" si="17"/>
        <v/>
      </c>
      <c r="N13" t="str">
        <f t="shared" si="11"/>
        <v/>
      </c>
      <c r="O13" t="str">
        <f t="shared" si="12"/>
        <v/>
      </c>
      <c r="P13" t="str">
        <f t="shared" si="13"/>
        <v/>
      </c>
      <c r="R13" t="str">
        <f>""</f>
        <v/>
      </c>
      <c r="T13" s="111" t="s">
        <v>99</v>
      </c>
      <c r="U13" s="112"/>
      <c r="V13" s="8" cm="1">
        <f t="array" ref="V13">SUM(IF(ISNUMBER(SEARCH(V12, SUBSTITUTE($O$2:$O$998, ",", ""))), 1, 0))</f>
        <v>0</v>
      </c>
      <c r="X13" s="48" t="s">
        <v>19</v>
      </c>
      <c r="Y13" s="45">
        <f t="shared" ref="Y13:Y18" si="18">SUMIF(C:C,X13,M:M)</f>
        <v>0</v>
      </c>
      <c r="Z13" s="34">
        <f t="shared" ref="Z13:Z18" si="19">COUNTIF(C:C,X13)</f>
        <v>0</v>
      </c>
      <c r="AA13" s="41">
        <f t="shared" ref="AA13:AA18" si="20">IFERROR(COUNTIFS(C:C, X13)/COUNTA($C$2:$C$994),0)</f>
        <v>0</v>
      </c>
    </row>
    <row r="14" spans="1:27" x14ac:dyDescent="0.2">
      <c r="A14" s="2"/>
      <c r="F14" t="str">
        <f t="shared" si="8"/>
        <v/>
      </c>
      <c r="J14" s="7"/>
      <c r="K14" s="7" t="str">
        <f t="shared" si="16"/>
        <v/>
      </c>
      <c r="M14" s="7" t="str">
        <f t="shared" si="17"/>
        <v/>
      </c>
      <c r="N14" t="str">
        <f t="shared" si="11"/>
        <v/>
      </c>
      <c r="O14" t="str">
        <f t="shared" si="12"/>
        <v/>
      </c>
      <c r="P14" t="str">
        <f t="shared" si="13"/>
        <v/>
      </c>
      <c r="R14" t="str">
        <f>""</f>
        <v/>
      </c>
      <c r="T14" s="111" t="s">
        <v>100</v>
      </c>
      <c r="U14" s="112"/>
      <c r="V14" s="8" cm="1">
        <f t="array" ref="V14">SUM(IF(ISNUMBER(SEARCH(V12, SUBSTITUTE($P$2:$P$998, ",", ""))), 1, 0))</f>
        <v>0</v>
      </c>
      <c r="X14" s="48" t="s">
        <v>25</v>
      </c>
      <c r="Y14" s="45">
        <f t="shared" si="18"/>
        <v>0</v>
      </c>
      <c r="Z14" s="34">
        <f t="shared" si="19"/>
        <v>0</v>
      </c>
      <c r="AA14" s="41">
        <f t="shared" si="20"/>
        <v>0</v>
      </c>
    </row>
    <row r="15" spans="1:27" x14ac:dyDescent="0.2">
      <c r="A15" s="2"/>
      <c r="F15" t="str">
        <f t="shared" si="8"/>
        <v/>
      </c>
      <c r="J15" s="7"/>
      <c r="K15" s="7" t="str">
        <f t="shared" si="16"/>
        <v/>
      </c>
      <c r="M15" s="7" t="str">
        <f t="shared" si="17"/>
        <v/>
      </c>
      <c r="N15" t="str">
        <f t="shared" si="11"/>
        <v/>
      </c>
      <c r="O15" t="str">
        <f t="shared" si="12"/>
        <v/>
      </c>
      <c r="P15" t="str">
        <f t="shared" si="13"/>
        <v/>
      </c>
      <c r="R15" t="str">
        <f>""</f>
        <v/>
      </c>
      <c r="T15" s="101" t="s">
        <v>28</v>
      </c>
      <c r="U15" s="102"/>
      <c r="V15" s="51" t="e">
        <f>1-(V14/V13)</f>
        <v>#DIV/0!</v>
      </c>
      <c r="X15" s="47" t="s">
        <v>26</v>
      </c>
      <c r="Y15" s="45">
        <f t="shared" si="18"/>
        <v>0</v>
      </c>
      <c r="Z15" s="34">
        <f t="shared" si="19"/>
        <v>0</v>
      </c>
      <c r="AA15" s="41">
        <f t="shared" si="20"/>
        <v>0</v>
      </c>
    </row>
    <row r="16" spans="1:27" ht="17" thickBot="1" x14ac:dyDescent="0.25">
      <c r="A16" s="2"/>
      <c r="F16" t="str">
        <f t="shared" si="8"/>
        <v/>
      </c>
      <c r="J16" s="7"/>
      <c r="K16" s="7" t="str">
        <f t="shared" si="16"/>
        <v/>
      </c>
      <c r="M16" s="7" t="str">
        <f t="shared" si="17"/>
        <v/>
      </c>
      <c r="N16" t="str">
        <f t="shared" si="11"/>
        <v/>
      </c>
      <c r="O16" t="str">
        <f t="shared" si="12"/>
        <v/>
      </c>
      <c r="P16" t="str">
        <f t="shared" si="13"/>
        <v/>
      </c>
      <c r="R16" t="str">
        <f>""</f>
        <v/>
      </c>
      <c r="T16" s="115" t="s">
        <v>9</v>
      </c>
      <c r="U16" s="116"/>
      <c r="V16" s="45" cm="1">
        <f t="array" ref="V16">SUMPRODUCT($M$2:$M$998, --ISNUMBER(SEARCH(V12, SUBSTITUTE($O$2:$O$998, ",", ""))))</f>
        <v>0</v>
      </c>
      <c r="X16" s="48" t="s">
        <v>29</v>
      </c>
      <c r="Y16" s="45">
        <f t="shared" si="18"/>
        <v>0</v>
      </c>
      <c r="Z16" s="34">
        <f t="shared" si="19"/>
        <v>0</v>
      </c>
      <c r="AA16" s="41">
        <f t="shared" si="20"/>
        <v>0</v>
      </c>
    </row>
    <row r="17" spans="1:27" ht="17" thickBot="1" x14ac:dyDescent="0.25">
      <c r="A17" s="2"/>
      <c r="F17" t="str">
        <f t="shared" si="8"/>
        <v/>
      </c>
      <c r="J17" s="7"/>
      <c r="K17" s="7" t="str">
        <f t="shared" ref="K17:K23" si="21">IF(LEN(E17)=0, "", IFERROR(IF(E17&gt;=0, J17 * (1 + E17/100) - J17, J17 / (ABS(E17)/100))+J17, ""))</f>
        <v/>
      </c>
      <c r="M17" s="7" t="str">
        <f t="shared" ref="M17:M23" si="22">IF(L17="Yes",K17-J17,IF(L17="No",-J17,""))</f>
        <v/>
      </c>
      <c r="N17" t="str">
        <f t="shared" si="11"/>
        <v/>
      </c>
      <c r="O17" t="str">
        <f t="shared" si="12"/>
        <v/>
      </c>
      <c r="P17" t="str">
        <f t="shared" si="13"/>
        <v/>
      </c>
      <c r="R17" t="str">
        <f>""</f>
        <v/>
      </c>
      <c r="T17" s="117" t="s">
        <v>57</v>
      </c>
      <c r="U17" s="118"/>
      <c r="V17" s="119"/>
      <c r="X17" s="48" t="s">
        <v>30</v>
      </c>
      <c r="Y17" s="45">
        <f t="shared" si="18"/>
        <v>0</v>
      </c>
      <c r="Z17" s="34">
        <f t="shared" si="19"/>
        <v>0</v>
      </c>
      <c r="AA17" s="41">
        <f t="shared" si="20"/>
        <v>0</v>
      </c>
    </row>
    <row r="18" spans="1:27" ht="17" thickBot="1" x14ac:dyDescent="0.25">
      <c r="A18" s="2"/>
      <c r="F18" t="str">
        <f t="shared" si="8"/>
        <v/>
      </c>
      <c r="J18" s="7"/>
      <c r="K18" s="7" t="str">
        <f t="shared" si="21"/>
        <v/>
      </c>
      <c r="M18" s="7" t="str">
        <f t="shared" si="22"/>
        <v/>
      </c>
      <c r="N18" t="str">
        <f t="shared" si="11"/>
        <v/>
      </c>
      <c r="O18" t="str">
        <f t="shared" si="12"/>
        <v/>
      </c>
      <c r="P18" t="str">
        <f t="shared" si="13"/>
        <v/>
      </c>
      <c r="R18" t="str">
        <f>""</f>
        <v/>
      </c>
      <c r="X18" s="50" t="s">
        <v>82</v>
      </c>
      <c r="Y18" s="44">
        <f t="shared" si="18"/>
        <v>0</v>
      </c>
      <c r="Z18" s="35">
        <f t="shared" si="19"/>
        <v>0</v>
      </c>
      <c r="AA18" s="52">
        <f t="shared" si="20"/>
        <v>0</v>
      </c>
    </row>
    <row r="19" spans="1:27" ht="17" thickBot="1" x14ac:dyDescent="0.25">
      <c r="A19" s="2"/>
      <c r="F19" t="str">
        <f t="shared" si="8"/>
        <v/>
      </c>
      <c r="J19" s="7"/>
      <c r="K19" s="7" t="str">
        <f t="shared" si="21"/>
        <v/>
      </c>
      <c r="M19" s="7" t="str">
        <f t="shared" si="22"/>
        <v/>
      </c>
      <c r="N19" t="str">
        <f t="shared" si="11"/>
        <v/>
      </c>
      <c r="O19" t="str">
        <f t="shared" si="12"/>
        <v/>
      </c>
      <c r="P19" t="str">
        <f t="shared" si="13"/>
        <v/>
      </c>
      <c r="R19" t="str">
        <f>""</f>
        <v/>
      </c>
      <c r="T19" s="103" t="s">
        <v>62</v>
      </c>
      <c r="U19" s="104"/>
      <c r="V19" s="13">
        <f>COUNTA(B:B) - 1</f>
        <v>0</v>
      </c>
      <c r="Y19" s="7"/>
    </row>
    <row r="20" spans="1:27" ht="17" thickBot="1" x14ac:dyDescent="0.25">
      <c r="A20" s="2"/>
      <c r="F20" t="str">
        <f t="shared" si="8"/>
        <v/>
      </c>
      <c r="J20" s="7"/>
      <c r="K20" s="7" t="str">
        <f t="shared" si="21"/>
        <v/>
      </c>
      <c r="M20" s="7" t="str">
        <f t="shared" si="22"/>
        <v/>
      </c>
      <c r="N20" t="str">
        <f t="shared" si="11"/>
        <v/>
      </c>
      <c r="O20" t="str">
        <f t="shared" si="12"/>
        <v/>
      </c>
      <c r="P20" t="str">
        <f t="shared" si="13"/>
        <v/>
      </c>
      <c r="R20" t="str">
        <f>""</f>
        <v/>
      </c>
      <c r="T20" s="111" t="s">
        <v>64</v>
      </c>
      <c r="U20" s="112"/>
      <c r="V20" s="24">
        <f>COUNTIF(L:L, "Yes")</f>
        <v>0</v>
      </c>
      <c r="X20" s="79" t="s">
        <v>50</v>
      </c>
      <c r="Y20" s="83" t="s">
        <v>9</v>
      </c>
      <c r="Z20" s="81" t="s">
        <v>84</v>
      </c>
      <c r="AA20" s="82" t="s">
        <v>39</v>
      </c>
    </row>
    <row r="21" spans="1:27" x14ac:dyDescent="0.2">
      <c r="A21" s="2"/>
      <c r="F21" t="str">
        <f t="shared" si="8"/>
        <v/>
      </c>
      <c r="J21" s="7"/>
      <c r="K21" s="7" t="str">
        <f t="shared" si="21"/>
        <v/>
      </c>
      <c r="M21" s="7" t="str">
        <f t="shared" si="22"/>
        <v/>
      </c>
      <c r="N21" t="str">
        <f t="shared" si="11"/>
        <v/>
      </c>
      <c r="O21" t="str">
        <f t="shared" si="12"/>
        <v/>
      </c>
      <c r="P21" t="str">
        <f t="shared" si="13"/>
        <v/>
      </c>
      <c r="R21" t="str">
        <f>""</f>
        <v/>
      </c>
      <c r="T21" s="111" t="s">
        <v>65</v>
      </c>
      <c r="U21" s="112"/>
      <c r="V21" s="25">
        <f>COUNTIF(L:L, "No")</f>
        <v>0</v>
      </c>
      <c r="X21" s="47" t="s">
        <v>20</v>
      </c>
      <c r="Y21" s="45">
        <f>SUMIF(D:D,X21,M:M)</f>
        <v>0</v>
      </c>
      <c r="Z21" s="40">
        <f>COUNTIF(D:D,X21)</f>
        <v>0</v>
      </c>
      <c r="AA21" s="41">
        <f>IFERROR(COUNTIFS(D:D, X21)/COUNTA($D$2:$D$994),0)</f>
        <v>0</v>
      </c>
    </row>
    <row r="22" spans="1:27" ht="17" thickBot="1" x14ac:dyDescent="0.25">
      <c r="A22" s="2"/>
      <c r="F22" t="str">
        <f t="shared" si="8"/>
        <v/>
      </c>
      <c r="J22" s="7"/>
      <c r="K22" s="7" t="str">
        <f t="shared" si="21"/>
        <v/>
      </c>
      <c r="M22" s="7" t="str">
        <f t="shared" si="22"/>
        <v/>
      </c>
      <c r="N22" t="str">
        <f t="shared" si="11"/>
        <v/>
      </c>
      <c r="O22" t="str">
        <f t="shared" si="12"/>
        <v/>
      </c>
      <c r="P22" t="str">
        <f t="shared" si="13"/>
        <v/>
      </c>
      <c r="R22" t="str">
        <f>""</f>
        <v/>
      </c>
      <c r="T22" s="107" t="s">
        <v>76</v>
      </c>
      <c r="U22" s="108"/>
      <c r="V22" s="14">
        <f>V19-V20-V21</f>
        <v>0</v>
      </c>
      <c r="X22" s="48" t="s">
        <v>18</v>
      </c>
      <c r="Y22" s="45">
        <f t="shared" ref="Y22:Y23" si="23">SUMIF(D:D,X22,M:M)</f>
        <v>0</v>
      </c>
      <c r="Z22" s="34">
        <f t="shared" ref="Z22:Z23" si="24">COUNTIF(D:D,X22)</f>
        <v>0</v>
      </c>
      <c r="AA22" s="41">
        <f>IFERROR(COUNTIFS(D:D, X22)/COUNTA($D$2:$D$994),0)</f>
        <v>0</v>
      </c>
    </row>
    <row r="23" spans="1:27" ht="17" thickBot="1" x14ac:dyDescent="0.25">
      <c r="A23" s="2"/>
      <c r="F23" t="str">
        <f t="shared" si="8"/>
        <v/>
      </c>
      <c r="J23" s="7"/>
      <c r="K23" s="7" t="str">
        <f t="shared" si="21"/>
        <v/>
      </c>
      <c r="M23" s="7" t="str">
        <f t="shared" si="22"/>
        <v/>
      </c>
      <c r="N23" t="str">
        <f t="shared" si="11"/>
        <v/>
      </c>
      <c r="O23" t="str">
        <f t="shared" si="12"/>
        <v/>
      </c>
      <c r="P23" t="str">
        <f t="shared" si="13"/>
        <v/>
      </c>
      <c r="R23" t="str">
        <f>""</f>
        <v/>
      </c>
      <c r="X23" s="50" t="s">
        <v>31</v>
      </c>
      <c r="Y23" s="44">
        <f t="shared" si="23"/>
        <v>0</v>
      </c>
      <c r="Z23" s="35">
        <f t="shared" si="24"/>
        <v>0</v>
      </c>
      <c r="AA23" s="52">
        <f>IFERROR(COUNTIFS(D:D, X23)/COUNTA($D$2:$D$994),0)</f>
        <v>0</v>
      </c>
    </row>
    <row r="24" spans="1:27" ht="17" thickBot="1" x14ac:dyDescent="0.25">
      <c r="F24" t="str">
        <f t="shared" si="8"/>
        <v/>
      </c>
      <c r="J24" s="7"/>
      <c r="K24" s="7" t="str">
        <f t="shared" si="9"/>
        <v/>
      </c>
      <c r="M24" s="7" t="str">
        <f t="shared" si="10"/>
        <v/>
      </c>
      <c r="N24" t="str">
        <f t="shared" ref="N24:N28" si="25">IF(G24 = "No", "None", "")</f>
        <v/>
      </c>
      <c r="O24" t="str">
        <f t="shared" ref="O24:O28" si="26">IF(H24="No", "None", "")</f>
        <v/>
      </c>
      <c r="P24" t="str">
        <f t="shared" ref="P24:P28" si="27">IF(AND(D24="Straight", L24 = "No"),IF(N24="None",O24,IF(O24="None",N24) ),"")</f>
        <v/>
      </c>
      <c r="R24" t="str">
        <f>""</f>
        <v/>
      </c>
      <c r="Y24" s="60"/>
    </row>
    <row r="25" spans="1:27" ht="17" thickBot="1" x14ac:dyDescent="0.25">
      <c r="F25" t="str">
        <f t="shared" si="8"/>
        <v/>
      </c>
      <c r="J25" s="7"/>
      <c r="K25" s="7" t="str">
        <f t="shared" si="9"/>
        <v/>
      </c>
      <c r="M25" s="7" t="str">
        <f t="shared" si="10"/>
        <v/>
      </c>
      <c r="N25" t="str">
        <f t="shared" si="25"/>
        <v/>
      </c>
      <c r="O25" t="str">
        <f t="shared" si="26"/>
        <v/>
      </c>
      <c r="P25" t="str">
        <f t="shared" si="27"/>
        <v/>
      </c>
      <c r="R25" t="str">
        <f>""</f>
        <v/>
      </c>
      <c r="X25" s="79" t="s">
        <v>12</v>
      </c>
      <c r="Y25" s="83" t="s">
        <v>9</v>
      </c>
      <c r="Z25" s="81" t="s">
        <v>84</v>
      </c>
      <c r="AA25" s="82" t="s">
        <v>39</v>
      </c>
    </row>
    <row r="26" spans="1:27" x14ac:dyDescent="0.2">
      <c r="F26" t="str">
        <f t="shared" si="8"/>
        <v/>
      </c>
      <c r="J26" s="7"/>
      <c r="K26" s="7" t="str">
        <f t="shared" si="9"/>
        <v/>
      </c>
      <c r="M26" s="7" t="str">
        <f t="shared" si="10"/>
        <v/>
      </c>
      <c r="N26" t="str">
        <f t="shared" si="25"/>
        <v/>
      </c>
      <c r="O26" t="str">
        <f t="shared" si="26"/>
        <v/>
      </c>
      <c r="P26" t="str">
        <f t="shared" si="27"/>
        <v/>
      </c>
      <c r="R26" t="str">
        <f>""</f>
        <v/>
      </c>
      <c r="X26" s="47" t="s">
        <v>32</v>
      </c>
      <c r="Y26" s="45">
        <f>SUMIFS(M:M, E:E, "&lt;-150")</f>
        <v>0</v>
      </c>
      <c r="Z26" s="40">
        <f>COUNTIFS(E:E, "&lt; -150")</f>
        <v>0</v>
      </c>
      <c r="AA26" s="41">
        <f>IFERROR(COUNTIFS(E:E, "&lt; -150")/COUNTA($E$2:$E$993),0)</f>
        <v>0</v>
      </c>
    </row>
    <row r="27" spans="1:27" x14ac:dyDescent="0.2">
      <c r="F27" t="str">
        <f t="shared" si="8"/>
        <v/>
      </c>
      <c r="J27" s="7"/>
      <c r="K27" s="7" t="str">
        <f t="shared" si="9"/>
        <v/>
      </c>
      <c r="M27" s="7" t="str">
        <f t="shared" si="10"/>
        <v/>
      </c>
      <c r="N27" t="str">
        <f t="shared" si="25"/>
        <v/>
      </c>
      <c r="O27" t="str">
        <f t="shared" si="26"/>
        <v/>
      </c>
      <c r="P27" t="str">
        <f t="shared" si="27"/>
        <v/>
      </c>
      <c r="R27" t="str">
        <f>""</f>
        <v/>
      </c>
      <c r="X27" s="48" t="s">
        <v>33</v>
      </c>
      <c r="Y27" s="45">
        <f>SUMIFS(M:M, E:E, "&gt;=-150", E:E, "&lt;100")</f>
        <v>0</v>
      </c>
      <c r="Z27" s="34">
        <f>COUNTIFS(E:E, "&lt; 100", E:E, "&gt;=-150")</f>
        <v>0</v>
      </c>
      <c r="AA27" s="38">
        <f>IFERROR(COUNTIFS(E:E, "&lt; 100", E:E, "&gt;=-150")/COUNTA($E$2:$E$6993),0)</f>
        <v>0</v>
      </c>
    </row>
    <row r="28" spans="1:27" x14ac:dyDescent="0.2">
      <c r="F28" t="str">
        <f t="shared" si="8"/>
        <v/>
      </c>
      <c r="J28" s="7"/>
      <c r="M28" s="7" t="str">
        <f t="shared" si="10"/>
        <v/>
      </c>
      <c r="N28" t="str">
        <f t="shared" si="25"/>
        <v/>
      </c>
      <c r="O28" t="str">
        <f t="shared" si="26"/>
        <v/>
      </c>
      <c r="P28" t="str">
        <f t="shared" si="27"/>
        <v/>
      </c>
      <c r="R28" t="str">
        <f>""</f>
        <v/>
      </c>
      <c r="X28" s="48" t="s">
        <v>34</v>
      </c>
      <c r="Y28" s="45">
        <f>SUMIFS(M:M, E:E, "&gt;=100", E:E, "&lt;125")</f>
        <v>0</v>
      </c>
      <c r="Z28" s="34">
        <f>COUNTIFS(E:E, "&lt; 125", E:E, "&gt;=100")</f>
        <v>0</v>
      </c>
      <c r="AA28" s="38">
        <f>IFERROR(COUNTIFS(E:E, "&lt; 125", E:E, "&gt;=100")/COUNTA($E$2:$E$6993),0)</f>
        <v>0</v>
      </c>
    </row>
    <row r="29" spans="1:27" x14ac:dyDescent="0.2">
      <c r="F29" t="str">
        <f t="shared" ref="F29:F38" si="28">IF(OR(N29="", O29=""), "", SUM(IF((N29&lt;&gt;"None")*(N29&lt;&gt;""),LEN(N29)-LEN(SUBSTITUTE(N29,",",""))+1,0)) + SUM(IF((O29&lt;&gt;"None")*(O29&lt;&gt;""),LEN(O29)-LEN(SUBSTITUTE(O29,",",""))+1,0)))</f>
        <v/>
      </c>
      <c r="J29" s="7"/>
      <c r="M29" s="7" t="str">
        <f t="shared" ref="M29:M38" si="29">IF(L29="Yes",K29-J29,IF(L29="No",-J29,""))</f>
        <v/>
      </c>
      <c r="N29" t="str">
        <f t="shared" ref="N29:N38" si="30">IF(G29 = "No", "None", "")</f>
        <v/>
      </c>
      <c r="O29" t="str">
        <f t="shared" ref="O29:O38" si="31">IF(H29="No", "None", "")</f>
        <v/>
      </c>
      <c r="P29" t="str">
        <f t="shared" ref="P29:P38" si="32">IF(AND(D29="Straight", L29 = "No"),IF(N29="None",O29,IF(O29="None",N29) ),"")</f>
        <v/>
      </c>
      <c r="R29" t="str">
        <f>""</f>
        <v/>
      </c>
      <c r="X29" s="47" t="s">
        <v>35</v>
      </c>
      <c r="Y29" s="45">
        <f>SUMIFS(M:M, E:E, "&gt;=125", E:E, "&lt;150")</f>
        <v>0</v>
      </c>
      <c r="Z29" s="40">
        <f>COUNTIFS(E:E, "&lt; 150", E:E, "&gt;=125")</f>
        <v>0</v>
      </c>
      <c r="AA29" s="41">
        <f>IFERROR(COUNTIFS(E:E, "&lt; 150", E:E, "&gt;=125")/COUNTA($E$2:$E$6993),0)</f>
        <v>0</v>
      </c>
    </row>
    <row r="30" spans="1:27" x14ac:dyDescent="0.2">
      <c r="F30" t="str">
        <f t="shared" si="28"/>
        <v/>
      </c>
      <c r="J30" s="7"/>
      <c r="M30" s="7" t="str">
        <f t="shared" si="29"/>
        <v/>
      </c>
      <c r="N30" t="str">
        <f t="shared" si="30"/>
        <v/>
      </c>
      <c r="O30" t="str">
        <f t="shared" si="31"/>
        <v/>
      </c>
      <c r="P30" t="str">
        <f t="shared" si="32"/>
        <v/>
      </c>
      <c r="R30" t="str">
        <f>""</f>
        <v/>
      </c>
      <c r="X30" s="48" t="s">
        <v>36</v>
      </c>
      <c r="Y30" s="45">
        <f>SUMIFS(M:M, E:E, "&gt;=150", E:E, "&lt;200")</f>
        <v>0</v>
      </c>
      <c r="Z30" s="34">
        <f>COUNTIFS(C:C, "&lt; 200", C:C, "&gt;=150")</f>
        <v>0</v>
      </c>
      <c r="AA30" s="38">
        <f>IFERROR(COUNTIFS(E:E, "&lt; 200", E:E, "&gt;=150")/COUNTA($E$2:$E$6993),0)</f>
        <v>0</v>
      </c>
    </row>
    <row r="31" spans="1:27" ht="17" thickBot="1" x14ac:dyDescent="0.25">
      <c r="F31" t="str">
        <f t="shared" si="28"/>
        <v/>
      </c>
      <c r="J31" s="7"/>
      <c r="M31" s="7" t="str">
        <f t="shared" si="29"/>
        <v/>
      </c>
      <c r="N31" t="str">
        <f t="shared" si="30"/>
        <v/>
      </c>
      <c r="O31" t="str">
        <f t="shared" si="31"/>
        <v/>
      </c>
      <c r="P31" t="str">
        <f t="shared" si="32"/>
        <v/>
      </c>
      <c r="R31" t="str">
        <f>""</f>
        <v/>
      </c>
      <c r="X31" s="49" t="s">
        <v>37</v>
      </c>
      <c r="Y31" s="44">
        <f>SUMIFS(M:M, E:E, "&gt;=200")</f>
        <v>0</v>
      </c>
      <c r="Z31" s="35">
        <f>COUNTIFS(C:C, "&gt;=200")</f>
        <v>0</v>
      </c>
      <c r="AA31" s="39">
        <f>IFERROR(COUNTIFS(E:E, "&gt;=200")/COUNTA($E$2:$E$69993),0)</f>
        <v>0</v>
      </c>
    </row>
    <row r="32" spans="1:27" ht="17" thickBot="1" x14ac:dyDescent="0.25">
      <c r="F32" t="str">
        <f t="shared" si="28"/>
        <v/>
      </c>
      <c r="J32" s="7"/>
      <c r="M32" s="7" t="str">
        <f t="shared" si="29"/>
        <v/>
      </c>
      <c r="N32" t="str">
        <f t="shared" si="30"/>
        <v/>
      </c>
      <c r="O32" t="str">
        <f t="shared" si="31"/>
        <v/>
      </c>
      <c r="P32" t="str">
        <f t="shared" si="32"/>
        <v/>
      </c>
      <c r="R32" t="str">
        <f>""</f>
        <v/>
      </c>
      <c r="Y32" s="60"/>
    </row>
    <row r="33" spans="6:27" ht="17" thickBot="1" x14ac:dyDescent="0.25">
      <c r="F33" t="str">
        <f t="shared" si="28"/>
        <v/>
      </c>
      <c r="J33" s="7"/>
      <c r="M33" s="7" t="str">
        <f t="shared" si="29"/>
        <v/>
      </c>
      <c r="N33" t="str">
        <f t="shared" si="30"/>
        <v/>
      </c>
      <c r="O33" t="str">
        <f t="shared" si="31"/>
        <v/>
      </c>
      <c r="P33" t="str">
        <f t="shared" si="32"/>
        <v/>
      </c>
      <c r="R33" t="str">
        <f>""</f>
        <v/>
      </c>
      <c r="X33" s="79" t="s">
        <v>3</v>
      </c>
      <c r="Y33" s="83" t="s">
        <v>9</v>
      </c>
      <c r="Z33" s="81" t="s">
        <v>84</v>
      </c>
      <c r="AA33" s="82" t="s">
        <v>39</v>
      </c>
    </row>
    <row r="34" spans="6:27" x14ac:dyDescent="0.2">
      <c r="F34" t="str">
        <f t="shared" si="28"/>
        <v/>
      </c>
      <c r="J34" s="7"/>
      <c r="M34" s="7" t="str">
        <f t="shared" si="29"/>
        <v/>
      </c>
      <c r="N34" t="str">
        <f t="shared" si="30"/>
        <v/>
      </c>
      <c r="O34" t="str">
        <f t="shared" si="31"/>
        <v/>
      </c>
      <c r="P34" t="str">
        <f t="shared" si="32"/>
        <v/>
      </c>
      <c r="R34" t="str">
        <f>""</f>
        <v/>
      </c>
      <c r="X34" s="47">
        <v>1</v>
      </c>
      <c r="Y34" s="45">
        <f>SUMIFS(M:M, F:F, X34)</f>
        <v>0</v>
      </c>
      <c r="Z34" s="40">
        <f>COUNTIF(F:F,X34)</f>
        <v>0</v>
      </c>
      <c r="AA34" s="41">
        <f>IFERROR(COUNTIFS(F:F, X34)/COUNTA($E$2:$E$993),0)</f>
        <v>0</v>
      </c>
    </row>
    <row r="35" spans="6:27" x14ac:dyDescent="0.2">
      <c r="F35" t="str">
        <f t="shared" si="28"/>
        <v/>
      </c>
      <c r="J35" s="7"/>
      <c r="M35" s="7" t="str">
        <f t="shared" si="29"/>
        <v/>
      </c>
      <c r="N35" t="str">
        <f t="shared" si="30"/>
        <v/>
      </c>
      <c r="O35" t="str">
        <f t="shared" si="31"/>
        <v/>
      </c>
      <c r="P35" t="str">
        <f t="shared" si="32"/>
        <v/>
      </c>
      <c r="R35" t="str">
        <f>""</f>
        <v/>
      </c>
      <c r="X35" s="48">
        <v>2</v>
      </c>
      <c r="Y35" s="45">
        <f t="shared" ref="Y35:Y38" si="33">SUMIFS(M:M, F:F, X35)</f>
        <v>0</v>
      </c>
      <c r="Z35" s="34">
        <f t="shared" ref="Z35:Z37" si="34">COUNTIF(F:F,X35)</f>
        <v>0</v>
      </c>
      <c r="AA35" s="41">
        <f t="shared" ref="AA35:AA38" si="35">IFERROR(COUNTIFS(F:F, X35)/COUNTA($E$2:$E$993),0)</f>
        <v>0</v>
      </c>
    </row>
    <row r="36" spans="6:27" x14ac:dyDescent="0.2">
      <c r="F36" t="str">
        <f t="shared" si="28"/>
        <v/>
      </c>
      <c r="J36" s="7"/>
      <c r="M36" s="7" t="str">
        <f t="shared" si="29"/>
        <v/>
      </c>
      <c r="N36" t="str">
        <f t="shared" si="30"/>
        <v/>
      </c>
      <c r="O36" t="str">
        <f t="shared" si="31"/>
        <v/>
      </c>
      <c r="P36" t="str">
        <f t="shared" si="32"/>
        <v/>
      </c>
      <c r="R36" t="str">
        <f>""</f>
        <v/>
      </c>
      <c r="X36" s="48">
        <v>3</v>
      </c>
      <c r="Y36" s="45">
        <f t="shared" si="33"/>
        <v>0</v>
      </c>
      <c r="Z36" s="34">
        <f t="shared" si="34"/>
        <v>0</v>
      </c>
      <c r="AA36" s="41">
        <f t="shared" si="35"/>
        <v>0</v>
      </c>
    </row>
    <row r="37" spans="6:27" x14ac:dyDescent="0.2">
      <c r="F37" t="str">
        <f t="shared" si="28"/>
        <v/>
      </c>
      <c r="J37" s="7"/>
      <c r="M37" s="7" t="str">
        <f t="shared" si="29"/>
        <v/>
      </c>
      <c r="N37" t="str">
        <f t="shared" si="30"/>
        <v/>
      </c>
      <c r="O37" t="str">
        <f t="shared" si="31"/>
        <v/>
      </c>
      <c r="P37" t="str">
        <f t="shared" si="32"/>
        <v/>
      </c>
      <c r="R37" t="str">
        <f>""</f>
        <v/>
      </c>
      <c r="X37" s="47">
        <v>4</v>
      </c>
      <c r="Y37" s="45">
        <f t="shared" si="33"/>
        <v>0</v>
      </c>
      <c r="Z37" s="34">
        <f t="shared" si="34"/>
        <v>0</v>
      </c>
      <c r="AA37" s="41">
        <f t="shared" si="35"/>
        <v>0</v>
      </c>
    </row>
    <row r="38" spans="6:27" ht="17" thickBot="1" x14ac:dyDescent="0.25">
      <c r="F38" t="str">
        <f t="shared" si="28"/>
        <v/>
      </c>
      <c r="J38" s="7"/>
      <c r="M38" s="7" t="str">
        <f t="shared" si="29"/>
        <v/>
      </c>
      <c r="N38" t="str">
        <f t="shared" si="30"/>
        <v/>
      </c>
      <c r="O38" t="str">
        <f t="shared" si="31"/>
        <v/>
      </c>
      <c r="P38" t="str">
        <f t="shared" si="32"/>
        <v/>
      </c>
      <c r="R38" t="str">
        <f>""</f>
        <v/>
      </c>
      <c r="X38" s="49" t="s">
        <v>88</v>
      </c>
      <c r="Y38" s="44">
        <f t="shared" si="33"/>
        <v>0</v>
      </c>
      <c r="Z38" s="35">
        <f>COUNTIF(F:F,"&gt;4")</f>
        <v>0</v>
      </c>
      <c r="AA38" s="52">
        <f t="shared" si="35"/>
        <v>0</v>
      </c>
    </row>
    <row r="39" spans="6:27" ht="17" thickBot="1" x14ac:dyDescent="0.25">
      <c r="F39" t="str">
        <f t="shared" ref="F39:F102" si="36">IF(OR(N39="", O39=""), "", SUM(IF((N39&lt;&gt;"None")*(N39&lt;&gt;""),LEN(N39)-LEN(SUBSTITUTE(N39,",",""))+1,0)) + SUM(IF((O39&lt;&gt;"None")*(O39&lt;&gt;""),LEN(O39)-LEN(SUBSTITUTE(O39,",",""))+1,0)))</f>
        <v/>
      </c>
      <c r="J39" s="7"/>
      <c r="M39" s="7" t="str">
        <f t="shared" ref="M39:M102" si="37">IF(L39="Yes",K39-J39,IF(L39="No",-J39,""))</f>
        <v/>
      </c>
      <c r="N39" t="str">
        <f t="shared" ref="N39:N102" si="38">IF(G39 = "No", "None", "")</f>
        <v/>
      </c>
      <c r="O39" t="str">
        <f t="shared" ref="O39:O102" si="39">IF(H39="No", "None", "")</f>
        <v/>
      </c>
      <c r="P39" t="str">
        <f t="shared" ref="P39:P102" si="40">IF(AND(D39="Straight", L39 = "No"),IF(N39="None",O39,IF(O39="None",N39) ),"")</f>
        <v/>
      </c>
      <c r="R39" t="str">
        <f>""</f>
        <v/>
      </c>
      <c r="Y39" s="60"/>
    </row>
    <row r="40" spans="6:27" ht="17" thickBot="1" x14ac:dyDescent="0.25">
      <c r="F40" t="str">
        <f t="shared" si="36"/>
        <v/>
      </c>
      <c r="J40" s="7"/>
      <c r="M40" s="7" t="str">
        <f t="shared" si="37"/>
        <v/>
      </c>
      <c r="N40" t="str">
        <f t="shared" si="38"/>
        <v/>
      </c>
      <c r="O40" t="str">
        <f t="shared" si="39"/>
        <v/>
      </c>
      <c r="P40" t="str">
        <f t="shared" si="40"/>
        <v/>
      </c>
      <c r="R40" t="str">
        <f>""</f>
        <v/>
      </c>
      <c r="X40" s="79" t="s">
        <v>38</v>
      </c>
      <c r="Y40" s="83" t="s">
        <v>9</v>
      </c>
      <c r="Z40" s="81" t="s">
        <v>84</v>
      </c>
      <c r="AA40" s="82" t="s">
        <v>39</v>
      </c>
    </row>
    <row r="41" spans="6:27" x14ac:dyDescent="0.2">
      <c r="F41" t="str">
        <f t="shared" si="36"/>
        <v/>
      </c>
      <c r="J41" s="7"/>
      <c r="M41" s="7" t="str">
        <f t="shared" si="37"/>
        <v/>
      </c>
      <c r="N41" t="str">
        <f t="shared" si="38"/>
        <v/>
      </c>
      <c r="O41" t="str">
        <f t="shared" si="39"/>
        <v/>
      </c>
      <c r="P41" t="str">
        <f t="shared" si="40"/>
        <v/>
      </c>
      <c r="R41" t="str">
        <f>""</f>
        <v/>
      </c>
      <c r="X41" s="47" t="s">
        <v>78</v>
      </c>
      <c r="Y41" s="45">
        <f>SUMIFS(M:M,G:G, "Yes")</f>
        <v>0</v>
      </c>
      <c r="Z41" s="40">
        <f>COUNTIF(G:G,"Yes")</f>
        <v>0</v>
      </c>
      <c r="AA41" s="41">
        <f>IFERROR(COUNTIFS(G:G, "Yes")/COUNTA($G$2:$G$994),0)</f>
        <v>0</v>
      </c>
    </row>
    <row r="42" spans="6:27" ht="17" thickBot="1" x14ac:dyDescent="0.25">
      <c r="F42" t="str">
        <f t="shared" si="36"/>
        <v/>
      </c>
      <c r="J42" s="7"/>
      <c r="M42" s="7" t="str">
        <f t="shared" si="37"/>
        <v/>
      </c>
      <c r="N42" t="str">
        <f t="shared" si="38"/>
        <v/>
      </c>
      <c r="O42" t="str">
        <f t="shared" si="39"/>
        <v/>
      </c>
      <c r="P42" t="str">
        <f t="shared" si="40"/>
        <v/>
      </c>
      <c r="R42" t="str">
        <f>""</f>
        <v/>
      </c>
      <c r="X42" s="49" t="s">
        <v>79</v>
      </c>
      <c r="Y42" s="44">
        <f>SUMIFS(M:M,H:H, "Yes")</f>
        <v>0</v>
      </c>
      <c r="Z42" s="35">
        <f>COUNTIF(H:H,"Yes")</f>
        <v>0</v>
      </c>
      <c r="AA42" s="39">
        <f>IFERROR(COUNTIFS(H:H, "Yes")/COUNTA($G$2:$G$994),0)</f>
        <v>0</v>
      </c>
    </row>
    <row r="43" spans="6:27" ht="17" thickBot="1" x14ac:dyDescent="0.25">
      <c r="F43" t="str">
        <f t="shared" si="36"/>
        <v/>
      </c>
      <c r="J43" s="7"/>
      <c r="M43" s="7" t="str">
        <f t="shared" si="37"/>
        <v/>
      </c>
      <c r="N43" t="str">
        <f t="shared" si="38"/>
        <v/>
      </c>
      <c r="O43" t="str">
        <f t="shared" si="39"/>
        <v/>
      </c>
      <c r="P43" t="str">
        <f t="shared" si="40"/>
        <v/>
      </c>
      <c r="R43" t="str">
        <f>""</f>
        <v/>
      </c>
      <c r="X43"/>
    </row>
    <row r="44" spans="6:27" ht="17" thickBot="1" x14ac:dyDescent="0.25">
      <c r="F44" t="str">
        <f t="shared" si="36"/>
        <v/>
      </c>
      <c r="J44" s="7"/>
      <c r="M44" s="7" t="str">
        <f t="shared" si="37"/>
        <v/>
      </c>
      <c r="N44" t="str">
        <f t="shared" si="38"/>
        <v/>
      </c>
      <c r="O44" t="str">
        <f t="shared" si="39"/>
        <v/>
      </c>
      <c r="P44" t="str">
        <f t="shared" si="40"/>
        <v/>
      </c>
      <c r="R44" t="str">
        <f>""</f>
        <v/>
      </c>
      <c r="X44" s="79" t="s">
        <v>74</v>
      </c>
      <c r="Y44" s="83" t="s">
        <v>9</v>
      </c>
      <c r="Z44" s="81" t="s">
        <v>84</v>
      </c>
      <c r="AA44" s="82" t="s">
        <v>39</v>
      </c>
    </row>
    <row r="45" spans="6:27" x14ac:dyDescent="0.2">
      <c r="F45" t="str">
        <f t="shared" si="36"/>
        <v/>
      </c>
      <c r="J45" s="7"/>
      <c r="M45" s="7" t="str">
        <f t="shared" si="37"/>
        <v/>
      </c>
      <c r="N45" t="str">
        <f t="shared" si="38"/>
        <v/>
      </c>
      <c r="O45" t="str">
        <f t="shared" si="39"/>
        <v/>
      </c>
      <c r="P45" t="str">
        <f t="shared" si="40"/>
        <v/>
      </c>
      <c r="R45" t="str">
        <f>""</f>
        <v/>
      </c>
      <c r="X45" s="47" t="s">
        <v>77</v>
      </c>
      <c r="Y45" s="45">
        <f>SUMIFS(M:M,I:I,"No")</f>
        <v>0</v>
      </c>
      <c r="Z45" s="40">
        <f>COUNTIF(J:J,"No")</f>
        <v>0</v>
      </c>
      <c r="AA45" s="46">
        <f>IFERROR(COUNTIFS($I$2:$I$1048576, "No")/COUNTA($I$2:$I$994), 0)</f>
        <v>0</v>
      </c>
    </row>
    <row r="46" spans="6:27" ht="17" thickBot="1" x14ac:dyDescent="0.25">
      <c r="F46" t="str">
        <f t="shared" si="36"/>
        <v/>
      </c>
      <c r="J46" s="7"/>
      <c r="M46" s="7" t="str">
        <f t="shared" si="37"/>
        <v/>
      </c>
      <c r="N46" t="str">
        <f t="shared" si="38"/>
        <v/>
      </c>
      <c r="O46" t="str">
        <f t="shared" si="39"/>
        <v/>
      </c>
      <c r="P46" t="str">
        <f t="shared" si="40"/>
        <v/>
      </c>
      <c r="R46" t="str">
        <f>""</f>
        <v/>
      </c>
      <c r="X46" s="49" t="s">
        <v>80</v>
      </c>
      <c r="Y46" s="44">
        <f>SUMIFS(M:M,I:I,"Yes")</f>
        <v>0</v>
      </c>
      <c r="Z46" s="35">
        <f>COUNTIF(J:J,"Yes")</f>
        <v>0</v>
      </c>
      <c r="AA46" s="53">
        <f>IFERROR(COUNTIFS($I$2:$I$1048576, "Yes")/COUNTA($I$2:$I$994), 0)</f>
        <v>0</v>
      </c>
    </row>
    <row r="47" spans="6:27" x14ac:dyDescent="0.2">
      <c r="F47" t="str">
        <f t="shared" si="36"/>
        <v/>
      </c>
      <c r="J47" s="7"/>
      <c r="M47" s="7" t="str">
        <f t="shared" si="37"/>
        <v/>
      </c>
      <c r="N47" t="str">
        <f t="shared" si="38"/>
        <v/>
      </c>
      <c r="O47" t="str">
        <f t="shared" si="39"/>
        <v/>
      </c>
      <c r="P47" t="str">
        <f t="shared" si="40"/>
        <v/>
      </c>
      <c r="R47" t="str">
        <f>""</f>
        <v/>
      </c>
    </row>
    <row r="48" spans="6:27" x14ac:dyDescent="0.2">
      <c r="F48" t="str">
        <f t="shared" si="36"/>
        <v/>
      </c>
      <c r="J48" s="7"/>
      <c r="M48" s="7" t="str">
        <f t="shared" si="37"/>
        <v/>
      </c>
      <c r="N48" t="str">
        <f t="shared" si="38"/>
        <v/>
      </c>
      <c r="O48" t="str">
        <f t="shared" si="39"/>
        <v/>
      </c>
      <c r="P48" t="str">
        <f t="shared" si="40"/>
        <v/>
      </c>
      <c r="R48" t="str">
        <f>""</f>
        <v/>
      </c>
    </row>
    <row r="49" spans="6:18" x14ac:dyDescent="0.2">
      <c r="F49" t="str">
        <f t="shared" si="36"/>
        <v/>
      </c>
      <c r="J49" s="7"/>
      <c r="M49" s="7" t="str">
        <f t="shared" si="37"/>
        <v/>
      </c>
      <c r="N49" t="str">
        <f t="shared" si="38"/>
        <v/>
      </c>
      <c r="O49" t="str">
        <f t="shared" si="39"/>
        <v/>
      </c>
      <c r="P49" t="str">
        <f t="shared" si="40"/>
        <v/>
      </c>
      <c r="R49" t="str">
        <f>""</f>
        <v/>
      </c>
    </row>
    <row r="50" spans="6:18" x14ac:dyDescent="0.2">
      <c r="F50" t="str">
        <f t="shared" si="36"/>
        <v/>
      </c>
      <c r="J50" s="7"/>
      <c r="M50" s="7" t="str">
        <f t="shared" si="37"/>
        <v/>
      </c>
      <c r="N50" t="str">
        <f t="shared" si="38"/>
        <v/>
      </c>
      <c r="O50" t="str">
        <f t="shared" si="39"/>
        <v/>
      </c>
      <c r="P50" t="str">
        <f t="shared" si="40"/>
        <v/>
      </c>
      <c r="R50" t="str">
        <f>""</f>
        <v/>
      </c>
    </row>
    <row r="51" spans="6:18" x14ac:dyDescent="0.2">
      <c r="F51" t="str">
        <f t="shared" si="36"/>
        <v/>
      </c>
      <c r="J51" s="7"/>
      <c r="M51" s="7" t="str">
        <f t="shared" si="37"/>
        <v/>
      </c>
      <c r="N51" t="str">
        <f t="shared" si="38"/>
        <v/>
      </c>
      <c r="O51" t="str">
        <f t="shared" si="39"/>
        <v/>
      </c>
      <c r="P51" t="str">
        <f t="shared" si="40"/>
        <v/>
      </c>
      <c r="R51" t="str">
        <f>""</f>
        <v/>
      </c>
    </row>
    <row r="52" spans="6:18" x14ac:dyDescent="0.2">
      <c r="F52" t="str">
        <f t="shared" si="36"/>
        <v/>
      </c>
      <c r="J52" s="7"/>
      <c r="M52" s="7" t="str">
        <f t="shared" si="37"/>
        <v/>
      </c>
      <c r="N52" t="str">
        <f t="shared" si="38"/>
        <v/>
      </c>
      <c r="O52" t="str">
        <f t="shared" si="39"/>
        <v/>
      </c>
      <c r="P52" t="str">
        <f t="shared" si="40"/>
        <v/>
      </c>
      <c r="R52" t="str">
        <f>""</f>
        <v/>
      </c>
    </row>
    <row r="53" spans="6:18" x14ac:dyDescent="0.2">
      <c r="F53" t="str">
        <f t="shared" si="36"/>
        <v/>
      </c>
      <c r="J53" s="7"/>
      <c r="M53" s="7" t="str">
        <f t="shared" si="37"/>
        <v/>
      </c>
      <c r="N53" t="str">
        <f t="shared" si="38"/>
        <v/>
      </c>
      <c r="O53" t="str">
        <f t="shared" si="39"/>
        <v/>
      </c>
      <c r="P53" t="str">
        <f t="shared" si="40"/>
        <v/>
      </c>
      <c r="R53" t="str">
        <f>""</f>
        <v/>
      </c>
    </row>
    <row r="54" spans="6:18" x14ac:dyDescent="0.2">
      <c r="F54" t="str">
        <f t="shared" si="36"/>
        <v/>
      </c>
      <c r="J54" s="7"/>
      <c r="M54" s="7" t="str">
        <f t="shared" si="37"/>
        <v/>
      </c>
      <c r="N54" t="str">
        <f t="shared" si="38"/>
        <v/>
      </c>
      <c r="O54" t="str">
        <f t="shared" si="39"/>
        <v/>
      </c>
      <c r="P54" t="str">
        <f t="shared" si="40"/>
        <v/>
      </c>
      <c r="R54" t="str">
        <f>""</f>
        <v/>
      </c>
    </row>
    <row r="55" spans="6:18" x14ac:dyDescent="0.2">
      <c r="F55" t="str">
        <f t="shared" si="36"/>
        <v/>
      </c>
      <c r="J55" s="7"/>
      <c r="M55" s="7" t="str">
        <f t="shared" si="37"/>
        <v/>
      </c>
      <c r="N55" t="str">
        <f t="shared" si="38"/>
        <v/>
      </c>
      <c r="O55" t="str">
        <f t="shared" si="39"/>
        <v/>
      </c>
      <c r="P55" t="str">
        <f t="shared" si="40"/>
        <v/>
      </c>
      <c r="R55" t="str">
        <f>""</f>
        <v/>
      </c>
    </row>
    <row r="56" spans="6:18" x14ac:dyDescent="0.2">
      <c r="F56" t="str">
        <f t="shared" si="36"/>
        <v/>
      </c>
      <c r="J56" s="7"/>
      <c r="M56" s="7" t="str">
        <f t="shared" si="37"/>
        <v/>
      </c>
      <c r="N56" t="str">
        <f t="shared" si="38"/>
        <v/>
      </c>
      <c r="O56" t="str">
        <f t="shared" si="39"/>
        <v/>
      </c>
      <c r="P56" t="str">
        <f t="shared" si="40"/>
        <v/>
      </c>
      <c r="R56" t="str">
        <f>""</f>
        <v/>
      </c>
    </row>
    <row r="57" spans="6:18" x14ac:dyDescent="0.2">
      <c r="F57" t="str">
        <f t="shared" si="36"/>
        <v/>
      </c>
      <c r="J57" s="7"/>
      <c r="M57" s="7" t="str">
        <f t="shared" si="37"/>
        <v/>
      </c>
      <c r="N57" t="str">
        <f t="shared" si="38"/>
        <v/>
      </c>
      <c r="O57" t="str">
        <f t="shared" si="39"/>
        <v/>
      </c>
      <c r="P57" t="str">
        <f t="shared" si="40"/>
        <v/>
      </c>
      <c r="R57" t="str">
        <f>""</f>
        <v/>
      </c>
    </row>
    <row r="58" spans="6:18" x14ac:dyDescent="0.2">
      <c r="F58" t="str">
        <f t="shared" si="36"/>
        <v/>
      </c>
      <c r="J58" s="7"/>
      <c r="M58" s="7" t="str">
        <f t="shared" si="37"/>
        <v/>
      </c>
      <c r="N58" t="str">
        <f t="shared" si="38"/>
        <v/>
      </c>
      <c r="O58" t="str">
        <f t="shared" si="39"/>
        <v/>
      </c>
      <c r="P58" t="str">
        <f t="shared" si="40"/>
        <v/>
      </c>
      <c r="R58" t="str">
        <f>""</f>
        <v/>
      </c>
    </row>
    <row r="59" spans="6:18" x14ac:dyDescent="0.2">
      <c r="F59" t="str">
        <f t="shared" si="36"/>
        <v/>
      </c>
      <c r="J59" s="7"/>
      <c r="M59" s="7" t="str">
        <f t="shared" si="37"/>
        <v/>
      </c>
      <c r="N59" t="str">
        <f t="shared" si="38"/>
        <v/>
      </c>
      <c r="O59" t="str">
        <f t="shared" si="39"/>
        <v/>
      </c>
      <c r="P59" t="str">
        <f t="shared" si="40"/>
        <v/>
      </c>
      <c r="R59" t="str">
        <f>""</f>
        <v/>
      </c>
    </row>
    <row r="60" spans="6:18" x14ac:dyDescent="0.2">
      <c r="F60" t="str">
        <f t="shared" si="36"/>
        <v/>
      </c>
      <c r="J60" s="7"/>
      <c r="M60" s="7" t="str">
        <f t="shared" si="37"/>
        <v/>
      </c>
      <c r="N60" t="str">
        <f t="shared" si="38"/>
        <v/>
      </c>
      <c r="O60" t="str">
        <f t="shared" si="39"/>
        <v/>
      </c>
      <c r="P60" t="str">
        <f t="shared" si="40"/>
        <v/>
      </c>
      <c r="R60" t="str">
        <f>""</f>
        <v/>
      </c>
    </row>
    <row r="61" spans="6:18" x14ac:dyDescent="0.2">
      <c r="F61" t="str">
        <f t="shared" si="36"/>
        <v/>
      </c>
      <c r="J61" s="7"/>
      <c r="M61" s="7" t="str">
        <f t="shared" si="37"/>
        <v/>
      </c>
      <c r="N61" t="str">
        <f t="shared" si="38"/>
        <v/>
      </c>
      <c r="O61" t="str">
        <f t="shared" si="39"/>
        <v/>
      </c>
      <c r="P61" t="str">
        <f t="shared" si="40"/>
        <v/>
      </c>
      <c r="R61" t="str">
        <f>""</f>
        <v/>
      </c>
    </row>
    <row r="62" spans="6:18" x14ac:dyDescent="0.2">
      <c r="F62" t="str">
        <f t="shared" si="36"/>
        <v/>
      </c>
      <c r="J62" s="7"/>
      <c r="M62" s="7" t="str">
        <f t="shared" si="37"/>
        <v/>
      </c>
      <c r="N62" t="str">
        <f t="shared" si="38"/>
        <v/>
      </c>
      <c r="O62" t="str">
        <f t="shared" si="39"/>
        <v/>
      </c>
      <c r="P62" t="str">
        <f t="shared" si="40"/>
        <v/>
      </c>
      <c r="R62" t="str">
        <f>""</f>
        <v/>
      </c>
    </row>
    <row r="63" spans="6:18" x14ac:dyDescent="0.2">
      <c r="F63" t="str">
        <f t="shared" si="36"/>
        <v/>
      </c>
      <c r="J63" s="7"/>
      <c r="M63" s="7" t="str">
        <f t="shared" si="37"/>
        <v/>
      </c>
      <c r="N63" t="str">
        <f t="shared" si="38"/>
        <v/>
      </c>
      <c r="O63" t="str">
        <f t="shared" si="39"/>
        <v/>
      </c>
      <c r="P63" t="str">
        <f t="shared" si="40"/>
        <v/>
      </c>
      <c r="R63" t="str">
        <f>""</f>
        <v/>
      </c>
    </row>
    <row r="64" spans="6:18" x14ac:dyDescent="0.2">
      <c r="F64" t="str">
        <f t="shared" si="36"/>
        <v/>
      </c>
      <c r="J64" s="7"/>
      <c r="M64" s="7" t="str">
        <f t="shared" si="37"/>
        <v/>
      </c>
      <c r="N64" t="str">
        <f t="shared" si="38"/>
        <v/>
      </c>
      <c r="O64" t="str">
        <f t="shared" si="39"/>
        <v/>
      </c>
      <c r="P64" t="str">
        <f t="shared" si="40"/>
        <v/>
      </c>
      <c r="R64" t="str">
        <f>""</f>
        <v/>
      </c>
    </row>
    <row r="65" spans="6:18" x14ac:dyDescent="0.2">
      <c r="F65" t="str">
        <f t="shared" si="36"/>
        <v/>
      </c>
      <c r="J65" s="7"/>
      <c r="M65" s="7" t="str">
        <f t="shared" si="37"/>
        <v/>
      </c>
      <c r="N65" t="str">
        <f t="shared" si="38"/>
        <v/>
      </c>
      <c r="O65" t="str">
        <f t="shared" si="39"/>
        <v/>
      </c>
      <c r="P65" t="str">
        <f t="shared" si="40"/>
        <v/>
      </c>
      <c r="R65" t="str">
        <f>""</f>
        <v/>
      </c>
    </row>
    <row r="66" spans="6:18" x14ac:dyDescent="0.2">
      <c r="F66" t="str">
        <f t="shared" si="36"/>
        <v/>
      </c>
      <c r="J66" s="7"/>
      <c r="M66" s="7" t="str">
        <f t="shared" si="37"/>
        <v/>
      </c>
      <c r="N66" t="str">
        <f t="shared" si="38"/>
        <v/>
      </c>
      <c r="O66" t="str">
        <f t="shared" si="39"/>
        <v/>
      </c>
      <c r="P66" t="str">
        <f t="shared" si="40"/>
        <v/>
      </c>
      <c r="R66" t="str">
        <f>""</f>
        <v/>
      </c>
    </row>
    <row r="67" spans="6:18" x14ac:dyDescent="0.2">
      <c r="F67" t="str">
        <f t="shared" si="36"/>
        <v/>
      </c>
      <c r="J67" s="7"/>
      <c r="M67" s="7" t="str">
        <f t="shared" si="37"/>
        <v/>
      </c>
      <c r="N67" t="str">
        <f t="shared" si="38"/>
        <v/>
      </c>
      <c r="O67" t="str">
        <f t="shared" si="39"/>
        <v/>
      </c>
      <c r="P67" t="str">
        <f t="shared" si="40"/>
        <v/>
      </c>
      <c r="R67" t="str">
        <f>""</f>
        <v/>
      </c>
    </row>
    <row r="68" spans="6:18" x14ac:dyDescent="0.2">
      <c r="F68" t="str">
        <f t="shared" si="36"/>
        <v/>
      </c>
      <c r="J68" s="7"/>
      <c r="M68" s="7" t="str">
        <f t="shared" si="37"/>
        <v/>
      </c>
      <c r="N68" t="str">
        <f t="shared" si="38"/>
        <v/>
      </c>
      <c r="O68" t="str">
        <f t="shared" si="39"/>
        <v/>
      </c>
      <c r="P68" t="str">
        <f t="shared" si="40"/>
        <v/>
      </c>
      <c r="R68" t="str">
        <f>""</f>
        <v/>
      </c>
    </row>
    <row r="69" spans="6:18" x14ac:dyDescent="0.2">
      <c r="F69" t="str">
        <f t="shared" si="36"/>
        <v/>
      </c>
      <c r="J69" s="7"/>
      <c r="M69" s="7" t="str">
        <f t="shared" si="37"/>
        <v/>
      </c>
      <c r="N69" t="str">
        <f t="shared" si="38"/>
        <v/>
      </c>
      <c r="O69" t="str">
        <f t="shared" si="39"/>
        <v/>
      </c>
      <c r="P69" t="str">
        <f t="shared" si="40"/>
        <v/>
      </c>
      <c r="R69" t="str">
        <f>""</f>
        <v/>
      </c>
    </row>
    <row r="70" spans="6:18" x14ac:dyDescent="0.2">
      <c r="F70" t="str">
        <f t="shared" si="36"/>
        <v/>
      </c>
      <c r="J70" s="7"/>
      <c r="M70" s="7" t="str">
        <f t="shared" si="37"/>
        <v/>
      </c>
      <c r="N70" t="str">
        <f t="shared" si="38"/>
        <v/>
      </c>
      <c r="O70" t="str">
        <f t="shared" si="39"/>
        <v/>
      </c>
      <c r="P70" t="str">
        <f t="shared" si="40"/>
        <v/>
      </c>
      <c r="R70" t="str">
        <f>""</f>
        <v/>
      </c>
    </row>
    <row r="71" spans="6:18" x14ac:dyDescent="0.2">
      <c r="F71" t="str">
        <f t="shared" si="36"/>
        <v/>
      </c>
      <c r="J71" s="7"/>
      <c r="M71" s="7" t="str">
        <f t="shared" si="37"/>
        <v/>
      </c>
      <c r="N71" t="str">
        <f t="shared" si="38"/>
        <v/>
      </c>
      <c r="O71" t="str">
        <f t="shared" si="39"/>
        <v/>
      </c>
      <c r="P71" t="str">
        <f t="shared" si="40"/>
        <v/>
      </c>
      <c r="R71" t="str">
        <f>""</f>
        <v/>
      </c>
    </row>
    <row r="72" spans="6:18" x14ac:dyDescent="0.2">
      <c r="F72" t="str">
        <f t="shared" si="36"/>
        <v/>
      </c>
      <c r="J72" s="7"/>
      <c r="M72" s="7" t="str">
        <f t="shared" si="37"/>
        <v/>
      </c>
      <c r="N72" t="str">
        <f t="shared" si="38"/>
        <v/>
      </c>
      <c r="O72" t="str">
        <f t="shared" si="39"/>
        <v/>
      </c>
      <c r="P72" t="str">
        <f t="shared" si="40"/>
        <v/>
      </c>
      <c r="R72" t="str">
        <f>""</f>
        <v/>
      </c>
    </row>
    <row r="73" spans="6:18" x14ac:dyDescent="0.2">
      <c r="F73" t="str">
        <f t="shared" si="36"/>
        <v/>
      </c>
      <c r="J73" s="7"/>
      <c r="M73" s="7" t="str">
        <f t="shared" si="37"/>
        <v/>
      </c>
      <c r="N73" t="str">
        <f t="shared" si="38"/>
        <v/>
      </c>
      <c r="O73" t="str">
        <f t="shared" si="39"/>
        <v/>
      </c>
      <c r="P73" t="str">
        <f t="shared" si="40"/>
        <v/>
      </c>
      <c r="R73" t="str">
        <f>""</f>
        <v/>
      </c>
    </row>
    <row r="74" spans="6:18" x14ac:dyDescent="0.2">
      <c r="F74" t="str">
        <f t="shared" si="36"/>
        <v/>
      </c>
      <c r="J74" s="7"/>
      <c r="M74" s="7" t="str">
        <f t="shared" si="37"/>
        <v/>
      </c>
      <c r="N74" t="str">
        <f t="shared" si="38"/>
        <v/>
      </c>
      <c r="O74" t="str">
        <f t="shared" si="39"/>
        <v/>
      </c>
      <c r="P74" t="str">
        <f t="shared" si="40"/>
        <v/>
      </c>
      <c r="R74" t="str">
        <f>""</f>
        <v/>
      </c>
    </row>
    <row r="75" spans="6:18" x14ac:dyDescent="0.2">
      <c r="F75" t="str">
        <f t="shared" si="36"/>
        <v/>
      </c>
      <c r="J75" s="7"/>
      <c r="M75" s="7" t="str">
        <f t="shared" si="37"/>
        <v/>
      </c>
      <c r="N75" t="str">
        <f t="shared" si="38"/>
        <v/>
      </c>
      <c r="O75" t="str">
        <f t="shared" si="39"/>
        <v/>
      </c>
      <c r="P75" t="str">
        <f t="shared" si="40"/>
        <v/>
      </c>
      <c r="R75" t="str">
        <f>""</f>
        <v/>
      </c>
    </row>
    <row r="76" spans="6:18" x14ac:dyDescent="0.2">
      <c r="F76" t="str">
        <f t="shared" si="36"/>
        <v/>
      </c>
      <c r="J76" s="7"/>
      <c r="M76" s="7" t="str">
        <f t="shared" si="37"/>
        <v/>
      </c>
      <c r="N76" t="str">
        <f t="shared" si="38"/>
        <v/>
      </c>
      <c r="O76" t="str">
        <f t="shared" si="39"/>
        <v/>
      </c>
      <c r="P76" t="str">
        <f t="shared" si="40"/>
        <v/>
      </c>
      <c r="R76" t="str">
        <f>""</f>
        <v/>
      </c>
    </row>
    <row r="77" spans="6:18" x14ac:dyDescent="0.2">
      <c r="F77" t="str">
        <f t="shared" si="36"/>
        <v/>
      </c>
      <c r="J77" s="7"/>
      <c r="M77" s="7" t="str">
        <f t="shared" si="37"/>
        <v/>
      </c>
      <c r="N77" t="str">
        <f t="shared" si="38"/>
        <v/>
      </c>
      <c r="O77" t="str">
        <f t="shared" si="39"/>
        <v/>
      </c>
      <c r="P77" t="str">
        <f t="shared" si="40"/>
        <v/>
      </c>
      <c r="R77" t="str">
        <f>""</f>
        <v/>
      </c>
    </row>
    <row r="78" spans="6:18" x14ac:dyDescent="0.2">
      <c r="F78" t="str">
        <f t="shared" si="36"/>
        <v/>
      </c>
      <c r="J78" s="7"/>
      <c r="M78" s="7" t="str">
        <f t="shared" si="37"/>
        <v/>
      </c>
      <c r="N78" t="str">
        <f t="shared" si="38"/>
        <v/>
      </c>
      <c r="O78" t="str">
        <f t="shared" si="39"/>
        <v/>
      </c>
      <c r="P78" t="str">
        <f t="shared" si="40"/>
        <v/>
      </c>
      <c r="R78" t="str">
        <f>""</f>
        <v/>
      </c>
    </row>
    <row r="79" spans="6:18" x14ac:dyDescent="0.2">
      <c r="F79" t="str">
        <f t="shared" si="36"/>
        <v/>
      </c>
      <c r="J79" s="7"/>
      <c r="M79" s="7" t="str">
        <f t="shared" si="37"/>
        <v/>
      </c>
      <c r="N79" t="str">
        <f t="shared" si="38"/>
        <v/>
      </c>
      <c r="O79" t="str">
        <f t="shared" si="39"/>
        <v/>
      </c>
      <c r="P79" t="str">
        <f t="shared" si="40"/>
        <v/>
      </c>
      <c r="R79" t="str">
        <f>""</f>
        <v/>
      </c>
    </row>
    <row r="80" spans="6:18" x14ac:dyDescent="0.2">
      <c r="F80" t="str">
        <f t="shared" si="36"/>
        <v/>
      </c>
      <c r="J80" s="7"/>
      <c r="M80" s="7" t="str">
        <f t="shared" si="37"/>
        <v/>
      </c>
      <c r="N80" t="str">
        <f t="shared" si="38"/>
        <v/>
      </c>
      <c r="O80" t="str">
        <f t="shared" si="39"/>
        <v/>
      </c>
      <c r="P80" t="str">
        <f t="shared" si="40"/>
        <v/>
      </c>
      <c r="R80" t="str">
        <f>""</f>
        <v/>
      </c>
    </row>
    <row r="81" spans="6:18" x14ac:dyDescent="0.2">
      <c r="F81" t="str">
        <f t="shared" si="36"/>
        <v/>
      </c>
      <c r="J81" s="7"/>
      <c r="M81" s="7" t="str">
        <f t="shared" si="37"/>
        <v/>
      </c>
      <c r="N81" t="str">
        <f t="shared" si="38"/>
        <v/>
      </c>
      <c r="O81" t="str">
        <f t="shared" si="39"/>
        <v/>
      </c>
      <c r="P81" t="str">
        <f t="shared" si="40"/>
        <v/>
      </c>
      <c r="R81" t="str">
        <f>""</f>
        <v/>
      </c>
    </row>
    <row r="82" spans="6:18" x14ac:dyDescent="0.2">
      <c r="F82" t="str">
        <f t="shared" si="36"/>
        <v/>
      </c>
      <c r="J82" s="7"/>
      <c r="M82" s="7" t="str">
        <f t="shared" si="37"/>
        <v/>
      </c>
      <c r="N82" t="str">
        <f t="shared" si="38"/>
        <v/>
      </c>
      <c r="O82" t="str">
        <f t="shared" si="39"/>
        <v/>
      </c>
      <c r="P82" t="str">
        <f t="shared" si="40"/>
        <v/>
      </c>
      <c r="R82" t="str">
        <f>""</f>
        <v/>
      </c>
    </row>
    <row r="83" spans="6:18" x14ac:dyDescent="0.2">
      <c r="F83" t="str">
        <f t="shared" si="36"/>
        <v/>
      </c>
      <c r="J83" s="7"/>
      <c r="M83" s="7" t="str">
        <f t="shared" si="37"/>
        <v/>
      </c>
      <c r="N83" t="str">
        <f t="shared" si="38"/>
        <v/>
      </c>
      <c r="O83" t="str">
        <f t="shared" si="39"/>
        <v/>
      </c>
      <c r="P83" t="str">
        <f t="shared" si="40"/>
        <v/>
      </c>
      <c r="R83" t="str">
        <f>""</f>
        <v/>
      </c>
    </row>
    <row r="84" spans="6:18" x14ac:dyDescent="0.2">
      <c r="F84" t="str">
        <f t="shared" si="36"/>
        <v/>
      </c>
      <c r="J84" s="7"/>
      <c r="M84" s="7" t="str">
        <f t="shared" si="37"/>
        <v/>
      </c>
      <c r="N84" t="str">
        <f t="shared" si="38"/>
        <v/>
      </c>
      <c r="O84" t="str">
        <f t="shared" si="39"/>
        <v/>
      </c>
      <c r="P84" t="str">
        <f t="shared" si="40"/>
        <v/>
      </c>
      <c r="R84" t="str">
        <f>""</f>
        <v/>
      </c>
    </row>
    <row r="85" spans="6:18" x14ac:dyDescent="0.2">
      <c r="F85" t="str">
        <f t="shared" si="36"/>
        <v/>
      </c>
      <c r="J85" s="7"/>
      <c r="M85" s="7" t="str">
        <f t="shared" si="37"/>
        <v/>
      </c>
      <c r="N85" t="str">
        <f t="shared" si="38"/>
        <v/>
      </c>
      <c r="O85" t="str">
        <f t="shared" si="39"/>
        <v/>
      </c>
      <c r="P85" t="str">
        <f t="shared" si="40"/>
        <v/>
      </c>
      <c r="R85" t="str">
        <f>""</f>
        <v/>
      </c>
    </row>
    <row r="86" spans="6:18" x14ac:dyDescent="0.2">
      <c r="F86" t="str">
        <f t="shared" si="36"/>
        <v/>
      </c>
      <c r="J86" s="7"/>
      <c r="M86" s="7" t="str">
        <f t="shared" si="37"/>
        <v/>
      </c>
      <c r="N86" t="str">
        <f t="shared" si="38"/>
        <v/>
      </c>
      <c r="O86" t="str">
        <f t="shared" si="39"/>
        <v/>
      </c>
      <c r="P86" t="str">
        <f t="shared" si="40"/>
        <v/>
      </c>
      <c r="R86" t="str">
        <f>""</f>
        <v/>
      </c>
    </row>
    <row r="87" spans="6:18" x14ac:dyDescent="0.2">
      <c r="F87" t="str">
        <f t="shared" si="36"/>
        <v/>
      </c>
      <c r="J87" s="7"/>
      <c r="M87" s="7" t="str">
        <f t="shared" si="37"/>
        <v/>
      </c>
      <c r="N87" t="str">
        <f t="shared" si="38"/>
        <v/>
      </c>
      <c r="O87" t="str">
        <f t="shared" si="39"/>
        <v/>
      </c>
      <c r="P87" t="str">
        <f t="shared" si="40"/>
        <v/>
      </c>
      <c r="R87" t="str">
        <f>""</f>
        <v/>
      </c>
    </row>
    <row r="88" spans="6:18" x14ac:dyDescent="0.2">
      <c r="F88" t="str">
        <f t="shared" si="36"/>
        <v/>
      </c>
      <c r="J88" s="7"/>
      <c r="M88" s="7" t="str">
        <f t="shared" si="37"/>
        <v/>
      </c>
      <c r="N88" t="str">
        <f t="shared" si="38"/>
        <v/>
      </c>
      <c r="O88" t="str">
        <f t="shared" si="39"/>
        <v/>
      </c>
      <c r="P88" t="str">
        <f t="shared" si="40"/>
        <v/>
      </c>
      <c r="R88" t="str">
        <f>""</f>
        <v/>
      </c>
    </row>
    <row r="89" spans="6:18" x14ac:dyDescent="0.2">
      <c r="F89" t="str">
        <f t="shared" si="36"/>
        <v/>
      </c>
      <c r="J89" s="7"/>
      <c r="M89" s="7" t="str">
        <f t="shared" si="37"/>
        <v/>
      </c>
      <c r="N89" t="str">
        <f t="shared" si="38"/>
        <v/>
      </c>
      <c r="O89" t="str">
        <f t="shared" si="39"/>
        <v/>
      </c>
      <c r="P89" t="str">
        <f t="shared" si="40"/>
        <v/>
      </c>
      <c r="R89" t="str">
        <f>""</f>
        <v/>
      </c>
    </row>
    <row r="90" spans="6:18" x14ac:dyDescent="0.2">
      <c r="F90" t="str">
        <f t="shared" si="36"/>
        <v/>
      </c>
      <c r="J90" s="7"/>
      <c r="M90" s="7" t="str">
        <f t="shared" si="37"/>
        <v/>
      </c>
      <c r="N90" t="str">
        <f t="shared" si="38"/>
        <v/>
      </c>
      <c r="O90" t="str">
        <f t="shared" si="39"/>
        <v/>
      </c>
      <c r="P90" t="str">
        <f t="shared" si="40"/>
        <v/>
      </c>
      <c r="R90" t="str">
        <f>""</f>
        <v/>
      </c>
    </row>
    <row r="91" spans="6:18" x14ac:dyDescent="0.2">
      <c r="F91" t="str">
        <f t="shared" si="36"/>
        <v/>
      </c>
      <c r="J91" s="7"/>
      <c r="M91" s="7" t="str">
        <f t="shared" si="37"/>
        <v/>
      </c>
      <c r="N91" t="str">
        <f t="shared" si="38"/>
        <v/>
      </c>
      <c r="O91" t="str">
        <f t="shared" si="39"/>
        <v/>
      </c>
      <c r="P91" t="str">
        <f t="shared" si="40"/>
        <v/>
      </c>
      <c r="R91" t="str">
        <f>""</f>
        <v/>
      </c>
    </row>
    <row r="92" spans="6:18" x14ac:dyDescent="0.2">
      <c r="F92" t="str">
        <f t="shared" si="36"/>
        <v/>
      </c>
      <c r="J92" s="7"/>
      <c r="M92" s="7" t="str">
        <f t="shared" si="37"/>
        <v/>
      </c>
      <c r="N92" t="str">
        <f t="shared" si="38"/>
        <v/>
      </c>
      <c r="O92" t="str">
        <f t="shared" si="39"/>
        <v/>
      </c>
      <c r="P92" t="str">
        <f t="shared" si="40"/>
        <v/>
      </c>
      <c r="R92" t="str">
        <f>""</f>
        <v/>
      </c>
    </row>
    <row r="93" spans="6:18" x14ac:dyDescent="0.2">
      <c r="F93" t="str">
        <f t="shared" si="36"/>
        <v/>
      </c>
      <c r="J93" s="7"/>
      <c r="M93" s="7" t="str">
        <f t="shared" si="37"/>
        <v/>
      </c>
      <c r="N93" t="str">
        <f t="shared" si="38"/>
        <v/>
      </c>
      <c r="O93" t="str">
        <f t="shared" si="39"/>
        <v/>
      </c>
      <c r="P93" t="str">
        <f t="shared" si="40"/>
        <v/>
      </c>
      <c r="R93" t="str">
        <f>""</f>
        <v/>
      </c>
    </row>
    <row r="94" spans="6:18" x14ac:dyDescent="0.2">
      <c r="F94" t="str">
        <f t="shared" si="36"/>
        <v/>
      </c>
      <c r="J94" s="7"/>
      <c r="M94" s="7" t="str">
        <f t="shared" si="37"/>
        <v/>
      </c>
      <c r="N94" t="str">
        <f t="shared" si="38"/>
        <v/>
      </c>
      <c r="O94" t="str">
        <f t="shared" si="39"/>
        <v/>
      </c>
      <c r="P94" t="str">
        <f t="shared" si="40"/>
        <v/>
      </c>
      <c r="R94" t="str">
        <f>""</f>
        <v/>
      </c>
    </row>
    <row r="95" spans="6:18" x14ac:dyDescent="0.2">
      <c r="F95" t="str">
        <f t="shared" si="36"/>
        <v/>
      </c>
      <c r="J95" s="7"/>
      <c r="M95" s="7" t="str">
        <f t="shared" si="37"/>
        <v/>
      </c>
      <c r="N95" t="str">
        <f t="shared" si="38"/>
        <v/>
      </c>
      <c r="O95" t="str">
        <f t="shared" si="39"/>
        <v/>
      </c>
      <c r="P95" t="str">
        <f t="shared" si="40"/>
        <v/>
      </c>
      <c r="R95" t="str">
        <f>""</f>
        <v/>
      </c>
    </row>
    <row r="96" spans="6:18" x14ac:dyDescent="0.2">
      <c r="F96" t="str">
        <f t="shared" si="36"/>
        <v/>
      </c>
      <c r="J96" s="7"/>
      <c r="M96" s="7" t="str">
        <f t="shared" si="37"/>
        <v/>
      </c>
      <c r="N96" t="str">
        <f t="shared" si="38"/>
        <v/>
      </c>
      <c r="O96" t="str">
        <f t="shared" si="39"/>
        <v/>
      </c>
      <c r="P96" t="str">
        <f t="shared" si="40"/>
        <v/>
      </c>
      <c r="R96" t="str">
        <f>""</f>
        <v/>
      </c>
    </row>
    <row r="97" spans="6:18" x14ac:dyDescent="0.2">
      <c r="F97" t="str">
        <f t="shared" si="36"/>
        <v/>
      </c>
      <c r="J97" s="7"/>
      <c r="M97" s="7" t="str">
        <f t="shared" si="37"/>
        <v/>
      </c>
      <c r="N97" t="str">
        <f t="shared" si="38"/>
        <v/>
      </c>
      <c r="O97" t="str">
        <f t="shared" si="39"/>
        <v/>
      </c>
      <c r="P97" t="str">
        <f t="shared" si="40"/>
        <v/>
      </c>
      <c r="R97" t="str">
        <f>""</f>
        <v/>
      </c>
    </row>
    <row r="98" spans="6:18" x14ac:dyDescent="0.2">
      <c r="F98" t="str">
        <f t="shared" si="36"/>
        <v/>
      </c>
      <c r="J98" s="7"/>
      <c r="M98" s="7" t="str">
        <f t="shared" si="37"/>
        <v/>
      </c>
      <c r="N98" t="str">
        <f t="shared" si="38"/>
        <v/>
      </c>
      <c r="O98" t="str">
        <f t="shared" si="39"/>
        <v/>
      </c>
      <c r="P98" t="str">
        <f t="shared" si="40"/>
        <v/>
      </c>
      <c r="R98" t="str">
        <f>""</f>
        <v/>
      </c>
    </row>
    <row r="99" spans="6:18" x14ac:dyDescent="0.2">
      <c r="F99" t="str">
        <f t="shared" si="36"/>
        <v/>
      </c>
      <c r="J99" s="7"/>
      <c r="M99" s="7" t="str">
        <f t="shared" si="37"/>
        <v/>
      </c>
      <c r="N99" t="str">
        <f t="shared" si="38"/>
        <v/>
      </c>
      <c r="O99" t="str">
        <f t="shared" si="39"/>
        <v/>
      </c>
      <c r="P99" t="str">
        <f t="shared" si="40"/>
        <v/>
      </c>
      <c r="R99" t="str">
        <f>""</f>
        <v/>
      </c>
    </row>
    <row r="100" spans="6:18" x14ac:dyDescent="0.2">
      <c r="F100" t="str">
        <f t="shared" si="36"/>
        <v/>
      </c>
      <c r="J100" s="7"/>
      <c r="M100" s="7" t="str">
        <f t="shared" si="37"/>
        <v/>
      </c>
      <c r="N100" t="str">
        <f t="shared" si="38"/>
        <v/>
      </c>
      <c r="O100" t="str">
        <f t="shared" si="39"/>
        <v/>
      </c>
      <c r="P100" t="str">
        <f t="shared" si="40"/>
        <v/>
      </c>
      <c r="R100" t="str">
        <f>""</f>
        <v/>
      </c>
    </row>
    <row r="101" spans="6:18" x14ac:dyDescent="0.2">
      <c r="F101" t="str">
        <f t="shared" si="36"/>
        <v/>
      </c>
      <c r="J101" s="7"/>
      <c r="M101" s="7" t="str">
        <f t="shared" si="37"/>
        <v/>
      </c>
      <c r="N101" t="str">
        <f t="shared" si="38"/>
        <v/>
      </c>
      <c r="O101" t="str">
        <f t="shared" si="39"/>
        <v/>
      </c>
      <c r="P101" t="str">
        <f t="shared" si="40"/>
        <v/>
      </c>
      <c r="R101" t="str">
        <f>""</f>
        <v/>
      </c>
    </row>
    <row r="102" spans="6:18" x14ac:dyDescent="0.2">
      <c r="F102" t="str">
        <f t="shared" si="36"/>
        <v/>
      </c>
      <c r="J102" s="7"/>
      <c r="M102" s="7" t="str">
        <f t="shared" si="37"/>
        <v/>
      </c>
      <c r="N102" t="str">
        <f t="shared" si="38"/>
        <v/>
      </c>
      <c r="O102" t="str">
        <f t="shared" si="39"/>
        <v/>
      </c>
      <c r="P102" t="str">
        <f t="shared" si="40"/>
        <v/>
      </c>
      <c r="R102" t="str">
        <f>""</f>
        <v/>
      </c>
    </row>
    <row r="103" spans="6:18" x14ac:dyDescent="0.2">
      <c r="F103" t="str">
        <f t="shared" ref="F103:F166" si="41">IF(OR(N103="", O103=""), "", SUM(IF((N103&lt;&gt;"None")*(N103&lt;&gt;""),LEN(N103)-LEN(SUBSTITUTE(N103,",",""))+1,0)) + SUM(IF((O103&lt;&gt;"None")*(O103&lt;&gt;""),LEN(O103)-LEN(SUBSTITUTE(O103,",",""))+1,0)))</f>
        <v/>
      </c>
      <c r="J103" s="7"/>
      <c r="M103" s="7" t="str">
        <f t="shared" ref="M103:M166" si="42">IF(L103="Yes",K103-J103,IF(L103="No",-J103,""))</f>
        <v/>
      </c>
      <c r="N103" t="str">
        <f t="shared" ref="N103:N166" si="43">IF(G103 = "No", "None", "")</f>
        <v/>
      </c>
      <c r="O103" t="str">
        <f t="shared" ref="O103:O166" si="44">IF(H103="No", "None", "")</f>
        <v/>
      </c>
      <c r="P103" t="str">
        <f t="shared" ref="P103:P166" si="45">IF(AND(D103="Straight", L103 = "No"),IF(N103="None",O103,IF(O103="None",N103) ),"")</f>
        <v/>
      </c>
      <c r="R103" t="str">
        <f>""</f>
        <v/>
      </c>
    </row>
    <row r="104" spans="6:18" x14ac:dyDescent="0.2">
      <c r="F104" t="str">
        <f t="shared" si="41"/>
        <v/>
      </c>
      <c r="J104" s="7"/>
      <c r="M104" s="7" t="str">
        <f t="shared" si="42"/>
        <v/>
      </c>
      <c r="N104" t="str">
        <f t="shared" si="43"/>
        <v/>
      </c>
      <c r="O104" t="str">
        <f t="shared" si="44"/>
        <v/>
      </c>
      <c r="P104" t="str">
        <f t="shared" si="45"/>
        <v/>
      </c>
      <c r="R104" t="str">
        <f>""</f>
        <v/>
      </c>
    </row>
    <row r="105" spans="6:18" x14ac:dyDescent="0.2">
      <c r="F105" t="str">
        <f t="shared" si="41"/>
        <v/>
      </c>
      <c r="J105" s="7"/>
      <c r="M105" s="7" t="str">
        <f t="shared" si="42"/>
        <v/>
      </c>
      <c r="N105" t="str">
        <f t="shared" si="43"/>
        <v/>
      </c>
      <c r="O105" t="str">
        <f t="shared" si="44"/>
        <v/>
      </c>
      <c r="P105" t="str">
        <f t="shared" si="45"/>
        <v/>
      </c>
      <c r="R105" t="str">
        <f>""</f>
        <v/>
      </c>
    </row>
    <row r="106" spans="6:18" x14ac:dyDescent="0.2">
      <c r="F106" t="str">
        <f t="shared" si="41"/>
        <v/>
      </c>
      <c r="J106" s="7"/>
      <c r="M106" s="7" t="str">
        <f t="shared" si="42"/>
        <v/>
      </c>
      <c r="N106" t="str">
        <f t="shared" si="43"/>
        <v/>
      </c>
      <c r="O106" t="str">
        <f t="shared" si="44"/>
        <v/>
      </c>
      <c r="P106" t="str">
        <f t="shared" si="45"/>
        <v/>
      </c>
      <c r="R106" t="str">
        <f>""</f>
        <v/>
      </c>
    </row>
    <row r="107" spans="6:18" x14ac:dyDescent="0.2">
      <c r="F107" t="str">
        <f t="shared" si="41"/>
        <v/>
      </c>
      <c r="J107" s="7"/>
      <c r="M107" s="7" t="str">
        <f t="shared" si="42"/>
        <v/>
      </c>
      <c r="N107" t="str">
        <f t="shared" si="43"/>
        <v/>
      </c>
      <c r="O107" t="str">
        <f t="shared" si="44"/>
        <v/>
      </c>
      <c r="P107" t="str">
        <f t="shared" si="45"/>
        <v/>
      </c>
      <c r="R107" t="str">
        <f>""</f>
        <v/>
      </c>
    </row>
    <row r="108" spans="6:18" x14ac:dyDescent="0.2">
      <c r="F108" t="str">
        <f t="shared" si="41"/>
        <v/>
      </c>
      <c r="J108" s="7"/>
      <c r="M108" s="7" t="str">
        <f t="shared" si="42"/>
        <v/>
      </c>
      <c r="N108" t="str">
        <f t="shared" si="43"/>
        <v/>
      </c>
      <c r="O108" t="str">
        <f t="shared" si="44"/>
        <v/>
      </c>
      <c r="P108" t="str">
        <f t="shared" si="45"/>
        <v/>
      </c>
      <c r="R108" t="str">
        <f>""</f>
        <v/>
      </c>
    </row>
    <row r="109" spans="6:18" x14ac:dyDescent="0.2">
      <c r="F109" t="str">
        <f t="shared" si="41"/>
        <v/>
      </c>
      <c r="J109" s="7"/>
      <c r="M109" s="7" t="str">
        <f t="shared" si="42"/>
        <v/>
      </c>
      <c r="N109" t="str">
        <f t="shared" si="43"/>
        <v/>
      </c>
      <c r="O109" t="str">
        <f t="shared" si="44"/>
        <v/>
      </c>
      <c r="P109" t="str">
        <f t="shared" si="45"/>
        <v/>
      </c>
      <c r="R109" t="str">
        <f>""</f>
        <v/>
      </c>
    </row>
    <row r="110" spans="6:18" x14ac:dyDescent="0.2">
      <c r="F110" t="str">
        <f t="shared" si="41"/>
        <v/>
      </c>
      <c r="J110" s="7"/>
      <c r="M110" s="7" t="str">
        <f t="shared" si="42"/>
        <v/>
      </c>
      <c r="N110" t="str">
        <f t="shared" si="43"/>
        <v/>
      </c>
      <c r="O110" t="str">
        <f t="shared" si="44"/>
        <v/>
      </c>
      <c r="P110" t="str">
        <f t="shared" si="45"/>
        <v/>
      </c>
      <c r="R110" t="str">
        <f>""</f>
        <v/>
      </c>
    </row>
    <row r="111" spans="6:18" x14ac:dyDescent="0.2">
      <c r="F111" t="str">
        <f t="shared" si="41"/>
        <v/>
      </c>
      <c r="J111" s="7"/>
      <c r="M111" s="7" t="str">
        <f t="shared" si="42"/>
        <v/>
      </c>
      <c r="N111" t="str">
        <f t="shared" si="43"/>
        <v/>
      </c>
      <c r="O111" t="str">
        <f t="shared" si="44"/>
        <v/>
      </c>
      <c r="P111" t="str">
        <f t="shared" si="45"/>
        <v/>
      </c>
      <c r="R111" t="str">
        <f>""</f>
        <v/>
      </c>
    </row>
    <row r="112" spans="6:18" x14ac:dyDescent="0.2">
      <c r="F112" t="str">
        <f t="shared" si="41"/>
        <v/>
      </c>
      <c r="J112" s="7"/>
      <c r="M112" s="7" t="str">
        <f t="shared" si="42"/>
        <v/>
      </c>
      <c r="N112" t="str">
        <f t="shared" si="43"/>
        <v/>
      </c>
      <c r="O112" t="str">
        <f t="shared" si="44"/>
        <v/>
      </c>
      <c r="P112" t="str">
        <f t="shared" si="45"/>
        <v/>
      </c>
      <c r="R112" t="str">
        <f>""</f>
        <v/>
      </c>
    </row>
    <row r="113" spans="6:18" x14ac:dyDescent="0.2">
      <c r="F113" t="str">
        <f t="shared" si="41"/>
        <v/>
      </c>
      <c r="J113" s="7"/>
      <c r="M113" s="7" t="str">
        <f t="shared" si="42"/>
        <v/>
      </c>
      <c r="N113" t="str">
        <f t="shared" si="43"/>
        <v/>
      </c>
      <c r="O113" t="str">
        <f t="shared" si="44"/>
        <v/>
      </c>
      <c r="P113" t="str">
        <f t="shared" si="45"/>
        <v/>
      </c>
      <c r="R113" t="str">
        <f>""</f>
        <v/>
      </c>
    </row>
    <row r="114" spans="6:18" x14ac:dyDescent="0.2">
      <c r="F114" t="str">
        <f t="shared" si="41"/>
        <v/>
      </c>
      <c r="J114" s="7"/>
      <c r="M114" s="7" t="str">
        <f t="shared" si="42"/>
        <v/>
      </c>
      <c r="N114" t="str">
        <f t="shared" si="43"/>
        <v/>
      </c>
      <c r="O114" t="str">
        <f t="shared" si="44"/>
        <v/>
      </c>
      <c r="P114" t="str">
        <f t="shared" si="45"/>
        <v/>
      </c>
      <c r="R114" t="str">
        <f>""</f>
        <v/>
      </c>
    </row>
    <row r="115" spans="6:18" x14ac:dyDescent="0.2">
      <c r="F115" t="str">
        <f t="shared" si="41"/>
        <v/>
      </c>
      <c r="J115" s="7"/>
      <c r="M115" s="7" t="str">
        <f t="shared" si="42"/>
        <v/>
      </c>
      <c r="N115" t="str">
        <f t="shared" si="43"/>
        <v/>
      </c>
      <c r="O115" t="str">
        <f t="shared" si="44"/>
        <v/>
      </c>
      <c r="P115" t="str">
        <f t="shared" si="45"/>
        <v/>
      </c>
      <c r="R115" t="str">
        <f>""</f>
        <v/>
      </c>
    </row>
    <row r="116" spans="6:18" x14ac:dyDescent="0.2">
      <c r="F116" t="str">
        <f t="shared" si="41"/>
        <v/>
      </c>
      <c r="J116" s="7"/>
      <c r="M116" s="7" t="str">
        <f t="shared" si="42"/>
        <v/>
      </c>
      <c r="N116" t="str">
        <f t="shared" si="43"/>
        <v/>
      </c>
      <c r="O116" t="str">
        <f t="shared" si="44"/>
        <v/>
      </c>
      <c r="P116" t="str">
        <f t="shared" si="45"/>
        <v/>
      </c>
      <c r="R116" t="str">
        <f>""</f>
        <v/>
      </c>
    </row>
    <row r="117" spans="6:18" x14ac:dyDescent="0.2">
      <c r="F117" t="str">
        <f t="shared" si="41"/>
        <v/>
      </c>
      <c r="J117" s="7"/>
      <c r="M117" s="7" t="str">
        <f t="shared" si="42"/>
        <v/>
      </c>
      <c r="N117" t="str">
        <f t="shared" si="43"/>
        <v/>
      </c>
      <c r="O117" t="str">
        <f t="shared" si="44"/>
        <v/>
      </c>
      <c r="P117" t="str">
        <f t="shared" si="45"/>
        <v/>
      </c>
      <c r="R117" t="str">
        <f>""</f>
        <v/>
      </c>
    </row>
    <row r="118" spans="6:18" x14ac:dyDescent="0.2">
      <c r="F118" t="str">
        <f t="shared" si="41"/>
        <v/>
      </c>
      <c r="J118" s="7"/>
      <c r="M118" s="7" t="str">
        <f t="shared" si="42"/>
        <v/>
      </c>
      <c r="N118" t="str">
        <f t="shared" si="43"/>
        <v/>
      </c>
      <c r="O118" t="str">
        <f t="shared" si="44"/>
        <v/>
      </c>
      <c r="P118" t="str">
        <f t="shared" si="45"/>
        <v/>
      </c>
      <c r="R118" t="str">
        <f>""</f>
        <v/>
      </c>
    </row>
    <row r="119" spans="6:18" x14ac:dyDescent="0.2">
      <c r="F119" t="str">
        <f t="shared" si="41"/>
        <v/>
      </c>
      <c r="J119" s="7"/>
      <c r="M119" s="7" t="str">
        <f t="shared" si="42"/>
        <v/>
      </c>
      <c r="N119" t="str">
        <f t="shared" si="43"/>
        <v/>
      </c>
      <c r="O119" t="str">
        <f t="shared" si="44"/>
        <v/>
      </c>
      <c r="P119" t="str">
        <f t="shared" si="45"/>
        <v/>
      </c>
      <c r="R119" t="str">
        <f>""</f>
        <v/>
      </c>
    </row>
    <row r="120" spans="6:18" x14ac:dyDescent="0.2">
      <c r="F120" t="str">
        <f t="shared" si="41"/>
        <v/>
      </c>
      <c r="J120" s="7"/>
      <c r="M120" s="7" t="str">
        <f t="shared" si="42"/>
        <v/>
      </c>
      <c r="N120" t="str">
        <f t="shared" si="43"/>
        <v/>
      </c>
      <c r="O120" t="str">
        <f t="shared" si="44"/>
        <v/>
      </c>
      <c r="P120" t="str">
        <f t="shared" si="45"/>
        <v/>
      </c>
      <c r="R120" t="str">
        <f>""</f>
        <v/>
      </c>
    </row>
    <row r="121" spans="6:18" x14ac:dyDescent="0.2">
      <c r="F121" t="str">
        <f t="shared" si="41"/>
        <v/>
      </c>
      <c r="J121" s="7"/>
      <c r="M121" s="7" t="str">
        <f t="shared" si="42"/>
        <v/>
      </c>
      <c r="N121" t="str">
        <f t="shared" si="43"/>
        <v/>
      </c>
      <c r="O121" t="str">
        <f t="shared" si="44"/>
        <v/>
      </c>
      <c r="P121" t="str">
        <f t="shared" si="45"/>
        <v/>
      </c>
      <c r="R121" t="str">
        <f>""</f>
        <v/>
      </c>
    </row>
    <row r="122" spans="6:18" x14ac:dyDescent="0.2">
      <c r="F122" t="str">
        <f t="shared" si="41"/>
        <v/>
      </c>
      <c r="J122" s="7"/>
      <c r="M122" s="7" t="str">
        <f t="shared" si="42"/>
        <v/>
      </c>
      <c r="N122" t="str">
        <f t="shared" si="43"/>
        <v/>
      </c>
      <c r="O122" t="str">
        <f t="shared" si="44"/>
        <v/>
      </c>
      <c r="P122" t="str">
        <f t="shared" si="45"/>
        <v/>
      </c>
      <c r="R122" t="str">
        <f>""</f>
        <v/>
      </c>
    </row>
    <row r="123" spans="6:18" x14ac:dyDescent="0.2">
      <c r="F123" t="str">
        <f t="shared" si="41"/>
        <v/>
      </c>
      <c r="J123" s="7"/>
      <c r="M123" s="7" t="str">
        <f t="shared" si="42"/>
        <v/>
      </c>
      <c r="N123" t="str">
        <f t="shared" si="43"/>
        <v/>
      </c>
      <c r="O123" t="str">
        <f t="shared" si="44"/>
        <v/>
      </c>
      <c r="P123" t="str">
        <f t="shared" si="45"/>
        <v/>
      </c>
      <c r="R123" t="str">
        <f>""</f>
        <v/>
      </c>
    </row>
    <row r="124" spans="6:18" x14ac:dyDescent="0.2">
      <c r="F124" t="str">
        <f t="shared" si="41"/>
        <v/>
      </c>
      <c r="J124" s="7"/>
      <c r="M124" s="7" t="str">
        <f t="shared" si="42"/>
        <v/>
      </c>
      <c r="N124" t="str">
        <f t="shared" si="43"/>
        <v/>
      </c>
      <c r="O124" t="str">
        <f t="shared" si="44"/>
        <v/>
      </c>
      <c r="P124" t="str">
        <f t="shared" si="45"/>
        <v/>
      </c>
      <c r="R124" t="str">
        <f>""</f>
        <v/>
      </c>
    </row>
    <row r="125" spans="6:18" x14ac:dyDescent="0.2">
      <c r="F125" t="str">
        <f t="shared" si="41"/>
        <v/>
      </c>
      <c r="J125" s="7"/>
      <c r="M125" s="7" t="str">
        <f t="shared" si="42"/>
        <v/>
      </c>
      <c r="N125" t="str">
        <f t="shared" si="43"/>
        <v/>
      </c>
      <c r="O125" t="str">
        <f t="shared" si="44"/>
        <v/>
      </c>
      <c r="P125" t="str">
        <f t="shared" si="45"/>
        <v/>
      </c>
      <c r="R125" t="str">
        <f>""</f>
        <v/>
      </c>
    </row>
    <row r="126" spans="6:18" x14ac:dyDescent="0.2">
      <c r="F126" t="str">
        <f t="shared" si="41"/>
        <v/>
      </c>
      <c r="J126" s="7"/>
      <c r="M126" s="7" t="str">
        <f t="shared" si="42"/>
        <v/>
      </c>
      <c r="N126" t="str">
        <f t="shared" si="43"/>
        <v/>
      </c>
      <c r="O126" t="str">
        <f t="shared" si="44"/>
        <v/>
      </c>
      <c r="P126" t="str">
        <f t="shared" si="45"/>
        <v/>
      </c>
      <c r="R126" t="str">
        <f>""</f>
        <v/>
      </c>
    </row>
    <row r="127" spans="6:18" x14ac:dyDescent="0.2">
      <c r="F127" t="str">
        <f t="shared" si="41"/>
        <v/>
      </c>
      <c r="J127" s="7"/>
      <c r="M127" s="7" t="str">
        <f t="shared" si="42"/>
        <v/>
      </c>
      <c r="N127" t="str">
        <f t="shared" si="43"/>
        <v/>
      </c>
      <c r="O127" t="str">
        <f t="shared" si="44"/>
        <v/>
      </c>
      <c r="P127" t="str">
        <f t="shared" si="45"/>
        <v/>
      </c>
      <c r="R127" t="str">
        <f>""</f>
        <v/>
      </c>
    </row>
    <row r="128" spans="6:18" x14ac:dyDescent="0.2">
      <c r="F128" t="str">
        <f t="shared" si="41"/>
        <v/>
      </c>
      <c r="J128" s="7"/>
      <c r="M128" s="7" t="str">
        <f t="shared" si="42"/>
        <v/>
      </c>
      <c r="N128" t="str">
        <f t="shared" si="43"/>
        <v/>
      </c>
      <c r="O128" t="str">
        <f t="shared" si="44"/>
        <v/>
      </c>
      <c r="P128" t="str">
        <f t="shared" si="45"/>
        <v/>
      </c>
      <c r="R128" t="str">
        <f>""</f>
        <v/>
      </c>
    </row>
    <row r="129" spans="6:18" x14ac:dyDescent="0.2">
      <c r="F129" t="str">
        <f t="shared" si="41"/>
        <v/>
      </c>
      <c r="J129" s="7"/>
      <c r="M129" s="7" t="str">
        <f t="shared" si="42"/>
        <v/>
      </c>
      <c r="N129" t="str">
        <f t="shared" si="43"/>
        <v/>
      </c>
      <c r="O129" t="str">
        <f t="shared" si="44"/>
        <v/>
      </c>
      <c r="P129" t="str">
        <f t="shared" si="45"/>
        <v/>
      </c>
      <c r="R129" t="str">
        <f>""</f>
        <v/>
      </c>
    </row>
    <row r="130" spans="6:18" x14ac:dyDescent="0.2">
      <c r="F130" t="str">
        <f t="shared" si="41"/>
        <v/>
      </c>
      <c r="J130" s="7"/>
      <c r="M130" s="7" t="str">
        <f t="shared" si="42"/>
        <v/>
      </c>
      <c r="N130" t="str">
        <f t="shared" si="43"/>
        <v/>
      </c>
      <c r="O130" t="str">
        <f t="shared" si="44"/>
        <v/>
      </c>
      <c r="P130" t="str">
        <f t="shared" si="45"/>
        <v/>
      </c>
      <c r="R130" t="str">
        <f>""</f>
        <v/>
      </c>
    </row>
    <row r="131" spans="6:18" x14ac:dyDescent="0.2">
      <c r="F131" t="str">
        <f t="shared" si="41"/>
        <v/>
      </c>
      <c r="J131" s="7"/>
      <c r="M131" s="7" t="str">
        <f t="shared" si="42"/>
        <v/>
      </c>
      <c r="N131" t="str">
        <f t="shared" si="43"/>
        <v/>
      </c>
      <c r="O131" t="str">
        <f t="shared" si="44"/>
        <v/>
      </c>
      <c r="P131" t="str">
        <f t="shared" si="45"/>
        <v/>
      </c>
      <c r="R131" t="str">
        <f>""</f>
        <v/>
      </c>
    </row>
    <row r="132" spans="6:18" x14ac:dyDescent="0.2">
      <c r="F132" t="str">
        <f t="shared" si="41"/>
        <v/>
      </c>
      <c r="J132" s="7"/>
      <c r="M132" s="7" t="str">
        <f t="shared" si="42"/>
        <v/>
      </c>
      <c r="N132" t="str">
        <f t="shared" si="43"/>
        <v/>
      </c>
      <c r="O132" t="str">
        <f t="shared" si="44"/>
        <v/>
      </c>
      <c r="P132" t="str">
        <f t="shared" si="45"/>
        <v/>
      </c>
      <c r="R132" t="str">
        <f>""</f>
        <v/>
      </c>
    </row>
    <row r="133" spans="6:18" x14ac:dyDescent="0.2">
      <c r="F133" t="str">
        <f t="shared" si="41"/>
        <v/>
      </c>
      <c r="J133" s="7"/>
      <c r="M133" s="7" t="str">
        <f t="shared" si="42"/>
        <v/>
      </c>
      <c r="N133" t="str">
        <f t="shared" si="43"/>
        <v/>
      </c>
      <c r="O133" t="str">
        <f t="shared" si="44"/>
        <v/>
      </c>
      <c r="P133" t="str">
        <f t="shared" si="45"/>
        <v/>
      </c>
      <c r="R133" t="str">
        <f>""</f>
        <v/>
      </c>
    </row>
    <row r="134" spans="6:18" x14ac:dyDescent="0.2">
      <c r="F134" t="str">
        <f t="shared" si="41"/>
        <v/>
      </c>
      <c r="J134" s="7"/>
      <c r="M134" s="7" t="str">
        <f t="shared" si="42"/>
        <v/>
      </c>
      <c r="N134" t="str">
        <f t="shared" si="43"/>
        <v/>
      </c>
      <c r="O134" t="str">
        <f t="shared" si="44"/>
        <v/>
      </c>
      <c r="P134" t="str">
        <f t="shared" si="45"/>
        <v/>
      </c>
      <c r="R134" t="str">
        <f>""</f>
        <v/>
      </c>
    </row>
    <row r="135" spans="6:18" x14ac:dyDescent="0.2">
      <c r="F135" t="str">
        <f t="shared" si="41"/>
        <v/>
      </c>
      <c r="J135" s="7"/>
      <c r="M135" s="7" t="str">
        <f t="shared" si="42"/>
        <v/>
      </c>
      <c r="N135" t="str">
        <f t="shared" si="43"/>
        <v/>
      </c>
      <c r="O135" t="str">
        <f t="shared" si="44"/>
        <v/>
      </c>
      <c r="P135" t="str">
        <f t="shared" si="45"/>
        <v/>
      </c>
      <c r="R135" t="str">
        <f>""</f>
        <v/>
      </c>
    </row>
    <row r="136" spans="6:18" x14ac:dyDescent="0.2">
      <c r="F136" t="str">
        <f t="shared" si="41"/>
        <v/>
      </c>
      <c r="J136" s="7"/>
      <c r="M136" s="7" t="str">
        <f t="shared" si="42"/>
        <v/>
      </c>
      <c r="N136" t="str">
        <f t="shared" si="43"/>
        <v/>
      </c>
      <c r="O136" t="str">
        <f t="shared" si="44"/>
        <v/>
      </c>
      <c r="P136" t="str">
        <f t="shared" si="45"/>
        <v/>
      </c>
      <c r="R136" t="str">
        <f>""</f>
        <v/>
      </c>
    </row>
    <row r="137" spans="6:18" x14ac:dyDescent="0.2">
      <c r="F137" t="str">
        <f t="shared" si="41"/>
        <v/>
      </c>
      <c r="J137" s="7"/>
      <c r="M137" s="7" t="str">
        <f t="shared" si="42"/>
        <v/>
      </c>
      <c r="N137" t="str">
        <f t="shared" si="43"/>
        <v/>
      </c>
      <c r="O137" t="str">
        <f t="shared" si="44"/>
        <v/>
      </c>
      <c r="P137" t="str">
        <f t="shared" si="45"/>
        <v/>
      </c>
      <c r="R137" t="str">
        <f>""</f>
        <v/>
      </c>
    </row>
    <row r="138" spans="6:18" x14ac:dyDescent="0.2">
      <c r="F138" t="str">
        <f t="shared" si="41"/>
        <v/>
      </c>
      <c r="J138" s="7"/>
      <c r="M138" s="7" t="str">
        <f t="shared" si="42"/>
        <v/>
      </c>
      <c r="N138" t="str">
        <f t="shared" si="43"/>
        <v/>
      </c>
      <c r="O138" t="str">
        <f t="shared" si="44"/>
        <v/>
      </c>
      <c r="P138" t="str">
        <f t="shared" si="45"/>
        <v/>
      </c>
      <c r="R138" t="str">
        <f>""</f>
        <v/>
      </c>
    </row>
    <row r="139" spans="6:18" x14ac:dyDescent="0.2">
      <c r="F139" t="str">
        <f t="shared" si="41"/>
        <v/>
      </c>
      <c r="J139" s="7"/>
      <c r="M139" s="7" t="str">
        <f t="shared" si="42"/>
        <v/>
      </c>
      <c r="N139" t="str">
        <f t="shared" si="43"/>
        <v/>
      </c>
      <c r="O139" t="str">
        <f t="shared" si="44"/>
        <v/>
      </c>
      <c r="P139" t="str">
        <f t="shared" si="45"/>
        <v/>
      </c>
      <c r="R139" t="str">
        <f>""</f>
        <v/>
      </c>
    </row>
    <row r="140" spans="6:18" x14ac:dyDescent="0.2">
      <c r="F140" t="str">
        <f t="shared" si="41"/>
        <v/>
      </c>
      <c r="J140" s="7"/>
      <c r="M140" s="7" t="str">
        <f t="shared" si="42"/>
        <v/>
      </c>
      <c r="N140" t="str">
        <f t="shared" si="43"/>
        <v/>
      </c>
      <c r="O140" t="str">
        <f t="shared" si="44"/>
        <v/>
      </c>
      <c r="P140" t="str">
        <f t="shared" si="45"/>
        <v/>
      </c>
      <c r="R140" t="str">
        <f>""</f>
        <v/>
      </c>
    </row>
    <row r="141" spans="6:18" x14ac:dyDescent="0.2">
      <c r="F141" t="str">
        <f t="shared" si="41"/>
        <v/>
      </c>
      <c r="J141" s="7"/>
      <c r="M141" s="7" t="str">
        <f t="shared" si="42"/>
        <v/>
      </c>
      <c r="N141" t="str">
        <f t="shared" si="43"/>
        <v/>
      </c>
      <c r="O141" t="str">
        <f t="shared" si="44"/>
        <v/>
      </c>
      <c r="P141" t="str">
        <f t="shared" si="45"/>
        <v/>
      </c>
      <c r="R141" t="str">
        <f>""</f>
        <v/>
      </c>
    </row>
    <row r="142" spans="6:18" x14ac:dyDescent="0.2">
      <c r="F142" t="str">
        <f t="shared" si="41"/>
        <v/>
      </c>
      <c r="J142" s="7"/>
      <c r="M142" s="7" t="str">
        <f t="shared" si="42"/>
        <v/>
      </c>
      <c r="N142" t="str">
        <f t="shared" si="43"/>
        <v/>
      </c>
      <c r="O142" t="str">
        <f t="shared" si="44"/>
        <v/>
      </c>
      <c r="P142" t="str">
        <f t="shared" si="45"/>
        <v/>
      </c>
      <c r="R142" t="str">
        <f>""</f>
        <v/>
      </c>
    </row>
    <row r="143" spans="6:18" x14ac:dyDescent="0.2">
      <c r="F143" t="str">
        <f t="shared" si="41"/>
        <v/>
      </c>
      <c r="J143" s="7"/>
      <c r="M143" s="7" t="str">
        <f t="shared" si="42"/>
        <v/>
      </c>
      <c r="N143" t="str">
        <f t="shared" si="43"/>
        <v/>
      </c>
      <c r="O143" t="str">
        <f t="shared" si="44"/>
        <v/>
      </c>
      <c r="P143" t="str">
        <f t="shared" si="45"/>
        <v/>
      </c>
      <c r="R143" t="str">
        <f>""</f>
        <v/>
      </c>
    </row>
    <row r="144" spans="6:18" x14ac:dyDescent="0.2">
      <c r="F144" t="str">
        <f t="shared" si="41"/>
        <v/>
      </c>
      <c r="J144" s="7"/>
      <c r="M144" s="7" t="str">
        <f t="shared" si="42"/>
        <v/>
      </c>
      <c r="N144" t="str">
        <f t="shared" si="43"/>
        <v/>
      </c>
      <c r="O144" t="str">
        <f t="shared" si="44"/>
        <v/>
      </c>
      <c r="P144" t="str">
        <f t="shared" si="45"/>
        <v/>
      </c>
      <c r="R144" t="str">
        <f>""</f>
        <v/>
      </c>
    </row>
    <row r="145" spans="6:18" x14ac:dyDescent="0.2">
      <c r="F145" t="str">
        <f t="shared" si="41"/>
        <v/>
      </c>
      <c r="J145" s="7"/>
      <c r="M145" s="7" t="str">
        <f t="shared" si="42"/>
        <v/>
      </c>
      <c r="N145" t="str">
        <f t="shared" si="43"/>
        <v/>
      </c>
      <c r="O145" t="str">
        <f t="shared" si="44"/>
        <v/>
      </c>
      <c r="P145" t="str">
        <f t="shared" si="45"/>
        <v/>
      </c>
      <c r="R145" t="str">
        <f>""</f>
        <v/>
      </c>
    </row>
    <row r="146" spans="6:18" x14ac:dyDescent="0.2">
      <c r="F146" t="str">
        <f t="shared" si="41"/>
        <v/>
      </c>
      <c r="J146" s="7"/>
      <c r="M146" s="7" t="str">
        <f t="shared" si="42"/>
        <v/>
      </c>
      <c r="N146" t="str">
        <f t="shared" si="43"/>
        <v/>
      </c>
      <c r="O146" t="str">
        <f t="shared" si="44"/>
        <v/>
      </c>
      <c r="P146" t="str">
        <f t="shared" si="45"/>
        <v/>
      </c>
      <c r="R146" t="str">
        <f>""</f>
        <v/>
      </c>
    </row>
    <row r="147" spans="6:18" x14ac:dyDescent="0.2">
      <c r="F147" t="str">
        <f t="shared" si="41"/>
        <v/>
      </c>
      <c r="J147" s="7"/>
      <c r="M147" s="7" t="str">
        <f t="shared" si="42"/>
        <v/>
      </c>
      <c r="N147" t="str">
        <f t="shared" si="43"/>
        <v/>
      </c>
      <c r="O147" t="str">
        <f t="shared" si="44"/>
        <v/>
      </c>
      <c r="P147" t="str">
        <f t="shared" si="45"/>
        <v/>
      </c>
      <c r="R147" t="str">
        <f>""</f>
        <v/>
      </c>
    </row>
    <row r="148" spans="6:18" x14ac:dyDescent="0.2">
      <c r="F148" t="str">
        <f t="shared" si="41"/>
        <v/>
      </c>
      <c r="J148" s="7"/>
      <c r="M148" s="7" t="str">
        <f t="shared" si="42"/>
        <v/>
      </c>
      <c r="N148" t="str">
        <f t="shared" si="43"/>
        <v/>
      </c>
      <c r="O148" t="str">
        <f t="shared" si="44"/>
        <v/>
      </c>
      <c r="P148" t="str">
        <f t="shared" si="45"/>
        <v/>
      </c>
      <c r="R148" t="str">
        <f>""</f>
        <v/>
      </c>
    </row>
    <row r="149" spans="6:18" x14ac:dyDescent="0.2">
      <c r="F149" t="str">
        <f t="shared" si="41"/>
        <v/>
      </c>
      <c r="J149" s="7"/>
      <c r="M149" s="7" t="str">
        <f t="shared" si="42"/>
        <v/>
      </c>
      <c r="N149" t="str">
        <f t="shared" si="43"/>
        <v/>
      </c>
      <c r="O149" t="str">
        <f t="shared" si="44"/>
        <v/>
      </c>
      <c r="P149" t="str">
        <f t="shared" si="45"/>
        <v/>
      </c>
      <c r="R149" t="str">
        <f>""</f>
        <v/>
      </c>
    </row>
    <row r="150" spans="6:18" x14ac:dyDescent="0.2">
      <c r="F150" t="str">
        <f t="shared" si="41"/>
        <v/>
      </c>
      <c r="J150" s="7"/>
      <c r="M150" s="7" t="str">
        <f t="shared" si="42"/>
        <v/>
      </c>
      <c r="N150" t="str">
        <f t="shared" si="43"/>
        <v/>
      </c>
      <c r="O150" t="str">
        <f t="shared" si="44"/>
        <v/>
      </c>
      <c r="P150" t="str">
        <f t="shared" si="45"/>
        <v/>
      </c>
      <c r="R150" t="str">
        <f>""</f>
        <v/>
      </c>
    </row>
    <row r="151" spans="6:18" x14ac:dyDescent="0.2">
      <c r="F151" t="str">
        <f t="shared" si="41"/>
        <v/>
      </c>
      <c r="J151" s="7"/>
      <c r="M151" s="7" t="str">
        <f t="shared" si="42"/>
        <v/>
      </c>
      <c r="N151" t="str">
        <f t="shared" si="43"/>
        <v/>
      </c>
      <c r="O151" t="str">
        <f t="shared" si="44"/>
        <v/>
      </c>
      <c r="P151" t="str">
        <f t="shared" si="45"/>
        <v/>
      </c>
      <c r="R151" t="str">
        <f>""</f>
        <v/>
      </c>
    </row>
    <row r="152" spans="6:18" x14ac:dyDescent="0.2">
      <c r="F152" t="str">
        <f t="shared" si="41"/>
        <v/>
      </c>
      <c r="J152" s="7"/>
      <c r="M152" s="7" t="str">
        <f t="shared" si="42"/>
        <v/>
      </c>
      <c r="N152" t="str">
        <f t="shared" si="43"/>
        <v/>
      </c>
      <c r="O152" t="str">
        <f t="shared" si="44"/>
        <v/>
      </c>
      <c r="P152" t="str">
        <f t="shared" si="45"/>
        <v/>
      </c>
      <c r="R152" t="str">
        <f>""</f>
        <v/>
      </c>
    </row>
    <row r="153" spans="6:18" x14ac:dyDescent="0.2">
      <c r="F153" t="str">
        <f t="shared" si="41"/>
        <v/>
      </c>
      <c r="J153" s="7"/>
      <c r="M153" s="7" t="str">
        <f t="shared" si="42"/>
        <v/>
      </c>
      <c r="N153" t="str">
        <f t="shared" si="43"/>
        <v/>
      </c>
      <c r="O153" t="str">
        <f t="shared" si="44"/>
        <v/>
      </c>
      <c r="P153" t="str">
        <f t="shared" si="45"/>
        <v/>
      </c>
      <c r="R153" t="str">
        <f>""</f>
        <v/>
      </c>
    </row>
    <row r="154" spans="6:18" x14ac:dyDescent="0.2">
      <c r="F154" t="str">
        <f t="shared" si="41"/>
        <v/>
      </c>
      <c r="J154" s="7"/>
      <c r="M154" s="7" t="str">
        <f t="shared" si="42"/>
        <v/>
      </c>
      <c r="N154" t="str">
        <f t="shared" si="43"/>
        <v/>
      </c>
      <c r="O154" t="str">
        <f t="shared" si="44"/>
        <v/>
      </c>
      <c r="P154" t="str">
        <f t="shared" si="45"/>
        <v/>
      </c>
      <c r="R154" t="str">
        <f>""</f>
        <v/>
      </c>
    </row>
    <row r="155" spans="6:18" x14ac:dyDescent="0.2">
      <c r="F155" t="str">
        <f t="shared" si="41"/>
        <v/>
      </c>
      <c r="J155" s="7"/>
      <c r="M155" s="7" t="str">
        <f t="shared" si="42"/>
        <v/>
      </c>
      <c r="N155" t="str">
        <f t="shared" si="43"/>
        <v/>
      </c>
      <c r="O155" t="str">
        <f t="shared" si="44"/>
        <v/>
      </c>
      <c r="P155" t="str">
        <f t="shared" si="45"/>
        <v/>
      </c>
      <c r="R155" t="str">
        <f>""</f>
        <v/>
      </c>
    </row>
    <row r="156" spans="6:18" x14ac:dyDescent="0.2">
      <c r="F156" t="str">
        <f t="shared" si="41"/>
        <v/>
      </c>
      <c r="J156" s="7"/>
      <c r="M156" s="7" t="str">
        <f t="shared" si="42"/>
        <v/>
      </c>
      <c r="N156" t="str">
        <f t="shared" si="43"/>
        <v/>
      </c>
      <c r="O156" t="str">
        <f t="shared" si="44"/>
        <v/>
      </c>
      <c r="P156" t="str">
        <f t="shared" si="45"/>
        <v/>
      </c>
    </row>
    <row r="157" spans="6:18" x14ac:dyDescent="0.2">
      <c r="F157" t="str">
        <f t="shared" si="41"/>
        <v/>
      </c>
      <c r="J157" s="7"/>
      <c r="M157" s="7" t="str">
        <f t="shared" si="42"/>
        <v/>
      </c>
      <c r="N157" t="str">
        <f t="shared" si="43"/>
        <v/>
      </c>
      <c r="O157" t="str">
        <f t="shared" si="44"/>
        <v/>
      </c>
      <c r="P157" t="str">
        <f t="shared" si="45"/>
        <v/>
      </c>
    </row>
    <row r="158" spans="6:18" x14ac:dyDescent="0.2">
      <c r="F158" t="str">
        <f t="shared" si="41"/>
        <v/>
      </c>
      <c r="J158" s="7"/>
      <c r="M158" s="7" t="str">
        <f t="shared" si="42"/>
        <v/>
      </c>
      <c r="N158" t="str">
        <f t="shared" si="43"/>
        <v/>
      </c>
      <c r="O158" t="str">
        <f t="shared" si="44"/>
        <v/>
      </c>
      <c r="P158" t="str">
        <f t="shared" si="45"/>
        <v/>
      </c>
    </row>
    <row r="159" spans="6:18" x14ac:dyDescent="0.2">
      <c r="F159" t="str">
        <f t="shared" si="41"/>
        <v/>
      </c>
      <c r="J159" s="7"/>
      <c r="M159" s="7" t="str">
        <f t="shared" si="42"/>
        <v/>
      </c>
      <c r="N159" t="str">
        <f t="shared" si="43"/>
        <v/>
      </c>
      <c r="O159" t="str">
        <f t="shared" si="44"/>
        <v/>
      </c>
      <c r="P159" t="str">
        <f t="shared" si="45"/>
        <v/>
      </c>
    </row>
    <row r="160" spans="6:18" x14ac:dyDescent="0.2">
      <c r="F160" t="str">
        <f t="shared" si="41"/>
        <v/>
      </c>
      <c r="J160" s="7"/>
      <c r="M160" s="7" t="str">
        <f t="shared" si="42"/>
        <v/>
      </c>
      <c r="N160" t="str">
        <f t="shared" si="43"/>
        <v/>
      </c>
      <c r="O160" t="str">
        <f t="shared" si="44"/>
        <v/>
      </c>
      <c r="P160" t="str">
        <f t="shared" si="45"/>
        <v/>
      </c>
    </row>
    <row r="161" spans="6:16" x14ac:dyDescent="0.2">
      <c r="F161" t="str">
        <f t="shared" si="41"/>
        <v/>
      </c>
      <c r="J161" s="7"/>
      <c r="M161" s="7" t="str">
        <f t="shared" si="42"/>
        <v/>
      </c>
      <c r="N161" t="str">
        <f t="shared" si="43"/>
        <v/>
      </c>
      <c r="O161" t="str">
        <f t="shared" si="44"/>
        <v/>
      </c>
      <c r="P161" t="str">
        <f t="shared" si="45"/>
        <v/>
      </c>
    </row>
    <row r="162" spans="6:16" x14ac:dyDescent="0.2">
      <c r="F162" t="str">
        <f t="shared" si="41"/>
        <v/>
      </c>
      <c r="J162" s="7"/>
      <c r="M162" s="7" t="str">
        <f t="shared" si="42"/>
        <v/>
      </c>
      <c r="N162" t="str">
        <f t="shared" si="43"/>
        <v/>
      </c>
      <c r="O162" t="str">
        <f t="shared" si="44"/>
        <v/>
      </c>
      <c r="P162" t="str">
        <f t="shared" si="45"/>
        <v/>
      </c>
    </row>
    <row r="163" spans="6:16" x14ac:dyDescent="0.2">
      <c r="F163" t="str">
        <f t="shared" si="41"/>
        <v/>
      </c>
      <c r="J163" s="7"/>
      <c r="M163" s="7" t="str">
        <f t="shared" si="42"/>
        <v/>
      </c>
      <c r="N163" t="str">
        <f t="shared" si="43"/>
        <v/>
      </c>
      <c r="O163" t="str">
        <f t="shared" si="44"/>
        <v/>
      </c>
      <c r="P163" t="str">
        <f t="shared" si="45"/>
        <v/>
      </c>
    </row>
    <row r="164" spans="6:16" x14ac:dyDescent="0.2">
      <c r="F164" t="str">
        <f t="shared" si="41"/>
        <v/>
      </c>
      <c r="J164" s="7"/>
      <c r="M164" s="7" t="str">
        <f t="shared" si="42"/>
        <v/>
      </c>
      <c r="N164" t="str">
        <f t="shared" si="43"/>
        <v/>
      </c>
      <c r="O164" t="str">
        <f t="shared" si="44"/>
        <v/>
      </c>
      <c r="P164" t="str">
        <f t="shared" si="45"/>
        <v/>
      </c>
    </row>
    <row r="165" spans="6:16" x14ac:dyDescent="0.2">
      <c r="F165" t="str">
        <f t="shared" si="41"/>
        <v/>
      </c>
      <c r="J165" s="7"/>
      <c r="M165" s="7" t="str">
        <f t="shared" si="42"/>
        <v/>
      </c>
      <c r="N165" t="str">
        <f t="shared" si="43"/>
        <v/>
      </c>
      <c r="O165" t="str">
        <f t="shared" si="44"/>
        <v/>
      </c>
      <c r="P165" t="str">
        <f t="shared" si="45"/>
        <v/>
      </c>
    </row>
    <row r="166" spans="6:16" x14ac:dyDescent="0.2">
      <c r="F166" t="str">
        <f t="shared" si="41"/>
        <v/>
      </c>
      <c r="J166" s="7"/>
      <c r="M166" s="7" t="str">
        <f t="shared" si="42"/>
        <v/>
      </c>
      <c r="N166" t="str">
        <f t="shared" si="43"/>
        <v/>
      </c>
      <c r="O166" t="str">
        <f t="shared" si="44"/>
        <v/>
      </c>
      <c r="P166" t="str">
        <f t="shared" si="45"/>
        <v/>
      </c>
    </row>
    <row r="167" spans="6:16" x14ac:dyDescent="0.2">
      <c r="F167" t="str">
        <f t="shared" ref="F167:F230" si="46">IF(OR(N167="", O167=""), "", SUM(IF((N167&lt;&gt;"None")*(N167&lt;&gt;""),LEN(N167)-LEN(SUBSTITUTE(N167,",",""))+1,0)) + SUM(IF((O167&lt;&gt;"None")*(O167&lt;&gt;""),LEN(O167)-LEN(SUBSTITUTE(O167,",",""))+1,0)))</f>
        <v/>
      </c>
      <c r="J167" s="7"/>
      <c r="M167" s="7" t="str">
        <f t="shared" ref="M167:M230" si="47">IF(L167="Yes",K167-J167,IF(L167="No",-J167,""))</f>
        <v/>
      </c>
      <c r="N167" t="str">
        <f t="shared" ref="N167:N230" si="48">IF(G167 = "No", "None", "")</f>
        <v/>
      </c>
      <c r="O167" t="str">
        <f t="shared" ref="O167:O230" si="49">IF(H167="No", "None", "")</f>
        <v/>
      </c>
      <c r="P167" t="str">
        <f t="shared" ref="P167:P230" si="50">IF(AND(D167="Straight", L167 = "No"),IF(N167="None",O167,IF(O167="None",N167) ),"")</f>
        <v/>
      </c>
    </row>
    <row r="168" spans="6:16" x14ac:dyDescent="0.2">
      <c r="F168" t="str">
        <f t="shared" si="46"/>
        <v/>
      </c>
      <c r="J168" s="7"/>
      <c r="M168" s="7" t="str">
        <f t="shared" si="47"/>
        <v/>
      </c>
      <c r="N168" t="str">
        <f t="shared" si="48"/>
        <v/>
      </c>
      <c r="O168" t="str">
        <f t="shared" si="49"/>
        <v/>
      </c>
      <c r="P168" t="str">
        <f t="shared" si="50"/>
        <v/>
      </c>
    </row>
    <row r="169" spans="6:16" x14ac:dyDescent="0.2">
      <c r="F169" t="str">
        <f t="shared" si="46"/>
        <v/>
      </c>
      <c r="J169" s="7"/>
      <c r="M169" s="7" t="str">
        <f t="shared" si="47"/>
        <v/>
      </c>
      <c r="N169" t="str">
        <f t="shared" si="48"/>
        <v/>
      </c>
      <c r="O169" t="str">
        <f t="shared" si="49"/>
        <v/>
      </c>
      <c r="P169" t="str">
        <f t="shared" si="50"/>
        <v/>
      </c>
    </row>
    <row r="170" spans="6:16" x14ac:dyDescent="0.2">
      <c r="F170" t="str">
        <f t="shared" si="46"/>
        <v/>
      </c>
      <c r="J170" s="7"/>
      <c r="M170" s="7" t="str">
        <f t="shared" si="47"/>
        <v/>
      </c>
      <c r="N170" t="str">
        <f t="shared" si="48"/>
        <v/>
      </c>
      <c r="O170" t="str">
        <f t="shared" si="49"/>
        <v/>
      </c>
      <c r="P170" t="str">
        <f t="shared" si="50"/>
        <v/>
      </c>
    </row>
    <row r="171" spans="6:16" x14ac:dyDescent="0.2">
      <c r="F171" t="str">
        <f t="shared" si="46"/>
        <v/>
      </c>
      <c r="J171" s="7"/>
      <c r="M171" s="7" t="str">
        <f t="shared" si="47"/>
        <v/>
      </c>
      <c r="N171" t="str">
        <f t="shared" si="48"/>
        <v/>
      </c>
      <c r="O171" t="str">
        <f t="shared" si="49"/>
        <v/>
      </c>
      <c r="P171" t="str">
        <f t="shared" si="50"/>
        <v/>
      </c>
    </row>
    <row r="172" spans="6:16" x14ac:dyDescent="0.2">
      <c r="F172" t="str">
        <f t="shared" si="46"/>
        <v/>
      </c>
      <c r="J172" s="7"/>
      <c r="M172" s="7" t="str">
        <f t="shared" si="47"/>
        <v/>
      </c>
      <c r="N172" t="str">
        <f t="shared" si="48"/>
        <v/>
      </c>
      <c r="O172" t="str">
        <f t="shared" si="49"/>
        <v/>
      </c>
      <c r="P172" t="str">
        <f t="shared" si="50"/>
        <v/>
      </c>
    </row>
    <row r="173" spans="6:16" x14ac:dyDescent="0.2">
      <c r="F173" t="str">
        <f t="shared" si="46"/>
        <v/>
      </c>
      <c r="J173" s="7"/>
      <c r="M173" s="7" t="str">
        <f t="shared" si="47"/>
        <v/>
      </c>
      <c r="N173" t="str">
        <f t="shared" si="48"/>
        <v/>
      </c>
      <c r="O173" t="str">
        <f t="shared" si="49"/>
        <v/>
      </c>
      <c r="P173" t="str">
        <f t="shared" si="50"/>
        <v/>
      </c>
    </row>
    <row r="174" spans="6:16" x14ac:dyDescent="0.2">
      <c r="F174" t="str">
        <f t="shared" si="46"/>
        <v/>
      </c>
      <c r="J174" s="7"/>
      <c r="M174" s="7" t="str">
        <f t="shared" si="47"/>
        <v/>
      </c>
      <c r="N174" t="str">
        <f t="shared" si="48"/>
        <v/>
      </c>
      <c r="O174" t="str">
        <f t="shared" si="49"/>
        <v/>
      </c>
      <c r="P174" t="str">
        <f t="shared" si="50"/>
        <v/>
      </c>
    </row>
    <row r="175" spans="6:16" x14ac:dyDescent="0.2">
      <c r="F175" t="str">
        <f t="shared" si="46"/>
        <v/>
      </c>
      <c r="J175" s="7"/>
      <c r="M175" s="7" t="str">
        <f t="shared" si="47"/>
        <v/>
      </c>
      <c r="N175" t="str">
        <f t="shared" si="48"/>
        <v/>
      </c>
      <c r="O175" t="str">
        <f t="shared" si="49"/>
        <v/>
      </c>
      <c r="P175" t="str">
        <f t="shared" si="50"/>
        <v/>
      </c>
    </row>
    <row r="176" spans="6:16" x14ac:dyDescent="0.2">
      <c r="F176" t="str">
        <f t="shared" si="46"/>
        <v/>
      </c>
      <c r="J176" s="7"/>
      <c r="M176" s="7" t="str">
        <f t="shared" si="47"/>
        <v/>
      </c>
      <c r="N176" t="str">
        <f t="shared" si="48"/>
        <v/>
      </c>
      <c r="O176" t="str">
        <f t="shared" si="49"/>
        <v/>
      </c>
      <c r="P176" t="str">
        <f t="shared" si="50"/>
        <v/>
      </c>
    </row>
    <row r="177" spans="6:16" x14ac:dyDescent="0.2">
      <c r="F177" t="str">
        <f t="shared" si="46"/>
        <v/>
      </c>
      <c r="J177" s="7"/>
      <c r="M177" s="7" t="str">
        <f t="shared" si="47"/>
        <v/>
      </c>
      <c r="N177" t="str">
        <f t="shared" si="48"/>
        <v/>
      </c>
      <c r="O177" t="str">
        <f t="shared" si="49"/>
        <v/>
      </c>
      <c r="P177" t="str">
        <f t="shared" si="50"/>
        <v/>
      </c>
    </row>
    <row r="178" spans="6:16" x14ac:dyDescent="0.2">
      <c r="F178" t="str">
        <f t="shared" si="46"/>
        <v/>
      </c>
      <c r="J178" s="7"/>
      <c r="M178" s="7" t="str">
        <f t="shared" si="47"/>
        <v/>
      </c>
      <c r="N178" t="str">
        <f t="shared" si="48"/>
        <v/>
      </c>
      <c r="O178" t="str">
        <f t="shared" si="49"/>
        <v/>
      </c>
      <c r="P178" t="str">
        <f t="shared" si="50"/>
        <v/>
      </c>
    </row>
    <row r="179" spans="6:16" x14ac:dyDescent="0.2">
      <c r="F179" t="str">
        <f t="shared" si="46"/>
        <v/>
      </c>
      <c r="J179" s="7"/>
      <c r="M179" s="7" t="str">
        <f t="shared" si="47"/>
        <v/>
      </c>
      <c r="N179" t="str">
        <f t="shared" si="48"/>
        <v/>
      </c>
      <c r="O179" t="str">
        <f t="shared" si="49"/>
        <v/>
      </c>
      <c r="P179" t="str">
        <f t="shared" si="50"/>
        <v/>
      </c>
    </row>
    <row r="180" spans="6:16" x14ac:dyDescent="0.2">
      <c r="F180" t="str">
        <f t="shared" si="46"/>
        <v/>
      </c>
      <c r="J180" s="7"/>
      <c r="M180" s="7" t="str">
        <f t="shared" si="47"/>
        <v/>
      </c>
      <c r="N180" t="str">
        <f t="shared" si="48"/>
        <v/>
      </c>
      <c r="O180" t="str">
        <f t="shared" si="49"/>
        <v/>
      </c>
      <c r="P180" t="str">
        <f t="shared" si="50"/>
        <v/>
      </c>
    </row>
    <row r="181" spans="6:16" x14ac:dyDescent="0.2">
      <c r="F181" t="str">
        <f t="shared" si="46"/>
        <v/>
      </c>
      <c r="J181" s="7"/>
      <c r="M181" s="7" t="str">
        <f t="shared" si="47"/>
        <v/>
      </c>
      <c r="N181" t="str">
        <f t="shared" si="48"/>
        <v/>
      </c>
      <c r="O181" t="str">
        <f t="shared" si="49"/>
        <v/>
      </c>
      <c r="P181" t="str">
        <f t="shared" si="50"/>
        <v/>
      </c>
    </row>
    <row r="182" spans="6:16" x14ac:dyDescent="0.2">
      <c r="F182" t="str">
        <f t="shared" si="46"/>
        <v/>
      </c>
      <c r="J182" s="7"/>
      <c r="M182" s="7" t="str">
        <f t="shared" si="47"/>
        <v/>
      </c>
      <c r="N182" t="str">
        <f t="shared" si="48"/>
        <v/>
      </c>
      <c r="O182" t="str">
        <f t="shared" si="49"/>
        <v/>
      </c>
      <c r="P182" t="str">
        <f t="shared" si="50"/>
        <v/>
      </c>
    </row>
    <row r="183" spans="6:16" x14ac:dyDescent="0.2">
      <c r="F183" t="str">
        <f t="shared" si="46"/>
        <v/>
      </c>
      <c r="J183" s="7"/>
      <c r="M183" s="7" t="str">
        <f t="shared" si="47"/>
        <v/>
      </c>
      <c r="N183" t="str">
        <f t="shared" si="48"/>
        <v/>
      </c>
      <c r="O183" t="str">
        <f t="shared" si="49"/>
        <v/>
      </c>
      <c r="P183" t="str">
        <f t="shared" si="50"/>
        <v/>
      </c>
    </row>
    <row r="184" spans="6:16" x14ac:dyDescent="0.2">
      <c r="F184" t="str">
        <f t="shared" si="46"/>
        <v/>
      </c>
      <c r="J184" s="7"/>
      <c r="M184" s="7" t="str">
        <f t="shared" si="47"/>
        <v/>
      </c>
      <c r="N184" t="str">
        <f t="shared" si="48"/>
        <v/>
      </c>
      <c r="O184" t="str">
        <f t="shared" si="49"/>
        <v/>
      </c>
      <c r="P184" t="str">
        <f t="shared" si="50"/>
        <v/>
      </c>
    </row>
    <row r="185" spans="6:16" x14ac:dyDescent="0.2">
      <c r="F185" t="str">
        <f t="shared" si="46"/>
        <v/>
      </c>
      <c r="J185" s="7"/>
      <c r="M185" s="7" t="str">
        <f t="shared" si="47"/>
        <v/>
      </c>
      <c r="N185" t="str">
        <f t="shared" si="48"/>
        <v/>
      </c>
      <c r="O185" t="str">
        <f t="shared" si="49"/>
        <v/>
      </c>
      <c r="P185" t="str">
        <f t="shared" si="50"/>
        <v/>
      </c>
    </row>
    <row r="186" spans="6:16" x14ac:dyDescent="0.2">
      <c r="F186" t="str">
        <f t="shared" si="46"/>
        <v/>
      </c>
      <c r="J186" s="7"/>
      <c r="M186" s="7" t="str">
        <f t="shared" si="47"/>
        <v/>
      </c>
      <c r="N186" t="str">
        <f t="shared" si="48"/>
        <v/>
      </c>
      <c r="O186" t="str">
        <f t="shared" si="49"/>
        <v/>
      </c>
      <c r="P186" t="str">
        <f t="shared" si="50"/>
        <v/>
      </c>
    </row>
    <row r="187" spans="6:16" x14ac:dyDescent="0.2">
      <c r="F187" t="str">
        <f t="shared" si="46"/>
        <v/>
      </c>
      <c r="J187" s="7"/>
      <c r="M187" s="7" t="str">
        <f t="shared" si="47"/>
        <v/>
      </c>
      <c r="N187" t="str">
        <f t="shared" si="48"/>
        <v/>
      </c>
      <c r="O187" t="str">
        <f t="shared" si="49"/>
        <v/>
      </c>
      <c r="P187" t="str">
        <f t="shared" si="50"/>
        <v/>
      </c>
    </row>
    <row r="188" spans="6:16" x14ac:dyDescent="0.2">
      <c r="F188" t="str">
        <f t="shared" si="46"/>
        <v/>
      </c>
      <c r="J188" s="7"/>
      <c r="M188" s="7" t="str">
        <f t="shared" si="47"/>
        <v/>
      </c>
      <c r="N188" t="str">
        <f t="shared" si="48"/>
        <v/>
      </c>
      <c r="O188" t="str">
        <f t="shared" si="49"/>
        <v/>
      </c>
      <c r="P188" t="str">
        <f t="shared" si="50"/>
        <v/>
      </c>
    </row>
    <row r="189" spans="6:16" x14ac:dyDescent="0.2">
      <c r="F189" t="str">
        <f t="shared" si="46"/>
        <v/>
      </c>
      <c r="J189" s="7"/>
      <c r="M189" s="7" t="str">
        <f t="shared" si="47"/>
        <v/>
      </c>
      <c r="N189" t="str">
        <f t="shared" si="48"/>
        <v/>
      </c>
      <c r="O189" t="str">
        <f t="shared" si="49"/>
        <v/>
      </c>
      <c r="P189" t="str">
        <f t="shared" si="50"/>
        <v/>
      </c>
    </row>
    <row r="190" spans="6:16" x14ac:dyDescent="0.2">
      <c r="F190" t="str">
        <f t="shared" si="46"/>
        <v/>
      </c>
      <c r="J190" s="7"/>
      <c r="M190" s="7" t="str">
        <f t="shared" si="47"/>
        <v/>
      </c>
      <c r="N190" t="str">
        <f t="shared" si="48"/>
        <v/>
      </c>
      <c r="O190" t="str">
        <f t="shared" si="49"/>
        <v/>
      </c>
      <c r="P190" t="str">
        <f t="shared" si="50"/>
        <v/>
      </c>
    </row>
    <row r="191" spans="6:16" x14ac:dyDescent="0.2">
      <c r="F191" t="str">
        <f t="shared" si="46"/>
        <v/>
      </c>
      <c r="J191" s="7"/>
      <c r="M191" s="7" t="str">
        <f t="shared" si="47"/>
        <v/>
      </c>
      <c r="N191" t="str">
        <f t="shared" si="48"/>
        <v/>
      </c>
      <c r="O191" t="str">
        <f t="shared" si="49"/>
        <v/>
      </c>
      <c r="P191" t="str">
        <f t="shared" si="50"/>
        <v/>
      </c>
    </row>
    <row r="192" spans="6:16" x14ac:dyDescent="0.2">
      <c r="F192" t="str">
        <f t="shared" si="46"/>
        <v/>
      </c>
      <c r="J192" s="7"/>
      <c r="M192" s="7" t="str">
        <f t="shared" si="47"/>
        <v/>
      </c>
      <c r="N192" t="str">
        <f t="shared" si="48"/>
        <v/>
      </c>
      <c r="O192" t="str">
        <f t="shared" si="49"/>
        <v/>
      </c>
      <c r="P192" t="str">
        <f t="shared" si="50"/>
        <v/>
      </c>
    </row>
    <row r="193" spans="6:16" x14ac:dyDescent="0.2">
      <c r="F193" t="str">
        <f t="shared" si="46"/>
        <v/>
      </c>
      <c r="J193" s="7"/>
      <c r="M193" s="7" t="str">
        <f t="shared" si="47"/>
        <v/>
      </c>
      <c r="N193" t="str">
        <f t="shared" si="48"/>
        <v/>
      </c>
      <c r="O193" t="str">
        <f t="shared" si="49"/>
        <v/>
      </c>
      <c r="P193" t="str">
        <f t="shared" si="50"/>
        <v/>
      </c>
    </row>
    <row r="194" spans="6:16" x14ac:dyDescent="0.2">
      <c r="F194" t="str">
        <f t="shared" si="46"/>
        <v/>
      </c>
      <c r="J194" s="7"/>
      <c r="M194" s="7" t="str">
        <f t="shared" si="47"/>
        <v/>
      </c>
      <c r="N194" t="str">
        <f t="shared" si="48"/>
        <v/>
      </c>
      <c r="O194" t="str">
        <f t="shared" si="49"/>
        <v/>
      </c>
      <c r="P194" t="str">
        <f t="shared" si="50"/>
        <v/>
      </c>
    </row>
    <row r="195" spans="6:16" x14ac:dyDescent="0.2">
      <c r="F195" t="str">
        <f t="shared" si="46"/>
        <v/>
      </c>
      <c r="J195" s="7"/>
      <c r="M195" s="7" t="str">
        <f t="shared" si="47"/>
        <v/>
      </c>
      <c r="N195" t="str">
        <f t="shared" si="48"/>
        <v/>
      </c>
      <c r="O195" t="str">
        <f t="shared" si="49"/>
        <v/>
      </c>
      <c r="P195" t="str">
        <f t="shared" si="50"/>
        <v/>
      </c>
    </row>
    <row r="196" spans="6:16" x14ac:dyDescent="0.2">
      <c r="F196" t="str">
        <f t="shared" si="46"/>
        <v/>
      </c>
      <c r="J196" s="7"/>
      <c r="M196" s="7" t="str">
        <f t="shared" si="47"/>
        <v/>
      </c>
      <c r="N196" t="str">
        <f t="shared" si="48"/>
        <v/>
      </c>
      <c r="O196" t="str">
        <f t="shared" si="49"/>
        <v/>
      </c>
      <c r="P196" t="str">
        <f t="shared" si="50"/>
        <v/>
      </c>
    </row>
    <row r="197" spans="6:16" x14ac:dyDescent="0.2">
      <c r="F197" t="str">
        <f t="shared" si="46"/>
        <v/>
      </c>
      <c r="J197" s="7"/>
      <c r="M197" s="7" t="str">
        <f t="shared" si="47"/>
        <v/>
      </c>
      <c r="N197" t="str">
        <f t="shared" si="48"/>
        <v/>
      </c>
      <c r="O197" t="str">
        <f t="shared" si="49"/>
        <v/>
      </c>
      <c r="P197" t="str">
        <f t="shared" si="50"/>
        <v/>
      </c>
    </row>
    <row r="198" spans="6:16" x14ac:dyDescent="0.2">
      <c r="F198" t="str">
        <f t="shared" si="46"/>
        <v/>
      </c>
      <c r="J198" s="7"/>
      <c r="M198" s="7" t="str">
        <f t="shared" si="47"/>
        <v/>
      </c>
      <c r="N198" t="str">
        <f t="shared" si="48"/>
        <v/>
      </c>
      <c r="O198" t="str">
        <f t="shared" si="49"/>
        <v/>
      </c>
      <c r="P198" t="str">
        <f t="shared" si="50"/>
        <v/>
      </c>
    </row>
    <row r="199" spans="6:16" x14ac:dyDescent="0.2">
      <c r="F199" t="str">
        <f t="shared" si="46"/>
        <v/>
      </c>
      <c r="J199" s="7"/>
      <c r="M199" s="7" t="str">
        <f t="shared" si="47"/>
        <v/>
      </c>
      <c r="N199" t="str">
        <f t="shared" si="48"/>
        <v/>
      </c>
      <c r="O199" t="str">
        <f t="shared" si="49"/>
        <v/>
      </c>
      <c r="P199" t="str">
        <f t="shared" si="50"/>
        <v/>
      </c>
    </row>
    <row r="200" spans="6:16" x14ac:dyDescent="0.2">
      <c r="F200" t="str">
        <f t="shared" si="46"/>
        <v/>
      </c>
      <c r="J200" s="7"/>
      <c r="M200" s="7" t="str">
        <f t="shared" si="47"/>
        <v/>
      </c>
      <c r="N200" t="str">
        <f t="shared" si="48"/>
        <v/>
      </c>
      <c r="O200" t="str">
        <f t="shared" si="49"/>
        <v/>
      </c>
      <c r="P200" t="str">
        <f t="shared" si="50"/>
        <v/>
      </c>
    </row>
    <row r="201" spans="6:16" x14ac:dyDescent="0.2">
      <c r="F201" t="str">
        <f t="shared" si="46"/>
        <v/>
      </c>
      <c r="J201" s="7"/>
      <c r="M201" s="7" t="str">
        <f t="shared" si="47"/>
        <v/>
      </c>
      <c r="N201" t="str">
        <f t="shared" si="48"/>
        <v/>
      </c>
      <c r="O201" t="str">
        <f t="shared" si="49"/>
        <v/>
      </c>
      <c r="P201" t="str">
        <f t="shared" si="50"/>
        <v/>
      </c>
    </row>
    <row r="202" spans="6:16" x14ac:dyDescent="0.2">
      <c r="F202" t="str">
        <f t="shared" si="46"/>
        <v/>
      </c>
      <c r="J202" s="7"/>
      <c r="M202" s="7" t="str">
        <f t="shared" si="47"/>
        <v/>
      </c>
      <c r="N202" t="str">
        <f t="shared" si="48"/>
        <v/>
      </c>
      <c r="O202" t="str">
        <f t="shared" si="49"/>
        <v/>
      </c>
      <c r="P202" t="str">
        <f t="shared" si="50"/>
        <v/>
      </c>
    </row>
    <row r="203" spans="6:16" x14ac:dyDescent="0.2">
      <c r="F203" t="str">
        <f t="shared" si="46"/>
        <v/>
      </c>
      <c r="J203" s="7"/>
      <c r="M203" s="7" t="str">
        <f t="shared" si="47"/>
        <v/>
      </c>
      <c r="N203" t="str">
        <f t="shared" si="48"/>
        <v/>
      </c>
      <c r="O203" t="str">
        <f t="shared" si="49"/>
        <v/>
      </c>
      <c r="P203" t="str">
        <f t="shared" si="50"/>
        <v/>
      </c>
    </row>
    <row r="204" spans="6:16" x14ac:dyDescent="0.2">
      <c r="F204" t="str">
        <f t="shared" si="46"/>
        <v/>
      </c>
      <c r="J204" s="7"/>
      <c r="M204" s="7" t="str">
        <f t="shared" si="47"/>
        <v/>
      </c>
      <c r="N204" t="str">
        <f t="shared" si="48"/>
        <v/>
      </c>
      <c r="O204" t="str">
        <f t="shared" si="49"/>
        <v/>
      </c>
      <c r="P204" t="str">
        <f t="shared" si="50"/>
        <v/>
      </c>
    </row>
    <row r="205" spans="6:16" x14ac:dyDescent="0.2">
      <c r="F205" t="str">
        <f t="shared" si="46"/>
        <v/>
      </c>
      <c r="J205" s="7"/>
      <c r="M205" s="7" t="str">
        <f t="shared" si="47"/>
        <v/>
      </c>
      <c r="N205" t="str">
        <f t="shared" si="48"/>
        <v/>
      </c>
      <c r="O205" t="str">
        <f t="shared" si="49"/>
        <v/>
      </c>
      <c r="P205" t="str">
        <f t="shared" si="50"/>
        <v/>
      </c>
    </row>
    <row r="206" spans="6:16" x14ac:dyDescent="0.2">
      <c r="F206" t="str">
        <f t="shared" si="46"/>
        <v/>
      </c>
      <c r="J206" s="7"/>
      <c r="M206" s="7" t="str">
        <f t="shared" si="47"/>
        <v/>
      </c>
      <c r="N206" t="str">
        <f t="shared" si="48"/>
        <v/>
      </c>
      <c r="O206" t="str">
        <f t="shared" si="49"/>
        <v/>
      </c>
      <c r="P206" t="str">
        <f t="shared" si="50"/>
        <v/>
      </c>
    </row>
    <row r="207" spans="6:16" x14ac:dyDescent="0.2">
      <c r="F207" t="str">
        <f t="shared" si="46"/>
        <v/>
      </c>
      <c r="J207" s="7"/>
      <c r="M207" s="7" t="str">
        <f t="shared" si="47"/>
        <v/>
      </c>
      <c r="N207" t="str">
        <f t="shared" si="48"/>
        <v/>
      </c>
      <c r="O207" t="str">
        <f t="shared" si="49"/>
        <v/>
      </c>
      <c r="P207" t="str">
        <f t="shared" si="50"/>
        <v/>
      </c>
    </row>
    <row r="208" spans="6:16" x14ac:dyDescent="0.2">
      <c r="F208" t="str">
        <f t="shared" si="46"/>
        <v/>
      </c>
      <c r="J208" s="7"/>
      <c r="M208" s="7" t="str">
        <f t="shared" si="47"/>
        <v/>
      </c>
      <c r="N208" t="str">
        <f t="shared" si="48"/>
        <v/>
      </c>
      <c r="O208" t="str">
        <f t="shared" si="49"/>
        <v/>
      </c>
      <c r="P208" t="str">
        <f t="shared" si="50"/>
        <v/>
      </c>
    </row>
    <row r="209" spans="6:16" x14ac:dyDescent="0.2">
      <c r="F209" t="str">
        <f t="shared" si="46"/>
        <v/>
      </c>
      <c r="J209" s="7"/>
      <c r="M209" s="7" t="str">
        <f t="shared" si="47"/>
        <v/>
      </c>
      <c r="N209" t="str">
        <f t="shared" si="48"/>
        <v/>
      </c>
      <c r="O209" t="str">
        <f t="shared" si="49"/>
        <v/>
      </c>
      <c r="P209" t="str">
        <f t="shared" si="50"/>
        <v/>
      </c>
    </row>
    <row r="210" spans="6:16" x14ac:dyDescent="0.2">
      <c r="F210" t="str">
        <f t="shared" si="46"/>
        <v/>
      </c>
      <c r="J210" s="7"/>
      <c r="M210" s="7" t="str">
        <f t="shared" si="47"/>
        <v/>
      </c>
      <c r="N210" t="str">
        <f t="shared" si="48"/>
        <v/>
      </c>
      <c r="O210" t="str">
        <f t="shared" si="49"/>
        <v/>
      </c>
      <c r="P210" t="str">
        <f t="shared" si="50"/>
        <v/>
      </c>
    </row>
    <row r="211" spans="6:16" x14ac:dyDescent="0.2">
      <c r="F211" t="str">
        <f t="shared" si="46"/>
        <v/>
      </c>
      <c r="J211" s="7"/>
      <c r="M211" s="7" t="str">
        <f t="shared" si="47"/>
        <v/>
      </c>
      <c r="N211" t="str">
        <f t="shared" si="48"/>
        <v/>
      </c>
      <c r="O211" t="str">
        <f t="shared" si="49"/>
        <v/>
      </c>
      <c r="P211" t="str">
        <f t="shared" si="50"/>
        <v/>
      </c>
    </row>
    <row r="212" spans="6:16" x14ac:dyDescent="0.2">
      <c r="F212" t="str">
        <f t="shared" si="46"/>
        <v/>
      </c>
      <c r="J212" s="7"/>
      <c r="M212" s="7" t="str">
        <f t="shared" si="47"/>
        <v/>
      </c>
      <c r="N212" t="str">
        <f t="shared" si="48"/>
        <v/>
      </c>
      <c r="O212" t="str">
        <f t="shared" si="49"/>
        <v/>
      </c>
      <c r="P212" t="str">
        <f t="shared" si="50"/>
        <v/>
      </c>
    </row>
    <row r="213" spans="6:16" x14ac:dyDescent="0.2">
      <c r="F213" t="str">
        <f t="shared" si="46"/>
        <v/>
      </c>
      <c r="J213" s="7"/>
      <c r="M213" s="7" t="str">
        <f t="shared" si="47"/>
        <v/>
      </c>
      <c r="N213" t="str">
        <f t="shared" si="48"/>
        <v/>
      </c>
      <c r="O213" t="str">
        <f t="shared" si="49"/>
        <v/>
      </c>
      <c r="P213" t="str">
        <f t="shared" si="50"/>
        <v/>
      </c>
    </row>
    <row r="214" spans="6:16" x14ac:dyDescent="0.2">
      <c r="F214" t="str">
        <f t="shared" si="46"/>
        <v/>
      </c>
      <c r="J214" s="7"/>
      <c r="M214" s="7" t="str">
        <f t="shared" si="47"/>
        <v/>
      </c>
      <c r="N214" t="str">
        <f t="shared" si="48"/>
        <v/>
      </c>
      <c r="O214" t="str">
        <f t="shared" si="49"/>
        <v/>
      </c>
      <c r="P214" t="str">
        <f t="shared" si="50"/>
        <v/>
      </c>
    </row>
    <row r="215" spans="6:16" x14ac:dyDescent="0.2">
      <c r="F215" t="str">
        <f t="shared" si="46"/>
        <v/>
      </c>
      <c r="J215" s="7"/>
      <c r="M215" s="7" t="str">
        <f t="shared" si="47"/>
        <v/>
      </c>
      <c r="N215" t="str">
        <f t="shared" si="48"/>
        <v/>
      </c>
      <c r="O215" t="str">
        <f t="shared" si="49"/>
        <v/>
      </c>
      <c r="P215" t="str">
        <f t="shared" si="50"/>
        <v/>
      </c>
    </row>
    <row r="216" spans="6:16" x14ac:dyDescent="0.2">
      <c r="F216" t="str">
        <f t="shared" si="46"/>
        <v/>
      </c>
      <c r="J216" s="7"/>
      <c r="M216" s="7" t="str">
        <f t="shared" si="47"/>
        <v/>
      </c>
      <c r="N216" t="str">
        <f t="shared" si="48"/>
        <v/>
      </c>
      <c r="O216" t="str">
        <f t="shared" si="49"/>
        <v/>
      </c>
      <c r="P216" t="str">
        <f t="shared" si="50"/>
        <v/>
      </c>
    </row>
    <row r="217" spans="6:16" x14ac:dyDescent="0.2">
      <c r="F217" t="str">
        <f t="shared" si="46"/>
        <v/>
      </c>
      <c r="J217" s="7"/>
      <c r="M217" s="7" t="str">
        <f t="shared" si="47"/>
        <v/>
      </c>
      <c r="N217" t="str">
        <f t="shared" si="48"/>
        <v/>
      </c>
      <c r="O217" t="str">
        <f t="shared" si="49"/>
        <v/>
      </c>
      <c r="P217" t="str">
        <f t="shared" si="50"/>
        <v/>
      </c>
    </row>
    <row r="218" spans="6:16" x14ac:dyDescent="0.2">
      <c r="F218" t="str">
        <f t="shared" si="46"/>
        <v/>
      </c>
      <c r="J218" s="7"/>
      <c r="M218" s="7" t="str">
        <f t="shared" si="47"/>
        <v/>
      </c>
      <c r="N218" t="str">
        <f t="shared" si="48"/>
        <v/>
      </c>
      <c r="O218" t="str">
        <f t="shared" si="49"/>
        <v/>
      </c>
      <c r="P218" t="str">
        <f t="shared" si="50"/>
        <v/>
      </c>
    </row>
    <row r="219" spans="6:16" x14ac:dyDescent="0.2">
      <c r="F219" t="str">
        <f t="shared" si="46"/>
        <v/>
      </c>
      <c r="J219" s="7"/>
      <c r="M219" s="7" t="str">
        <f t="shared" si="47"/>
        <v/>
      </c>
      <c r="N219" t="str">
        <f t="shared" si="48"/>
        <v/>
      </c>
      <c r="O219" t="str">
        <f t="shared" si="49"/>
        <v/>
      </c>
      <c r="P219" t="str">
        <f t="shared" si="50"/>
        <v/>
      </c>
    </row>
    <row r="220" spans="6:16" x14ac:dyDescent="0.2">
      <c r="F220" t="str">
        <f t="shared" si="46"/>
        <v/>
      </c>
      <c r="J220" s="7"/>
      <c r="M220" s="7" t="str">
        <f t="shared" si="47"/>
        <v/>
      </c>
      <c r="N220" t="str">
        <f t="shared" si="48"/>
        <v/>
      </c>
      <c r="O220" t="str">
        <f t="shared" si="49"/>
        <v/>
      </c>
      <c r="P220" t="str">
        <f t="shared" si="50"/>
        <v/>
      </c>
    </row>
    <row r="221" spans="6:16" x14ac:dyDescent="0.2">
      <c r="F221" t="str">
        <f t="shared" si="46"/>
        <v/>
      </c>
      <c r="J221" s="7"/>
      <c r="M221" s="7" t="str">
        <f t="shared" si="47"/>
        <v/>
      </c>
      <c r="N221" t="str">
        <f t="shared" si="48"/>
        <v/>
      </c>
      <c r="O221" t="str">
        <f t="shared" si="49"/>
        <v/>
      </c>
      <c r="P221" t="str">
        <f t="shared" si="50"/>
        <v/>
      </c>
    </row>
    <row r="222" spans="6:16" x14ac:dyDescent="0.2">
      <c r="F222" t="str">
        <f t="shared" si="46"/>
        <v/>
      </c>
      <c r="J222" s="7"/>
      <c r="M222" s="7" t="str">
        <f t="shared" si="47"/>
        <v/>
      </c>
      <c r="N222" t="str">
        <f t="shared" si="48"/>
        <v/>
      </c>
      <c r="O222" t="str">
        <f t="shared" si="49"/>
        <v/>
      </c>
      <c r="P222" t="str">
        <f t="shared" si="50"/>
        <v/>
      </c>
    </row>
    <row r="223" spans="6:16" x14ac:dyDescent="0.2">
      <c r="F223" t="str">
        <f t="shared" si="46"/>
        <v/>
      </c>
      <c r="J223" s="7"/>
      <c r="M223" s="7" t="str">
        <f t="shared" si="47"/>
        <v/>
      </c>
      <c r="N223" t="str">
        <f t="shared" si="48"/>
        <v/>
      </c>
      <c r="O223" t="str">
        <f t="shared" si="49"/>
        <v/>
      </c>
      <c r="P223" t="str">
        <f t="shared" si="50"/>
        <v/>
      </c>
    </row>
    <row r="224" spans="6:16" x14ac:dyDescent="0.2">
      <c r="F224" t="str">
        <f t="shared" si="46"/>
        <v/>
      </c>
      <c r="J224" s="7"/>
      <c r="M224" s="7" t="str">
        <f t="shared" si="47"/>
        <v/>
      </c>
      <c r="N224" t="str">
        <f t="shared" si="48"/>
        <v/>
      </c>
      <c r="O224" t="str">
        <f t="shared" si="49"/>
        <v/>
      </c>
      <c r="P224" t="str">
        <f t="shared" si="50"/>
        <v/>
      </c>
    </row>
    <row r="225" spans="6:16" x14ac:dyDescent="0.2">
      <c r="F225" t="str">
        <f t="shared" si="46"/>
        <v/>
      </c>
      <c r="J225" s="7"/>
      <c r="M225" s="7" t="str">
        <f t="shared" si="47"/>
        <v/>
      </c>
      <c r="N225" t="str">
        <f t="shared" si="48"/>
        <v/>
      </c>
      <c r="O225" t="str">
        <f t="shared" si="49"/>
        <v/>
      </c>
      <c r="P225" t="str">
        <f t="shared" si="50"/>
        <v/>
      </c>
    </row>
    <row r="226" spans="6:16" x14ac:dyDescent="0.2">
      <c r="F226" t="str">
        <f t="shared" si="46"/>
        <v/>
      </c>
      <c r="J226" s="7"/>
      <c r="M226" s="7" t="str">
        <f t="shared" si="47"/>
        <v/>
      </c>
      <c r="N226" t="str">
        <f t="shared" si="48"/>
        <v/>
      </c>
      <c r="O226" t="str">
        <f t="shared" si="49"/>
        <v/>
      </c>
      <c r="P226" t="str">
        <f t="shared" si="50"/>
        <v/>
      </c>
    </row>
    <row r="227" spans="6:16" x14ac:dyDescent="0.2">
      <c r="F227" t="str">
        <f t="shared" si="46"/>
        <v/>
      </c>
      <c r="J227" s="7"/>
      <c r="M227" s="7" t="str">
        <f t="shared" si="47"/>
        <v/>
      </c>
      <c r="N227" t="str">
        <f t="shared" si="48"/>
        <v/>
      </c>
      <c r="O227" t="str">
        <f t="shared" si="49"/>
        <v/>
      </c>
      <c r="P227" t="str">
        <f t="shared" si="50"/>
        <v/>
      </c>
    </row>
    <row r="228" spans="6:16" x14ac:dyDescent="0.2">
      <c r="F228" t="str">
        <f t="shared" si="46"/>
        <v/>
      </c>
      <c r="J228" s="7"/>
      <c r="M228" s="7" t="str">
        <f t="shared" si="47"/>
        <v/>
      </c>
      <c r="N228" t="str">
        <f t="shared" si="48"/>
        <v/>
      </c>
      <c r="O228" t="str">
        <f t="shared" si="49"/>
        <v/>
      </c>
      <c r="P228" t="str">
        <f t="shared" si="50"/>
        <v/>
      </c>
    </row>
    <row r="229" spans="6:16" x14ac:dyDescent="0.2">
      <c r="F229" t="str">
        <f t="shared" si="46"/>
        <v/>
      </c>
      <c r="J229" s="7"/>
      <c r="M229" s="7" t="str">
        <f t="shared" si="47"/>
        <v/>
      </c>
      <c r="N229" t="str">
        <f t="shared" si="48"/>
        <v/>
      </c>
      <c r="O229" t="str">
        <f t="shared" si="49"/>
        <v/>
      </c>
      <c r="P229" t="str">
        <f t="shared" si="50"/>
        <v/>
      </c>
    </row>
    <row r="230" spans="6:16" x14ac:dyDescent="0.2">
      <c r="F230" t="str">
        <f t="shared" si="46"/>
        <v/>
      </c>
      <c r="J230" s="7"/>
      <c r="M230" s="7" t="str">
        <f t="shared" si="47"/>
        <v/>
      </c>
      <c r="N230" t="str">
        <f t="shared" si="48"/>
        <v/>
      </c>
      <c r="O230" t="str">
        <f t="shared" si="49"/>
        <v/>
      </c>
      <c r="P230" t="str">
        <f t="shared" si="50"/>
        <v/>
      </c>
    </row>
    <row r="231" spans="6:16" x14ac:dyDescent="0.2">
      <c r="F231" t="str">
        <f t="shared" ref="F231:F237" si="51">IF(OR(N231="", O231=""), "", SUM(IF((N231&lt;&gt;"None")*(N231&lt;&gt;""),LEN(N231)-LEN(SUBSTITUTE(N231,",",""))+1,0)) + SUM(IF((O231&lt;&gt;"None")*(O231&lt;&gt;""),LEN(O231)-LEN(SUBSTITUTE(O231,",",""))+1,0)))</f>
        <v/>
      </c>
      <c r="J231" s="7"/>
      <c r="M231" s="7" t="str">
        <f t="shared" ref="M231:M237" si="52">IF(L231="Yes",K231-J231,IF(L231="No",-J231,""))</f>
        <v/>
      </c>
      <c r="N231" t="str">
        <f t="shared" ref="N231:N237" si="53">IF(G231 = "No", "None", "")</f>
        <v/>
      </c>
      <c r="O231" t="str">
        <f t="shared" ref="O231:O237" si="54">IF(H231="No", "None", "")</f>
        <v/>
      </c>
      <c r="P231" t="str">
        <f t="shared" ref="P231:P237" si="55">IF(AND(D231="Straight", L231 = "No"),IF(N231="None",O231,IF(O231="None",N231) ),"")</f>
        <v/>
      </c>
    </row>
    <row r="232" spans="6:16" x14ac:dyDescent="0.2">
      <c r="F232" t="str">
        <f t="shared" si="51"/>
        <v/>
      </c>
      <c r="J232" s="7"/>
      <c r="M232" s="7" t="str">
        <f t="shared" si="52"/>
        <v/>
      </c>
      <c r="N232" t="str">
        <f t="shared" si="53"/>
        <v/>
      </c>
      <c r="O232" t="str">
        <f t="shared" si="54"/>
        <v/>
      </c>
      <c r="P232" t="str">
        <f t="shared" si="55"/>
        <v/>
      </c>
    </row>
    <row r="233" spans="6:16" x14ac:dyDescent="0.2">
      <c r="F233" t="str">
        <f t="shared" si="51"/>
        <v/>
      </c>
      <c r="J233" s="7"/>
      <c r="M233" s="7" t="str">
        <f t="shared" si="52"/>
        <v/>
      </c>
      <c r="N233" t="str">
        <f t="shared" si="53"/>
        <v/>
      </c>
      <c r="O233" t="str">
        <f t="shared" si="54"/>
        <v/>
      </c>
      <c r="P233" t="str">
        <f t="shared" si="55"/>
        <v/>
      </c>
    </row>
    <row r="234" spans="6:16" x14ac:dyDescent="0.2">
      <c r="F234" t="str">
        <f t="shared" si="51"/>
        <v/>
      </c>
      <c r="J234" s="7"/>
      <c r="M234" s="7" t="str">
        <f t="shared" si="52"/>
        <v/>
      </c>
      <c r="N234" t="str">
        <f t="shared" si="53"/>
        <v/>
      </c>
      <c r="O234" t="str">
        <f t="shared" si="54"/>
        <v/>
      </c>
      <c r="P234" t="str">
        <f t="shared" si="55"/>
        <v/>
      </c>
    </row>
    <row r="235" spans="6:16" x14ac:dyDescent="0.2">
      <c r="F235" t="str">
        <f t="shared" si="51"/>
        <v/>
      </c>
      <c r="J235" s="7"/>
      <c r="M235" s="7" t="str">
        <f t="shared" si="52"/>
        <v/>
      </c>
      <c r="N235" t="str">
        <f t="shared" si="53"/>
        <v/>
      </c>
      <c r="O235" t="str">
        <f t="shared" si="54"/>
        <v/>
      </c>
      <c r="P235" t="str">
        <f t="shared" si="55"/>
        <v/>
      </c>
    </row>
    <row r="236" spans="6:16" x14ac:dyDescent="0.2">
      <c r="F236" t="str">
        <f t="shared" si="51"/>
        <v/>
      </c>
      <c r="J236" s="7"/>
      <c r="M236" s="7" t="str">
        <f t="shared" si="52"/>
        <v/>
      </c>
      <c r="N236" t="str">
        <f t="shared" si="53"/>
        <v/>
      </c>
      <c r="O236" t="str">
        <f t="shared" si="54"/>
        <v/>
      </c>
      <c r="P236" t="str">
        <f t="shared" si="55"/>
        <v/>
      </c>
    </row>
    <row r="237" spans="6:16" x14ac:dyDescent="0.2">
      <c r="F237" t="str">
        <f t="shared" si="51"/>
        <v/>
      </c>
      <c r="J237" s="7"/>
      <c r="M237" s="7" t="str">
        <f t="shared" si="52"/>
        <v/>
      </c>
      <c r="N237" t="str">
        <f t="shared" si="53"/>
        <v/>
      </c>
      <c r="O237" t="str">
        <f t="shared" si="54"/>
        <v/>
      </c>
      <c r="P237" t="str">
        <f t="shared" si="55"/>
        <v/>
      </c>
    </row>
  </sheetData>
  <mergeCells count="17">
    <mergeCell ref="T4:U4"/>
    <mergeCell ref="T6:U6"/>
    <mergeCell ref="T7:U7"/>
    <mergeCell ref="T8:U8"/>
    <mergeCell ref="T9:U9"/>
    <mergeCell ref="T10:U10"/>
    <mergeCell ref="T11:V11"/>
    <mergeCell ref="T12:U12"/>
    <mergeCell ref="T13:U13"/>
    <mergeCell ref="T14:U14"/>
    <mergeCell ref="T21:U21"/>
    <mergeCell ref="T22:U22"/>
    <mergeCell ref="T15:U15"/>
    <mergeCell ref="T16:U16"/>
    <mergeCell ref="T17:V17"/>
    <mergeCell ref="T19:U19"/>
    <mergeCell ref="T20:U20"/>
  </mergeCells>
  <conditionalFormatting sqref="K1">
    <cfRule type="dataBar" priority="76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{56CA6AE0-183F-7F4A-91CF-63E7E6F1A50A}</x14:id>
        </ext>
      </extLst>
    </cfRule>
  </conditionalFormatting>
  <conditionalFormatting sqref="M24:M237 M1:M10">
    <cfRule type="dataBar" priority="118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{40AA7C49-3AF0-A649-AA59-7DD05A3F64E3}</x14:id>
        </ext>
      </extLst>
    </cfRule>
  </conditionalFormatting>
  <conditionalFormatting sqref="M11">
    <cfRule type="dataBar" priority="46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{19B5D5D5-5B7E-7649-8B3C-18BBAAA78F64}</x14:id>
        </ext>
      </extLst>
    </cfRule>
  </conditionalFormatting>
  <conditionalFormatting sqref="M12">
    <cfRule type="dataBar" priority="45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{2D315B94-6B9A-B344-91BB-1CA74FB4138E}</x14:id>
        </ext>
      </extLst>
    </cfRule>
  </conditionalFormatting>
  <conditionalFormatting sqref="M13:M14">
    <cfRule type="dataBar" priority="44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{6075784D-6AD1-E04E-8F61-421C81958DCA}</x14:id>
        </ext>
      </extLst>
    </cfRule>
  </conditionalFormatting>
  <conditionalFormatting sqref="M15:M16">
    <cfRule type="dataBar" priority="178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{4C6C3814-0D4D-1941-99DB-DAC9105FF842}</x14:id>
        </ext>
      </extLst>
    </cfRule>
  </conditionalFormatting>
  <conditionalFormatting sqref="M17">
    <cfRule type="dataBar" priority="42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{023D8548-5E67-D949-B62A-66862F19AD64}</x14:id>
        </ext>
      </extLst>
    </cfRule>
  </conditionalFormatting>
  <conditionalFormatting sqref="M18">
    <cfRule type="dataBar" priority="41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{5BA243B4-7D5B-F04D-931A-B86784E9126E}</x14:id>
        </ext>
      </extLst>
    </cfRule>
  </conditionalFormatting>
  <conditionalFormatting sqref="M19">
    <cfRule type="dataBar" priority="40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{1D9E6651-4C92-B24E-8FEB-2829565E2E6C}</x14:id>
        </ext>
      </extLst>
    </cfRule>
  </conditionalFormatting>
  <conditionalFormatting sqref="M20">
    <cfRule type="dataBar" priority="39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{BEA06150-5AF9-FD49-88AC-1008503ACBEF}</x14:id>
        </ext>
      </extLst>
    </cfRule>
  </conditionalFormatting>
  <conditionalFormatting sqref="M21:M23">
    <cfRule type="dataBar" priority="38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{8DF710F4-D396-F146-AC8F-91B9977C74FE}</x14:id>
        </ext>
      </extLst>
    </cfRule>
  </conditionalFormatting>
  <conditionalFormatting sqref="V4">
    <cfRule type="colorScale" priority="20">
      <colorScale>
        <cfvo type="num" val="-50"/>
        <cfvo type="num" val="0"/>
        <cfvo type="num" val="50"/>
        <color rgb="FFC00000"/>
        <color theme="0"/>
        <color rgb="FF00B050"/>
      </colorScale>
    </cfRule>
  </conditionalFormatting>
  <conditionalFormatting sqref="V9">
    <cfRule type="dataBar" priority="19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{9BBF553D-3E6A-2A45-8CC0-DFF38A4B84F0}</x14:id>
        </ext>
      </extLst>
    </cfRule>
  </conditionalFormatting>
  <conditionalFormatting sqref="V15">
    <cfRule type="dataBar" priority="18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{BD822979-175C-F645-984A-D570BCA5FAF0}</x14:id>
        </ext>
      </extLst>
    </cfRule>
  </conditionalFormatting>
  <conditionalFormatting sqref="Y12:Y18">
    <cfRule type="dataBar" priority="12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{0C9209BD-980B-8445-B859-7D61EEAFDD95}</x14:id>
        </ext>
      </extLst>
    </cfRule>
    <cfRule type="colorScale" priority="13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A41:AA42 AA26:AA31 AA3:AA9 AA34:AA38 AA12:AA18 AA21:AA23">
    <cfRule type="dataBar" priority="11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{162D8FA4-A4C6-9E4A-B02E-EDA245FA1F20}</x14:id>
        </ext>
      </extLst>
    </cfRule>
  </conditionalFormatting>
  <conditionalFormatting sqref="AA45:AA46">
    <cfRule type="dataBar" priority="10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{22BE83C0-0045-F74B-99EA-0BDADED1090F}</x14:id>
        </ext>
      </extLst>
    </cfRule>
  </conditionalFormatting>
  <conditionalFormatting sqref="Z44:Z46 Z13:Z42">
    <cfRule type="dataBar" priority="9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{26998E97-2A74-EC49-87B0-B072382332C1}</x14:id>
        </ext>
      </extLst>
    </cfRule>
  </conditionalFormatting>
  <conditionalFormatting sqref="Y3:Y9">
    <cfRule type="dataBar" priority="7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{032BBC28-AE1C-BC4A-905E-A8EA77421A89}</x14:id>
        </ext>
      </extLst>
    </cfRule>
    <cfRule type="colorScale" priority="8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44:Y46 Y21:Y42">
    <cfRule type="dataBar" priority="5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{17B18527-FC4A-2C40-A342-52AD4941BBE2}</x14:id>
        </ext>
      </extLst>
    </cfRule>
    <cfRule type="colorScale" priority="6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V16">
    <cfRule type="dataBar" priority="3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{2128FAC9-92A4-8D4F-92AC-BD628FC7D187}</x14:id>
        </ext>
      </extLst>
    </cfRule>
    <cfRule type="colorScale" priority="4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V10">
    <cfRule type="dataBar" priority="1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{0CE9F42E-0D1E-C64A-A2EF-867B1EAC787F}</x14:id>
        </ext>
      </extLst>
    </cfRule>
    <cfRule type="colorScale" priority="2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dataValidations count="5">
    <dataValidation type="list" allowBlank="1" showInputMessage="1" showErrorMessage="1" sqref="D8:D23" xr:uid="{ED0C56FC-ACCE-2A49-8C15-60252DCE9910}">
      <formula1>"Straight, Parlay, Boost"</formula1>
    </dataValidation>
    <dataValidation type="list" allowBlank="1" showInputMessage="1" showErrorMessage="1" sqref="L2:L1048576 G2:I237" xr:uid="{B1212F73-2281-B946-8A4E-31BA2EC1AAA9}">
      <formula1>"Yes, No"</formula1>
    </dataValidation>
    <dataValidation type="list" allowBlank="1" showInputMessage="1" showErrorMessage="1" sqref="D24:D237 D2:D8" xr:uid="{859231F8-C7AD-9745-B7E4-8FBDE2E27C75}">
      <formula1>"Parlay, Straight, Boost"</formula1>
    </dataValidation>
    <dataValidation type="list" allowBlank="1" showInputMessage="1" showErrorMessage="1" sqref="B21:B23 B8:B14" xr:uid="{961A643F-6753-AF4B-B967-6132BB7E0D9E}">
      <formula1>"FanDuel, DraftKings, ESPNBet"</formula1>
    </dataValidation>
    <dataValidation type="list" allowBlank="1" showInputMessage="1" showErrorMessage="1" sqref="B15:B20" xr:uid="{D02D1606-BB79-4944-8ADE-938D783B0E99}">
      <formula1>#REF!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6CA6AE0-183F-7F4A-91CF-63E7E6F1A5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K1</xm:sqref>
        </x14:conditionalFormatting>
        <x14:conditionalFormatting xmlns:xm="http://schemas.microsoft.com/office/excel/2006/main">
          <x14:cfRule type="dataBar" id="{40AA7C49-3AF0-A649-AA59-7DD05A3F64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M24:M237 M1:M10</xm:sqref>
        </x14:conditionalFormatting>
        <x14:conditionalFormatting xmlns:xm="http://schemas.microsoft.com/office/excel/2006/main">
          <x14:cfRule type="dataBar" id="{19B5D5D5-5B7E-7649-8B3C-18BBAAA78F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2D315B94-6B9A-B344-91BB-1CA74FB4138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6075784D-6AD1-E04E-8F61-421C81958D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M13:M14</xm:sqref>
        </x14:conditionalFormatting>
        <x14:conditionalFormatting xmlns:xm="http://schemas.microsoft.com/office/excel/2006/main">
          <x14:cfRule type="dataBar" id="{4C6C3814-0D4D-1941-99DB-DAC9105FF84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M15:M16</xm:sqref>
        </x14:conditionalFormatting>
        <x14:conditionalFormatting xmlns:xm="http://schemas.microsoft.com/office/excel/2006/main">
          <x14:cfRule type="dataBar" id="{023D8548-5E67-D949-B62A-66862F19AD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5BA243B4-7D5B-F04D-931A-B86784E9126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1D9E6651-4C92-B24E-8FEB-2829565E2E6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M19</xm:sqref>
        </x14:conditionalFormatting>
        <x14:conditionalFormatting xmlns:xm="http://schemas.microsoft.com/office/excel/2006/main">
          <x14:cfRule type="dataBar" id="{BEA06150-5AF9-FD49-88AC-1008503ACBE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M20</xm:sqref>
        </x14:conditionalFormatting>
        <x14:conditionalFormatting xmlns:xm="http://schemas.microsoft.com/office/excel/2006/main">
          <x14:cfRule type="dataBar" id="{8DF710F4-D396-F146-AC8F-91B9977C74F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M21:M23</xm:sqref>
        </x14:conditionalFormatting>
        <x14:conditionalFormatting xmlns:xm="http://schemas.microsoft.com/office/excel/2006/main">
          <x14:cfRule type="dataBar" id="{9BBF553D-3E6A-2A45-8CC0-DFF38A4B84F0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BD822979-175C-F645-984A-D570BCA5FAF0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0C9209BD-980B-8445-B859-7D61EEAFDD9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Y12:Y18</xm:sqref>
        </x14:conditionalFormatting>
        <x14:conditionalFormatting xmlns:xm="http://schemas.microsoft.com/office/excel/2006/main">
          <x14:cfRule type="dataBar" id="{162D8FA4-A4C6-9E4A-B02E-EDA245FA1F20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AA41:AA42 AA26:AA31 AA3:AA9 AA34:AA38 AA12:AA18 AA21:AA23</xm:sqref>
        </x14:conditionalFormatting>
        <x14:conditionalFormatting xmlns:xm="http://schemas.microsoft.com/office/excel/2006/main">
          <x14:cfRule type="dataBar" id="{22BE83C0-0045-F74B-99EA-0BDADED1090F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AA45:AA46</xm:sqref>
        </x14:conditionalFormatting>
        <x14:conditionalFormatting xmlns:xm="http://schemas.microsoft.com/office/excel/2006/main">
          <x14:cfRule type="dataBar" id="{26998E97-2A74-EC49-87B0-B07238233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Z44:Z46 Z13:Z42</xm:sqref>
        </x14:conditionalFormatting>
        <x14:conditionalFormatting xmlns:xm="http://schemas.microsoft.com/office/excel/2006/main">
          <x14:cfRule type="dataBar" id="{032BBC28-AE1C-BC4A-905E-A8EA77421A8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Y3:Y9</xm:sqref>
        </x14:conditionalFormatting>
        <x14:conditionalFormatting xmlns:xm="http://schemas.microsoft.com/office/excel/2006/main">
          <x14:cfRule type="dataBar" id="{17B18527-FC4A-2C40-A342-52AD4941BBE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Y44:Y46 Y21:Y42</xm:sqref>
        </x14:conditionalFormatting>
        <x14:conditionalFormatting xmlns:xm="http://schemas.microsoft.com/office/excel/2006/main">
          <x14:cfRule type="dataBar" id="{2128FAC9-92A4-8D4F-92AC-BD628FC7D18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0CE9F42E-0D1E-C64A-A2EF-867B1EAC787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Master</vt:lpstr>
      <vt:lpstr>Jan 2025</vt:lpstr>
      <vt:lpstr>Feb 2025</vt:lpstr>
      <vt:lpstr>Mar 2025</vt:lpstr>
      <vt:lpstr>Apr 2025</vt:lpstr>
      <vt:lpstr>May 2025</vt:lpstr>
      <vt:lpstr>June 2025</vt:lpstr>
      <vt:lpstr>July 2025</vt:lpstr>
      <vt:lpstr>Aug 2025</vt:lpstr>
      <vt:lpstr>Sept 2025</vt:lpstr>
      <vt:lpstr>Oct 2025</vt:lpstr>
      <vt:lpstr>Nov 2025</vt:lpstr>
      <vt:lpstr>Dec 2025</vt:lpstr>
      <vt:lpstr>Futures</vt:lpstr>
      <vt:lpstr>'Dec 2025'!Criteria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Pugh, Alex</dc:creator>
  <cp:lastModifiedBy>Giovanni Lunetta</cp:lastModifiedBy>
  <dcterms:created xsi:type="dcterms:W3CDTF">2023-12-23T19:08:02Z</dcterms:created>
  <dcterms:modified xsi:type="dcterms:W3CDTF">2025-01-29T20:18:48Z</dcterms:modified>
</cp:coreProperties>
</file>